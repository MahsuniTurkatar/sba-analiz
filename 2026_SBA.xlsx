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6440" tabRatio="944" firstSheet="0" activeTab="0" autoFilterDateGrouping="1"/>
  </bookViews>
  <sheets>
    <sheet xmlns:r="http://schemas.openxmlformats.org/officeDocument/2006/relationships" name="Başvuru" sheetId="1" state="visible" r:id="rId1"/>
    <sheet xmlns:r="http://schemas.openxmlformats.org/officeDocument/2006/relationships" name="Üye_1" sheetId="2" state="visible" r:id="rId2"/>
    <sheet xmlns:r="http://schemas.openxmlformats.org/officeDocument/2006/relationships" name="Üye_2" sheetId="3" state="visible" r:id="rId3"/>
    <sheet xmlns:r="http://schemas.openxmlformats.org/officeDocument/2006/relationships" name="Üye_Yeni" sheetId="4" state="visible" r:id="rId4"/>
    <sheet xmlns:r="http://schemas.openxmlformats.org/officeDocument/2006/relationships" name="Birim_Yeni" sheetId="5" state="visible" r:id="rId5"/>
    <sheet xmlns:r="http://schemas.openxmlformats.org/officeDocument/2006/relationships" name="Kurul_Raporu" sheetId="6" state="visible" r:id="rId6"/>
    <sheet xmlns:r="http://schemas.openxmlformats.org/officeDocument/2006/relationships" name="İstatistik" sheetId="7" state="visible" r:id="rId7"/>
    <sheet xmlns:r="http://schemas.openxmlformats.org/officeDocument/2006/relationships" name="Özet" sheetId="8" state="visible" r:id="rId8"/>
    <sheet xmlns:r="http://schemas.openxmlformats.org/officeDocument/2006/relationships" name="Pivot" sheetId="9" state="visible" r:id="rId9"/>
    <sheet xmlns:r="http://schemas.openxmlformats.org/officeDocument/2006/relationships" name="Sayılar" sheetId="10" state="visible" r:id="rId10"/>
    <sheet xmlns:r="http://schemas.openxmlformats.org/officeDocument/2006/relationships" name="Word_Gündem" sheetId="11" state="visible" r:id="rId11"/>
    <sheet xmlns:r="http://schemas.openxmlformats.org/officeDocument/2006/relationships" name="2025" sheetId="12" state="visible" r:id="rId12"/>
    <sheet xmlns:r="http://schemas.openxmlformats.org/officeDocument/2006/relationships" name="Formül" sheetId="13" state="visible" r:id="rId13"/>
    <sheet xmlns:r="http://schemas.openxmlformats.org/officeDocument/2006/relationships" name="Deneme" sheetId="14" state="visible" r:id="rId14"/>
    <sheet xmlns:r="http://schemas.openxmlformats.org/officeDocument/2006/relationships" name="Sonuçlar" sheetId="15" state="visible" r:id="rId15"/>
    <sheet xmlns:r="http://schemas.openxmlformats.org/officeDocument/2006/relationships" name="Grafikler (Veri)" sheetId="16" state="visible" r:id="rId16"/>
  </sheets>
  <definedNames>
    <definedName name="Eski">'2025'!$D$72:$D$1081</definedName>
    <definedName name="EskiListe">'2025'!$D:$D</definedName>
    <definedName name="F">'2025'!$D:$D</definedName>
  </definedNames>
  <calcPr calcId="191029" fullCalcOnLoad="1" iterateDelta="0.0001"/>
  <pivotCaches>
    <pivotCache xmlns:r="http://schemas.openxmlformats.org/officeDocument/2006/relationships" cacheId="5" r:id="rId17"/>
  </pivotCaches>
</workbook>
</file>

<file path=xl/styles.xml><?xml version="1.0" encoding="utf-8"?>
<styleSheet xmlns="http://schemas.openxmlformats.org/spreadsheetml/2006/main">
  <numFmts count="2">
    <numFmt numFmtId="164" formatCode="[$-F800]dddd\,\ mmmm\ dd\,\ yyyy"/>
    <numFmt numFmtId="165" formatCode="0;\-0;;@"/>
  </numFmts>
  <fonts count="82">
    <font>
      <name val="Calibri"/>
      <charset val="162"/>
      <family val="2"/>
      <color theme="1"/>
      <sz val="11"/>
      <scheme val="minor"/>
    </font>
    <font>
      <name val="Times New Roman"/>
      <charset val="162"/>
      <family val="1"/>
      <color theme="1"/>
      <sz val="12"/>
    </font>
    <font>
      <name val="Times New Roman"/>
      <charset val="162"/>
      <family val="1"/>
      <b val="1"/>
      <color theme="1"/>
      <sz val="12"/>
    </font>
    <font>
      <name val="Times New Roman"/>
      <charset val="162"/>
      <family val="1"/>
      <sz val="12"/>
    </font>
    <font>
      <name val="Times New Roman"/>
      <charset val="162"/>
      <family val="1"/>
      <b val="1"/>
      <color rgb="FFFFFF00"/>
      <sz val="12"/>
    </font>
    <font>
      <name val="Times New Roman"/>
      <charset val="162"/>
      <family val="1"/>
      <b val="1"/>
      <color rgb="FF002060"/>
      <sz val="12"/>
    </font>
    <font>
      <name val="Calibri"/>
      <charset val="162"/>
      <family val="2"/>
      <sz val="8"/>
      <scheme val="minor"/>
    </font>
    <font>
      <name val="Times New Roman"/>
      <charset val="162"/>
      <family val="1"/>
      <color rgb="FF002060"/>
      <sz val="14"/>
    </font>
    <font>
      <name val="Times New Roman"/>
      <charset val="162"/>
      <family val="1"/>
      <color theme="1"/>
      <sz val="16"/>
    </font>
    <font>
      <name val="Calibri"/>
      <family val="2"/>
      <color theme="1"/>
      <sz val="11"/>
      <scheme val="minor"/>
    </font>
    <font>
      <name val="Times New Roman"/>
      <charset val="162"/>
      <family val="1"/>
      <color rgb="FF002060"/>
      <sz val="16"/>
    </font>
    <font>
      <name val="Times New Roman"/>
      <charset val="162"/>
      <family val="1"/>
      <color theme="0"/>
      <sz val="20"/>
    </font>
    <font>
      <name val="Times New Roman"/>
      <charset val="162"/>
      <family val="1"/>
      <b val="1"/>
      <color rgb="FFFFFF00"/>
      <sz val="20"/>
    </font>
    <font>
      <name val="Times New Roman"/>
      <charset val="162"/>
      <family val="1"/>
      <b val="1"/>
      <color rgb="FFFFFF00"/>
      <sz val="16"/>
    </font>
    <font>
      <name val="Times New Roman"/>
      <charset val="162"/>
      <family val="1"/>
      <b val="1"/>
      <color rgb="FF002060"/>
      <sz val="16"/>
    </font>
    <font>
      <name val="Times New Roman"/>
      <charset val="162"/>
      <family val="1"/>
      <color rgb="FF002060"/>
      <sz val="24"/>
    </font>
    <font>
      <name val="Times New Roman"/>
      <charset val="162"/>
      <family val="1"/>
      <b val="1"/>
      <color rgb="FF002060"/>
      <sz val="36"/>
    </font>
    <font>
      <name val="Times New Roman"/>
      <charset val="162"/>
      <family val="1"/>
      <color rgb="FF002060"/>
      <sz val="36"/>
    </font>
    <font>
      <name val="Times New Roman"/>
      <charset val="162"/>
      <family val="1"/>
      <color rgb="FFFFFF00"/>
      <sz val="36"/>
    </font>
    <font>
      <name val="Times New Roman"/>
      <charset val="162"/>
      <family val="1"/>
      <color rgb="FFFFFF00"/>
      <sz val="12"/>
    </font>
    <font>
      <name val="Times New Roman"/>
      <charset val="162"/>
      <family val="1"/>
      <sz val="16"/>
    </font>
    <font>
      <name val="Times New Roman"/>
      <charset val="162"/>
      <family val="1"/>
      <color rgb="FFFFFF00"/>
      <sz val="24"/>
    </font>
    <font>
      <name val="Times New Roman"/>
      <charset val="162"/>
      <family val="1"/>
      <color rgb="FFFF0000"/>
      <sz val="12"/>
    </font>
    <font>
      <name val="Times New Roman"/>
      <charset val="162"/>
      <family val="1"/>
      <b val="1"/>
      <color theme="0"/>
      <sz val="16"/>
    </font>
    <font>
      <name val="Times New Roman"/>
      <charset val="162"/>
      <family val="1"/>
      <b val="1"/>
      <color theme="1"/>
      <sz val="16"/>
    </font>
    <font>
      <name val="Calibri"/>
      <charset val="162"/>
      <family val="2"/>
      <color theme="1"/>
      <sz val="16"/>
      <scheme val="minor"/>
    </font>
    <font>
      <name val="Times New Roman"/>
      <charset val="162"/>
      <family val="1"/>
      <color rgb="FFFFFF00"/>
      <sz val="16"/>
    </font>
    <font>
      <name val="Calibri"/>
      <charset val="162"/>
      <family val="2"/>
      <b val="1"/>
      <color rgb="FFFFFF00"/>
      <sz val="14"/>
      <scheme val="minor"/>
    </font>
    <font>
      <name val="Times New Roman"/>
      <charset val="162"/>
      <family val="1"/>
      <color theme="0"/>
      <sz val="16"/>
    </font>
    <font>
      <name val="Times New Roman"/>
      <charset val="162"/>
      <family val="1"/>
      <color theme="1"/>
      <sz val="11"/>
    </font>
    <font>
      <name val="Times New Roman"/>
      <charset val="162"/>
      <family val="1"/>
      <b val="1"/>
      <color rgb="FF1F1F1F"/>
      <sz val="16"/>
    </font>
    <font>
      <name val="Times New Roman"/>
      <charset val="162"/>
      <family val="1"/>
      <color rgb="FF1F1F1F"/>
      <sz val="16"/>
    </font>
    <font>
      <name val="Times New Roman"/>
      <charset val="162"/>
      <family val="1"/>
      <color theme="1"/>
      <sz val="18"/>
    </font>
    <font>
      <name val="Times New Roman"/>
      <charset val="162"/>
      <family val="1"/>
      <b val="1"/>
      <color rgb="FFFFFF00"/>
      <sz val="18"/>
    </font>
    <font>
      <name val="Times New Roman"/>
      <charset val="162"/>
      <family val="1"/>
      <color rgb="FFFFFF00"/>
      <sz val="18"/>
    </font>
    <font>
      <name val="Times New Roman"/>
      <charset val="162"/>
      <family val="1"/>
      <b val="1"/>
      <color rgb="FFFFFF00"/>
      <sz val="26"/>
    </font>
    <font>
      <name val="Times New Roman"/>
      <charset val="162"/>
      <family val="1"/>
      <color theme="1"/>
      <sz val="26"/>
    </font>
    <font>
      <name val="Times New Roman"/>
      <charset val="162"/>
      <family val="1"/>
      <b val="1"/>
      <color rgb="FF002060"/>
      <sz val="26"/>
    </font>
    <font>
      <name val="Times New Roman"/>
      <charset val="162"/>
      <family val="1"/>
      <b val="1"/>
      <color theme="1"/>
      <sz val="26"/>
    </font>
    <font>
      <name val="Calibri"/>
      <b val="1"/>
      <color rgb="00FFFFFF"/>
      <sz val="13"/>
    </font>
    <font>
      <name val="Calibri"/>
      <b val="1"/>
      <color rgb="00FFFFFF"/>
      <sz val="10"/>
    </font>
    <font>
      <name val="Calibri"/>
      <i val="1"/>
      <color rgb="008C8880"/>
      <sz val="8"/>
    </font>
    <font>
      <name val="Calibri"/>
      <b val="1"/>
      <color rgb="00FFFFFF"/>
      <sz val="9"/>
    </font>
    <font>
      <name val="Calibri"/>
      <b val="1"/>
      <color rgb="002E7D32"/>
      <sz val="8"/>
    </font>
    <font>
      <name val="Calibri"/>
      <b val="1"/>
      <color rgb="00E65100"/>
      <sz val="8"/>
    </font>
    <font>
      <name val="Calibri"/>
      <b val="1"/>
      <color rgb="001565C0"/>
      <sz val="8"/>
    </font>
    <font>
      <name val="Calibri"/>
      <b val="1"/>
      <color rgb="004527A0"/>
      <sz val="8"/>
    </font>
    <font>
      <name val="Calibri"/>
      <b val="1"/>
      <color rgb="00C62828"/>
      <sz val="8"/>
    </font>
    <font>
      <name val="Calibri"/>
      <b val="1"/>
      <color rgb="00616161"/>
      <sz val="8"/>
    </font>
    <font>
      <name val="Calibri"/>
      <b val="1"/>
      <color rgb="00795548"/>
      <sz val="8"/>
    </font>
    <font>
      <name val="Calibri"/>
      <b val="1"/>
      <color rgb="00E65100"/>
      <sz val="9"/>
    </font>
    <font>
      <name val="Calibri"/>
      <b val="1"/>
      <color rgb="002E7D32"/>
      <sz val="10"/>
    </font>
    <font>
      <name val="Calibri"/>
      <b val="1"/>
      <color rgb="00E65100"/>
      <sz val="10"/>
    </font>
    <font>
      <name val="Calibri"/>
      <b val="1"/>
      <color rgb="001565C0"/>
      <sz val="10"/>
    </font>
    <font>
      <name val="Calibri"/>
      <color rgb="00E0DCD4"/>
      <sz val="9"/>
    </font>
    <font>
      <name val="Calibri"/>
      <b val="1"/>
      <color rgb="00795548"/>
      <sz val="10"/>
    </font>
    <font>
      <name val="Calibri"/>
      <b val="1"/>
      <color rgb="001B3A4B"/>
      <sz val="10"/>
    </font>
    <font>
      <name val="Calibri"/>
      <b val="1"/>
      <color rgb="001565C0"/>
      <sz val="9"/>
    </font>
    <font>
      <name val="Calibri"/>
      <b val="1"/>
      <color rgb="004527A0"/>
      <sz val="9"/>
    </font>
    <font>
      <name val="Calibri"/>
      <b val="1"/>
      <color rgb="00C62828"/>
      <sz val="9"/>
    </font>
    <font>
      <name val="Calibri"/>
      <b val="1"/>
      <color rgb="00FFFFFF"/>
      <sz val="11"/>
    </font>
    <font>
      <name val="Calibri"/>
      <b val="1"/>
      <color rgb="00FFFFFF"/>
      <sz val="8"/>
    </font>
    <font>
      <name val="Calibri"/>
      <color rgb="008C8880"/>
      <sz val="8"/>
    </font>
    <font>
      <name val="Calibri"/>
      <b val="1"/>
      <color rgb="001A2A34"/>
      <sz val="9"/>
    </font>
    <font>
      <name val="Calibri"/>
      <color rgb="005A7A8A"/>
      <sz val="8"/>
    </font>
    <font>
      <name val="Calibri"/>
      <color rgb="001A1814"/>
      <sz val="8"/>
    </font>
    <font>
      <name val="Calibri"/>
      <color rgb="001A1814"/>
      <sz val="9"/>
    </font>
    <font>
      <name val="Calibri"/>
      <color rgb="00B0BEC5"/>
      <sz val="10"/>
    </font>
    <font>
      <name val="Calibri"/>
      <b val="1"/>
      <color rgb="002D4A5A"/>
      <sz val="8"/>
    </font>
    <font>
      <name val="Calibri"/>
      <b val="1"/>
      <color rgb="002E7D32"/>
      <sz val="9"/>
    </font>
    <font>
      <name val="Calibri"/>
      <color rgb="002E7D32"/>
      <sz val="9"/>
    </font>
    <font>
      <name val="Calibri"/>
      <color rgb="00E65100"/>
      <sz val="9"/>
    </font>
    <font>
      <name val="Calibri"/>
      <color rgb="001565C0"/>
      <sz val="9"/>
    </font>
    <font>
      <name val="Calibri"/>
      <b val="1"/>
      <color rgb="004527A0"/>
      <sz val="10"/>
    </font>
    <font>
      <name val="Calibri"/>
      <color rgb="004527A0"/>
      <sz val="9"/>
    </font>
    <font>
      <name val="Calibri"/>
      <b val="1"/>
      <color rgb="00C62828"/>
      <sz val="10"/>
    </font>
    <font>
      <name val="Calibri"/>
      <color rgb="00C62828"/>
      <sz val="9"/>
    </font>
    <font>
      <name val="Calibri"/>
      <b val="1"/>
      <color rgb="00616161"/>
      <sz val="9"/>
    </font>
    <font>
      <name val="Calibri"/>
      <b val="1"/>
      <color rgb="00616161"/>
      <sz val="10"/>
    </font>
    <font>
      <name val="Calibri"/>
      <color rgb="00616161"/>
      <sz val="9"/>
    </font>
    <font>
      <name val="Calibri"/>
      <b val="1"/>
      <color rgb="001A1814"/>
      <sz val="9"/>
    </font>
    <font>
      <name val="Calibri"/>
      <color rgb="00C8502A"/>
      <sz val="9"/>
    </font>
  </fonts>
  <fills count="35">
    <fill>
      <patternFill/>
    </fill>
    <fill>
      <patternFill patternType="gray125"/>
    </fill>
    <fill>
      <patternFill patternType="solid">
        <fgColor rgb="FF002060"/>
        <bgColor indexed="64"/>
      </patternFill>
    </fill>
    <fill>
      <patternFill patternType="solid">
        <fgColor theme="4" tint="0.3999755851924192"/>
        <bgColor indexed="64"/>
      </patternFill>
    </fill>
    <fill>
      <patternFill patternType="solid">
        <fgColor rgb="FF0070C0"/>
        <bgColor indexed="64"/>
      </patternFill>
    </fill>
    <fill>
      <patternFill patternType="solid">
        <fgColor theme="5" tint="0.3999755851924192"/>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2"/>
        <bgColor indexed="64"/>
      </patternFill>
    </fill>
    <fill>
      <patternFill patternType="solid">
        <fgColor rgb="FF1B5E7B"/>
        <bgColor indexed="64"/>
      </patternFill>
    </fill>
    <fill>
      <patternFill patternType="solid">
        <fgColor rgb="FFEBF4FA"/>
        <bgColor indexed="64"/>
      </patternFill>
    </fill>
    <fill>
      <patternFill patternType="solid">
        <fgColor rgb="001B3A4B"/>
      </patternFill>
    </fill>
    <fill>
      <patternFill patternType="solid">
        <fgColor rgb="002D4A5A"/>
      </patternFill>
    </fill>
    <fill>
      <patternFill patternType="solid">
        <fgColor rgb="00F7F5F2"/>
      </patternFill>
    </fill>
    <fill>
      <patternFill patternType="solid">
        <fgColor rgb="00E8F5E9"/>
      </patternFill>
    </fill>
    <fill>
      <patternFill patternType="solid">
        <fgColor rgb="00FFF8E1"/>
      </patternFill>
    </fill>
    <fill>
      <patternFill patternType="solid">
        <fgColor rgb="00E3F2FD"/>
      </patternFill>
    </fill>
    <fill>
      <patternFill patternType="solid">
        <fgColor rgb="00EDE7F6"/>
      </patternFill>
    </fill>
    <fill>
      <patternFill patternType="solid">
        <fgColor rgb="00FFEBEE"/>
      </patternFill>
    </fill>
    <fill>
      <patternFill patternType="solid">
        <fgColor rgb="00F5F5F5"/>
      </patternFill>
    </fill>
    <fill>
      <patternFill patternType="solid">
        <fgColor rgb="00FFF9C4"/>
      </patternFill>
    </fill>
    <fill>
      <patternFill patternType="solid">
        <fgColor rgb="00FAFAFA"/>
      </patternFill>
    </fill>
    <fill>
      <patternFill patternType="solid">
        <fgColor rgb="00EEF3F6"/>
      </patternFill>
    </fill>
    <fill>
      <patternFill patternType="solid">
        <fgColor rgb="000D2733"/>
      </patternFill>
    </fill>
    <fill>
      <patternFill patternType="solid">
        <fgColor rgb="00FFFFFF"/>
      </patternFill>
    </fill>
    <fill>
      <patternFill patternType="solid">
        <fgColor rgb="00F7FAFB"/>
      </patternFill>
    </fill>
    <fill>
      <patternFill patternType="solid">
        <fgColor rgb="00FFF3E0"/>
      </patternFill>
    </fill>
    <fill>
      <patternFill patternType="solid">
        <fgColor rgb="002E7D32"/>
      </patternFill>
    </fill>
    <fill>
      <patternFill patternType="solid">
        <fgColor rgb="00E65100"/>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002060"/>
      </top>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style="thin">
        <color rgb="FF002060"/>
      </left>
      <right/>
      <top/>
      <bottom/>
      <diagonal/>
    </border>
    <border>
      <left style="thin">
        <color rgb="FF002060"/>
      </left>
      <right style="thin">
        <color rgb="FF002060"/>
      </right>
      <top/>
      <bottom/>
      <diagonal/>
    </border>
    <border>
      <left/>
      <right style="thin">
        <color indexed="64"/>
      </right>
      <top style="thin">
        <color rgb="FFFFFF00"/>
      </top>
      <bottom/>
      <diagonal/>
    </border>
    <border>
      <left/>
      <right style="thin">
        <color indexed="64"/>
      </right>
      <top style="thin">
        <color rgb="FFFFFF00"/>
      </top>
      <bottom style="thin">
        <color rgb="FFFFFF00"/>
      </bottom>
      <diagonal/>
    </border>
    <border>
      <left/>
      <right style="thin">
        <color indexed="64"/>
      </right>
      <top/>
      <bottom/>
      <diagonal/>
    </border>
    <border>
      <left/>
      <right style="thin">
        <color indexed="64"/>
      </right>
      <top/>
      <bottom style="thin">
        <color rgb="FFFFFF00"/>
      </bottom>
      <diagonal/>
    </border>
    <border>
      <left style="thin">
        <color rgb="00D0CBC0"/>
      </left>
      <right style="thin">
        <color rgb="00D0CBC0"/>
      </right>
      <top style="thin">
        <color rgb="00D0CBC0"/>
      </top>
      <bottom style="thin">
        <color rgb="00D0CBC0"/>
      </bottom>
    </border>
    <border>
      <left/>
      <right/>
      <top style="thin">
        <color rgb="00D0CBC0"/>
      </top>
      <bottom/>
      <diagonal/>
    </border>
    <border>
      <left/>
      <right style="thin">
        <color rgb="00D0CBC0"/>
      </right>
      <top style="thin">
        <color rgb="00D0CBC0"/>
      </top>
      <bottom/>
      <diagonal/>
    </border>
    <border>
      <left/>
      <right/>
      <top style="thin">
        <color rgb="00D0CBC0"/>
      </top>
      <bottom style="thin">
        <color rgb="00D0CBC0"/>
      </bottom>
      <diagonal/>
    </border>
    <border>
      <left/>
      <right style="thin">
        <color rgb="00D0CBC0"/>
      </right>
      <top style="thin">
        <color rgb="00D0CBC0"/>
      </top>
      <bottom style="thin">
        <color rgb="00D0CBC0"/>
      </bottom>
      <diagonal/>
    </border>
  </borders>
  <cellStyleXfs count="2">
    <xf numFmtId="0" fontId="0" fillId="0" borderId="0"/>
    <xf numFmtId="0" fontId="9" fillId="0" borderId="0"/>
  </cellStyleXfs>
  <cellXfs count="301">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justify" vertical="center"/>
    </xf>
    <xf numFmtId="0" fontId="2" fillId="0" borderId="0" applyAlignment="1" pivotButton="0" quotePrefix="0" xfId="0">
      <alignment horizontal="center" vertical="center"/>
    </xf>
    <xf numFmtId="0" fontId="2" fillId="0" borderId="0" applyAlignment="1" pivotButton="0" quotePrefix="0" xfId="0">
      <alignment horizontal="justify"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xf>
    <xf numFmtId="0" fontId="1" fillId="0" borderId="1" applyAlignment="1" pivotButton="0" quotePrefix="0" xfId="0">
      <alignment horizontal="justify" vertical="top"/>
    </xf>
    <xf numFmtId="0" fontId="1" fillId="0" borderId="1" applyAlignment="1" pivotButton="0" quotePrefix="0" xfId="0">
      <alignment horizontal="left" vertical="center"/>
    </xf>
    <xf numFmtId="0" fontId="3" fillId="0" borderId="1" applyAlignment="1" pivotButton="0" quotePrefix="0" xfId="0">
      <alignment horizontal="left" vertical="center"/>
    </xf>
    <xf numFmtId="0" fontId="1" fillId="0" borderId="0" applyAlignment="1" pivotButton="0" quotePrefix="0" xfId="0">
      <alignment horizontal="left" vertical="center"/>
    </xf>
    <xf numFmtId="0" fontId="1" fillId="0" borderId="0" applyAlignment="1" pivotButton="0" quotePrefix="0" xfId="0">
      <alignment vertical="top"/>
    </xf>
    <xf numFmtId="0" fontId="7" fillId="0" borderId="1" applyAlignment="1" pivotButton="0" quotePrefix="0" xfId="0">
      <alignment horizontal="center" vertical="center"/>
    </xf>
    <xf numFmtId="0" fontId="1" fillId="0" borderId="1" applyAlignment="1" pivotButton="0" quotePrefix="0" xfId="0">
      <alignment horizontal="center" vertical="center"/>
    </xf>
    <xf numFmtId="0" fontId="8" fillId="0" borderId="0" applyAlignment="1" pivotButton="0" quotePrefix="0" xfId="0">
      <alignment horizontal="center" vertical="center"/>
    </xf>
    <xf numFmtId="0" fontId="1" fillId="0" borderId="0" applyAlignment="1" pivotButton="0" quotePrefix="0" xfId="0">
      <alignment horizontal="justify" vertical="top"/>
    </xf>
    <xf numFmtId="0" fontId="4" fillId="4" borderId="2" applyAlignment="1" pivotButton="0" quotePrefix="0" xfId="0">
      <alignment horizontal="center" vertical="center"/>
    </xf>
    <xf numFmtId="0" fontId="5" fillId="0" borderId="2" applyAlignment="1" pivotButton="0" quotePrefix="1" xfId="0">
      <alignment horizontal="center" vertical="center"/>
    </xf>
    <xf numFmtId="0" fontId="5" fillId="3" borderId="2" applyAlignment="1" pivotButton="0" quotePrefix="1" xfId="0">
      <alignment horizontal="center" vertical="center"/>
    </xf>
    <xf numFmtId="0" fontId="5" fillId="0" borderId="2" applyAlignment="1" pivotButton="0" quotePrefix="0" xfId="0">
      <alignment horizontal="center" vertical="center"/>
    </xf>
    <xf numFmtId="0" fontId="13" fillId="4" borderId="2" applyAlignment="1" pivotButton="0" quotePrefix="0" xfId="0">
      <alignment horizontal="center" vertical="center"/>
    </xf>
    <xf numFmtId="0" fontId="14" fillId="0" borderId="2" applyAlignment="1" pivotButton="0" quotePrefix="1" xfId="0">
      <alignment horizontal="center" vertical="center"/>
    </xf>
    <xf numFmtId="0" fontId="10" fillId="0" borderId="2" applyAlignment="1" pivotButton="0" quotePrefix="0" xfId="0">
      <alignment horizontal="justify" vertical="center"/>
    </xf>
    <xf numFmtId="0" fontId="10" fillId="0" borderId="2" applyAlignment="1" pivotButton="0" quotePrefix="0" xfId="0">
      <alignment horizontal="center" vertical="center"/>
    </xf>
    <xf numFmtId="0" fontId="8" fillId="0" borderId="0" applyAlignment="1" pivotButton="0" quotePrefix="1" xfId="0">
      <alignment horizontal="center" vertical="center"/>
    </xf>
    <xf numFmtId="0" fontId="10" fillId="3" borderId="2" applyAlignment="1" pivotButton="0" quotePrefix="0" xfId="0">
      <alignment horizontal="justify" vertical="center"/>
    </xf>
    <xf numFmtId="0" fontId="10" fillId="3" borderId="2" applyAlignment="1" pivotButton="0" quotePrefix="0" xfId="0">
      <alignment horizontal="center" vertical="center"/>
    </xf>
    <xf numFmtId="0" fontId="10" fillId="0" borderId="2" applyAlignment="1" pivotButton="0" quotePrefix="0" xfId="0">
      <alignment horizontal="left" vertical="center"/>
    </xf>
    <xf numFmtId="0" fontId="1" fillId="0" borderId="0" applyAlignment="1" pivotButton="0" quotePrefix="0" xfId="0">
      <alignment horizontal="left" vertical="center" wrapText="1"/>
    </xf>
    <xf numFmtId="0" fontId="3" fillId="0" borderId="0" applyAlignment="1" pivotButton="0" quotePrefix="0" xfId="0">
      <alignment vertical="top"/>
    </xf>
    <xf numFmtId="0" fontId="3" fillId="0" borderId="13" applyAlignment="1" pivotButton="0" quotePrefix="0" xfId="0">
      <alignment horizontal="justify" vertical="center"/>
    </xf>
    <xf numFmtId="0" fontId="15" fillId="11" borderId="1" applyAlignment="1" pivotButton="0" quotePrefix="0" xfId="0">
      <alignment horizontal="center" vertical="center"/>
    </xf>
    <xf numFmtId="0" fontId="13" fillId="4" borderId="5" applyAlignment="1" pivotButton="0" quotePrefix="0" xfId="0">
      <alignment horizontal="center" textRotation="90"/>
    </xf>
    <xf numFmtId="0" fontId="13" fillId="4" borderId="9" applyAlignment="1" pivotButton="0" quotePrefix="0" xfId="0">
      <alignment horizontal="center" textRotation="90"/>
    </xf>
    <xf numFmtId="0" fontId="14" fillId="11" borderId="1" applyAlignment="1" pivotButton="0" quotePrefix="0" xfId="0">
      <alignment horizontal="center" textRotation="90"/>
    </xf>
    <xf numFmtId="0" fontId="17" fillId="12" borderId="0" applyAlignment="1" pivotButton="0" quotePrefix="0" xfId="0">
      <alignment horizontal="center" vertical="center"/>
    </xf>
    <xf numFmtId="0" fontId="13" fillId="2" borderId="10" applyAlignment="1" pivotButton="0" quotePrefix="0" xfId="0">
      <alignment horizontal="center" textRotation="90"/>
    </xf>
    <xf numFmtId="0" fontId="13" fillId="2" borderId="11" applyAlignment="1" pivotButton="0" quotePrefix="0" xfId="0">
      <alignment horizontal="center" textRotation="90"/>
    </xf>
    <xf numFmtId="0" fontId="13" fillId="2" borderId="12" applyAlignment="1" pivotButton="0" quotePrefix="0" xfId="0">
      <alignment horizontal="center" textRotation="90"/>
    </xf>
    <xf numFmtId="0" fontId="3" fillId="0" borderId="1" applyAlignment="1" pivotButton="0" quotePrefix="0" xfId="0">
      <alignment horizontal="center" vertical="center"/>
    </xf>
    <xf numFmtId="14" fontId="3" fillId="0" borderId="1" applyAlignment="1" pivotButton="0" quotePrefix="0" xfId="0">
      <alignment horizontal="center" vertical="center"/>
    </xf>
    <xf numFmtId="0" fontId="19" fillId="13" borderId="1" applyAlignment="1" pivotButton="0" quotePrefix="0" xfId="0">
      <alignment horizontal="center" vertical="center"/>
    </xf>
    <xf numFmtId="0" fontId="19" fillId="13" borderId="1" applyAlignment="1" pivotButton="0" quotePrefix="1" xfId="0">
      <alignment horizontal="center" vertical="center"/>
    </xf>
    <xf numFmtId="0" fontId="19" fillId="13" borderId="21" applyAlignment="1" pivotButton="0" quotePrefix="0" xfId="0">
      <alignment horizontal="center" vertical="center"/>
    </xf>
    <xf numFmtId="0" fontId="19" fillId="13" borderId="22" applyAlignment="1" pivotButton="0" quotePrefix="0" xfId="0">
      <alignment horizontal="center" vertical="center"/>
    </xf>
    <xf numFmtId="0" fontId="20" fillId="0" borderId="0" applyAlignment="1" pivotButton="0" quotePrefix="0" xfId="0">
      <alignment horizontal="center" vertical="center"/>
    </xf>
    <xf numFmtId="14" fontId="20" fillId="0" borderId="0" applyAlignment="1" pivotButton="0" quotePrefix="0" xfId="0">
      <alignment horizontal="center" vertical="center"/>
    </xf>
    <xf numFmtId="0" fontId="20" fillId="0" borderId="0" applyAlignment="1" pivotButton="0" quotePrefix="0" xfId="0">
      <alignment horizontal="center" vertical="center" textRotation="90"/>
    </xf>
    <xf numFmtId="0" fontId="4" fillId="10" borderId="1" applyAlignment="1" pivotButton="0" quotePrefix="0" xfId="0">
      <alignment horizontal="center" vertical="center"/>
    </xf>
    <xf numFmtId="0" fontId="4" fillId="10" borderId="1" applyAlignment="1" pivotButton="0" quotePrefix="0" xfId="0">
      <alignment horizontal="center" vertical="center" wrapText="1"/>
    </xf>
    <xf numFmtId="0" fontId="21" fillId="4" borderId="1" applyAlignment="1" pivotButton="0" quotePrefix="0" xfId="0">
      <alignment horizontal="center" vertical="center"/>
    </xf>
    <xf numFmtId="0" fontId="22" fillId="0" borderId="0" applyAlignment="1" pivotButton="0" quotePrefix="0" xfId="0">
      <alignment horizontal="left" vertical="center"/>
    </xf>
    <xf numFmtId="14" fontId="1" fillId="0" borderId="1" applyAlignment="1" pivotButton="0" quotePrefix="0" xfId="0">
      <alignment horizontal="center" vertical="center"/>
    </xf>
    <xf numFmtId="0" fontId="1" fillId="0" borderId="1" applyAlignment="1" pivotButton="0" quotePrefix="0" xfId="0">
      <alignment horizontal="left" vertical="center" wrapText="1"/>
    </xf>
    <xf numFmtId="164" fontId="1" fillId="0" borderId="1" applyAlignment="1" pivotButton="0" quotePrefix="0" xfId="0">
      <alignment horizontal="center" vertical="center"/>
    </xf>
    <xf numFmtId="0" fontId="1" fillId="0" borderId="0" applyAlignment="1" pivotButton="0" quotePrefix="1" xfId="0">
      <alignment horizontal="center" vertical="center"/>
    </xf>
    <xf numFmtId="0" fontId="1" fillId="0" borderId="1" applyAlignment="1" pivotButton="0" quotePrefix="1" xfId="0">
      <alignment horizontal="justify" vertical="top"/>
    </xf>
    <xf numFmtId="0" fontId="2" fillId="0" borderId="2" applyAlignment="1" pivotButton="0" quotePrefix="0" xfId="0">
      <alignment horizontal="center" vertical="center"/>
    </xf>
    <xf numFmtId="0" fontId="1" fillId="0" borderId="2" applyAlignment="1" pivotButton="0" quotePrefix="0" xfId="0">
      <alignment horizontal="left" vertical="center"/>
    </xf>
    <xf numFmtId="0" fontId="1" fillId="0" borderId="2" applyAlignment="1" pivotButton="0" quotePrefix="0" xfId="0">
      <alignment horizontal="justify" vertical="top"/>
    </xf>
    <xf numFmtId="0" fontId="1" fillId="0" borderId="2" applyAlignment="1" pivotButton="0" quotePrefix="0" xfId="0">
      <alignment horizontal="left" vertical="center" wrapText="1"/>
    </xf>
    <xf numFmtId="0" fontId="2" fillId="0" borderId="2" applyAlignment="1" pivotButton="0" quotePrefix="1" xfId="0">
      <alignment horizontal="center" vertical="center"/>
    </xf>
    <xf numFmtId="0" fontId="3" fillId="0" borderId="0" applyAlignment="1" pivotButton="0" quotePrefix="0" xfId="0">
      <alignment horizontal="justify" vertical="center"/>
    </xf>
    <xf numFmtId="0" fontId="3" fillId="0" borderId="0" applyAlignment="1" pivotButton="0" quotePrefix="0" xfId="0">
      <alignment horizontal="center" vertical="center"/>
    </xf>
    <xf numFmtId="0" fontId="4" fillId="10" borderId="23" applyAlignment="1" pivotButton="0" quotePrefix="0" xfId="0">
      <alignment vertical="center"/>
    </xf>
    <xf numFmtId="0" fontId="4" fillId="10" borderId="1" applyAlignment="1" pivotButton="0" quotePrefix="0" xfId="0">
      <alignment vertical="center"/>
    </xf>
    <xf numFmtId="0" fontId="3" fillId="0" borderId="25" applyAlignment="1" pivotButton="0" quotePrefix="0" xfId="0">
      <alignment horizontal="left" vertical="center"/>
    </xf>
    <xf numFmtId="0" fontId="3" fillId="0" borderId="26" applyAlignment="1" pivotButton="0" quotePrefix="0" xfId="0">
      <alignment horizontal="left" vertical="center"/>
    </xf>
    <xf numFmtId="0" fontId="3" fillId="0" borderId="23" applyAlignment="1" pivotButton="0" quotePrefix="0" xfId="0">
      <alignment horizontal="left" vertical="center"/>
    </xf>
    <xf numFmtId="0" fontId="3" fillId="0" borderId="0" applyAlignment="1" pivotButton="0" quotePrefix="0" xfId="0">
      <alignment horizontal="left" vertical="center"/>
    </xf>
    <xf numFmtId="0" fontId="4" fillId="10" borderId="25" applyAlignment="1" pivotButton="0" quotePrefix="0" xfId="0">
      <alignment vertical="center"/>
    </xf>
    <xf numFmtId="0" fontId="11" fillId="6" borderId="27" applyAlignment="1" pivotButton="0" quotePrefix="0" xfId="0">
      <alignment horizontal="right" vertical="center"/>
    </xf>
    <xf numFmtId="0" fontId="11" fillId="6" borderId="28" applyAlignment="1" pivotButton="0" quotePrefix="0" xfId="0">
      <alignment horizontal="center" vertical="center"/>
    </xf>
    <xf numFmtId="0" fontId="11" fillId="6" borderId="27" applyAlignment="1" pivotButton="0" quotePrefix="0" xfId="0">
      <alignment horizontal="center" vertical="center"/>
    </xf>
    <xf numFmtId="0" fontId="11" fillId="5" borderId="27" applyAlignment="1" pivotButton="0" quotePrefix="0" xfId="0">
      <alignment horizontal="right" vertical="center"/>
    </xf>
    <xf numFmtId="0" fontId="11" fillId="5" borderId="28" applyAlignment="1" pivotButton="0" quotePrefix="0" xfId="0">
      <alignment horizontal="center" vertical="center"/>
    </xf>
    <xf numFmtId="0" fontId="11" fillId="5" borderId="27" applyAlignment="1" pivotButton="0" quotePrefix="0" xfId="0">
      <alignment horizontal="center" vertical="center"/>
    </xf>
    <xf numFmtId="0" fontId="11" fillId="2" borderId="27" applyAlignment="1" pivotButton="0" quotePrefix="0" xfId="0">
      <alignment horizontal="right" vertical="center"/>
    </xf>
    <xf numFmtId="0" fontId="11" fillId="2" borderId="28" applyAlignment="1" pivotButton="0" quotePrefix="0" xfId="0">
      <alignment horizontal="center" vertical="center"/>
    </xf>
    <xf numFmtId="0" fontId="11" fillId="2" borderId="27" applyAlignment="1" pivotButton="0" quotePrefix="0" xfId="0">
      <alignment horizontal="center" vertical="center"/>
    </xf>
    <xf numFmtId="0" fontId="11" fillId="4" borderId="27" applyAlignment="1" pivotButton="0" quotePrefix="0" xfId="0">
      <alignment horizontal="right" vertical="center"/>
    </xf>
    <xf numFmtId="0" fontId="11" fillId="4" borderId="28" applyAlignment="1" pivotButton="0" quotePrefix="0" xfId="0">
      <alignment horizontal="center" vertical="center"/>
    </xf>
    <xf numFmtId="0" fontId="11" fillId="4" borderId="27" applyAlignment="1" pivotButton="0" quotePrefix="0" xfId="0">
      <alignment horizontal="center" vertical="center"/>
    </xf>
    <xf numFmtId="0" fontId="11" fillId="7" borderId="27" applyAlignment="1" pivotButton="0" quotePrefix="0" xfId="0">
      <alignment horizontal="right" vertical="center"/>
    </xf>
    <xf numFmtId="0" fontId="11" fillId="7" borderId="28" applyAlignment="1" pivotButton="0" quotePrefix="0" xfId="0">
      <alignment horizontal="center" vertical="center"/>
    </xf>
    <xf numFmtId="0" fontId="11" fillId="7" borderId="27" applyAlignment="1" pivotButton="0" quotePrefix="0" xfId="0">
      <alignment horizontal="center" vertical="center"/>
    </xf>
    <xf numFmtId="0" fontId="11" fillId="8" borderId="22" applyAlignment="1" pivotButton="0" quotePrefix="0" xfId="0">
      <alignment horizontal="right" vertical="center"/>
    </xf>
    <xf numFmtId="0" fontId="11" fillId="8" borderId="29" applyAlignment="1" pivotButton="0" quotePrefix="0" xfId="0">
      <alignment horizontal="center" vertical="center"/>
    </xf>
    <xf numFmtId="0" fontId="11" fillId="8" borderId="22" applyAlignment="1" pivotButton="0" quotePrefix="0" xfId="0">
      <alignment horizontal="center" vertical="center"/>
    </xf>
    <xf numFmtId="0" fontId="12" fillId="2" borderId="22" applyAlignment="1" pivotButton="0" quotePrefix="0" xfId="0">
      <alignment horizontal="right" vertical="center"/>
    </xf>
    <xf numFmtId="0" fontId="12" fillId="2" borderId="24" applyAlignment="1" pivotButton="0" quotePrefix="0" xfId="0">
      <alignment horizontal="center" vertical="center"/>
    </xf>
    <xf numFmtId="0" fontId="12" fillId="2" borderId="22" applyAlignment="1" pivotButton="0" quotePrefix="0" xfId="0">
      <alignment horizontal="center" vertical="center"/>
    </xf>
    <xf numFmtId="0" fontId="11" fillId="9" borderId="27" applyAlignment="1" pivotButton="0" quotePrefix="0" xfId="0">
      <alignment horizontal="right" vertical="center"/>
    </xf>
    <xf numFmtId="0" fontId="11" fillId="9" borderId="28" applyAlignment="1" pivotButton="0" quotePrefix="0" xfId="0">
      <alignment horizontal="center" vertical="center"/>
    </xf>
    <xf numFmtId="0" fontId="11" fillId="9" borderId="27" applyAlignment="1" pivotButton="0" quotePrefix="0" xfId="0">
      <alignment horizontal="center" vertical="center"/>
    </xf>
    <xf numFmtId="0" fontId="23" fillId="0" borderId="0" applyAlignment="1" pivotButton="0" quotePrefix="0" xfId="0">
      <alignment horizontal="center" vertical="center"/>
    </xf>
    <xf numFmtId="0" fontId="0" fillId="0" borderId="0" applyAlignment="1" pivotButton="0" quotePrefix="0" xfId="0">
      <alignment horizontal="justify" vertical="top"/>
    </xf>
    <xf numFmtId="0" fontId="0" fillId="0" borderId="0" applyAlignment="1" pivotButton="0" quotePrefix="0" xfId="0">
      <alignment vertical="center"/>
    </xf>
    <xf numFmtId="0" fontId="0" fillId="0" borderId="0" applyAlignment="1" pivotButton="0" quotePrefix="0" xfId="0">
      <alignment horizontal="center" vertical="center"/>
    </xf>
    <xf numFmtId="14"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justify" vertical="center"/>
    </xf>
    <xf numFmtId="0" fontId="0" fillId="0" borderId="0" applyAlignment="1" pivotButton="0" quotePrefix="0" xfId="0">
      <alignment horizontal="center"/>
    </xf>
    <xf numFmtId="0" fontId="0" fillId="0" borderId="0" applyAlignment="1" pivotButton="0" quotePrefix="0" xfId="0">
      <alignment horizontal="right"/>
    </xf>
    <xf numFmtId="0" fontId="0" fillId="0" borderId="0" applyAlignment="1" pivotButton="0" quotePrefix="0" xfId="0">
      <alignment horizontal="right" vertical="center"/>
    </xf>
    <xf numFmtId="14" fontId="0" fillId="0" borderId="0" pivotButton="0" quotePrefix="0" xfId="0"/>
    <xf numFmtId="14" fontId="4" fillId="10" borderId="1" applyAlignment="1" pivotButton="0" quotePrefix="0" xfId="0">
      <alignment horizontal="center" vertical="center"/>
    </xf>
    <xf numFmtId="0" fontId="0" fillId="0" borderId="0" applyAlignment="1" pivotButton="0" quotePrefix="0" xfId="0">
      <alignment horizontal="left"/>
    </xf>
    <xf numFmtId="0" fontId="4" fillId="10" borderId="1" applyAlignment="1" pivotButton="0" quotePrefix="0" xfId="0">
      <alignment horizontal="left" vertical="center"/>
    </xf>
    <xf numFmtId="0" fontId="5" fillId="12" borderId="1" applyAlignment="1" pivotButton="0" quotePrefix="0" xfId="0">
      <alignment horizontal="center" vertical="center"/>
    </xf>
    <xf numFmtId="0" fontId="13" fillId="10" borderId="0" applyAlignment="1" pivotButton="0" quotePrefix="0" xfId="0">
      <alignment horizontal="center" vertical="center"/>
    </xf>
    <xf numFmtId="14" fontId="13" fillId="10" borderId="0" applyAlignment="1" pivotButton="0" quotePrefix="0" xfId="0">
      <alignment horizontal="center"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14" fontId="25" fillId="0" borderId="0" applyAlignment="1" pivotButton="0" quotePrefix="0" xfId="0">
      <alignment horizontal="center" vertical="center"/>
    </xf>
    <xf numFmtId="0" fontId="26" fillId="2" borderId="30" applyAlignment="1" pivotButton="0" quotePrefix="0" xfId="0">
      <alignment horizontal="center" vertical="center"/>
    </xf>
    <xf numFmtId="0" fontId="26" fillId="2" borderId="31" applyAlignment="1" pivotButton="0" quotePrefix="0" xfId="0">
      <alignment horizontal="center" vertical="center"/>
    </xf>
    <xf numFmtId="14" fontId="26" fillId="2" borderId="30" applyAlignment="1" pivotButton="0" quotePrefix="0" xfId="0">
      <alignment horizontal="center" vertical="center"/>
    </xf>
    <xf numFmtId="0" fontId="13" fillId="10" borderId="30" applyAlignment="1" pivotButton="0" quotePrefix="0" xfId="0">
      <alignment horizontal="center" vertical="center"/>
    </xf>
    <xf numFmtId="14" fontId="13" fillId="10" borderId="30" applyAlignment="1" pivotButton="0" quotePrefix="0" xfId="0">
      <alignment horizontal="center" vertical="center" wrapText="1"/>
    </xf>
    <xf numFmtId="0" fontId="27" fillId="2" borderId="0" applyAlignment="1" pivotButton="0" quotePrefix="0" xfId="0">
      <alignment horizontal="center"/>
    </xf>
    <xf numFmtId="0" fontId="26" fillId="2" borderId="30" applyAlignment="1" pivotButton="0" quotePrefix="0" xfId="0">
      <alignment horizontal="left" vertical="center"/>
    </xf>
    <xf numFmtId="0" fontId="26" fillId="7" borderId="30" applyAlignment="1" pivotButton="0" quotePrefix="0" xfId="0">
      <alignment horizontal="left" vertical="center"/>
    </xf>
    <xf numFmtId="14" fontId="26" fillId="14" borderId="30" applyAlignment="1" pivotButton="0" quotePrefix="0" xfId="0">
      <alignment horizontal="left" vertical="center"/>
    </xf>
    <xf numFmtId="0" fontId="8" fillId="6" borderId="30" applyAlignment="1" pivotButton="0" quotePrefix="0" xfId="0">
      <alignment horizontal="left" vertical="center"/>
    </xf>
    <xf numFmtId="0" fontId="8" fillId="5" borderId="31" applyAlignment="1" pivotButton="0" quotePrefix="0" xfId="0">
      <alignment horizontal="left" vertical="center"/>
    </xf>
    <xf numFmtId="0" fontId="8" fillId="11" borderId="30" applyAlignment="1" pivotButton="0" quotePrefix="0" xfId="0">
      <alignment horizontal="left" vertical="center"/>
    </xf>
    <xf numFmtId="0" fontId="28" fillId="8" borderId="30" applyAlignment="1" pivotButton="0" quotePrefix="0" xfId="0">
      <alignment horizontal="left" vertical="center"/>
    </xf>
    <xf numFmtId="0" fontId="25" fillId="0" borderId="0" applyAlignment="1" pivotButton="0" quotePrefix="0" xfId="0">
      <alignment vertical="center"/>
    </xf>
    <xf numFmtId="0" fontId="27" fillId="2" borderId="0" applyAlignment="1" pivotButton="0" quotePrefix="0" xfId="0">
      <alignment horizontal="center" vertical="center"/>
    </xf>
    <xf numFmtId="0" fontId="10" fillId="6" borderId="30" applyAlignment="1" pivotButton="0" quotePrefix="0" xfId="0">
      <alignment horizontal="center" vertical="center"/>
    </xf>
    <xf numFmtId="0" fontId="29" fillId="0" borderId="0" applyAlignment="1" pivotButton="0" quotePrefix="0" xfId="0">
      <alignment horizontal="center" vertical="center"/>
    </xf>
    <xf numFmtId="0" fontId="29" fillId="0" borderId="0" pivotButton="0" quotePrefix="0" xfId="0"/>
    <xf numFmtId="0" fontId="8" fillId="0" borderId="0" applyAlignment="1" pivotButton="0" quotePrefix="0" xfId="0">
      <alignment vertical="center"/>
    </xf>
    <xf numFmtId="0" fontId="31" fillId="0" borderId="0" applyAlignment="1" pivotButton="0" quotePrefix="0" xfId="0">
      <alignment horizontal="right" vertical="center" wrapText="1" readingOrder="1"/>
    </xf>
    <xf numFmtId="0" fontId="13" fillId="2" borderId="0" applyAlignment="1" pivotButton="0" quotePrefix="0" xfId="0">
      <alignment horizontal="center" vertical="center"/>
    </xf>
    <xf numFmtId="14" fontId="8" fillId="0" borderId="13" applyAlignment="1" pivotButton="0" quotePrefix="0" xfId="0">
      <alignment vertical="center"/>
    </xf>
    <xf numFmtId="0" fontId="30" fillId="0" borderId="33" applyAlignment="1" pivotButton="0" quotePrefix="0" xfId="0">
      <alignment vertical="center" wrapText="1" readingOrder="1"/>
    </xf>
    <xf numFmtId="0" fontId="30" fillId="0" borderId="34" applyAlignment="1" pivotButton="0" quotePrefix="0" xfId="0">
      <alignment vertical="center" wrapText="1" readingOrder="1"/>
    </xf>
    <xf numFmtId="0" fontId="8" fillId="0" borderId="13" applyAlignment="1" pivotButton="0" quotePrefix="0" xfId="0">
      <alignment vertical="center"/>
    </xf>
    <xf numFmtId="165" fontId="8" fillId="0" borderId="0" applyAlignment="1" pivotButton="0" quotePrefix="0" xfId="0">
      <alignment vertical="center"/>
    </xf>
    <xf numFmtId="0" fontId="13" fillId="2" borderId="34" applyAlignment="1" pivotButton="0" quotePrefix="0" xfId="0">
      <alignment horizontal="center" vertical="center"/>
    </xf>
    <xf numFmtId="0" fontId="13" fillId="2" borderId="35" applyAlignment="1" pivotButton="0" quotePrefix="0" xfId="0">
      <alignment horizontal="center" vertical="center"/>
    </xf>
    <xf numFmtId="0" fontId="13" fillId="2" borderId="36" applyAlignment="1" pivotButton="0" quotePrefix="0" xfId="0">
      <alignment horizontal="center" vertical="center"/>
    </xf>
    <xf numFmtId="14" fontId="13" fillId="2" borderId="37" applyAlignment="1" pivotButton="0" quotePrefix="0" xfId="0">
      <alignment horizontal="center" vertical="center"/>
    </xf>
    <xf numFmtId="14" fontId="8" fillId="0" borderId="0" applyAlignment="1" pivotButton="0" quotePrefix="0" xfId="0">
      <alignment vertical="center"/>
    </xf>
    <xf numFmtId="0" fontId="13" fillId="2" borderId="0" applyAlignment="1" pivotButton="0" quotePrefix="0" xfId="0">
      <alignment horizontal="center" vertical="center" wrapText="1"/>
    </xf>
    <xf numFmtId="0" fontId="29" fillId="0" borderId="0" applyAlignment="1" pivotButton="0" quotePrefix="0" xfId="0">
      <alignment vertical="center"/>
    </xf>
    <xf numFmtId="14" fontId="29" fillId="0" borderId="0" applyAlignment="1" pivotButton="0" quotePrefix="0" xfId="0">
      <alignment vertical="center"/>
    </xf>
    <xf numFmtId="165" fontId="0" fillId="0" borderId="0" pivotButton="0" quotePrefix="0" xfId="0"/>
    <xf numFmtId="0" fontId="32" fillId="0" borderId="0" applyAlignment="1" pivotButton="0" quotePrefix="0" xfId="0">
      <alignment horizontal="center" vertical="center"/>
    </xf>
    <xf numFmtId="0" fontId="32" fillId="0" borderId="0" pivotButton="0" quotePrefix="0" xfId="0"/>
    <xf numFmtId="0" fontId="1" fillId="0" borderId="0" pivotButton="0" quotePrefix="0" xfId="0"/>
    <xf numFmtId="0" fontId="1" fillId="0" borderId="0" applyAlignment="1" pivotButton="0" quotePrefix="0" xfId="0">
      <alignment horizontal="justify" vertical="center" wrapText="1"/>
    </xf>
    <xf numFmtId="0" fontId="0" fillId="0" borderId="0" pivotButton="1" quotePrefix="0" xfId="0"/>
    <xf numFmtId="0" fontId="26" fillId="2" borderId="28" applyAlignment="1" pivotButton="0" quotePrefix="0" xfId="0">
      <alignment horizontal="left" vertical="center"/>
    </xf>
    <xf numFmtId="0" fontId="33" fillId="10" borderId="40" applyAlignment="1" pivotButton="0" quotePrefix="0" xfId="0">
      <alignment horizontal="center" vertical="center"/>
    </xf>
    <xf numFmtId="0" fontId="33" fillId="10" borderId="41" applyAlignment="1" pivotButton="0" quotePrefix="0" xfId="0">
      <alignment horizontal="center" vertical="center"/>
    </xf>
    <xf numFmtId="0" fontId="34" fillId="2" borderId="27" applyAlignment="1" pivotButton="0" quotePrefix="0" xfId="0">
      <alignment horizontal="center" vertical="center"/>
    </xf>
    <xf numFmtId="0" fontId="33" fillId="10" borderId="42" applyAlignment="1" pivotButton="0" quotePrefix="0" xfId="0">
      <alignment horizontal="center" vertical="center"/>
    </xf>
    <xf numFmtId="0" fontId="33" fillId="10" borderId="27" applyAlignment="1" pivotButton="0" quotePrefix="0" xfId="0">
      <alignment horizontal="center" vertical="center"/>
    </xf>
    <xf numFmtId="0" fontId="26" fillId="2" borderId="22" applyAlignment="1" pivotButton="0" quotePrefix="0" xfId="0">
      <alignment horizontal="center" vertical="center"/>
    </xf>
    <xf numFmtId="0" fontId="26" fillId="2" borderId="27" applyAlignment="1" pivotButton="0" quotePrefix="0" xfId="0">
      <alignment horizontal="center" vertical="center"/>
    </xf>
    <xf numFmtId="0" fontId="1" fillId="0" borderId="1" applyAlignment="1" pivotButton="0" quotePrefix="0" xfId="0">
      <alignment horizontal="justify" vertical="top" wrapText="1"/>
    </xf>
    <xf numFmtId="0" fontId="15" fillId="11" borderId="25" applyAlignment="1" pivotButton="0" quotePrefix="0" xfId="0">
      <alignment horizontal="center" vertical="center"/>
    </xf>
    <xf numFmtId="0" fontId="35" fillId="4" borderId="2" applyAlignment="1" pivotButton="0" quotePrefix="0" xfId="0">
      <alignment horizontal="center" vertical="center"/>
    </xf>
    <xf numFmtId="0" fontId="35" fillId="2" borderId="18" applyAlignment="1" pivotButton="0" quotePrefix="0" xfId="0">
      <alignment horizontal="center" vertical="center"/>
    </xf>
    <xf numFmtId="0" fontId="35" fillId="2" borderId="17" applyAlignment="1" pivotButton="0" quotePrefix="0" xfId="0">
      <alignment horizontal="center" vertical="center"/>
    </xf>
    <xf numFmtId="0" fontId="36" fillId="0" borderId="0" applyAlignment="1" pivotButton="0" quotePrefix="0" xfId="0">
      <alignment horizontal="center" vertical="center"/>
    </xf>
    <xf numFmtId="0" fontId="35" fillId="2" borderId="0" applyAlignment="1" pivotButton="0" quotePrefix="0" xfId="0">
      <alignment horizontal="center" vertical="center"/>
    </xf>
    <xf numFmtId="0" fontId="38" fillId="0" borderId="0" applyAlignment="1" pivotButton="0" quotePrefix="0" xfId="0">
      <alignment horizontal="center" vertical="center"/>
    </xf>
    <xf numFmtId="0" fontId="35" fillId="4" borderId="1" applyAlignment="1" pivotButton="0" quotePrefix="0" xfId="0">
      <alignment horizontal="center" vertical="center"/>
    </xf>
    <xf numFmtId="0" fontId="35" fillId="4" borderId="25" applyAlignment="1" pivotButton="0" quotePrefix="0" xfId="0">
      <alignment horizontal="center" vertical="center"/>
    </xf>
    <xf numFmtId="0" fontId="38" fillId="0" borderId="0" applyAlignment="1" pivotButton="0" quotePrefix="1" xfId="0">
      <alignment horizontal="center" vertical="center"/>
    </xf>
    <xf numFmtId="0" fontId="37" fillId="12" borderId="0" applyAlignment="1" pivotButton="0" quotePrefix="0" xfId="0">
      <alignment horizontal="center" vertical="center"/>
    </xf>
    <xf numFmtId="0" fontId="13" fillId="4" borderId="2" applyAlignment="1" pivotButton="0" quotePrefix="0" xfId="0">
      <alignment vertical="center"/>
    </xf>
    <xf numFmtId="0" fontId="13" fillId="4" borderId="3" applyAlignment="1" pivotButton="0" quotePrefix="0" xfId="0">
      <alignment vertical="center"/>
    </xf>
    <xf numFmtId="0" fontId="13" fillId="4" borderId="5" applyAlignment="1" pivotButton="0" quotePrefix="0" xfId="0">
      <alignment horizontal="center" vertical="center"/>
    </xf>
    <xf numFmtId="0" fontId="13" fillId="2" borderId="10" applyAlignment="1" pivotButton="0" quotePrefix="0" xfId="0">
      <alignment horizontal="center" vertical="center"/>
    </xf>
    <xf numFmtId="0" fontId="13" fillId="4" borderId="9" applyAlignment="1" pivotButton="0" quotePrefix="0" xfId="0">
      <alignment horizontal="center" vertical="center"/>
    </xf>
    <xf numFmtId="0" fontId="13" fillId="2" borderId="11" applyAlignment="1" pivotButton="0" quotePrefix="0" xfId="0">
      <alignment horizontal="center" vertical="center"/>
    </xf>
    <xf numFmtId="0" fontId="13" fillId="2" borderId="12" applyAlignment="1" pivotButton="0" quotePrefix="0" xfId="0">
      <alignment horizontal="center" vertical="center"/>
    </xf>
    <xf numFmtId="0" fontId="13" fillId="2" borderId="1" applyAlignment="1" pivotButton="0" quotePrefix="0" xfId="0">
      <alignment vertical="center"/>
    </xf>
    <xf numFmtId="0" fontId="13" fillId="4" borderId="1" applyAlignment="1" pivotButton="0" quotePrefix="0" xfId="0">
      <alignment horizontal="center" vertical="center"/>
    </xf>
    <xf numFmtId="0" fontId="35" fillId="2" borderId="2" applyAlignment="1" pivotButton="0" quotePrefix="0" xfId="0">
      <alignment horizontal="center" vertical="center"/>
    </xf>
    <xf numFmtId="0" fontId="35" fillId="15" borderId="2" applyAlignment="1" pivotButton="0" quotePrefix="0" xfId="0">
      <alignment horizontal="center" vertical="center"/>
    </xf>
    <xf numFmtId="0" fontId="7" fillId="16" borderId="1" applyAlignment="1" pivotButton="0" quotePrefix="0" xfId="0">
      <alignment horizontal="center" vertical="center"/>
    </xf>
    <xf numFmtId="0" fontId="2" fillId="0" borderId="0" applyAlignment="1" pivotButton="0" quotePrefix="1" xfId="0">
      <alignment horizontal="center" vertical="center"/>
    </xf>
    <xf numFmtId="164" fontId="1" fillId="0" borderId="0" applyAlignment="1" pivotButton="0" quotePrefix="0" xfId="0">
      <alignment horizontal="center" vertical="center"/>
    </xf>
    <xf numFmtId="14" fontId="1" fillId="0" borderId="0" applyAlignment="1" pivotButton="0" quotePrefix="0" xfId="0">
      <alignment horizontal="center" vertical="center"/>
    </xf>
    <xf numFmtId="0" fontId="11" fillId="6" borderId="43" applyAlignment="1" pivotButton="0" quotePrefix="0" xfId="0">
      <alignment horizontal="center" vertical="center"/>
    </xf>
    <xf numFmtId="0" fontId="11" fillId="5" borderId="22" applyAlignment="1" pivotButton="0" quotePrefix="0" xfId="0">
      <alignment horizontal="center" vertical="center"/>
    </xf>
    <xf numFmtId="0" fontId="4" fillId="4" borderId="3" applyAlignment="1" pivotButton="0" quotePrefix="0" xfId="0">
      <alignment horizontal="right" vertical="center"/>
    </xf>
    <xf numFmtId="0" fontId="4" fillId="4" borderId="4" applyAlignment="1" pivotButton="0" quotePrefix="0" xfId="0">
      <alignment horizontal="right" vertical="center"/>
    </xf>
    <xf numFmtId="0" fontId="37" fillId="11" borderId="0" applyAlignment="1" pivotButton="0" quotePrefix="0" xfId="0">
      <alignment horizontal="center" vertical="center"/>
    </xf>
    <xf numFmtId="0" fontId="35" fillId="2" borderId="0" applyAlignment="1" pivotButton="0" quotePrefix="0" xfId="0">
      <alignment horizontal="center" vertical="center"/>
    </xf>
    <xf numFmtId="0" fontId="35" fillId="15" borderId="0" applyAlignment="1" pivotButton="0" quotePrefix="0" xfId="0">
      <alignment horizontal="center" vertical="center"/>
    </xf>
    <xf numFmtId="0" fontId="35" fillId="4" borderId="2" applyAlignment="1" pivotButton="0" quotePrefix="0" xfId="0">
      <alignment horizontal="right" vertical="center"/>
    </xf>
    <xf numFmtId="0" fontId="18" fillId="2" borderId="0" applyAlignment="1" pivotButton="0" quotePrefix="0" xfId="0">
      <alignment horizontal="center" vertical="center"/>
    </xf>
    <xf numFmtId="0" fontId="13" fillId="2" borderId="6" applyAlignment="1" pivotButton="0" quotePrefix="0" xfId="0">
      <alignment horizontal="center" vertical="center"/>
    </xf>
    <xf numFmtId="0" fontId="13" fillId="2" borderId="7" applyAlignment="1" pivotButton="0" quotePrefix="0" xfId="0">
      <alignment horizontal="center" vertical="center"/>
    </xf>
    <xf numFmtId="0" fontId="13" fillId="2" borderId="8" applyAlignment="1" pivotButton="0" quotePrefix="0" xfId="0">
      <alignment horizontal="center" vertical="center"/>
    </xf>
    <xf numFmtId="0" fontId="13" fillId="2" borderId="14" applyAlignment="1" pivotButton="0" quotePrefix="0" xfId="0">
      <alignment horizontal="center" vertical="center"/>
    </xf>
    <xf numFmtId="0" fontId="13" fillId="2" borderId="15" applyAlignment="1" pivotButton="0" quotePrefix="0" xfId="0">
      <alignment horizontal="center" vertical="center"/>
    </xf>
    <xf numFmtId="0" fontId="13" fillId="2" borderId="16" applyAlignment="1" pivotButton="0" quotePrefix="0" xfId="0">
      <alignment horizontal="center" vertical="center"/>
    </xf>
    <xf numFmtId="0" fontId="13" fillId="4" borderId="2" applyAlignment="1" pivotButton="0" quotePrefix="0" xfId="0">
      <alignment horizontal="right" vertical="center"/>
    </xf>
    <xf numFmtId="0" fontId="13" fillId="4" borderId="17" applyAlignment="1" pivotButton="0" quotePrefix="0" xfId="0">
      <alignment horizontal="center" vertical="center"/>
    </xf>
    <xf numFmtId="0" fontId="13" fillId="4" borderId="0" applyAlignment="1" pivotButton="0" quotePrefix="0" xfId="0">
      <alignment horizontal="center" vertical="center"/>
    </xf>
    <xf numFmtId="0" fontId="13" fillId="2" borderId="0" applyAlignment="1" pivotButton="0" quotePrefix="0" xfId="0">
      <alignment horizontal="center" vertical="center"/>
    </xf>
    <xf numFmtId="0" fontId="13" fillId="4" borderId="2" applyAlignment="1" pivotButton="0" quotePrefix="0" xfId="0">
      <alignment horizontal="center" vertical="center"/>
    </xf>
    <xf numFmtId="0" fontId="13" fillId="4" borderId="3" applyAlignment="1" pivotButton="0" quotePrefix="0" xfId="0">
      <alignment horizontal="center" vertical="center"/>
    </xf>
    <xf numFmtId="0" fontId="16" fillId="11" borderId="0" applyAlignment="1" pivotButton="0" quotePrefix="0" xfId="0">
      <alignment horizontal="center" vertical="center"/>
    </xf>
    <xf numFmtId="0" fontId="30" fillId="0" borderId="32" applyAlignment="1" pivotButton="0" quotePrefix="0" xfId="0">
      <alignment horizontal="center" vertical="center" wrapText="1" readingOrder="1"/>
    </xf>
    <xf numFmtId="0" fontId="30" fillId="0" borderId="0" applyAlignment="1" pivotButton="0" quotePrefix="0" xfId="0">
      <alignment horizontal="center" vertical="center" wrapText="1" readingOrder="1"/>
    </xf>
    <xf numFmtId="0" fontId="33" fillId="10" borderId="38" applyAlignment="1" pivotButton="0" quotePrefix="0" xfId="0">
      <alignment horizontal="center" vertical="center"/>
    </xf>
    <xf numFmtId="0" fontId="33" fillId="10" borderId="39" applyAlignment="1" pivotButton="0" quotePrefix="0" xfId="0">
      <alignment horizontal="center" vertical="center"/>
    </xf>
    <xf numFmtId="0" fontId="19" fillId="13" borderId="20" applyAlignment="1" pivotButton="0" quotePrefix="0" xfId="0">
      <alignment horizontal="center" vertical="center"/>
    </xf>
    <xf numFmtId="0" fontId="19" fillId="13" borderId="19" applyAlignment="1" pivotButton="0" quotePrefix="0" xfId="0">
      <alignment horizontal="center" vertical="center"/>
    </xf>
    <xf numFmtId="0" fontId="1" fillId="0" borderId="0" applyAlignment="1" pivotButton="0" quotePrefix="0" xfId="0">
      <alignment horizontal="center" vertical="center"/>
    </xf>
    <xf numFmtId="0" fontId="19" fillId="13" borderId="0" applyAlignment="1" pivotButton="0" quotePrefix="0" xfId="0">
      <alignment horizontal="center" vertical="center"/>
    </xf>
    <xf numFmtId="0" fontId="19" fillId="13" borderId="18" applyAlignment="1" pivotButton="0" quotePrefix="0" xfId="0">
      <alignment horizontal="right" vertical="center"/>
    </xf>
    <xf numFmtId="0" fontId="0" fillId="0" borderId="0" pivotButton="0" quotePrefix="0" xfId="0"/>
    <xf numFmtId="0" fontId="0" fillId="0" borderId="4" pivotButton="0" quotePrefix="0" xfId="0"/>
    <xf numFmtId="0" fontId="4" fillId="4" borderId="2" applyAlignment="1" pivotButton="0" quotePrefix="0" xfId="0">
      <alignment horizontal="right" vertical="center"/>
    </xf>
    <xf numFmtId="0" fontId="0" fillId="0" borderId="28" pivotButton="0" quotePrefix="0" xfId="0"/>
    <xf numFmtId="0" fontId="0" fillId="0" borderId="46" pivotButton="0" quotePrefix="0" xfId="0"/>
    <xf numFmtId="0" fontId="0" fillId="0" borderId="42" pivotButton="0" quotePrefix="0" xfId="0"/>
    <xf numFmtId="0" fontId="0" fillId="0" borderId="45" pivotButton="0" quotePrefix="0" xfId="0"/>
    <xf numFmtId="0" fontId="0" fillId="0" borderId="5" pivotButton="0" quotePrefix="0" xfId="0"/>
    <xf numFmtId="0" fontId="0" fillId="0" borderId="50" pivotButton="0" quotePrefix="0" xfId="0"/>
    <xf numFmtId="0" fontId="0" fillId="0" borderId="18" pivotButton="0" quotePrefix="0" xfId="0"/>
    <xf numFmtId="0" fontId="0" fillId="0" borderId="52" pivotButton="0" quotePrefix="0" xfId="0"/>
    <xf numFmtId="0" fontId="39" fillId="17" borderId="53" applyAlignment="1" pivotButton="0" quotePrefix="0" xfId="0">
      <alignment horizontal="center" vertical="center" wrapText="1"/>
    </xf>
    <xf numFmtId="0" fontId="0" fillId="0" borderId="56" pivotButton="0" quotePrefix="0" xfId="0"/>
    <xf numFmtId="0" fontId="0" fillId="0" borderId="57" pivotButton="0" quotePrefix="0" xfId="0"/>
    <xf numFmtId="0" fontId="40" fillId="18" borderId="53" applyAlignment="1" pivotButton="0" quotePrefix="0" xfId="0">
      <alignment horizontal="center" vertical="center" wrapText="1"/>
    </xf>
    <xf numFmtId="0" fontId="41" fillId="19" borderId="53" applyAlignment="1" pivotButton="0" quotePrefix="0" xfId="0">
      <alignment horizontal="left" vertical="center" wrapText="1"/>
    </xf>
    <xf numFmtId="0" fontId="42" fillId="18" borderId="53" applyAlignment="1" pivotButton="0" quotePrefix="0" xfId="0">
      <alignment horizontal="center" vertical="center" wrapText="1"/>
    </xf>
    <xf numFmtId="0" fontId="43" fillId="20" borderId="53" applyAlignment="1" pivotButton="0" quotePrefix="0" xfId="0">
      <alignment horizontal="center" vertical="center" wrapText="1"/>
    </xf>
    <xf numFmtId="0" fontId="44" fillId="21" borderId="53" applyAlignment="1" pivotButton="0" quotePrefix="0" xfId="0">
      <alignment horizontal="center" vertical="center" wrapText="1"/>
    </xf>
    <xf numFmtId="0" fontId="45" fillId="22" borderId="53" applyAlignment="1" pivotButton="0" quotePrefix="0" xfId="0">
      <alignment horizontal="center" vertical="center" wrapText="1"/>
    </xf>
    <xf numFmtId="0" fontId="46" fillId="23" borderId="53" applyAlignment="1" pivotButton="0" quotePrefix="0" xfId="0">
      <alignment horizontal="center" vertical="center" wrapText="1"/>
    </xf>
    <xf numFmtId="0" fontId="47" fillId="24" borderId="53" applyAlignment="1" pivotButton="0" quotePrefix="0" xfId="0">
      <alignment horizontal="center" vertical="center" wrapText="1"/>
    </xf>
    <xf numFmtId="0" fontId="48" fillId="25" borderId="53" applyAlignment="1" pivotButton="0" quotePrefix="0" xfId="0">
      <alignment horizontal="center" vertical="center" wrapText="1"/>
    </xf>
    <xf numFmtId="0" fontId="49" fillId="26" borderId="53" applyAlignment="1" pivotButton="0" quotePrefix="0" xfId="0">
      <alignment horizontal="center" vertical="center" wrapText="1"/>
    </xf>
    <xf numFmtId="0" fontId="42" fillId="17" borderId="53" applyAlignment="1" pivotButton="0" quotePrefix="0" xfId="0">
      <alignment horizontal="center" vertical="center" wrapText="1"/>
    </xf>
    <xf numFmtId="0" fontId="50" fillId="21" borderId="53" applyAlignment="1" pivotButton="0" quotePrefix="0" xfId="0">
      <alignment horizontal="center" vertical="center" wrapText="1"/>
    </xf>
    <xf numFmtId="0" fontId="51" fillId="20" borderId="53" applyAlignment="1" pivotButton="0" quotePrefix="0" xfId="0">
      <alignment horizontal="center" vertical="center" wrapText="1"/>
    </xf>
    <xf numFmtId="0" fontId="52" fillId="21" borderId="53" applyAlignment="1" pivotButton="0" quotePrefix="0" xfId="0">
      <alignment horizontal="center" vertical="center" wrapText="1"/>
    </xf>
    <xf numFmtId="0" fontId="53" fillId="22" borderId="53" applyAlignment="1" pivotButton="0" quotePrefix="0" xfId="0">
      <alignment horizontal="center" vertical="center" wrapText="1"/>
    </xf>
    <xf numFmtId="0" fontId="54" fillId="27" borderId="53" applyAlignment="1" pivotButton="0" quotePrefix="0" xfId="0">
      <alignment horizontal="center" vertical="center" wrapText="1"/>
    </xf>
    <xf numFmtId="0" fontId="55" fillId="26" borderId="53" applyAlignment="1" pivotButton="0" quotePrefix="0" xfId="0">
      <alignment horizontal="center" vertical="center" wrapText="1"/>
    </xf>
    <xf numFmtId="0" fontId="56" fillId="28" borderId="53" applyAlignment="1" pivotButton="0" quotePrefix="0" xfId="0">
      <alignment horizontal="center" vertical="center" wrapText="1"/>
    </xf>
    <xf numFmtId="0" fontId="57" fillId="22" borderId="53" applyAlignment="1" pivotButton="0" quotePrefix="0" xfId="0">
      <alignment horizontal="center" vertical="center" wrapText="1"/>
    </xf>
    <xf numFmtId="0" fontId="58" fillId="23" borderId="53" applyAlignment="1" pivotButton="0" quotePrefix="0" xfId="0">
      <alignment horizontal="center" vertical="center" wrapText="1"/>
    </xf>
    <xf numFmtId="0" fontId="59" fillId="24" borderId="53" applyAlignment="1" pivotButton="0" quotePrefix="0" xfId="0">
      <alignment horizontal="center" vertical="center" wrapText="1"/>
    </xf>
    <xf numFmtId="0" fontId="40" fillId="17" borderId="53" applyAlignment="1" pivotButton="0" quotePrefix="0" xfId="0">
      <alignment horizontal="center" vertical="center" wrapText="1"/>
    </xf>
    <xf numFmtId="0" fontId="60" fillId="29" borderId="53" applyAlignment="1" pivotButton="0" quotePrefix="0" xfId="0">
      <alignment horizontal="center" vertical="center" wrapText="1"/>
    </xf>
    <xf numFmtId="0" fontId="61" fillId="18" borderId="53" applyAlignment="1" pivotButton="0" quotePrefix="0" xfId="0">
      <alignment horizontal="center" vertical="center" wrapText="1"/>
    </xf>
    <xf numFmtId="0" fontId="62" fillId="30" borderId="53" applyAlignment="1" pivotButton="0" quotePrefix="0" xfId="0">
      <alignment horizontal="center" vertical="center" wrapText="1"/>
    </xf>
    <xf numFmtId="0" fontId="63" fillId="30" borderId="53" applyAlignment="1" pivotButton="0" quotePrefix="0" xfId="0">
      <alignment horizontal="center" vertical="center" wrapText="1"/>
    </xf>
    <xf numFmtId="0" fontId="64" fillId="30" borderId="53" applyAlignment="1" pivotButton="0" quotePrefix="0" xfId="0">
      <alignment horizontal="center" vertical="center" wrapText="1"/>
    </xf>
    <xf numFmtId="0" fontId="65" fillId="30" borderId="53" applyAlignment="1" pivotButton="0" quotePrefix="0" xfId="0">
      <alignment horizontal="left" vertical="center" wrapText="1"/>
    </xf>
    <xf numFmtId="0" fontId="67" fillId="30" borderId="53" applyAlignment="1" pivotButton="0" quotePrefix="0" xfId="0">
      <alignment horizontal="center" vertical="center" wrapText="1"/>
    </xf>
    <xf numFmtId="0" fontId="66" fillId="30" borderId="53" applyAlignment="1" pivotButton="0" quotePrefix="0" xfId="0">
      <alignment horizontal="left" vertical="center" wrapText="1"/>
    </xf>
    <xf numFmtId="0" fontId="62" fillId="31" borderId="53" applyAlignment="1" pivotButton="0" quotePrefix="0" xfId="0">
      <alignment horizontal="center" vertical="center" wrapText="1"/>
    </xf>
    <xf numFmtId="0" fontId="63" fillId="31" borderId="53" applyAlignment="1" pivotButton="0" quotePrefix="0" xfId="0">
      <alignment horizontal="center" vertical="center" wrapText="1"/>
    </xf>
    <xf numFmtId="0" fontId="64" fillId="31" borderId="53" applyAlignment="1" pivotButton="0" quotePrefix="0" xfId="0">
      <alignment horizontal="center" vertical="center" wrapText="1"/>
    </xf>
    <xf numFmtId="0" fontId="65" fillId="31" borderId="53" applyAlignment="1" pivotButton="0" quotePrefix="0" xfId="0">
      <alignment horizontal="left" vertical="center" wrapText="1"/>
    </xf>
    <xf numFmtId="0" fontId="67" fillId="31" borderId="53" applyAlignment="1" pivotButton="0" quotePrefix="0" xfId="0">
      <alignment horizontal="center" vertical="center" wrapText="1"/>
    </xf>
    <xf numFmtId="0" fontId="66" fillId="31" borderId="53" applyAlignment="1" pivotButton="0" quotePrefix="0" xfId="0">
      <alignment horizontal="left" vertical="center" wrapText="1"/>
    </xf>
    <xf numFmtId="0" fontId="68" fillId="28" borderId="53" applyAlignment="1" pivotButton="0" quotePrefix="0" xfId="0">
      <alignment horizontal="center" vertical="center" wrapText="1"/>
    </xf>
    <xf numFmtId="0" fontId="69" fillId="20" borderId="53" applyAlignment="1" pivotButton="0" quotePrefix="0" xfId="0">
      <alignment horizontal="left" vertical="center" wrapText="1"/>
    </xf>
    <xf numFmtId="0" fontId="70" fillId="20" borderId="53" applyAlignment="1" pivotButton="0" quotePrefix="0" xfId="0">
      <alignment horizontal="center" vertical="center" wrapText="1"/>
    </xf>
    <xf numFmtId="0" fontId="70" fillId="20" borderId="53" applyAlignment="1" pivotButton="0" quotePrefix="0" xfId="0">
      <alignment horizontal="left" vertical="center" wrapText="1"/>
    </xf>
    <xf numFmtId="0" fontId="50" fillId="21" borderId="53" applyAlignment="1" pivotButton="0" quotePrefix="0" xfId="0">
      <alignment horizontal="left" vertical="center" wrapText="1"/>
    </xf>
    <xf numFmtId="0" fontId="71" fillId="21" borderId="53" applyAlignment="1" pivotButton="0" quotePrefix="0" xfId="0">
      <alignment horizontal="center" vertical="center" wrapText="1"/>
    </xf>
    <xf numFmtId="0" fontId="71" fillId="21" borderId="53" applyAlignment="1" pivotButton="0" quotePrefix="0" xfId="0">
      <alignment horizontal="left" vertical="center" wrapText="1"/>
    </xf>
    <xf numFmtId="0" fontId="57" fillId="22" borderId="53" applyAlignment="1" pivotButton="0" quotePrefix="0" xfId="0">
      <alignment horizontal="left" vertical="center" wrapText="1"/>
    </xf>
    <xf numFmtId="0" fontId="72" fillId="22" borderId="53" applyAlignment="1" pivotButton="0" quotePrefix="0" xfId="0">
      <alignment horizontal="center" vertical="center" wrapText="1"/>
    </xf>
    <xf numFmtId="0" fontId="72" fillId="22" borderId="53" applyAlignment="1" pivotButton="0" quotePrefix="0" xfId="0">
      <alignment horizontal="left" vertical="center" wrapText="1"/>
    </xf>
    <xf numFmtId="0" fontId="58" fillId="23" borderId="53" applyAlignment="1" pivotButton="0" quotePrefix="0" xfId="0">
      <alignment horizontal="left" vertical="center" wrapText="1"/>
    </xf>
    <xf numFmtId="0" fontId="73" fillId="23" borderId="53" applyAlignment="1" pivotButton="0" quotePrefix="0" xfId="0">
      <alignment horizontal="center" vertical="center" wrapText="1"/>
    </xf>
    <xf numFmtId="0" fontId="74" fillId="23" borderId="53" applyAlignment="1" pivotButton="0" quotePrefix="0" xfId="0">
      <alignment horizontal="center" vertical="center" wrapText="1"/>
    </xf>
    <xf numFmtId="0" fontId="74" fillId="23" borderId="53" applyAlignment="1" pivotButton="0" quotePrefix="0" xfId="0">
      <alignment horizontal="left" vertical="center" wrapText="1"/>
    </xf>
    <xf numFmtId="0" fontId="59" fillId="24" borderId="53" applyAlignment="1" pivotButton="0" quotePrefix="0" xfId="0">
      <alignment horizontal="left" vertical="center" wrapText="1"/>
    </xf>
    <xf numFmtId="0" fontId="75" fillId="24" borderId="53" applyAlignment="1" pivotButton="0" quotePrefix="0" xfId="0">
      <alignment horizontal="center" vertical="center" wrapText="1"/>
    </xf>
    <xf numFmtId="0" fontId="76" fillId="24" borderId="53" applyAlignment="1" pivotButton="0" quotePrefix="0" xfId="0">
      <alignment horizontal="center" vertical="center" wrapText="1"/>
    </xf>
    <xf numFmtId="0" fontId="76" fillId="24" borderId="53" applyAlignment="1" pivotButton="0" quotePrefix="0" xfId="0">
      <alignment horizontal="left" vertical="center" wrapText="1"/>
    </xf>
    <xf numFmtId="0" fontId="77" fillId="25" borderId="53" applyAlignment="1" pivotButton="0" quotePrefix="0" xfId="0">
      <alignment horizontal="left" vertical="center" wrapText="1"/>
    </xf>
    <xf numFmtId="0" fontId="78" fillId="25" borderId="53" applyAlignment="1" pivotButton="0" quotePrefix="0" xfId="0">
      <alignment horizontal="center" vertical="center" wrapText="1"/>
    </xf>
    <xf numFmtId="0" fontId="79" fillId="25" borderId="53" applyAlignment="1" pivotButton="0" quotePrefix="0" xfId="0">
      <alignment horizontal="center" vertical="center" wrapText="1"/>
    </xf>
    <xf numFmtId="0" fontId="79" fillId="25" borderId="53" applyAlignment="1" pivotButton="0" quotePrefix="0" xfId="0">
      <alignment horizontal="left" vertical="center" wrapText="1"/>
    </xf>
    <xf numFmtId="0" fontId="42" fillId="17" borderId="53" applyAlignment="1" pivotButton="0" quotePrefix="0" xfId="0">
      <alignment horizontal="left" vertical="center" wrapText="1"/>
    </xf>
    <xf numFmtId="0" fontId="80" fillId="31" borderId="53" applyAlignment="1" pivotButton="0" quotePrefix="0" xfId="0">
      <alignment horizontal="center" vertical="center" wrapText="1"/>
    </xf>
    <xf numFmtId="0" fontId="81" fillId="32" borderId="53" applyAlignment="1" pivotButton="0" quotePrefix="0" xfId="0">
      <alignment horizontal="center" vertical="center" wrapText="1"/>
    </xf>
    <xf numFmtId="0" fontId="80" fillId="30" borderId="53" applyAlignment="1" pivotButton="0" quotePrefix="0" xfId="0">
      <alignment horizontal="center" vertical="center" wrapText="1"/>
    </xf>
    <xf numFmtId="0" fontId="65" fillId="31" borderId="53" applyAlignment="1" pivotButton="0" quotePrefix="0" xfId="0">
      <alignment horizontal="center" vertical="center" wrapText="1"/>
    </xf>
    <xf numFmtId="0" fontId="65" fillId="30" borderId="53" applyAlignment="1" pivotButton="0" quotePrefix="0" xfId="0">
      <alignment horizontal="center" vertical="center" wrapText="1"/>
    </xf>
    <xf numFmtId="0" fontId="40" fillId="33" borderId="53" applyAlignment="1" pivotButton="0" quotePrefix="0" xfId="0">
      <alignment horizontal="center" vertical="center" wrapText="1"/>
    </xf>
    <xf numFmtId="0" fontId="40" fillId="34" borderId="53" applyAlignment="1" pivotButton="0" quotePrefix="0" xfId="0">
      <alignment horizontal="center" vertical="center" wrapText="1"/>
    </xf>
  </cellXfs>
  <cellStyles count="2">
    <cellStyle name="Normal" xfId="0" builtinId="0"/>
    <cellStyle name="Normal 2" xfId="1"/>
  </cellStyles>
  <dxfs count="49">
    <dxf>
      <fill>
        <patternFill>
          <bgColor theme="4" tint="0.3999450666829432"/>
        </patternFill>
      </fill>
    </dxf>
    <dxf>
      <fill>
        <patternFill>
          <bgColor theme="4" tint="0.3999450666829432"/>
        </patternFill>
      </fill>
    </dxf>
    <dxf>
      <fill>
        <patternFill>
          <bgColor theme="4" tint="0.3999450666829432"/>
        </patternFill>
      </fill>
    </dxf>
    <dxf>
      <fill>
        <patternFill>
          <bgColor theme="4" tint="0.5999633777886288"/>
        </patternFill>
      </fill>
    </dxf>
    <dxf>
      <fill>
        <patternFill>
          <bgColor theme="7" tint="0.399945066682943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
        </patternFill>
      </fill>
    </dxf>
    <dxf>
      <fill>
        <patternFill>
          <bgColor rgb="FF00B050"/>
        </patternFill>
      </fill>
    </dxf>
    <dxf>
      <fill>
        <patternFill>
          <bgColor theme="5" tint="0.3999450666829432"/>
        </patternFill>
      </fill>
    </dxf>
    <dxf>
      <fill>
        <patternFill>
          <bgColor theme="4" tint="0.3999450666829432"/>
        </patternFill>
      </fill>
    </dxf>
    <dxf>
      <font>
        <color rgb="FFFFFF00"/>
      </font>
      <fill>
        <patternFill>
          <bgColor rgb="FF002060"/>
        </patternFill>
      </fill>
    </dxf>
    <dxf>
      <fill>
        <patternFill>
          <bgColor theme="4" tint="0.3999450666829432"/>
        </patternFill>
      </fill>
    </dxf>
    <dxf>
      <font>
        <color theme="0"/>
      </font>
      <fill>
        <patternFill>
          <bgColor rgb="FFFF0000"/>
        </patternFill>
      </fill>
    </dxf>
    <dxf>
      <font>
        <color theme="0"/>
      </font>
      <fill>
        <patternFill>
          <bgColor rgb="FF7030A0"/>
        </patternFill>
      </fill>
    </dxf>
    <dxf>
      <font>
        <color theme="0" tint="-0.1499679555650502"/>
      </font>
      <fill>
        <patternFill>
          <bgColor theme="1"/>
        </patternFill>
      </fill>
    </dxf>
    <dxf>
      <fill>
        <patternFill>
          <bgColor theme="7" tint="0.3999450666829432"/>
        </patternFill>
      </fill>
    </dxf>
    <dxf>
      <fill>
        <patternFill>
          <bgColor rgb="FFFFFF00"/>
        </patternFill>
      </fill>
    </dxf>
    <dxf>
      <fill>
        <patternFill>
          <bgColor rgb="FFFFFF00"/>
        </patternFill>
      </fill>
    </dxf>
    <dxf>
      <fill>
        <patternFill>
          <bgColor rgb="FF00B050"/>
        </patternFill>
      </fill>
    </dxf>
    <dxf>
      <fill>
        <patternFill>
          <bgColor theme="5" tint="0.3999450666829432"/>
        </patternFill>
      </fill>
    </dxf>
    <dxf>
      <fill>
        <patternFill>
          <bgColor rgb="FF002060"/>
        </patternFill>
      </fill>
    </dxf>
    <dxf>
      <fill>
        <patternFill>
          <bgColor theme="4" tint="0.3999450666829432"/>
        </patternFill>
      </fill>
    </dxf>
    <dxf>
      <fill>
        <patternFill>
          <bgColor rgb="FF00B050"/>
        </patternFill>
      </fill>
    </dxf>
    <dxf>
      <fill>
        <patternFill>
          <bgColor theme="5" tint="0.3999450666829432"/>
        </patternFill>
      </fill>
    </dxf>
    <dxf>
      <font>
        <color rgb="FFFFFF00"/>
      </font>
      <fill>
        <patternFill>
          <bgColor rgb="FF002060"/>
        </patternFill>
      </fill>
    </dxf>
    <dxf>
      <fill>
        <patternFill>
          <bgColor theme="4" tint="0.3999450666829432"/>
        </patternFill>
      </fill>
    </dxf>
    <dxf>
      <font>
        <color theme="0"/>
      </font>
      <fill>
        <patternFill>
          <bgColor rgb="FFFF0000"/>
        </patternFill>
      </fill>
    </dxf>
    <dxf>
      <font>
        <color theme="0"/>
      </font>
      <fill>
        <patternFill>
          <bgColor rgb="FF7030A0"/>
        </patternFill>
      </fill>
    </dxf>
    <dxf>
      <font>
        <color theme="0" tint="-0.1499679555650502"/>
      </font>
      <fill>
        <patternFill>
          <bgColor theme="1"/>
        </patternFill>
      </fill>
    </dxf>
    <dxf>
      <fill>
        <patternFill>
          <bgColor theme="7" tint="0.3999450666829432"/>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theme="4" tint="0.5999633777886288"/>
        </patternFill>
      </fill>
    </dxf>
    <dxf>
      <fill>
        <patternFill>
          <bgColor rgb="FF660033"/>
        </patternFill>
      </fill>
    </dxf>
    <dxf>
      <font>
        <color theme="0"/>
      </font>
      <fill>
        <patternFill>
          <bgColor rgb="FF00B050"/>
        </patternFill>
      </fill>
    </dxf>
    <dxf>
      <font>
        <color auto="1"/>
      </font>
      <fill>
        <patternFill>
          <bgColor theme="5" tint="0.399945066682943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
        </patternFill>
      </fill>
    </dxf>
    <dxf>
      <fill>
        <patternFill>
          <bgColor theme="4" tint="0.5999633777886288"/>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pivotCacheDefinition" Target="/xl/pivotCache/pivotCacheDefinition1.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ÜYE</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pieChart>
        <varyColors val="1"/>
        <ser>
          <idx val="0"/>
          <order val="0"/>
          <tx>
            <strRef>
              <f>İstatistik!$AU$1</f>
              <strCache>
                <ptCount val="1"/>
                <pt idx="0">
                  <v>SAYI</v>
                </pt>
              </strCache>
            </strRef>
          </tx>
          <spPr>
            <a:ln xmlns:a="http://schemas.openxmlformats.org/drawingml/2006/main">
              <a:prstDash val="solid"/>
            </a:ln>
          </spPr>
          <dPt>
            <idx val="0"/>
            <bubble3D val="0"/>
            <spPr>
              <a:solidFill xmlns:a="http://schemas.openxmlformats.org/drawingml/2006/main">
                <a:srgbClr val="00B050"/>
              </a:solidFill>
              <a:ln xmlns:a="http://schemas.openxmlformats.org/drawingml/2006/main" w="19050">
                <a:solidFill>
                  <a:schemeClr val="lt1"/>
                </a:solidFill>
                <a:prstDash val="solid"/>
              </a:ln>
            </spPr>
          </dPt>
          <dPt>
            <idx val="1"/>
            <bubble3D val="0"/>
            <spPr>
              <a:solidFill xmlns:a="http://schemas.openxmlformats.org/drawingml/2006/main">
                <a:schemeClr val="accent2">
                  <a:lumMod val="60000"/>
                  <a:lumOff val="40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rgbClr val="002060"/>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Pt>
            <idx val="6"/>
            <bubble3D val="0"/>
            <spPr>
              <a:solidFill xmlns:a="http://schemas.openxmlformats.org/drawingml/2006/main">
                <a:schemeClr val="accent1">
                  <a:lumMod val="60000"/>
                </a:schemeClr>
              </a:solidFill>
              <a:ln xmlns:a="http://schemas.openxmlformats.org/drawingml/2006/main" w="19050">
                <a:solidFill>
                  <a:schemeClr val="lt1"/>
                </a:solidFill>
                <a:prstDash val="solid"/>
              </a:ln>
            </spPr>
          </dPt>
          <dLbls>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accent5">
                          <a:lumMod val="60000"/>
                          <a:lumOff val="40000"/>
                        </a:schemeClr>
                      </a:solidFill>
                      <a:latin typeface="+mn-lt"/>
                      <a:ea typeface="+mn-ea"/>
                      <a:cs typeface="+mn-cs"/>
                    </a:defRPr>
                  </a:pPr>
                  <a:r>
                    <a:t/>
                  </a:r>
                  <a:endParaRPr lang="tr-TR"/>
                </a:p>
              </txPr>
              <dLblPos val="bestFit"/>
              <showLegendKey val="0"/>
              <showVal val="1"/>
              <showCatName val="0"/>
              <showSerName val="0"/>
              <showPercent val="1"/>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1"/>
            <showBubbleSize val="0"/>
            <showLeaderLines val="1"/>
          </dLbls>
          <cat>
            <strRef>
              <f>İstatistik!$AT$2:$AT$8</f>
              <strCache>
                <ptCount val="7"/>
                <pt idx="0">
                  <v>ONAY</v>
                </pt>
                <pt idx="1">
                  <v>DÜZELTME</v>
                </pt>
                <pt idx="2">
                  <v>KAEK</v>
                </pt>
                <pt idx="3">
                  <v>GÖRÜŞ</v>
                </pt>
                <pt idx="4">
                  <v>KAPSAM DIŞI</v>
                </pt>
                <pt idx="5">
                  <v>RET</v>
                </pt>
                <pt idx="6">
                  <v>GERİ ÇEKİLDİ</v>
                </pt>
              </strCache>
            </strRef>
          </cat>
          <val>
            <numRef>
              <f>İstatistik!$AU$2:$AU$8</f>
              <numCache>
                <formatCode>General</formatCode>
                <ptCount val="7"/>
                <pt idx="0">
                  <v>3</v>
                </pt>
                <pt idx="1">
                  <v>1</v>
                </pt>
                <pt idx="2">
                  <v>0</v>
                </pt>
                <pt idx="3">
                  <v>0</v>
                </pt>
                <pt idx="4">
                  <v>3</v>
                </pt>
                <pt idx="5">
                  <v>0</v>
                </pt>
                <pt idx="6">
                  <v>0</v>
                </pt>
              </numCache>
            </numRef>
          </val>
        </ser>
        <dLbls>
          <dLblPos val="bestFit"/>
          <showLegendKey val="0"/>
          <showVal val="1"/>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Genel</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pieChart>
        <varyColors val="1"/>
        <ser>
          <idx val="0"/>
          <order val="0"/>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chemeClr val="accent4"/>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1"/>
            <showBubbleSize val="0"/>
            <showLeaderLines val="1"/>
          </dLbls>
          <cat>
            <strRef>
              <f>İstatistik!$AT$11:$AT$16</f>
              <strCache>
                <ptCount val="6"/>
                <pt idx="0">
                  <v>ONAY</v>
                </pt>
                <pt idx="1">
                  <v>DÜZELTME</v>
                </pt>
                <pt idx="2">
                  <v>KAEK</v>
                </pt>
                <pt idx="3">
                  <v>GÖRÜŞ</v>
                </pt>
                <pt idx="4">
                  <v>KAPSAM DIŞI</v>
                </pt>
                <pt idx="5">
                  <v>RET</v>
                </pt>
              </strCache>
            </strRef>
          </cat>
          <val>
            <numRef>
              <f>İstatistik!$AU$11:$AU$16</f>
              <numCache>
                <formatCode>General</formatCode>
                <ptCount val="6"/>
                <pt idx="0">
                  <v>22</v>
                </pt>
                <pt idx="1">
                  <v>9</v>
                </pt>
                <pt idx="2">
                  <v>0</v>
                </pt>
                <pt idx="3">
                  <v>0</v>
                </pt>
                <pt idx="4">
                  <v>1</v>
                </pt>
                <pt idx="5">
                  <v>3</v>
                </pt>
              </numCache>
            </numRef>
          </val>
        </ser>
        <dLbls>
          <dLblPos val="bestFit"/>
          <showLegendKey val="0"/>
          <showVal val="1"/>
          <showCatName val="0"/>
          <showSerName val="0"/>
          <showPercent val="0"/>
          <showBubbleSize val="0"/>
          <showLeaderLines val="1"/>
        </dLbls>
        <firstSliceAng val="0"/>
      </pieChart>
    </plotArea>
    <legend>
      <legendPos val="r"/>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rtl="0">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BİRİM GRAFİK</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pieChart>
        <varyColors val="1"/>
        <ser>
          <idx val="0"/>
          <order val="0"/>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chemeClr val="accent4"/>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Pt>
            <idx val="6"/>
            <bubble3D val="0"/>
            <spPr>
              <a:solidFill xmlns:a="http://schemas.openxmlformats.org/drawingml/2006/main">
                <a:schemeClr val="accent1">
                  <a:lumMod val="60000"/>
                </a:schemeClr>
              </a:solidFill>
              <a:ln xmlns:a="http://schemas.openxmlformats.org/drawingml/2006/main" w="19050">
                <a:solidFill>
                  <a:schemeClr val="lt1"/>
                </a:solid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1"/>
            <showBubbleSize val="0"/>
            <showLeaderLines val="1"/>
          </dLbls>
          <cat>
            <strRef>
              <f>İstatistik!$AY$2:$AY$8</f>
              <strCache>
                <ptCount val="7"/>
                <pt idx="0">
                  <v>ONAY</v>
                </pt>
                <pt idx="1">
                  <v>DÜZELTME</v>
                </pt>
                <pt idx="2">
                  <v>KAEK</v>
                </pt>
                <pt idx="3">
                  <v>GÖRÜŞ</v>
                </pt>
                <pt idx="4">
                  <v>KAPSAM DIŞI</v>
                </pt>
                <pt idx="5">
                  <v>RET</v>
                </pt>
                <pt idx="6">
                  <v>GERİ ÇEKİLDİ</v>
                </pt>
              </strCache>
            </strRef>
          </cat>
          <val>
            <numRef>
              <f>İstatistik!$AZ$2:$AZ$8</f>
              <numCache>
                <formatCode>General</formatCode>
                <ptCount val="7"/>
                <pt idx="0">
                  <v>0</v>
                </pt>
                <pt idx="1">
                  <v>2</v>
                </pt>
                <pt idx="2">
                  <v>0</v>
                </pt>
                <pt idx="3">
                  <v>0</v>
                </pt>
                <pt idx="4">
                  <v>3</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Kurul Raporu</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pieChart>
        <varyColors val="1"/>
        <ser>
          <idx val="0"/>
          <order val="0"/>
          <spPr>
            <a:ln xmlns:a="http://schemas.openxmlformats.org/drawingml/2006/main">
              <a:prstDash val="solid"/>
            </a:ln>
          </spPr>
          <dPt>
            <idx val="0"/>
            <bubble3D val="0"/>
            <spPr>
              <a:solidFill xmlns:a="http://schemas.openxmlformats.org/drawingml/2006/main">
                <a:schemeClr val="accent1"/>
              </a:solidFill>
              <a:ln xmlns:a="http://schemas.openxmlformats.org/drawingml/2006/main" w="19050">
                <a:solidFill>
                  <a:schemeClr val="lt1"/>
                </a:solidFill>
                <a:prstDash val="solid"/>
              </a:ln>
            </spPr>
          </dPt>
          <dPt>
            <idx val="1"/>
            <bubble3D val="0"/>
            <spPr>
              <a:solidFill xmlns:a="http://schemas.openxmlformats.org/drawingml/2006/main">
                <a:schemeClr val="accent2"/>
              </a:solidFill>
              <a:ln xmlns:a="http://schemas.openxmlformats.org/drawingml/2006/main" w="19050">
                <a:solidFill>
                  <a:schemeClr val="lt1"/>
                </a:solidFill>
                <a:prstDash val="solid"/>
              </a:ln>
            </spPr>
          </dPt>
          <dPt>
            <idx val="2"/>
            <bubble3D val="0"/>
            <spPr>
              <a:solidFill xmlns:a="http://schemas.openxmlformats.org/drawingml/2006/main">
                <a:schemeClr val="accent3"/>
              </a:solidFill>
              <a:ln xmlns:a="http://schemas.openxmlformats.org/drawingml/2006/main" w="19050">
                <a:solidFill>
                  <a:schemeClr val="lt1"/>
                </a:solidFill>
                <a:prstDash val="solid"/>
              </a:ln>
            </spPr>
          </dPt>
          <dPt>
            <idx val="3"/>
            <bubble3D val="0"/>
            <spPr>
              <a:solidFill xmlns:a="http://schemas.openxmlformats.org/drawingml/2006/main">
                <a:schemeClr val="accent4"/>
              </a:solidFill>
              <a:ln xmlns:a="http://schemas.openxmlformats.org/drawingml/2006/main" w="19050">
                <a:solidFill>
                  <a:schemeClr val="lt1"/>
                </a:solidFill>
                <a:prstDash val="solid"/>
              </a:ln>
            </spPr>
          </dPt>
          <dPt>
            <idx val="4"/>
            <bubble3D val="0"/>
            <spPr>
              <a:solidFill xmlns:a="http://schemas.openxmlformats.org/drawingml/2006/main">
                <a:schemeClr val="accent5"/>
              </a:solidFill>
              <a:ln xmlns:a="http://schemas.openxmlformats.org/drawingml/2006/main" w="19050">
                <a:solidFill>
                  <a:schemeClr val="lt1"/>
                </a:solidFill>
                <a:prstDash val="solid"/>
              </a:ln>
            </spPr>
          </dPt>
          <dPt>
            <idx val="5"/>
            <bubble3D val="0"/>
            <spPr>
              <a:solidFill xmlns:a="http://schemas.openxmlformats.org/drawingml/2006/main">
                <a:schemeClr val="accent6"/>
              </a:solidFill>
              <a:ln xmlns:a="http://schemas.openxmlformats.org/drawingml/2006/main" w="19050">
                <a:solidFill>
                  <a:schemeClr val="lt1"/>
                </a:solidFill>
                <a:prstDash val="solid"/>
              </a:ln>
            </spPr>
          </dPt>
          <dPt>
            <idx val="6"/>
            <bubble3D val="0"/>
            <spPr>
              <a:solidFill xmlns:a="http://schemas.openxmlformats.org/drawingml/2006/main">
                <a:schemeClr val="accent1">
                  <a:lumMod val="60000"/>
                </a:schemeClr>
              </a:solidFill>
              <a:ln xmlns:a="http://schemas.openxmlformats.org/drawingml/2006/main" w="19050">
                <a:solidFill>
                  <a:schemeClr val="lt1"/>
                </a:solidFill>
                <a:prstDash val="solid"/>
              </a:ln>
            </spPr>
          </dPt>
          <dLbls>
            <dLbl>
              <idx val="0"/>
              <dLblPos val="bestFit"/>
              <showLegendKey val="0"/>
              <showVal val="1"/>
              <showCatName val="0"/>
              <showSerName val="0"/>
              <showPercent val="1"/>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bestFit"/>
            <showLegendKey val="0"/>
            <showVal val="1"/>
            <showCatName val="0"/>
            <showSerName val="0"/>
            <showPercent val="0"/>
            <showBubbleSize val="0"/>
            <showLeaderLines val="1"/>
          </dLbls>
          <cat>
            <strRef>
              <f>Kurul_Raporu!$C$44:$I$44</f>
              <strCache>
                <ptCount val="7"/>
                <pt idx="0">
                  <v>ONAY</v>
                </pt>
                <pt idx="1">
                  <v>DÜZELTME</v>
                </pt>
                <pt idx="2">
                  <v>KAEK</v>
                </pt>
                <pt idx="3">
                  <v>GÖRÜŞ</v>
                </pt>
                <pt idx="4">
                  <v>KAPSAM DIŞI</v>
                </pt>
                <pt idx="5">
                  <v>RET</v>
                </pt>
                <pt idx="6">
                  <v>GERİ ÇEKİLDİ</v>
                </pt>
              </strCache>
            </strRef>
          </cat>
          <val>
            <numRef>
              <f>Kurul_Raporu!$C$45:$I$45</f>
              <numCache>
                <formatCode>0;\-0;;@</formatCode>
                <ptCount val="7"/>
                <pt idx="0">
                  <v>36</v>
                </pt>
                <pt idx="1">
                  <v>5</v>
                </pt>
                <pt idx="2">
                  <v>1</v>
                </pt>
                <pt idx="3">
                  <v>0</v>
                </pt>
                <pt idx="4">
                  <v>0</v>
                </pt>
                <pt idx="5">
                  <v>3</v>
                </pt>
                <pt idx="6">
                  <v>0</v>
                </pt>
              </numCache>
            </numRef>
          </val>
        </ser>
        <dLbls>
          <showLegendKey val="0"/>
          <showVal val="0"/>
          <showCatName val="0"/>
          <showSerName val="0"/>
          <showPercent val="0"/>
          <showBubbleSize val="0"/>
          <showLeaderLines val="1"/>
        </dLbls>
        <firstSliceAng val="0"/>
      </pieChart>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from>
      <col>9</col>
      <colOff>0</colOff>
      <row>0</row>
      <rowOff>0</rowOff>
    </from>
    <to>
      <col>11</col>
      <colOff>1800225</colOff>
      <row>3</row>
      <rowOff>209550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12</col>
      <colOff>0</colOff>
      <row>0</row>
      <rowOff>0</rowOff>
    </from>
    <to>
      <col>14</col>
      <colOff>876300</colOff>
      <row>3</row>
      <rowOff>200025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16</col>
      <colOff>9525</colOff>
      <row>0</row>
      <rowOff>9525</rowOff>
    </from>
    <to>
      <col>23</col>
      <colOff>314325</colOff>
      <row>8</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3</col>
      <colOff>314325</colOff>
      <row>45</row>
      <rowOff>123825</rowOff>
    </from>
    <to>
      <col>8</col>
      <colOff>285750</colOff>
      <row>56</row>
      <rowOff>38100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OnLoad="1" refreshedBy="Mahsuni TÜRKATAR" refreshedDate="46099.6392550926" createdVersion="8" refreshedVersion="8" minRefreshableVersion="3" recordCount="1414" r:id="rId1">
  <cacheSource type="worksheet">
    <worksheetSource ref="A1:P1048576" sheet="Başvuru"/>
  </cacheSource>
  <cacheFields count="16">
    <cacheField name="S.NO" uniqueList="1" numFmtId="0" sqlType="0" hierarchy="0" level="0" databaseField="1">
      <sharedItems count="0" containsBlank="1"/>
    </cacheField>
    <cacheField name="SBA NUMARASI" uniqueList="1" numFmtId="0" sqlType="0" hierarchy="0" level="0" databaseField="1">
      <sharedItems count="0" containsBlank="1"/>
    </cacheField>
    <cacheField name="SORUMLUSU" uniqueList="1" numFmtId="0" sqlType="0" hierarchy="0" level="0" databaseField="1">
      <sharedItems count="197" containsBlank="1">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m/>
        <s v="Prof. Dr. Taylan TAV" u="1"/>
      </sharedItems>
    </cacheField>
    <cacheField name="BİRİMİ" uniqueList="1" numFmtId="0" sqlType="0" hierarchy="0" level="0" databaseField="1">
      <sharedItems count="61" containsBlank="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m/>
      </sharedItems>
    </cacheField>
    <cacheField name="YERİ" uniqueList="1" numFmtId="0" sqlType="0" hierarchy="0" level="0" databaseField="1">
      <sharedItems count="0" containsBlank="1" longText="1"/>
    </cacheField>
    <cacheField name="ADI" uniqueList="1" numFmtId="0" sqlType="0" hierarchy="0" level="0" databaseField="1">
      <sharedItems count="0" containsBlank="1" longText="1"/>
    </cacheField>
    <cacheField name="NİTELİĞİ" uniqueList="1" numFmtId="0" sqlType="0" hierarchy="0" level="0" databaseField="1">
      <sharedItems count="0" containsBlank="1"/>
    </cacheField>
    <cacheField name="BAŞVURU TARİHİ" uniqueList="1" numFmtId="0" sqlType="0" hierarchy="0" level="0" databaseField="1">
      <sharedItems count="0" containsBlank="1" containsDate="1" containsNonDate="0" containsString="0" minDate="2025-12-26T00:00:00" maxDate="2026-03-19T00:00:00"/>
    </cacheField>
    <cacheField name="KURUL TARİHİ" uniqueList="1" numFmtId="0" sqlType="0" hierarchy="0" level="0" databaseField="1">
      <sharedItems count="0" containsBlank="1" containsDate="1" containsNonDate="0" containsString="0" minDate="2026-01-06T00:00:00" maxDate="2026-04-01T00:00:00"/>
    </cacheField>
    <cacheField name="RAPORTÖR 1" uniqueList="1" numFmtId="0" sqlType="0" hierarchy="0" level="0" databaseField="1">
      <sharedItems count="0" containsBlank="1"/>
    </cacheField>
    <cacheField name="RAPORTÖR 2" uniqueList="1" numFmtId="0" sqlType="0" hierarchy="0" level="0" databaseField="1">
      <sharedItems count="0" containsBlank="1"/>
    </cacheField>
    <cacheField name="KURUL KARARI 1" uniqueList="1" numFmtId="0" sqlType="0" hierarchy="0" level="0" databaseField="1">
      <sharedItems count="0" containsBlank="1" containsInteger="1" containsMixedTypes="1" containsNumber="1" minValue="0" maxValue="268"/>
    </cacheField>
    <cacheField name="KURUL KARARI 2" uniqueList="1" numFmtId="0" sqlType="0" hierarchy="0" level="0" databaseField="1">
      <sharedItems count="0" containsBlank="1" containsInteger="1" containsMixedTypes="1" containsNumber="1" minValue="0" maxValue="56"/>
    </cacheField>
    <cacheField name="KURUL KARARI 3" uniqueList="1" numFmtId="0" sqlType="0" hierarchy="0" level="0" databaseField="1">
      <sharedItems count="0" containsBlank="1" containsInteger="1" containsMixedTypes="1" containsNumber="1" minValue="0" maxValue="5"/>
    </cacheField>
    <cacheField name="KURUL KARARI 4" uniqueList="1" numFmtId="0" sqlType="0" hierarchy="0" level="0" databaseField="1">
      <sharedItems count="0" containsBlank="1" containsInteger="1" containsNumber="1" containsString="0" minValue="0" maxValue="0"/>
    </cacheField>
    <cacheField name="GÜNCEL DURUM" uniqueList="1" numFmtId="0" sqlType="0" hierarchy="0" level="0" databaseField="1">
      <sharedItems count="0" containsBlank="1" containsInteger="1" containsMixedTypes="1" containsNumber="1" minValue="0" maxValue="241"/>
    </cacheField>
  </cacheFields>
</pivotCacheDefinition>
</file>

<file path=xl/pivotCache/pivotCacheRecords1.xml><?xml version="1.0" encoding="utf-8"?>
<pivotCacheRecords xmlns="http://schemas.openxmlformats.org/spreadsheetml/2006/main"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m/>
    <m/>
    <m/>
    <s v="DÜZELTME"/>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m/>
    <m/>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m/>
    <m/>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m/>
    <m/>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m/>
    <m/>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m/>
    <m/>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m/>
    <m/>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m/>
    <m/>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m/>
    <m/>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m/>
    <m/>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m/>
    <m/>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m/>
    <m/>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m/>
    <m/>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m/>
    <m/>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m/>
    <m/>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m/>
    <m/>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m/>
    <m/>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m/>
    <m/>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m/>
    <m/>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m/>
    <m/>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m/>
    <m/>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m/>
    <m/>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m/>
    <m/>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m/>
    <m/>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m/>
    <m/>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m/>
    <m/>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m/>
    <m/>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m/>
    <m/>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m/>
    <m/>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m/>
    <m/>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m/>
    <m/>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m/>
    <m/>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m/>
    <m/>
    <m/>
    <m/>
    <m/>
    <m/>
    <m/>
  </r>
  <r>
    <s v="313."/>
    <s v="SBA 26/313"/>
    <x v="195"/>
    <x v="60"/>
    <m/>
    <m/>
    <m/>
    <m/>
    <m/>
    <m/>
    <m/>
    <m/>
    <m/>
    <m/>
    <m/>
    <m/>
  </r>
  <r>
    <s v="314."/>
    <s v="SBA 26/314"/>
    <x v="195"/>
    <x v="60"/>
    <m/>
    <m/>
    <m/>
    <m/>
    <m/>
    <m/>
    <m/>
    <m/>
    <m/>
    <m/>
    <m/>
    <m/>
  </r>
  <r>
    <s v="315."/>
    <s v="SBA 26/315"/>
    <x v="195"/>
    <x v="60"/>
    <m/>
    <m/>
    <m/>
    <m/>
    <m/>
    <m/>
    <m/>
    <m/>
    <m/>
    <m/>
    <m/>
    <m/>
  </r>
  <r>
    <s v="316."/>
    <s v="SBA 26/316"/>
    <x v="195"/>
    <x v="60"/>
    <m/>
    <m/>
    <m/>
    <m/>
    <m/>
    <m/>
    <m/>
    <m/>
    <m/>
    <m/>
    <m/>
    <m/>
  </r>
  <r>
    <s v="317."/>
    <s v="SBA 26/317"/>
    <x v="195"/>
    <x v="60"/>
    <m/>
    <m/>
    <m/>
    <m/>
    <m/>
    <m/>
    <m/>
    <m/>
    <m/>
    <m/>
    <m/>
    <m/>
  </r>
  <r>
    <s v="318."/>
    <s v="SBA 26/318"/>
    <x v="195"/>
    <x v="60"/>
    <m/>
    <m/>
    <m/>
    <m/>
    <m/>
    <m/>
    <m/>
    <m/>
    <m/>
    <m/>
    <m/>
    <m/>
  </r>
  <r>
    <s v="319."/>
    <s v="SBA 26/319"/>
    <x v="195"/>
    <x v="60"/>
    <m/>
    <m/>
    <m/>
    <m/>
    <m/>
    <m/>
    <m/>
    <m/>
    <m/>
    <m/>
    <m/>
    <m/>
  </r>
  <r>
    <s v="320."/>
    <s v="SBA 26/320"/>
    <x v="195"/>
    <x v="60"/>
    <m/>
    <m/>
    <m/>
    <m/>
    <m/>
    <m/>
    <m/>
    <m/>
    <m/>
    <m/>
    <m/>
    <n v="0"/>
  </r>
  <r>
    <s v="321."/>
    <s v="SBA 26/321"/>
    <x v="195"/>
    <x v="60"/>
    <m/>
    <m/>
    <m/>
    <m/>
    <m/>
    <m/>
    <m/>
    <m/>
    <m/>
    <m/>
    <m/>
    <n v="0"/>
  </r>
  <r>
    <s v="322."/>
    <s v="SBA 26/322"/>
    <x v="195"/>
    <x v="60"/>
    <m/>
    <m/>
    <m/>
    <m/>
    <m/>
    <m/>
    <m/>
    <m/>
    <m/>
    <m/>
    <m/>
    <n v="0"/>
  </r>
  <r>
    <s v="323."/>
    <s v="SBA 26/323"/>
    <x v="195"/>
    <x v="60"/>
    <m/>
    <m/>
    <m/>
    <m/>
    <m/>
    <m/>
    <m/>
    <m/>
    <m/>
    <m/>
    <m/>
    <n v="0"/>
  </r>
  <r>
    <s v="324."/>
    <s v="SBA 26/324"/>
    <x v="195"/>
    <x v="60"/>
    <m/>
    <m/>
    <m/>
    <m/>
    <m/>
    <m/>
    <m/>
    <m/>
    <m/>
    <m/>
    <m/>
    <n v="0"/>
  </r>
  <r>
    <s v="325."/>
    <s v="SBA 26/325"/>
    <x v="195"/>
    <x v="60"/>
    <m/>
    <m/>
    <m/>
    <m/>
    <m/>
    <m/>
    <m/>
    <m/>
    <m/>
    <m/>
    <m/>
    <n v="0"/>
  </r>
  <r>
    <s v="326."/>
    <s v="SBA 26/326"/>
    <x v="195"/>
    <x v="60"/>
    <m/>
    <m/>
    <m/>
    <m/>
    <m/>
    <m/>
    <m/>
    <m/>
    <m/>
    <m/>
    <m/>
    <n v="0"/>
  </r>
  <r>
    <s v="327."/>
    <s v="SBA 26/327"/>
    <x v="195"/>
    <x v="60"/>
    <m/>
    <m/>
    <m/>
    <m/>
    <m/>
    <m/>
    <m/>
    <m/>
    <m/>
    <m/>
    <m/>
    <n v="0"/>
  </r>
  <r>
    <s v="328."/>
    <s v="SBA 26/328"/>
    <x v="195"/>
    <x v="60"/>
    <m/>
    <m/>
    <m/>
    <m/>
    <m/>
    <m/>
    <m/>
    <m/>
    <m/>
    <m/>
    <m/>
    <n v="0"/>
  </r>
  <r>
    <s v="329."/>
    <s v="SBA 26/329"/>
    <x v="195"/>
    <x v="60"/>
    <m/>
    <m/>
    <m/>
    <m/>
    <m/>
    <m/>
    <m/>
    <m/>
    <m/>
    <m/>
    <m/>
    <n v="0"/>
  </r>
  <r>
    <s v="330."/>
    <s v="SBA 26/330"/>
    <x v="195"/>
    <x v="60"/>
    <m/>
    <m/>
    <m/>
    <m/>
    <m/>
    <m/>
    <m/>
    <m/>
    <m/>
    <m/>
    <m/>
    <n v="0"/>
  </r>
  <r>
    <m/>
    <m/>
    <x v="195"/>
    <x v="60"/>
    <m/>
    <m/>
    <m/>
    <m/>
    <m/>
    <m/>
    <m/>
    <m/>
    <m/>
    <m/>
    <m/>
    <m/>
  </r>
  <r>
    <m/>
    <m/>
    <x v="195"/>
    <x v="60"/>
    <m/>
    <m/>
    <m/>
    <m/>
    <m/>
    <m/>
    <m/>
    <m/>
    <m/>
    <m/>
    <m/>
    <m/>
  </r>
  <r>
    <m/>
    <m/>
    <x v="195"/>
    <x v="60"/>
    <m/>
    <s v="“Üniversite Öğrencilerinde Ekran Zamanının ve Teknoloji Kullanımının Ruh Sağlığı Üzerindeki Etkileri”"/>
    <m/>
    <m/>
    <m/>
    <m/>
    <s v="ONAY"/>
    <n v="145"/>
    <n v="39"/>
    <n v="5"/>
    <n v="0"/>
    <n v="174"/>
  </r>
  <r>
    <m/>
    <m/>
    <x v="195"/>
    <x v="60"/>
    <m/>
    <s v="“Periodontal Durum, Oral Sağlık ve Sosyal Anksiyete Düzeyi Arasındaki İlişkinin İncelenmesi”"/>
    <m/>
    <m/>
    <m/>
    <m/>
    <s v="DÜZELTME"/>
    <n v="97"/>
    <n v="6"/>
    <n v="0"/>
    <n v="0"/>
    <n v="46"/>
  </r>
  <r>
    <m/>
    <m/>
    <x v="195"/>
    <x v="60"/>
    <m/>
    <s v="“65 Yaş Üstü Hastalarda Yaşlı Ayrımcılığına Maruziyet Sıklığı, Yaşlı Ayrımcılığının İlişkili Olduğu Faktörler ve Bakım Verenlerinde Yaşlanma Anksiyetesi”"/>
    <m/>
    <m/>
    <m/>
    <m/>
    <s v="KAEK"/>
    <n v="7"/>
    <n v="0"/>
    <n v="0"/>
    <n v="0"/>
    <n v="5"/>
  </r>
  <r>
    <m/>
    <m/>
    <x v="195"/>
    <x v="60"/>
    <m/>
    <s v="“Avrupa'da Geriatri Tıbbı Eğitim Programının Tamamlanması: Milenyum Kuşağı ve Z Kuşağı Geriatristlerinin Mesleki Beklentileri- Kesitsel, Avrupa Tabanlı Bir Çalışma”"/>
    <m/>
    <m/>
    <m/>
    <m/>
    <s v="GÖRÜŞ"/>
    <n v="8"/>
    <n v="8"/>
    <n v="0"/>
    <n v="0"/>
    <n v="3"/>
  </r>
  <r>
    <m/>
    <m/>
    <x v="195"/>
    <x v="60"/>
    <m/>
    <s v="“Sağlık Profesyonellerinin Besin ve İlaç Etkileşimleri Hakkında Bilgi ve Farkındalık Düzeylerinin Değerlendirilmesi”"/>
    <m/>
    <m/>
    <m/>
    <m/>
    <s v="KAPSAM DIŞI"/>
    <n v="5"/>
    <n v="0"/>
    <n v="0"/>
    <n v="0"/>
    <n v="5"/>
  </r>
  <r>
    <m/>
    <m/>
    <x v="195"/>
    <x v="60"/>
    <m/>
    <s v="“Çocuklarda Kedi, Köpek ve At Alerjisinde Moleküler Duyarlılık Özellikleri ve Klinik ile İlişkisi”"/>
    <m/>
    <m/>
    <m/>
    <m/>
    <s v="RET"/>
    <n v="6"/>
    <n v="0"/>
    <n v="0"/>
    <n v="0"/>
    <n v="5"/>
  </r>
  <r>
    <m/>
    <m/>
    <x v="195"/>
    <x v="60"/>
    <m/>
    <s v="“Denosumab Tedavisinde İnterlökin-6 Düzeyi ve DEXA Yanıtı İlişkisi: Retrospektif Bir Analiz”"/>
    <m/>
    <m/>
    <m/>
    <m/>
    <s v="GERİ ÇEKİLDİ"/>
    <n v="0"/>
    <n v="3"/>
    <n v="0"/>
    <n v="0"/>
    <n v="3"/>
  </r>
  <r>
    <m/>
    <m/>
    <x v="195"/>
    <x v="60"/>
    <m/>
    <s v="“Clostridium Difficile Enfeksiyonu Olan Hastanede Yatan 50 Yaş ve Üstü Hastaların Kapsamlı Geriatrik Değerlendirme ile Değerlendirilmesi”"/>
    <m/>
    <m/>
    <m/>
    <m/>
    <s v="TOPLAM"/>
    <n v="268"/>
    <n v="56"/>
    <n v="5"/>
    <n v="0"/>
    <n v="241"/>
  </r>
  <r>
    <m/>
    <m/>
    <x v="195"/>
    <x v="60"/>
    <m/>
    <s v="“İlaca Dirençli Epilepside MikroRNA İfade Değişikliklerinin Değerlendirilmesi”"/>
    <m/>
    <m/>
    <m/>
    <m/>
    <m/>
    <m/>
    <m/>
    <m/>
    <m/>
    <m/>
  </r>
  <r>
    <m/>
    <m/>
    <x v="195"/>
    <x v="60"/>
    <m/>
    <s v="“Emilebilir İp Uygulamaları ile Biyostimülan Ajanların Yüz Anatomisi Şekillendirme Kapasitesinin Değerlendirmesi: Retrospektif Gözlem Çalışması”"/>
    <m/>
    <m/>
    <m/>
    <m/>
    <m/>
    <m/>
    <m/>
    <m/>
    <m/>
    <m/>
  </r>
  <r>
    <m/>
    <m/>
    <x v="195"/>
    <x v="60"/>
    <m/>
    <s v="“Rozasea Hastalığının Bazı Alt Gruplarında Görülebilen Oküler Tutulumun Belirlenmesinde ve Takibinde Kullanılabilecek Yeni Biyobelirteçlerin Klinik Temelli Metabolomik Çalışmalarla Araştırılması”"/>
    <m/>
    <m/>
    <m/>
    <m/>
    <m/>
    <n v="62"/>
    <m/>
    <m/>
    <m/>
    <m/>
  </r>
  <r>
    <m/>
    <m/>
    <x v="195"/>
    <x v="60"/>
    <m/>
    <s v="“STAT1 ve STAT3 Mutasyonu olan Hastaların Klinik ve Laboratuvar Özelliklerinin Değerlendirilmesi”"/>
    <m/>
    <m/>
    <m/>
    <m/>
    <m/>
    <n v="62"/>
    <m/>
    <m/>
    <m/>
    <m/>
  </r>
  <r>
    <m/>
    <m/>
    <x v="195"/>
    <x v="60"/>
    <m/>
    <s v="“Emzirme Döneminde Beslenme: Annelerin İnanç ve Deneyimlerine Yönelik Kalitatif İnceleme”"/>
    <m/>
    <m/>
    <m/>
    <m/>
    <m/>
    <s v="⚠ DİKKAT: Boş bırakılan alanlar var!"/>
    <m/>
    <m/>
    <m/>
    <m/>
  </r>
  <r>
    <m/>
    <m/>
    <x v="195"/>
    <x v="60"/>
    <m/>
    <s v="&quot;Kadın Hastalarda Herediter Anjioödemin Seyri ve Klinik Özellikleri&quot;"/>
    <m/>
    <m/>
    <m/>
    <m/>
    <m/>
    <s v="⚠ DİKKAT: Boş bırakılan alanlar var!"/>
    <m/>
    <m/>
    <m/>
    <m/>
  </r>
  <r>
    <m/>
    <m/>
    <x v="195"/>
    <x v="60"/>
    <m/>
    <s v="&quot;Herediter Anjioödem Tanılı Hastalarda Dental İşlemlerin Klinik Sonuçları&quot;"/>
    <m/>
    <m/>
    <m/>
    <m/>
    <m/>
    <m/>
    <m/>
    <m/>
    <m/>
    <m/>
  </r>
  <r>
    <m/>
    <m/>
    <x v="195"/>
    <x v="60"/>
    <m/>
    <s v="&quot;Ağır Astımda Hedefe Yönelik Biyolojik Tedaviler: Benralizumabın Değerlendirilmesi &quot;"/>
    <m/>
    <m/>
    <m/>
    <m/>
    <m/>
    <m/>
    <m/>
    <m/>
    <m/>
    <m/>
  </r>
  <r>
    <m/>
    <m/>
    <x v="195"/>
    <x v="60"/>
    <m/>
    <s v="“Şeffaf Plak Tekniğinde Ramus Plağı veya Bukkal Shelf Minividası Kullanımının Mandibular Molar Distalizasyonuna Etkisinin FEM ile İncelenmesi”"/>
    <m/>
    <m/>
    <m/>
    <m/>
    <m/>
    <s v="L247"/>
    <m/>
    <m/>
    <m/>
    <m/>
  </r>
  <r>
    <m/>
    <m/>
    <x v="195"/>
    <x v="60"/>
    <m/>
    <s v="“Erken Dönem Yaşa Bağlı Makula Dejenerasyonunda Perimetri ile Makuler Parametrelerin İncelenmesi”"/>
    <m/>
    <m/>
    <m/>
    <m/>
    <m/>
    <s v="L250"/>
    <m/>
    <m/>
    <m/>
    <m/>
  </r>
  <r>
    <m/>
    <m/>
    <x v="195"/>
    <x v="60"/>
    <m/>
    <s v="“Babalarda Doğum Korkusu ile Fetal Bağlanma, Depresyon, Anksiyete ve Stres Arasındaki İlişkinin Belirlenmesi”"/>
    <m/>
    <m/>
    <m/>
    <m/>
    <m/>
    <s v="L253"/>
    <m/>
    <m/>
    <m/>
    <m/>
  </r>
  <r>
    <m/>
    <m/>
    <x v="195"/>
    <x v="60"/>
    <m/>
    <s v="“Aletli Periton Diyalizi Yapan Hastalarda Uzaktan Erişim Modüllerinin Hastanın Tedavi Uyumuna ve Diyaliz Yeterliliğine Olan Etkisinin İncelenmesi”"/>
    <m/>
    <m/>
    <m/>
    <m/>
    <m/>
    <s v="L254"/>
    <m/>
    <m/>
    <m/>
    <m/>
  </r>
  <r>
    <m/>
    <m/>
    <x v="195"/>
    <x v="60"/>
    <m/>
    <s v="“Mandibular Tek Taraflı Kondil Hiperplazisi Olan Hastalarda Eklem Aralığı ve Gonial Açı Ölçümlerinin Retrospektif Analizi”"/>
    <m/>
    <m/>
    <m/>
    <m/>
    <m/>
    <s v="L274"/>
    <m/>
    <m/>
    <m/>
    <m/>
  </r>
  <r>
    <m/>
    <m/>
    <x v="195"/>
    <x v="60"/>
    <m/>
    <s v="“Ev Hanımlarında Sosyal Medya Kullanımının Okupasyonel Denge ve Zaman Yönetimi ile İlişkisinin İncelenmesi”"/>
    <m/>
    <m/>
    <m/>
    <m/>
    <m/>
    <s v="L275"/>
    <m/>
    <m/>
    <m/>
    <m/>
  </r>
  <r>
    <m/>
    <m/>
    <x v="195"/>
    <x v="60"/>
    <m/>
    <s v="“Yaşlı Bireylerin Yardımcı Teknoloji Kullanımına Bakış Açıları: Nitel Araştırma”"/>
    <m/>
    <m/>
    <m/>
    <m/>
    <m/>
    <s v="L276"/>
    <m/>
    <m/>
    <m/>
    <m/>
  </r>
  <r>
    <m/>
    <m/>
    <x v="195"/>
    <x v="60"/>
    <m/>
    <s v="“AKUT Gönüllülerinde Psikolojik Sağlamlığın İş Yaşam Kalitesi ile İlişkisinin İncelenmesi”"/>
    <m/>
    <m/>
    <m/>
    <m/>
    <m/>
    <s v="L277"/>
    <m/>
    <m/>
    <m/>
    <m/>
  </r>
  <r>
    <m/>
    <m/>
    <x v="195"/>
    <x v="60"/>
    <m/>
    <s v="“Disleksi Tanısı Alan Üniversite Öğrencilerinin Yükseköğrenim Serüveni: Nitel Bir Çalışma”"/>
    <m/>
    <m/>
    <m/>
    <m/>
    <m/>
    <s v="L278"/>
    <m/>
    <m/>
    <m/>
    <m/>
  </r>
  <r>
    <m/>
    <m/>
    <x v="195"/>
    <x v="60"/>
    <m/>
    <s v="“Çocukluk Çağı Başlangıçlı Takayasu Arteritlerinin Romatolojik ve Kardiyolojik Değerlendirilmesi”"/>
    <m/>
    <m/>
    <m/>
    <m/>
    <m/>
    <s v="L279"/>
    <m/>
    <m/>
    <m/>
    <m/>
  </r>
  <r>
    <m/>
    <m/>
    <x v="195"/>
    <x v="60"/>
    <m/>
    <s v="“Sigara Bırakma Polikliniğine Başvuran Bireylerde Motivasyonel Görüşmenin Sürece Etkilerinin Nitel Olarak ve Yapay Zeka Resim Analizi ile İncelenmesi”"/>
    <m/>
    <m/>
    <m/>
    <m/>
    <m/>
    <s v="L280"/>
    <m/>
    <m/>
    <m/>
    <m/>
  </r>
  <r>
    <m/>
    <m/>
    <x v="195"/>
    <x v="60"/>
    <m/>
    <s v="“Gebelerin ve Postpartum ilk 6 Aydaki Annelerin Topuk Kanı Taraması Hakkındaki Düşünceleri: Kalitatif Çalışma”"/>
    <m/>
    <m/>
    <m/>
    <m/>
    <m/>
    <s v="L281"/>
    <m/>
    <m/>
    <m/>
    <m/>
  </r>
  <r>
    <m/>
    <m/>
    <x v="195"/>
    <x v="60"/>
    <m/>
    <s v="“Ataksi Telanjiektazi Hastalarının Klinik Değerlendirmeleri ile Kraniyal Manyetik Rezonans Görüntüleme Bulgularının İlişkisinin Araştırılması”"/>
    <m/>
    <m/>
    <m/>
    <m/>
    <m/>
    <s v="L282"/>
    <m/>
    <m/>
    <m/>
    <m/>
  </r>
  <r>
    <m/>
    <m/>
    <x v="195"/>
    <x v="60"/>
    <m/>
    <s v="“Pediatrik Kriptojenik Nörolojik Hastalıklarda İnsizyonel Beyin Biyopsisinin Tanıya Katkısı”"/>
    <m/>
    <m/>
    <m/>
    <m/>
    <m/>
    <s v="L283"/>
    <m/>
    <m/>
    <m/>
    <m/>
  </r>
  <r>
    <m/>
    <m/>
    <x v="195"/>
    <x v="60"/>
    <m/>
    <s v="“Posterior Üvea Nevüsü, Üvea Melanomu ve Sınırlı Koroid Hemanjiyomu Hastalıklarının Ayırıcı Tanısında Makine Öğrenmesi Temelli Yapay Zeka Algoritması Oluşturulması”"/>
    <m/>
    <m/>
    <m/>
    <m/>
    <m/>
    <s v="L284"/>
    <m/>
    <m/>
    <m/>
    <m/>
  </r>
  <r>
    <m/>
    <m/>
    <x v="195"/>
    <x v="60"/>
    <m/>
    <s v="&quot; 0-48 ay Arasındaki Çocuklarının Aşılanma Durumları ile Ebeveynlerin E-sağlık Okuryazarlığı Düzeyi Arasındaki İlişkinin İncelenmesi”"/>
    <m/>
    <m/>
    <m/>
    <m/>
    <m/>
    <s v="L285"/>
    <m/>
    <m/>
    <m/>
    <m/>
  </r>
  <r>
    <m/>
    <m/>
    <x v="195"/>
    <x v="60"/>
    <m/>
    <s v="“Sele Bireysel Hazırlık Bilgi ve Davranış Ölçeklerinin Uyarlanarak, Etiyopya’nın Kelafo İlçesinde Yaşayan Risk Altı Nüfusun Hazırlık Düzeyinin ve İlişkili Faktörlerin Belirlenmesi”"/>
    <m/>
    <m/>
    <m/>
    <m/>
    <m/>
    <s v="L286"/>
    <m/>
    <m/>
    <m/>
    <m/>
  </r>
  <r>
    <m/>
    <m/>
    <x v="195"/>
    <x v="60"/>
    <m/>
    <s v="“65 Yaş ve Üstündeki Hastalarda Kalp Yetmezliği Semptomları ile Oral Beslenme Desteği İlişkisinin Değerlendirilmesi”"/>
    <m/>
    <m/>
    <m/>
    <m/>
    <m/>
    <s v="L287"/>
    <m/>
    <m/>
    <m/>
    <m/>
  </r>
  <r>
    <m/>
    <m/>
    <x v="195"/>
    <x v="60"/>
    <m/>
    <s v="“Alzheimer Hastalığında Disfaji ile Manyetik Rezonans Görüntülemesiyle Beyindeki Atrofi Alanları Arasındaki İlişkinin İncelenmesi”"/>
    <m/>
    <m/>
    <m/>
    <m/>
    <m/>
    <s v="L288"/>
    <m/>
    <m/>
    <m/>
    <m/>
  </r>
  <r>
    <m/>
    <m/>
    <x v="195"/>
    <x v="60"/>
    <m/>
    <s v="“Güncel Vestibüler Hastalıkların Tanısında Vestibüler Test Bataryaları ve Vestibüler Rehabilitasyon Yaklaşımlarının Belirlenmesi”"/>
    <m/>
    <m/>
    <m/>
    <m/>
    <m/>
    <s v="L289"/>
    <m/>
    <m/>
    <m/>
    <m/>
  </r>
  <r>
    <m/>
    <m/>
    <x v="195"/>
    <x v="60"/>
    <m/>
    <s v="“Multipl Skleroz Hastalarında Hastalık Modifiye Edici Tedavilerin Yan Etkilerinin Yaş ve Cinsiyete Göre İncelenmesi”"/>
    <m/>
    <m/>
    <m/>
    <m/>
    <m/>
    <s v="L290"/>
    <m/>
    <m/>
    <m/>
    <m/>
  </r>
  <r>
    <m/>
    <m/>
    <x v="195"/>
    <x v="60"/>
    <m/>
    <s v="“Rituksimabın Santral Sinir Sistemi Demiyelinizan ve Otoimmün Hastalıklarında Etkililik ve Güvenliliği: Tek Merkez Deneyimi”"/>
    <m/>
    <m/>
    <m/>
    <m/>
    <m/>
    <s v="L291"/>
    <m/>
    <m/>
    <m/>
    <m/>
  </r>
  <r>
    <m/>
    <m/>
    <x v="195"/>
    <x v="60"/>
    <m/>
    <s v="“Onkolojik veya Hematolojik Malignitesi Olan Nötropenik Hastalarda Karbapenemaz Üreten Enterobacterales Sebepli Bakteriyemi Tedavisinde Seftazidim/Avibaktam”"/>
    <m/>
    <m/>
    <m/>
    <m/>
    <m/>
    <s v="L292"/>
    <m/>
    <m/>
    <m/>
    <m/>
  </r>
  <r>
    <m/>
    <m/>
    <x v="195"/>
    <x v="60"/>
    <m/>
    <s v="“Karbapeneme Dirençli Klebsilla pneumoniae ile Gelişen Kan Dolaşımı Enfeksiyonlarında Risk Faktörleri, Mortalite ve Moleküler Epidemiyolojik Verilerin Araştırılması: Karşılaştırmalı Retrospektif Analiz”"/>
    <m/>
    <m/>
    <m/>
    <m/>
    <m/>
    <s v="L293"/>
    <m/>
    <m/>
    <m/>
    <m/>
  </r>
  <r>
    <m/>
    <m/>
    <x v="195"/>
    <x v="60"/>
    <m/>
    <s v="“Tekil Gebeliklerin İlk Trimesterdeki Myometrial Kalınlık Ölçümleriyle Preterm Doğum İlişkisi”"/>
    <m/>
    <m/>
    <m/>
    <m/>
    <m/>
    <s v="L294"/>
    <m/>
    <m/>
    <m/>
    <m/>
  </r>
  <r>
    <m/>
    <m/>
    <x v="195"/>
    <x v="60"/>
    <m/>
    <s v="“Terapötik Hikaye İçerikli Bilgilendirici İnteraktif Mobil Uygulamanın Çocuk Kalp Cerrahisi Uygulanacak Hastaların Anksiyete Seviyelerine Etkisi”"/>
    <m/>
    <m/>
    <m/>
    <m/>
    <m/>
    <s v="L295"/>
    <m/>
    <m/>
    <m/>
    <m/>
  </r>
  <r>
    <m/>
    <m/>
    <x v="195"/>
    <x v="60"/>
    <m/>
    <s v="“Karaciğer Transplantasyonu Geçirmiş Bireylerde Kardiyovasküler ve Kassal Parametrelerin, Motor Kognitif Performansın, Bilişsel Fonksiyonun, Kinezyofobinin ve Yaşam Kalitesinin İncelenmesi”"/>
    <m/>
    <m/>
    <m/>
    <m/>
    <m/>
    <s v="L296"/>
    <m/>
    <m/>
    <m/>
    <m/>
  </r>
  <r>
    <m/>
    <m/>
    <x v="195"/>
    <x v="60"/>
    <m/>
    <s v="“Endodontik-Periodontal Lezyonlarda Etyoloji, Prognoz ve Tedavi Yaklaşımlarının Endodontist ve Periodontist Perspektifinden Değerlendirilmesi: Gözlemsel Bir Çalışma”"/>
    <m/>
    <m/>
    <m/>
    <m/>
    <m/>
    <s v="L297"/>
    <m/>
    <m/>
    <m/>
    <m/>
  </r>
  <r>
    <m/>
    <m/>
    <x v="195"/>
    <x v="60"/>
    <m/>
    <s v="“Artan Trichophyton İndotineae Vakalarının Retrospektif Değerlendirilmesi”"/>
    <m/>
    <m/>
    <m/>
    <m/>
    <m/>
    <s v="L298"/>
    <m/>
    <m/>
    <m/>
    <m/>
  </r>
  <r>
    <m/>
    <m/>
    <x v="195"/>
    <x v="60"/>
    <m/>
    <s v="“Tıp Öğrencilerinde İyilik Hali Düzeyini Arttırmaya Yönelik Bir Program: Pilot Uygulama”"/>
    <m/>
    <m/>
    <m/>
    <m/>
    <m/>
    <s v="L299"/>
    <m/>
    <m/>
    <m/>
    <m/>
  </r>
  <r>
    <m/>
    <m/>
    <x v="195"/>
    <x v="60"/>
    <m/>
    <s v="“Tıpta Yan Dal Uzmanlık Eğitimi Tercihlerini Belirleyen Etkenler”"/>
    <m/>
    <m/>
    <m/>
    <m/>
    <m/>
    <s v="L300"/>
    <m/>
    <m/>
    <m/>
    <m/>
  </r>
  <r>
    <m/>
    <m/>
    <x v="195"/>
    <x v="60"/>
    <m/>
    <s v="“Erişkin Subklinik Hipotiroidili Hastalarda Kardiyak Fonksiyonların İncelenmesi”"/>
    <m/>
    <m/>
    <m/>
    <m/>
    <m/>
    <s v="L301"/>
    <m/>
    <m/>
    <m/>
    <m/>
  </r>
  <r>
    <m/>
    <m/>
    <x v="195"/>
    <x v="60"/>
    <m/>
    <s v="“Oktogenarian Kolon Kanserli Hastalarda Tedavi Etkinliğinin ve Uyumunun Değerlendirilmesi"/>
    <m/>
    <m/>
    <m/>
    <m/>
    <m/>
    <s v="L302"/>
    <m/>
    <m/>
    <m/>
    <m/>
  </r>
  <r>
    <m/>
    <m/>
    <x v="195"/>
    <x v="60"/>
    <m/>
    <s v="“Çocuklarda Antimikrobiyal İlaç Desensitizasyonlarının Etkinliği ve Güvenilirliği”"/>
    <m/>
    <m/>
    <m/>
    <m/>
    <m/>
    <s v="L303"/>
    <m/>
    <m/>
    <m/>
    <m/>
  </r>
  <r>
    <m/>
    <m/>
    <x v="195"/>
    <x v="60"/>
    <m/>
    <s v="“Çocuklarda Kemoterapötik İlaç Desensitizasyonlarının Etkinliği ve Güvenliği”"/>
    <m/>
    <m/>
    <m/>
    <m/>
    <m/>
    <s v="L304"/>
    <m/>
    <m/>
    <m/>
    <m/>
  </r>
  <r>
    <m/>
    <m/>
    <x v="195"/>
    <x v="60"/>
    <m/>
    <s v="“Rezin İnfiltrasyon Tekniğinde Farklı Pürüzlendirme Yöntemlerinin Renk Stabilitesine ve Yüzey Pürüzlülüğüne Etkisi”"/>
    <m/>
    <m/>
    <m/>
    <m/>
    <m/>
    <s v="L305"/>
    <m/>
    <m/>
    <m/>
    <m/>
  </r>
  <r>
    <m/>
    <m/>
    <x v="195"/>
    <x v="60"/>
    <m/>
    <s v="“İnfertil Göçmen Kadınların Aile Yaşantılarının Sosyal Hizmet Perspektifiyle İncelenmesi”"/>
    <m/>
    <m/>
    <m/>
    <m/>
    <m/>
    <s v="L306"/>
    <m/>
    <m/>
    <m/>
    <m/>
  </r>
  <r>
    <m/>
    <m/>
    <x v="195"/>
    <x v="60"/>
    <m/>
    <s v="“Dikkat Eksikliği Hiperaktivite Bozukluğu olan Ergenlerde Nikotin Tüketimi, Zihin Gezinmesi, Duygu Düzenleme, Zihinselleştirme ve Yürütücü İşlevlerin İncelenmesi”"/>
    <m/>
    <m/>
    <m/>
    <m/>
    <m/>
    <s v="L307"/>
    <m/>
    <m/>
    <m/>
    <m/>
  </r>
  <r>
    <m/>
    <m/>
    <x v="195"/>
    <x v="60"/>
    <m/>
    <s v="“Primer İmmün Yetmezlikli Hastalarda Nutrisyonel Durumun Değerlendirilmesi ve Vücut Kompozisyonu Ölçümü”"/>
    <m/>
    <m/>
    <m/>
    <m/>
    <m/>
    <s v="L308"/>
    <m/>
    <m/>
    <m/>
    <m/>
  </r>
  <r>
    <m/>
    <m/>
    <x v="195"/>
    <x v="60"/>
    <m/>
    <s v="“Farklı Kök Kanal Doldurma Teknikleri ile Doldurulmuş Dişlerde Kanal Dolgusu Sökümü Sonrası Apikalden Taşmanın Değerlendirilmesi”"/>
    <m/>
    <m/>
    <m/>
    <m/>
    <m/>
    <s v="L309"/>
    <m/>
    <m/>
    <m/>
    <m/>
  </r>
  <r>
    <m/>
    <m/>
    <x v="195"/>
    <x v="60"/>
    <m/>
    <s v="“Son Bir Yılda Türkiye'deki Çocuk Yoğun Bakımlarda Miyokardit”"/>
    <m/>
    <m/>
    <m/>
    <m/>
    <m/>
    <s v="L310"/>
    <m/>
    <m/>
    <m/>
    <m/>
  </r>
  <r>
    <m/>
    <m/>
    <x v="195"/>
    <x v="60"/>
    <m/>
    <s v="“Vücudu Dik Pozisyona Getirerek Yerden Ağırlık Kaldırışının (Deadlift) Biyomekanik Modellenmesi”"/>
    <m/>
    <m/>
    <m/>
    <m/>
    <m/>
    <s v="L311"/>
    <m/>
    <m/>
    <m/>
    <m/>
  </r>
  <r>
    <m/>
    <m/>
    <x v="195"/>
    <x v="60"/>
    <m/>
    <s v="“Hizmet Alanların Gözünden Boşluk Modeline Dayalı Olarak Hemşirelik Mesleğinin İmajının İncelenmesi: Nöropazarlama Analizi”"/>
    <m/>
    <m/>
    <m/>
    <m/>
    <m/>
    <s v="L312"/>
    <m/>
    <m/>
    <m/>
    <m/>
  </r>
  <r>
    <m/>
    <m/>
    <x v="195"/>
    <x v="60"/>
    <m/>
    <s v="“Astım Tanılı Ergenlerde Menstruasyonun Astım Kontrolü Üzerindeki Etkisi”"/>
    <m/>
    <m/>
    <m/>
    <m/>
    <m/>
    <s v="L313"/>
    <m/>
    <m/>
    <m/>
    <m/>
  </r>
  <r>
    <m/>
    <m/>
    <x v="195"/>
    <x v="60"/>
    <m/>
    <s v="“Asemptomatik Tansiyon Düşüklüğü Olan Hastalarda Endotel Disfonksiyonu ve Renin-Anjiyotensin-Aldosteron Sistem Fonksiyonlarının Değerlendirilmesi”"/>
    <m/>
    <m/>
    <m/>
    <m/>
    <m/>
    <s v="L314"/>
    <m/>
    <m/>
    <m/>
    <m/>
  </r>
  <r>
    <m/>
    <m/>
    <x v="195"/>
    <x v="60"/>
    <m/>
    <s v="“Uyku Apnesi Olmayan Ancak Nazal Septal Deviasyonu Olan Hastalarda Septoplasti Ameliyatı Öncesi ve Sonrası Serum Melatonin Düzeylerinin Karşılaştırılması”"/>
    <m/>
    <m/>
    <m/>
    <m/>
    <m/>
    <s v="L315"/>
    <m/>
    <m/>
    <m/>
    <m/>
  </r>
  <r>
    <m/>
    <m/>
    <x v="195"/>
    <x v="60"/>
    <m/>
    <s v="“Sekonder Hipertansiyon Klinik Özellikleri ve Tanıda Bilgisayarlı Tomografinin Rolü”"/>
    <m/>
    <m/>
    <m/>
    <m/>
    <m/>
    <s v="L316"/>
    <m/>
    <m/>
    <m/>
    <m/>
  </r>
  <r>
    <m/>
    <m/>
    <x v="195"/>
    <x v="60"/>
    <m/>
    <s v="“Kronik Hastalığı Olan Çocukların Eğitiminde Yapay Zeka Kullanımına İlişkin Pediatri Hemşirelerinin Metaforlarının Analizi”"/>
    <m/>
    <m/>
    <m/>
    <m/>
    <m/>
    <s v="L317"/>
    <m/>
    <m/>
    <m/>
    <m/>
  </r>
  <r>
    <m/>
    <m/>
    <x v="195"/>
    <x v="60"/>
    <m/>
    <s v="“Translasyonel Preklinik Modeller ile Pulmoner Fibrozis İçin Yeni Tedavi Yaklaşımlarının Geliştirilmesi”"/>
    <m/>
    <m/>
    <m/>
    <m/>
    <m/>
    <s v="L318"/>
    <m/>
    <m/>
    <m/>
    <m/>
  </r>
  <r>
    <m/>
    <m/>
    <x v="195"/>
    <x v="60"/>
    <m/>
    <s v="“Kronik Spontan Ürtiker Tanılı Adölesan Hastalarda Menstrüel Siklusun Hastalık Aktiviyesi Üzerine Etkisi”"/>
    <m/>
    <m/>
    <m/>
    <m/>
    <m/>
    <s v="L319"/>
    <m/>
    <m/>
    <m/>
    <m/>
  </r>
  <r>
    <m/>
    <m/>
    <x v="195"/>
    <x v="60"/>
    <m/>
    <s v="“Atopik Dermatit Tanılı 1-3 Yaş Arası Çocuklarda Besin Alerjisi Varlığının Lezyonel ve Non-lezyonel Deri Bölgelerindeki Sitokin ve Mikrobiyom Özelliklerine Etkisi”"/>
    <m/>
    <m/>
    <m/>
    <m/>
    <m/>
    <s v="L320"/>
    <m/>
    <m/>
    <m/>
    <m/>
  </r>
  <r>
    <m/>
    <m/>
    <x v="195"/>
    <x v="60"/>
    <m/>
    <s v="“Septik Artrit ve Osteomyelit Tanılı 0-18 Yaş Arasındaki Hastaların Klinik, Etiyolojik ve Epidemiyolojik Açıdan İncelenmesi”"/>
    <m/>
    <m/>
    <m/>
    <m/>
    <m/>
    <s v="L321"/>
    <m/>
    <m/>
    <m/>
    <m/>
  </r>
  <r>
    <m/>
    <m/>
    <x v="195"/>
    <x v="60"/>
    <m/>
    <s v="“Akciğer Kanserinde Lipid Metabolizması ile İmmün Sistem İlişkisi”"/>
    <m/>
    <m/>
    <m/>
    <m/>
    <m/>
    <s v="L322"/>
    <m/>
    <m/>
    <m/>
    <m/>
  </r>
  <r>
    <m/>
    <m/>
    <x v="195"/>
    <x v="60"/>
    <m/>
    <s v="“Farklı Ajanların İmmün Hücre Metabolizması ve Proliferasyonuna Etkileri”"/>
    <m/>
    <m/>
    <m/>
    <m/>
    <m/>
    <s v="L323"/>
    <m/>
    <m/>
    <m/>
    <m/>
  </r>
  <r>
    <m/>
    <m/>
    <x v="195"/>
    <x v="60"/>
    <m/>
    <s v="“Baş-boyun, Beyin ve Spinal Tümörlerin CEST Görüntüleme Yöntemi ile Değerlendirilmesi”"/>
    <m/>
    <m/>
    <m/>
    <m/>
    <m/>
    <s v="L324"/>
    <m/>
    <m/>
    <m/>
    <m/>
  </r>
  <r>
    <m/>
    <m/>
    <x v="195"/>
    <x v="60"/>
    <m/>
    <s v="“Midpalatal Sütur Olgunlaşmasının Değerlendirilmesinde Yeni Bir Metot”"/>
    <m/>
    <m/>
    <m/>
    <m/>
    <m/>
    <s v="L325"/>
    <m/>
    <m/>
    <m/>
    <m/>
  </r>
  <r>
    <m/>
    <m/>
    <x v="195"/>
    <x v="60"/>
    <m/>
    <s v="“Beyin Tümörünün Postoperatif Tedavisinde Antikanser/Antianjiogenik İlaç ve Kök Hücre İçeren, 3B Yazıcı ile Kişiselleştirilebilir İmplantların Geliştirilmesi ve İnvitro/İnvivo Değerlendirilmesi”"/>
    <m/>
    <m/>
    <m/>
    <m/>
    <m/>
    <s v="L326"/>
    <m/>
    <m/>
    <m/>
    <m/>
  </r>
  <r>
    <m/>
    <m/>
    <x v="195"/>
    <x v="60"/>
    <m/>
    <s v="“Multipl Skleroz Tanılı Hastalarda Telomer Uzunluğu Analizi: Prognoz, Klinik Fenotip, Dizabilite ve Manyetik Rezonans Görüntüleme Beyin Volüm Değişiklikleri ile İlişkisi”"/>
    <m/>
    <m/>
    <m/>
    <m/>
    <m/>
    <s v="L327"/>
    <m/>
    <m/>
    <m/>
    <m/>
  </r>
  <r>
    <m/>
    <m/>
    <x v="195"/>
    <x v="60"/>
    <m/>
    <s v="“Psoriatik Tırnak Bulgularının İncelenmesi ve Psoriatik Artrit ile İlişkisi”"/>
    <m/>
    <m/>
    <m/>
    <m/>
    <m/>
    <s v="L328"/>
    <m/>
    <m/>
    <m/>
    <m/>
  </r>
  <r>
    <m/>
    <m/>
    <x v="195"/>
    <x v="60"/>
    <m/>
    <s v="“IL-1 İnhibitörü Tedavisi ve Kolşisin Tedavisi Alan Ailevi Akdeniz Ateşi Hastalarında Kemik Dönüşüm Belirteçlerinin Karşılaştırılması”"/>
    <m/>
    <m/>
    <m/>
    <m/>
    <m/>
    <s v="L329"/>
    <m/>
    <m/>
    <m/>
    <m/>
  </r>
  <r>
    <m/>
    <m/>
    <x v="195"/>
    <x v="60"/>
    <m/>
    <s v="“Triple Negatif Meme Kanseri Tanılı Hastaların Klinik Özellikleri ve Tedavi Sonuçlarının İncelenmesi”"/>
    <m/>
    <m/>
    <m/>
    <m/>
    <m/>
    <s v="L330"/>
    <m/>
    <m/>
    <m/>
    <m/>
  </r>
  <r>
    <m/>
    <m/>
    <x v="195"/>
    <x v="60"/>
    <m/>
    <s v="“WaLIDD Skorunun Türkçe Geçerlik ve Güvenirlik Çalışması”"/>
    <m/>
    <m/>
    <m/>
    <m/>
    <m/>
    <s v="L331"/>
    <m/>
    <m/>
    <m/>
    <m/>
  </r>
  <r>
    <m/>
    <m/>
    <x v="195"/>
    <x v="60"/>
    <m/>
    <s v="“Ulusal Yenidoğan Tarama Programı ile Konjenital Hipotiroidi Tanısı Alarak İzlemde Geçici ve Kalıcı Konjenital Hipotiroidi Tanımlanan Olguların Retrospektif Değerlendirmesi&quot;"/>
    <m/>
    <m/>
    <m/>
    <m/>
    <m/>
    <m/>
    <m/>
    <m/>
    <m/>
    <m/>
  </r>
  <r>
    <m/>
    <m/>
    <x v="195"/>
    <x v="60"/>
    <m/>
    <s v="“Fibromiyalji Tanılı Hastalarda İstenilen Görüntüleme Yöntemleri ile Geçirilmiş Cerrahi Operasyonların Sıklığı&quot;"/>
    <m/>
    <m/>
    <m/>
    <m/>
    <m/>
    <m/>
    <m/>
    <m/>
    <m/>
    <m/>
  </r>
  <r>
    <m/>
    <m/>
    <x v="195"/>
    <x v="60"/>
    <m/>
    <s v="“Üçüncü Basamak Sağlık Merkezinde Pediatrik Osteoporoz Olgularının Etiyolojik Dağılımı, Klinik ve Laboratuvar Özellikleri”"/>
    <m/>
    <m/>
    <m/>
    <m/>
    <m/>
    <m/>
    <m/>
    <m/>
    <m/>
    <m/>
  </r>
  <r>
    <m/>
    <m/>
    <x v="195"/>
    <x v="60"/>
    <m/>
    <s v="“Pediatrik Brakiosefalik Ven Kateterizasyonlarının Komplikasyonlar Açısından Retrospektif Olarak İncelenmesi”"/>
    <m/>
    <m/>
    <m/>
    <m/>
    <m/>
    <m/>
    <m/>
    <m/>
    <m/>
    <m/>
  </r>
  <r>
    <m/>
    <m/>
    <x v="195"/>
    <x v="60"/>
    <m/>
    <s v="“İyon Salan Restoratif Dental Malzemelerin Bazı Mekanik Özellikler ve Mikrosızıntı Açısından İn-Vitro Olarak Değerlendirilmesi”"/>
    <m/>
    <m/>
    <m/>
    <m/>
    <m/>
    <m/>
    <m/>
    <m/>
    <m/>
    <m/>
  </r>
  <r>
    <m/>
    <m/>
    <x v="195"/>
    <x v="60"/>
    <m/>
    <s v="“Glutatyon S Transferaz P1 Enziminin Triple-Negatif Meme Kanser Hücrelerinde Ferroptoz Üzerindeki Rolünün İncelenmesi”"/>
    <m/>
    <m/>
    <m/>
    <m/>
    <m/>
    <m/>
    <m/>
    <m/>
    <m/>
    <m/>
  </r>
  <r>
    <m/>
    <m/>
    <x v="195"/>
    <x v="60"/>
    <m/>
    <s v="&quot;Tip I Diyabet Tanısı Olan Çocukların Sağlıkta Baba Katılımlarının Değerlendirilmesi&quot;"/>
    <m/>
    <m/>
    <m/>
    <m/>
    <m/>
    <m/>
    <m/>
    <m/>
    <m/>
    <m/>
  </r>
  <r>
    <m/>
    <m/>
    <x v="195"/>
    <x v="60"/>
    <m/>
    <s v="“Kronik Myeloid Lösemi Blastik Faz Hastalarının Tek Merkezden Gerçek Yaşam Verileriyle Retrospektif İncelenmesi”"/>
    <m/>
    <m/>
    <m/>
    <m/>
    <m/>
    <m/>
    <m/>
    <m/>
    <m/>
    <m/>
  </r>
  <r>
    <m/>
    <m/>
    <x v="195"/>
    <x v="60"/>
    <m/>
    <s v="“Çocukluk Çağı Eksojen Obezite Tedavisinde Yaşam Tarzı Değişikliği Önerilerinin Etkinliğinin İncelenmesi”"/>
    <m/>
    <m/>
    <m/>
    <m/>
    <m/>
    <m/>
    <m/>
    <m/>
    <m/>
    <m/>
  </r>
  <r>
    <m/>
    <m/>
    <x v="195"/>
    <x v="60"/>
    <m/>
    <s v="“Bifosfonat Kullanan Hastalarda İlaca Bağlı Olarak Çenelerde Görülen Osteonekrozun Etyopatogenezinde Otofaji, Apoptoz ve Nekrozun Rolü”"/>
    <m/>
    <m/>
    <m/>
    <m/>
    <m/>
    <m/>
    <m/>
    <m/>
    <m/>
    <m/>
  </r>
  <r>
    <m/>
    <m/>
    <x v="195"/>
    <x v="60"/>
    <m/>
    <s v="&quot;Kronik Lenfositik Lösemi Hastalarında Ekstrameduller Tutulumunun Prognostik, Klinik, Laboratuvar, Tedavi Yanıtı Açısından Değerlendirmesi&quot;"/>
    <m/>
    <m/>
    <m/>
    <m/>
    <m/>
    <m/>
    <m/>
    <m/>
    <m/>
    <m/>
  </r>
  <r>
    <m/>
    <m/>
    <x v="195"/>
    <x v="60"/>
    <m/>
    <s v="“Kronik Myeloid Lösemi Hastalarının Klinik, Prognostik, Sağkalım ve Tedavilerinin Değerlendirilmesi”"/>
    <m/>
    <m/>
    <m/>
    <m/>
    <m/>
    <m/>
    <m/>
    <m/>
    <m/>
    <m/>
  </r>
  <r>
    <m/>
    <m/>
    <x v="195"/>
    <x v="60"/>
    <m/>
    <s v="“Akut Myeloid Lösemi Hastalarında Konsolidasyon Tedavisinde Kullanılan Sitarabin Doz Yoğunluğunun Hastalığın Prognozu ve Sağkalımı Üzerine Etkisi”"/>
    <m/>
    <m/>
    <m/>
    <m/>
    <m/>
    <m/>
    <m/>
    <m/>
    <m/>
    <m/>
  </r>
  <r>
    <m/>
    <m/>
    <x v="195"/>
    <x v="60"/>
    <m/>
    <s v="“Fertilite Koruyucu Tedavi Uygulanan Endometrium Kanseri ve Endometrial İntraepitelyal Neoplazi Tanılı Hastalarda Moleküler Sınıflandırmanın Prognoza Etkisi”"/>
    <m/>
    <m/>
    <m/>
    <m/>
    <m/>
    <m/>
    <m/>
    <m/>
    <m/>
    <m/>
  </r>
  <r>
    <m/>
    <m/>
    <x v="195"/>
    <x v="60"/>
    <m/>
    <s v="“Özgül Öğrenme Bozukluğu ve Dikkat Eksikliği Hiperaktivite Bozukluğu Komorbiditesi Olan Çocuklarda Okuma-Yazma Performansının Yönetici İşlevler, Nörobilişsel Profil ve İşlevsellik ile İlişkisinin İncelenmesi”"/>
    <m/>
    <m/>
    <m/>
    <m/>
    <m/>
    <m/>
    <m/>
    <m/>
    <m/>
    <m/>
  </r>
  <r>
    <m/>
    <m/>
    <x v="195"/>
    <x v="60"/>
    <m/>
    <s v="“Pediatrik Akciğer Enfeksiyonlarında Toraks BT Bulgularının Klinik Verilerle Birleştirilmesi Sonucunda Mantar ve Diğer Etkenlerin Derin Öğrenme ve Makine Öğrenmesi Yöntemleriyle Erken Dönemde Ayırt Edilmesi”"/>
    <m/>
    <m/>
    <m/>
    <m/>
    <m/>
    <m/>
    <m/>
    <m/>
    <m/>
    <m/>
  </r>
  <r>
    <m/>
    <m/>
    <x v="195"/>
    <x v="60"/>
    <m/>
    <s v="“İnsan Hareketinin Biyomekanik Analizi İçin Bilgisayar Benzeşim Modeli Geliştirilmesi”"/>
    <m/>
    <m/>
    <m/>
    <m/>
    <m/>
    <m/>
    <m/>
    <m/>
    <m/>
    <m/>
  </r>
  <r>
    <m/>
    <m/>
    <x v="195"/>
    <x v="60"/>
    <m/>
    <s v="“Amelogenezis İmperfectalı Hastaların Mandibula Kemik Yapısının Fraktal Analizi”"/>
    <m/>
    <m/>
    <m/>
    <m/>
    <m/>
    <m/>
    <m/>
    <m/>
    <m/>
    <m/>
  </r>
  <r>
    <m/>
    <m/>
    <x v="195"/>
    <x v="60"/>
    <m/>
    <s v="“Göğüs Hastalıkları Hekimlerinin Kistik Fibrozis Transmembran Düzenleyici (KFTR) Modülatör Tedaviler-İlaç Etkileşimleri Hakkında Bilgi ve Tutumlarının Değerlendirilmesi&quot;"/>
    <m/>
    <m/>
    <m/>
    <m/>
    <m/>
    <m/>
    <m/>
    <m/>
    <m/>
    <m/>
  </r>
  <r>
    <m/>
    <m/>
    <x v="195"/>
    <x v="60"/>
    <m/>
    <s v="Osteogenezis İmperfekta Hastalarında Ağız Diş Sağlığı Durumunun Değerlendirilmesi"/>
    <m/>
    <m/>
    <m/>
    <m/>
    <m/>
    <m/>
    <m/>
    <m/>
    <m/>
    <m/>
  </r>
  <r>
    <m/>
    <m/>
    <x v="195"/>
    <x v="60"/>
    <m/>
    <s v="“Çalışan Kadın Sağlığı: Genel Sağlık, Koruyucu Sağlık Hizmetlerinden Faydalanma ve İş-Yaşam Dengesi Durumları”"/>
    <m/>
    <m/>
    <m/>
    <m/>
    <m/>
    <m/>
    <m/>
    <m/>
    <m/>
    <m/>
  </r>
  <r>
    <m/>
    <m/>
    <x v="195"/>
    <x v="60"/>
    <m/>
    <s v="“65 Yaş ve Üzeri Tip 2 Diabetes Mellituslu Bireylerde İlaç Kullanım Uygunluğunun Retrospektif Değerlendirilmesi”"/>
    <m/>
    <m/>
    <m/>
    <m/>
    <m/>
    <m/>
    <m/>
    <m/>
    <m/>
    <m/>
  </r>
  <r>
    <m/>
    <m/>
    <x v="195"/>
    <x v="60"/>
    <m/>
    <s v="“Hacettepe Üniversitesi Erişkin Hastanesi İç Hastalıkları Servislerinde İstem Dışı Kilo Kaybı Nedeni ile Yatırılmış Hastalarda Tetkik Süreçlerinin ve Etiyoloji Dağılımlarının Retrospektif İncelenmesi”"/>
    <m/>
    <m/>
    <m/>
    <m/>
    <m/>
    <m/>
    <m/>
    <m/>
    <m/>
    <m/>
  </r>
  <r>
    <m/>
    <m/>
    <x v="195"/>
    <x v="60"/>
    <m/>
    <s v="“Akut Lösemi Hastalarında Tanı Öncesi Kan Değerlerinin Etkinliği”"/>
    <m/>
    <m/>
    <m/>
    <m/>
    <m/>
    <m/>
    <m/>
    <m/>
    <m/>
    <m/>
  </r>
  <r>
    <m/>
    <m/>
    <x v="195"/>
    <x v="60"/>
    <m/>
    <s v="“Relaps/ Refrakter Akut Myeloid Lösemi Hastalarında Reindüksiyonda Venetoklaks İçeren Tedavi Rejimlerinin Diğer Tedavilerle Karşılaştırılması”"/>
    <m/>
    <m/>
    <m/>
    <m/>
    <m/>
    <m/>
    <m/>
    <m/>
    <m/>
    <m/>
  </r>
  <r>
    <m/>
    <m/>
    <x v="195"/>
    <x v="60"/>
    <m/>
    <s v="“Distal-Orta Yerleşimli Lokal İleri Evre Rektum Adenokanser Tanılı Hastalarda Radyoterapi Müdahalelerinin Patolojik ve Klinik Tümör Yanıt Oranlarına Etkisinin Araştırılması”"/>
    <m/>
    <m/>
    <m/>
    <m/>
    <m/>
    <m/>
    <m/>
    <m/>
    <m/>
    <m/>
  </r>
  <r>
    <m/>
    <m/>
    <x v="195"/>
    <x v="60"/>
    <m/>
    <s v="''Kawasaki Hastalığı Tanısı Koymaya Yardımcı Yapay Zeka Modeli 'Galadriel'in Tanı Koyma Başarısının Retrospektif Değerlendirilmesi''"/>
    <m/>
    <m/>
    <m/>
    <m/>
    <m/>
    <m/>
    <m/>
    <m/>
    <m/>
    <m/>
  </r>
  <r>
    <m/>
    <m/>
    <x v="195"/>
    <x v="60"/>
    <m/>
    <s v="''Çocukluk Çağı Sistemik Lupus Eritematozus Tanısı Koymaya Yardımcı Yapay Zeka Modeli 'Morgaf''ın Tanı Koyma Başarısının Retrospektif Değerlendirilmesi''"/>
    <m/>
    <m/>
    <m/>
    <m/>
    <m/>
    <m/>
    <m/>
    <m/>
    <m/>
    <m/>
  </r>
  <r>
    <m/>
    <m/>
    <x v="195"/>
    <x v="60"/>
    <m/>
    <s v="“Çocukluk Çağı İnflamatuvar Doku Hastalıkları Tanılı Çocuk ve Ergenlerde Yaşam Kalitesi ve İlişkili Faktörlerin Değerlendirilmesi”"/>
    <m/>
    <m/>
    <m/>
    <m/>
    <m/>
    <m/>
    <m/>
    <m/>
    <m/>
    <m/>
  </r>
  <r>
    <m/>
    <m/>
    <x v="195"/>
    <x v="60"/>
    <m/>
    <s v="“Çocukluk Çağı Otoimmün Romatolojik Hastalıklar Tanılı Çocuk ve Ergenlerde Yaşam Kalitesi ve İlişkili Faktörlerin Değerlendirilmesi”"/>
    <m/>
    <m/>
    <m/>
    <m/>
    <m/>
    <m/>
    <m/>
    <m/>
    <m/>
    <m/>
  </r>
  <r>
    <m/>
    <m/>
    <x v="195"/>
    <x v="60"/>
    <m/>
    <s v="“Ergenlerde Dijital Bağımlılık Düzeyleri ile Yaşam Tarzı İnancı Arasındaki İlişkinin İncelenmesi: Bir Aile Sağlığı Merkezi Örneği”"/>
    <m/>
    <m/>
    <m/>
    <m/>
    <m/>
    <m/>
    <m/>
    <m/>
    <m/>
    <m/>
  </r>
  <r>
    <m/>
    <m/>
    <x v="195"/>
    <x v="60"/>
    <m/>
    <s v="&quot;Referans Merkezi Servikal Distoni Botulinum Toksin Uygulamaları Değerlendirmesi&quot;"/>
    <m/>
    <m/>
    <m/>
    <m/>
    <m/>
    <m/>
    <m/>
    <m/>
    <m/>
    <m/>
  </r>
  <r>
    <m/>
    <m/>
    <x v="195"/>
    <x v="60"/>
    <m/>
    <s v="&quot;Motor İletim Blokları Parametrelerinin Retrospektif Olarak Analizi&quot;"/>
    <m/>
    <m/>
    <m/>
    <m/>
    <m/>
    <m/>
    <m/>
    <m/>
    <m/>
    <m/>
  </r>
  <r>
    <m/>
    <m/>
    <x v="195"/>
    <x v="60"/>
    <m/>
    <s v="“Geriatri Eğitimi, Uzmanlık Alanı ve Sosyo-Demografik Faktörlerin Geriatrik Hasta Yaklaşımına Etkisi:Türkiye'deki Uzman Doktorlar Arasında Çok Yönlü Bir Analiz”"/>
    <m/>
    <m/>
    <m/>
    <m/>
    <m/>
    <m/>
    <m/>
    <m/>
    <m/>
    <m/>
  </r>
  <r>
    <m/>
    <m/>
    <x v="195"/>
    <x v="60"/>
    <m/>
    <s v="“Sınıf II Malokluzyona Sahip Bireylerde Temporomandibular Eklem Bozukluklarının Panoramik Radyografiler Kullanılarak Yapay Zeka ile Teşhisi”"/>
    <m/>
    <m/>
    <m/>
    <m/>
    <m/>
    <m/>
    <m/>
    <m/>
    <m/>
    <m/>
  </r>
  <r>
    <m/>
    <m/>
    <x v="195"/>
    <x v="60"/>
    <m/>
    <s v="“Mesleksel ve Çevresel İç Ortam Hava Kirleticileri ile Akciğer Adenokarsinomu Arasındaki İlişkinin Biyolojik Kanıtlar ile Değerlendirilmesi”"/>
    <m/>
    <m/>
    <m/>
    <m/>
    <m/>
    <m/>
    <m/>
    <m/>
    <m/>
    <m/>
  </r>
  <r>
    <m/>
    <m/>
    <x v="195"/>
    <x v="60"/>
    <m/>
    <s v="“Kronik Karaciğer Hastalarında Sarkopeninin Non-İnvaziv Yöntemlerle Değerlendirilmesi ve Sarkopenin Uzun Dönem Morbidite ve Mortaliteye Etkisi”"/>
    <m/>
    <m/>
    <m/>
    <m/>
    <m/>
    <m/>
    <m/>
    <m/>
    <m/>
    <m/>
  </r>
  <r>
    <m/>
    <m/>
    <x v="195"/>
    <x v="60"/>
    <m/>
    <s v="“Noninvazif Pulmoner Aspergillozis ve Allerjik Bronkopulmoner Aspergillozis Tanılı Kistik Fibrozis Hastalarında Vorikonazol Serum Düzeyi Ölçümünün Tedaviye Katkısı”"/>
    <m/>
    <m/>
    <m/>
    <m/>
    <m/>
    <m/>
    <m/>
    <m/>
    <m/>
    <m/>
  </r>
  <r>
    <m/>
    <m/>
    <x v="195"/>
    <x v="60"/>
    <m/>
    <s v="“Primer İntratorasik Nörojenik Tümörlere Multidisipliner Yaklaşım”"/>
    <m/>
    <m/>
    <m/>
    <m/>
    <m/>
    <m/>
    <m/>
    <m/>
    <m/>
    <m/>
  </r>
  <r>
    <m/>
    <m/>
    <x v="195"/>
    <x v="60"/>
    <m/>
    <s v="“Papiller Tiroid Kanseri Tanısında Prediktif Değeri Olan Moleküllerin Tespit Edilmesi”"/>
    <m/>
    <m/>
    <m/>
    <m/>
    <m/>
    <m/>
    <m/>
    <m/>
    <m/>
    <m/>
  </r>
  <r>
    <m/>
    <m/>
    <x v="195"/>
    <x v="60"/>
    <m/>
    <s v="“Allojenik Kök Hücre Nakli Yapılan Hastalarda Sitomegalovirüs Reaktivasyonu Sıklığının Risk Faktörlerinin ve Sağ Kalıma Etkisinin Retrospektif Değerlendirilmesi”"/>
    <m/>
    <m/>
    <m/>
    <m/>
    <m/>
    <m/>
    <m/>
    <m/>
    <m/>
    <m/>
  </r>
  <r>
    <m/>
    <m/>
    <x v="195"/>
    <x v="60"/>
    <m/>
    <s v="“Hız Temelli Antrenmanın Aktivasyon Sonrası Performans Artışına Etkisinin Sirkadiyen Ritme göre İncelenmesi”"/>
    <m/>
    <m/>
    <m/>
    <m/>
    <m/>
    <m/>
    <m/>
    <m/>
    <m/>
    <m/>
  </r>
  <r>
    <m/>
    <m/>
    <x v="195"/>
    <x v="60"/>
    <m/>
    <s v="“Oral İmmunoglobulin Replasmanı Almış Olan Primer İmmün Yetmezlik Hastalarının Demografik, Klinik ve Laboratuvar Özelliklerinin Değerlendirilmesi”"/>
    <m/>
    <m/>
    <m/>
    <m/>
    <m/>
    <m/>
    <m/>
    <m/>
    <m/>
    <m/>
  </r>
  <r>
    <m/>
    <m/>
    <x v="195"/>
    <x v="60"/>
    <m/>
    <s v="“Antimikrobiyal Dirençle Mücadeleye Yönelik Nanopartiküler Aşı Formülasyonlarının Geliştirilmesi”"/>
    <m/>
    <m/>
    <m/>
    <m/>
    <m/>
    <m/>
    <m/>
    <m/>
    <m/>
    <m/>
  </r>
  <r>
    <m/>
    <m/>
    <x v="195"/>
    <x v="60"/>
    <m/>
    <s v="“Polikistik Over Sendromlu Hastaların Açlık ve Tokluk Durumunda Beyin Fonksiyonel Durum Değişiminin İnkretin Hormonlarla İlişkisinin İncelenmesi ve Sağlıklı Gönüllüler ile Karşılaştırılması”"/>
    <m/>
    <m/>
    <m/>
    <m/>
    <m/>
    <m/>
    <m/>
    <m/>
    <m/>
    <m/>
  </r>
  <r>
    <m/>
    <m/>
    <x v="195"/>
    <x v="60"/>
    <m/>
    <s v="“Kritik Hastalarda Yatak Başında Nabız Basıncı Değerlendirmesi Strok Volümdeki Düşük Değerleri Tespit Edebilir mi veya Değişiklikleri Takip Edebilir mi? Çok Merkezli, Kesitsel, Gözlemsel ANDROMEDA-PEGASUS Çalışması”"/>
    <m/>
    <m/>
    <m/>
    <m/>
    <m/>
    <m/>
    <m/>
    <m/>
    <m/>
    <m/>
  </r>
  <r>
    <m/>
    <m/>
    <x v="195"/>
    <x v="60"/>
    <m/>
    <s v="“Preseptal, Orbital ve Bukkal Sellülit Nedeniyle Hastanede Yatan Çocukların Değerlendirilmesi”"/>
    <m/>
    <m/>
    <m/>
    <m/>
    <m/>
    <m/>
    <m/>
    <m/>
    <m/>
    <m/>
  </r>
  <r>
    <m/>
    <m/>
    <x v="195"/>
    <x v="60"/>
    <m/>
    <s v="“Çocuk Hastalarda Kombine Antibiyotik Tedavilerinin Yan Etkilerinin Retrospektif Olarak İncelenmesi”"/>
    <m/>
    <m/>
    <m/>
    <m/>
    <m/>
    <m/>
    <m/>
    <m/>
    <m/>
    <m/>
  </r>
  <r>
    <m/>
    <m/>
    <x v="195"/>
    <x v="60"/>
    <m/>
    <s v="“Kistik Hava Boşlukları ile İlişkili Akciğer Kanseri: Klinik, RadyolojikVe Patolojik Özellikler”"/>
    <m/>
    <m/>
    <m/>
    <m/>
    <m/>
    <m/>
    <m/>
    <m/>
    <m/>
    <m/>
  </r>
  <r>
    <m/>
    <m/>
    <x v="195"/>
    <x v="60"/>
    <m/>
    <s v="“Artistik Buz Pateninde Başarılı ve Başarısız Salchow Sıçrayışlarının Kinematik Analizi”"/>
    <m/>
    <m/>
    <m/>
    <m/>
    <m/>
    <m/>
    <m/>
    <m/>
    <m/>
    <m/>
  </r>
  <r>
    <m/>
    <m/>
    <x v="195"/>
    <x v="60"/>
    <m/>
    <s v="“Yön Değiştirme Mesafesine Göre 5-0-5 Testinin Geçerliliği ve Alt Ekstremite Kuvveti ile İlişkisi”"/>
    <m/>
    <m/>
    <m/>
    <m/>
    <m/>
    <m/>
    <m/>
    <m/>
    <m/>
    <m/>
  </r>
  <r>
    <m/>
    <m/>
    <x v="195"/>
    <x v="60"/>
    <m/>
    <s v="“Ataksi-Telanjiektazi Hastalığının Patogenezinin Moleküler Boyutta Sistemik Analizi”"/>
    <m/>
    <m/>
    <m/>
    <m/>
    <m/>
    <m/>
    <m/>
    <m/>
    <m/>
    <m/>
  </r>
  <r>
    <m/>
    <m/>
    <x v="195"/>
    <x v="60"/>
    <m/>
    <s v="&quot;Adipozite İlişkili Ateroskleroz Patogenezinde Rol Oynayan Periferik Mononükleer Hücrelerdeki İnflamasyon Yolaklarının Belirlenmesi&quot;"/>
    <m/>
    <m/>
    <m/>
    <m/>
    <m/>
    <m/>
    <m/>
    <m/>
    <m/>
    <m/>
  </r>
  <r>
    <m/>
    <m/>
    <x v="195"/>
    <x v="60"/>
    <m/>
    <s v="“Yenidoğan Yoğun Bakım Ünitesinde Sürekli Elektroensefalografi ile Değerlendirilmiş Olan Kritik Hastaların Sonuçlarının İncelenmesi”"/>
    <m/>
    <m/>
    <m/>
    <m/>
    <m/>
    <m/>
    <m/>
    <m/>
    <m/>
    <m/>
  </r>
  <r>
    <m/>
    <m/>
    <x v="195"/>
    <x v="60"/>
    <m/>
    <s v="“Çocuk Yoğun Bakım Servisinde Sürekli Elektroensefalografi ile Değerlendirilmiş Olan Kritik Hastaların Sonuçlarının İncelenmesi”"/>
    <m/>
    <m/>
    <m/>
    <m/>
    <m/>
    <m/>
    <m/>
    <m/>
    <m/>
    <m/>
  </r>
  <r>
    <m/>
    <m/>
    <x v="195"/>
    <x v="60"/>
    <m/>
    <s v="“Konservatif Tedaviye Dirençli Periartiküler Kas İskelet Sistemi Hastalıklarında Fonksiyon Kısıtlayıcı Semptomların Transarteryal Periartiküler Embolizasyonu (TAPE) Tedavisi Sonrası Yanıt Değerlendirilmesi”"/>
    <m/>
    <m/>
    <m/>
    <m/>
    <m/>
    <m/>
    <m/>
    <m/>
    <m/>
    <m/>
  </r>
  <r>
    <m/>
    <m/>
    <x v="195"/>
    <x v="60"/>
    <m/>
    <s v="“ALL BFM IC 2009 Protokolü ile Tedavi Edilen Akut Lenfoblastik Lösemili Çocuk Hastalarda Yaşam Süresi Analizi&quot;"/>
    <m/>
    <m/>
    <m/>
    <m/>
    <m/>
    <m/>
    <m/>
    <m/>
    <m/>
    <m/>
  </r>
  <r>
    <m/>
    <m/>
    <x v="195"/>
    <x v="60"/>
    <m/>
    <s v="“Yoğun Bakmda Hizmet veren Hekim Hemşire ve Klinik Eczacıların İntravenöz Sıvı Tedavisi Hakkında Bilgi ve Tutumlarının Değerlendirilmesi”"/>
    <m/>
    <m/>
    <m/>
    <m/>
    <m/>
    <m/>
    <m/>
    <m/>
    <m/>
    <m/>
  </r>
  <r>
    <m/>
    <m/>
    <x v="195"/>
    <x v="60"/>
    <m/>
    <s v="“Hastalarda Var Olan Uyku Bozukluklarının Diş Çekimi Sonrası Rahatsızlıklara Olan Etkisinin İncelenmesi”"/>
    <m/>
    <m/>
    <m/>
    <m/>
    <m/>
    <m/>
    <m/>
    <m/>
    <m/>
    <m/>
  </r>
  <r>
    <m/>
    <m/>
    <x v="195"/>
    <x v="60"/>
    <m/>
    <s v="“Ağız, Diş ve Çene Cerrahisi Alanında Yapay Zekâ Destekli Teknolojilere Yönelik Hasta İlgi ve Bilgi Seviyesi: Anket Çalışması”"/>
    <m/>
    <m/>
    <m/>
    <m/>
    <m/>
    <m/>
    <m/>
    <m/>
    <m/>
    <m/>
  </r>
  <r>
    <m/>
    <m/>
    <x v="195"/>
    <x v="60"/>
    <m/>
    <s v="“Demiryolu ile İlişkili Ölümlerin Değerlendirilmesi: Bölgesel Bir Otopsi Çalışması”"/>
    <m/>
    <m/>
    <m/>
    <m/>
    <m/>
    <m/>
    <m/>
    <m/>
    <m/>
    <m/>
  </r>
  <r>
    <m/>
    <m/>
    <x v="195"/>
    <x v="60"/>
    <m/>
    <s v="“Ankara Bölgesinde 2014-2023 Yılları Arasında Otopsisi Yapılmış Elektrik Akımına Bağlı Ölüm Olgularının Değerlendirilmesi”"/>
    <m/>
    <m/>
    <m/>
    <m/>
    <m/>
    <m/>
    <m/>
    <m/>
    <m/>
    <m/>
  </r>
  <r>
    <m/>
    <m/>
    <x v="195"/>
    <x v="60"/>
    <m/>
    <s v="“Ankara Bölgesinde Otopsisi Yapılmış İkili Ölüm Olgularının Değerlendirilmesi”"/>
    <m/>
    <m/>
    <m/>
    <m/>
    <m/>
    <m/>
    <m/>
    <m/>
    <m/>
    <m/>
  </r>
  <r>
    <m/>
    <m/>
    <x v="195"/>
    <x v="6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95"/>
    <x v="60"/>
    <m/>
    <s v="“Teikoplanin Terapötik İlaç Düzey İzlemi: Tek Merkezli Retrospektif Analiz”"/>
    <m/>
    <m/>
    <m/>
    <m/>
    <m/>
    <m/>
    <m/>
    <m/>
    <m/>
    <m/>
  </r>
  <r>
    <m/>
    <m/>
    <x v="195"/>
    <x v="60"/>
    <m/>
    <s v="“Uzun Süren Nötropeniye Bağlı Ciddi Enfeksiyon Olan Hastalarda Granülosit Transfüzyonu Tedavisinin Değerlendirilmesi”"/>
    <m/>
    <m/>
    <m/>
    <m/>
    <m/>
    <m/>
    <m/>
    <m/>
    <m/>
    <m/>
  </r>
  <r>
    <m/>
    <m/>
    <x v="195"/>
    <x v="60"/>
    <m/>
    <s v="“Yetişkin Hemofili A ve B Hastaları ile Aile Üyesi Bakım Verenlerde Yaşam Kalitesi ve Bakım Yükü”"/>
    <m/>
    <m/>
    <m/>
    <m/>
    <m/>
    <m/>
    <m/>
    <m/>
    <m/>
    <m/>
  </r>
  <r>
    <m/>
    <m/>
    <x v="195"/>
    <x v="60"/>
    <m/>
    <s v="“Orak Hücreli Anemi Hastalarının Kanama ve Tromboz Sıklıkları ile Klinik Özelliklerinin ve Tedavi Yöntemlerinin İncelenmesi”"/>
    <m/>
    <m/>
    <m/>
    <m/>
    <m/>
    <m/>
    <m/>
    <m/>
    <m/>
    <m/>
  </r>
  <r>
    <m/>
    <m/>
    <x v="195"/>
    <x v="60"/>
    <m/>
    <s v="“Mitokondriyal Hastalıklarda Mitokondri Fonksiyon Bozukluğunun Çoklu-Omik Platformları ile Değerlendirilmesi ve Girişimsel Olmayan Yeni Tanı ve İzlem Yöntemlerinin Geliştirilmesi”"/>
    <m/>
    <m/>
    <m/>
    <m/>
    <m/>
    <m/>
    <m/>
    <m/>
    <m/>
    <m/>
  </r>
  <r>
    <m/>
    <m/>
    <x v="195"/>
    <x v="60"/>
    <m/>
    <s v="“Mekanik Aort ve Mitral Kapak Protezi Bulunan Hastalarda Ventriküler Taşikardi Ablasyonunda Sol Ventriküle Transapikal ve Trans-Sağ Atriyal Erişimin Etkinliği ve Sonuçları”"/>
    <m/>
    <m/>
    <m/>
    <m/>
    <m/>
    <m/>
    <m/>
    <m/>
    <m/>
    <m/>
  </r>
  <r>
    <m/>
    <m/>
    <x v="195"/>
    <x v="60"/>
    <m/>
    <s v="“Subkortikal Bant Heterotopisi: Klinik Özellikler ve Epilepsi Yükü”"/>
    <m/>
    <m/>
    <m/>
    <m/>
    <m/>
    <m/>
    <m/>
    <m/>
    <m/>
    <m/>
  </r>
  <r>
    <m/>
    <m/>
    <x v="195"/>
    <x v="60"/>
    <m/>
    <s v="“Standart AP ve Lateral Diz Grafilerinin Değerlendirilmesi ve Radyolojik Ölçümlerin Yapay Zeka ile Analizi”"/>
    <m/>
    <m/>
    <m/>
    <m/>
    <m/>
    <m/>
    <m/>
    <m/>
    <m/>
    <m/>
  </r>
  <r>
    <m/>
    <m/>
    <x v="195"/>
    <x v="60"/>
    <m/>
    <s v="“6 Şubat 2023 Depremzedelerinde Uzun Dönemdeki Ruhsal Sorunları Belirleyen Faktörler: Bölge Dışına Göçün Etkileri”"/>
    <m/>
    <m/>
    <m/>
    <m/>
    <m/>
    <m/>
    <m/>
    <m/>
    <m/>
    <m/>
  </r>
  <r>
    <m/>
    <m/>
    <x v="195"/>
    <x v="60"/>
    <m/>
    <s v="“Akromegali Hastalarında Serebral Küçük Damar Hastalığı ve Vasküler Kognitif Bozuklukların Değerlendirilmesi”"/>
    <m/>
    <m/>
    <m/>
    <m/>
    <m/>
    <m/>
    <m/>
    <m/>
    <m/>
    <m/>
  </r>
  <r>
    <m/>
    <m/>
    <x v="195"/>
    <x v="60"/>
    <m/>
    <s v="“Omuz Yaralanması Geçiren Sporcularda Spora Dönüş Evrelerinde Psikolojik Hazıroluşluğun İncelenmesi: Boylamsal Karma Desen Çalışması”"/>
    <m/>
    <m/>
    <m/>
    <m/>
    <m/>
    <m/>
    <m/>
    <m/>
    <m/>
    <m/>
  </r>
  <r>
    <m/>
    <m/>
    <x v="195"/>
    <x v="60"/>
    <m/>
    <s v="“Diyabet Dışı Kronik Böbrek Hastalığında Sodyum-Glukoz Kotransporter 2 İnhibitörünün Proteinüri Üzerine Etkisi”"/>
    <m/>
    <m/>
    <m/>
    <m/>
    <m/>
    <m/>
    <m/>
    <m/>
    <m/>
    <m/>
  </r>
  <r>
    <m/>
    <m/>
    <x v="195"/>
    <x v="60"/>
    <m/>
    <s v="“Gordon Sendromu Tanılı Bir Çocukta Saptanan Yeni WNK1 Varyantının Aile İçi Hastalıkla Segregasyonunun Araştırılması”"/>
    <m/>
    <m/>
    <m/>
    <m/>
    <m/>
    <m/>
    <m/>
    <m/>
    <m/>
    <m/>
  </r>
  <r>
    <m/>
    <m/>
    <x v="195"/>
    <x v="60"/>
    <m/>
    <s v="“Malignite Nedeniyle Yapılan Gastrointestinal Sistem Cerrahisi Sonrası Görülen İntraabdominal Kanamaların Tedavisinde Cerrahi ve Vasküler Girişimsel Radyolojik Yöntem Sonuçlarının Karşılaştırılması”"/>
    <m/>
    <m/>
    <m/>
    <m/>
    <m/>
    <m/>
    <m/>
    <m/>
    <m/>
    <m/>
  </r>
  <r>
    <m/>
    <m/>
    <x v="195"/>
    <x v="60"/>
    <m/>
    <s v="“Konjenital Hipotiroidi İçin Ulusal Ölçekli Yenidoğan Tarama Testi Sonucuyla Çocuk Endokrinoloji Bölümüne Yönlendirilen Olguların Klinik, Laboratuvar, Radyolojik Özelliklerinin İncelenmesi”"/>
    <m/>
    <m/>
    <m/>
    <m/>
    <m/>
    <m/>
    <m/>
    <m/>
    <m/>
    <m/>
  </r>
  <r>
    <m/>
    <m/>
    <x v="195"/>
    <x v="6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95"/>
    <x v="60"/>
    <m/>
    <s v="“Manyetik Rezonans Görüntüleme ile Serebellum, Beyin Sapı, Bazal Gangliyon ve Talamusta Saptanan Insidentalomaların Görüntüleme Bulguları”"/>
    <m/>
    <m/>
    <m/>
    <m/>
    <m/>
    <m/>
    <m/>
    <m/>
    <m/>
    <m/>
  </r>
  <r>
    <m/>
    <m/>
    <x v="195"/>
    <x v="60"/>
    <m/>
    <s v="&quot;Alt Premolar Dişlere Ait Gubernakular Kanalın Konik Işınlı Bilgisayarlı Tomografi Görüntülerinde İncelenmesi&quot;"/>
    <m/>
    <m/>
    <m/>
    <m/>
    <m/>
    <m/>
    <m/>
    <m/>
    <m/>
    <m/>
  </r>
  <r>
    <m/>
    <m/>
    <x v="195"/>
    <x v="60"/>
    <m/>
    <s v="“PIK3CG Eksikliğinin Doğal ve Kazanılmış Bağışıklık Sistemi Üzerindeki Etkilerinin Araştırılması”"/>
    <m/>
    <m/>
    <m/>
    <m/>
    <m/>
    <m/>
    <m/>
    <m/>
    <m/>
    <m/>
  </r>
  <r>
    <m/>
    <m/>
    <x v="195"/>
    <x v="60"/>
    <m/>
    <s v="“GPT-4 ile Patoloji Raporlarında Veri Analizi”"/>
    <m/>
    <m/>
    <m/>
    <m/>
    <m/>
    <m/>
    <m/>
    <m/>
    <m/>
    <m/>
  </r>
  <r>
    <m/>
    <m/>
    <x v="195"/>
    <x v="60"/>
    <m/>
    <s v="“Geçirilmiş Oral Cerrahi İşlemlerin Hastaların Dental Anksiyete ve Ağrı Üzerine Etkisinin Değerlendirilmesi”"/>
    <m/>
    <m/>
    <m/>
    <m/>
    <m/>
    <m/>
    <m/>
    <m/>
    <m/>
    <m/>
  </r>
  <r>
    <m/>
    <m/>
    <x v="195"/>
    <x v="60"/>
    <m/>
    <s v="“Temporomandibular Eklem Bozukluklarında Çene Fonksiyon Kısıtlanmasının ve Yaşam Kalitesinin Değerlendirilmesi”"/>
    <m/>
    <m/>
    <m/>
    <m/>
    <m/>
    <m/>
    <m/>
    <m/>
    <m/>
    <m/>
  </r>
  <r>
    <m/>
    <m/>
    <x v="195"/>
    <x v="60"/>
    <m/>
    <s v="“Endometrium Adenokarsinom Hastalarında Retrospektif Yetersiz ve Negatif Biyopsilerinin Klinikopatolojik Açıdan Değerlendirilmesi”"/>
    <m/>
    <m/>
    <m/>
    <m/>
    <m/>
    <m/>
    <m/>
    <m/>
    <m/>
    <m/>
  </r>
  <r>
    <m/>
    <m/>
    <x v="195"/>
    <x v="60"/>
    <m/>
    <s v="“Çocuk Kalp Cerrahisi Uygulanan Hastalarda Postoperatif İntraabdominal Hipertansiyonun Cerrahi Sonuçlara Etkisinin İncelenmesi”"/>
    <m/>
    <m/>
    <m/>
    <m/>
    <m/>
    <m/>
    <m/>
    <m/>
    <m/>
    <m/>
  </r>
  <r>
    <m/>
    <m/>
    <x v="195"/>
    <x v="60"/>
    <m/>
    <s v="“Aort Kapak Protezi olan Hastalarda Transtorasik Ekokardiyografik ve İnvaziv Ölçümlerle Transvalvüler Aort Gradientlerinin Karşılaştırılması”"/>
    <m/>
    <m/>
    <m/>
    <m/>
    <m/>
    <m/>
    <m/>
    <m/>
    <m/>
    <m/>
  </r>
  <r>
    <m/>
    <m/>
    <x v="195"/>
    <x v="60"/>
    <m/>
    <s v="“Body Roundness Index ve Body Shape Index'in Sarkopenik Obezite ile Yaşayanlarda Geriatrik Sendromlar ve Kognitif Fonksiyonlarla İlişkisi"/>
    <m/>
    <m/>
    <m/>
    <m/>
    <m/>
    <m/>
    <m/>
    <m/>
    <m/>
    <m/>
  </r>
  <r>
    <m/>
    <m/>
    <x v="195"/>
    <x v="60"/>
    <m/>
    <s v="“Primer Dismenoreden Etkilenme Düzeyine Göre Başvurulan Tamamlayıcı ve Alternatif Tedavi Yöntemlerinin Değerlendirilmesi”"/>
    <m/>
    <m/>
    <m/>
    <m/>
    <m/>
    <m/>
    <m/>
    <m/>
    <m/>
    <m/>
  </r>
  <r>
    <m/>
    <m/>
    <x v="195"/>
    <x v="60"/>
    <m/>
    <s v="“Kullanılmayan İlaçların İadesi ve İmhası Anketinin Türkçe Geçerlik ve Güvenirlik Çalışması"/>
    <m/>
    <m/>
    <m/>
    <m/>
    <m/>
    <m/>
    <m/>
    <m/>
    <m/>
    <m/>
  </r>
  <r>
    <m/>
    <m/>
    <x v="195"/>
    <x v="60"/>
    <m/>
    <s v="“Nörofibromatozis Tip 1 Hastalarının Beyin Manyetik Rezonans Görüntüleme Bulgularının Retrospektif Degerlendirilmesi”"/>
    <m/>
    <m/>
    <m/>
    <m/>
    <m/>
    <m/>
    <m/>
    <m/>
    <m/>
    <m/>
  </r>
  <r>
    <m/>
    <m/>
    <x v="195"/>
    <x v="60"/>
    <m/>
    <s v="“Kalıtsal Metabolik Hastalıklar ile ROS-Aracılı Hücresel Stres Arasındaki İlişkinin Metabolizma Açısından Değerlendirilmesi”"/>
    <m/>
    <m/>
    <m/>
    <m/>
    <m/>
    <m/>
    <m/>
    <m/>
    <m/>
    <m/>
  </r>
  <r>
    <m/>
    <m/>
    <x v="195"/>
    <x v="60"/>
    <m/>
    <s v="“İmmün Trombositopeni Hastalarında Splenektomi ile Alternatif Tedaviler Arasında Tedavi Etkinliği ve Trombositk Olay Sıklığının Karşılaştırılması”"/>
    <m/>
    <m/>
    <m/>
    <m/>
    <m/>
    <m/>
    <m/>
    <m/>
    <m/>
    <m/>
  </r>
  <r>
    <m/>
    <m/>
    <x v="195"/>
    <x v="60"/>
    <m/>
    <s v="“İnflamatuar Bağırsak Hastalığında Sarkopeni Değerlendirmesinde Optimal Yönteminin Belirlenmesi ve Nütrisyonel Değerlendirme”"/>
    <m/>
    <m/>
    <m/>
    <m/>
    <m/>
    <m/>
    <m/>
    <m/>
    <m/>
    <m/>
  </r>
  <r>
    <m/>
    <m/>
    <x v="195"/>
    <x v="60"/>
    <m/>
    <s v="“Hipertrofik Kardiyomiyopati Hastalarında Ventriküler Taşikardi Ablasyonunun Etkinliği ve Sonuçları”"/>
    <m/>
    <m/>
    <m/>
    <m/>
    <m/>
    <m/>
    <m/>
    <m/>
    <m/>
    <m/>
  </r>
  <r>
    <m/>
    <m/>
    <x v="195"/>
    <x v="60"/>
    <m/>
    <s v="“Statin Tedavisi Altındaki Pediatrik Hiperlipidemi Hastalarında Glikolizasyon Profili Karşılaştırması”"/>
    <m/>
    <m/>
    <m/>
    <m/>
    <m/>
    <m/>
    <m/>
    <m/>
    <m/>
    <m/>
  </r>
  <r>
    <m/>
    <m/>
    <x v="195"/>
    <x v="60"/>
    <m/>
    <s v="“Gecikmiş Kord Klemplenmesinin Erken Dönem Yenidoğan Komplikasyonları Üzerine Etkisinin Değerlendirilmesi”"/>
    <m/>
    <m/>
    <m/>
    <m/>
    <m/>
    <m/>
    <m/>
    <m/>
    <m/>
    <m/>
  </r>
  <r>
    <m/>
    <m/>
    <x v="195"/>
    <x v="60"/>
    <m/>
    <s v="“Tirozinemi Tip 1 Tanılı Pediatrik Yaş Grubu Hastalarda Metabolomik Profilin Hastalığın Klinik ve Laboratuvar Bulguları ve Tedavisi ile İlişkisinin Değerlendirilmesi”"/>
    <m/>
    <m/>
    <m/>
    <m/>
    <m/>
    <m/>
    <m/>
    <m/>
    <m/>
    <m/>
  </r>
  <r>
    <m/>
    <m/>
    <x v="195"/>
    <x v="60"/>
    <m/>
    <s v="“Amyotrofik Lateral Skleroz Hastalarının MRG ile Degerlendirilmesi”"/>
    <m/>
    <m/>
    <m/>
    <m/>
    <m/>
    <m/>
    <m/>
    <m/>
    <m/>
    <m/>
  </r>
  <r>
    <m/>
    <m/>
    <x v="195"/>
    <x v="60"/>
    <m/>
    <s v="“Benign Paroksizimal Pozisyonel Vertigo Hastalarında Klinik Tecrübemiz”"/>
    <m/>
    <m/>
    <m/>
    <m/>
    <m/>
    <m/>
    <m/>
    <m/>
    <m/>
    <m/>
  </r>
  <r>
    <m/>
    <m/>
    <x v="195"/>
    <x v="60"/>
    <m/>
    <s v="“Acil Servise Başvuran Febril Nötropeni Hastalarında MASCC Skorlaması ile Yapılan Hasta Yönetiminin FRAİL Kırılganlık İndeksi Skorları ile Karşılaştırılması ve Değerlendirilmesi: Gözlemsel Çalışma”"/>
    <m/>
    <m/>
    <m/>
    <m/>
    <m/>
    <m/>
    <m/>
    <m/>
    <m/>
    <m/>
  </r>
  <r>
    <m/>
    <m/>
    <x v="195"/>
    <x v="60"/>
    <m/>
    <s v="“Erişkin Hastalarda Glenoid Versiyonlarının ve Morfolojilerinin Bilgisayarlı Tomografi (BT) ile Değerlendirilmesi”"/>
    <m/>
    <m/>
    <m/>
    <m/>
    <m/>
    <m/>
    <m/>
    <m/>
    <m/>
    <m/>
  </r>
  <r>
    <m/>
    <m/>
    <x v="195"/>
    <x v="60"/>
    <m/>
    <s v="“Dirsek Lateral Epikondilit Tanılı Hastalarda Uyku Kalitesinin Değerlendirilmesi”"/>
    <m/>
    <m/>
    <m/>
    <m/>
    <m/>
    <m/>
    <m/>
    <m/>
    <m/>
    <m/>
  </r>
  <r>
    <m/>
    <m/>
    <x v="195"/>
    <x v="60"/>
    <m/>
    <s v="“Ulusal Kistik Fibrozis Hasta Kayıt Sisteminde Kayıtlı Hastalarda Kistik Fibrozis İlişkili Karaciğer Hastalığının Bağımsız Belirleyicilerinin Saptanması”"/>
    <m/>
    <m/>
    <m/>
    <m/>
    <m/>
    <m/>
    <m/>
    <m/>
    <m/>
    <m/>
  </r>
  <r>
    <m/>
    <m/>
    <x v="195"/>
    <x v="60"/>
    <m/>
    <s v="“Yoğun Bakım Ünitelerinde Endotrakeal Tüp İlişkili Oral Mukoz Membran Basınç Yaralanması: Tek Merkezde Boylamsal Bir Nokta Prevalans Çalışması”"/>
    <m/>
    <m/>
    <m/>
    <m/>
    <m/>
    <m/>
    <m/>
    <m/>
    <m/>
    <m/>
  </r>
  <r>
    <m/>
    <m/>
    <x v="195"/>
    <x v="60"/>
    <m/>
    <s v="“HPV Aşısının Sosyal Medyadaki İnfodemisi: Nitel Çalışma”"/>
    <m/>
    <m/>
    <m/>
    <m/>
    <m/>
    <m/>
    <m/>
    <m/>
    <m/>
    <m/>
  </r>
  <r>
    <m/>
    <m/>
    <x v="195"/>
    <x v="60"/>
    <m/>
    <s v="“X, Y ve Z Kuşağında Beslenme Alışkanlıklarındaki Farklılıkların Araştırılması”"/>
    <m/>
    <m/>
    <m/>
    <m/>
    <m/>
    <m/>
    <m/>
    <m/>
    <m/>
    <m/>
  </r>
  <r>
    <m/>
    <m/>
    <x v="195"/>
    <x v="60"/>
    <m/>
    <s v="“Ameliyathane Dışı İrreversible Elektroporasyon Uygulanan Onkolojik Hastalarda Anestezi Yönetimi ve Komplikasyonların İncelenmesi: Retrospektif Gözlemsel Çalışma”"/>
    <m/>
    <m/>
    <m/>
    <m/>
    <m/>
    <m/>
    <m/>
    <m/>
    <m/>
    <m/>
  </r>
  <r>
    <m/>
    <m/>
    <x v="195"/>
    <x v="60"/>
    <m/>
    <s v="“Kalça Artroplastisinde Constrained Asetabular İnsertlerin Uzun Dönem Sonuçları”"/>
    <m/>
    <m/>
    <m/>
    <m/>
    <m/>
    <m/>
    <m/>
    <m/>
    <m/>
    <m/>
  </r>
  <r>
    <m/>
    <m/>
    <x v="195"/>
    <x v="60"/>
    <m/>
    <s v="“Tıp Fakültesi Öğrencileri İçin Geliştirilen Bir Elektronik Performans Destek Sisteminin Akademik Başarı ve Performansa Etkisi”"/>
    <m/>
    <m/>
    <m/>
    <m/>
    <m/>
    <m/>
    <m/>
    <m/>
    <m/>
    <m/>
  </r>
  <r>
    <m/>
    <m/>
    <x v="195"/>
    <x v="60"/>
    <m/>
    <s v="“Mikozis Fungoides, Psöriasis ve Atopik Dermatit Hastalarında Dermoskopik Bulguların İncelenmesi”"/>
    <m/>
    <m/>
    <m/>
    <m/>
    <m/>
    <m/>
    <m/>
    <m/>
    <m/>
    <m/>
  </r>
  <r>
    <m/>
    <m/>
    <x v="195"/>
    <x v="60"/>
    <m/>
    <s v="“Kistik Nötrofilik Granülomatöz Mastit ve İdiopatik Granülomatöz Mastitin Radyolojik Görüntüleme Bulgularının Klinik ve Patolojik Veriler Eşliğinde Karşılaştırılması”"/>
    <m/>
    <m/>
    <m/>
    <m/>
    <m/>
    <m/>
    <m/>
    <m/>
    <m/>
    <m/>
  </r>
  <r>
    <m/>
    <m/>
    <x v="195"/>
    <x v="60"/>
    <m/>
    <s v="“Baş Boyun Kanserli Olgularda European Organisation for Research and Treatment of Cancer (EORTC) H&amp;N43 Modülünün Türkçe Validasyonu, Kronoradyoterapinin Hayat Kalitesi ve Akut Toksisiteler Üzerine Etkisi”"/>
    <m/>
    <m/>
    <m/>
    <m/>
    <m/>
    <m/>
    <m/>
    <m/>
    <m/>
    <m/>
  </r>
  <r>
    <m/>
    <m/>
    <x v="195"/>
    <x v="60"/>
    <m/>
    <s v="“Tendon Transferi Uygulanan Hastalarda Etiyolojik Faktörlerin Retrospektif Analizi”"/>
    <m/>
    <m/>
    <m/>
    <m/>
    <m/>
    <m/>
    <m/>
    <m/>
    <m/>
    <m/>
  </r>
  <r>
    <m/>
    <m/>
    <x v="195"/>
    <x v="60"/>
    <m/>
    <s v="&quot;Nonsteroid Anti-İnflamatuar İlaçlar ile Alevlenen Hava Yolu Hastalığında Aspirin Kullanımının Kardiyovasküler Olaylar ve Kanama ile İlişkisini Değerlendirmek&quot;"/>
    <m/>
    <m/>
    <m/>
    <m/>
    <m/>
    <m/>
    <m/>
    <m/>
    <m/>
    <m/>
  </r>
  <r>
    <m/>
    <m/>
    <x v="195"/>
    <x v="60"/>
    <m/>
    <s v="&quot;Nonsteroidal Anti-İnflamatuar ilaçlarla Alevlenen Solunum Yolu Hastalığında (N-ERD) Biyolojik ve Aspirin Tedavilerinin Karşılaştırmalı Etkileri &quot;"/>
    <m/>
    <m/>
    <m/>
    <m/>
    <m/>
    <m/>
    <m/>
    <m/>
    <m/>
    <m/>
  </r>
  <r>
    <m/>
    <m/>
    <x v="195"/>
    <x v="60"/>
    <m/>
    <s v="“Proteinüri Nedeniyle Çocuk Nefrolojisi Bilim Dalı'nda Değerlendirilen Diabetes Mellitus Tanılı Çocuk Hastaların Retrospektif Değerlendirilmesi”"/>
    <m/>
    <m/>
    <m/>
    <m/>
    <m/>
    <m/>
    <m/>
    <m/>
    <m/>
    <m/>
  </r>
  <r>
    <m/>
    <m/>
    <x v="195"/>
    <x v="60"/>
    <m/>
    <s v="“Türk Erişkinlerde El Sıkma Kuvveti Referans Değerlerinin Belirlenmesi”"/>
    <m/>
    <m/>
    <m/>
    <m/>
    <m/>
    <m/>
    <m/>
    <m/>
    <m/>
    <m/>
  </r>
  <r>
    <m/>
    <m/>
    <x v="195"/>
    <x v="60"/>
    <m/>
    <s v="“Çocuk ve Adolesan Tüberküloz Vakalarında Göçün Etkisi”"/>
    <m/>
    <m/>
    <m/>
    <m/>
    <m/>
    <m/>
    <m/>
    <m/>
    <m/>
    <m/>
  </r>
  <r>
    <m/>
    <m/>
    <x v="195"/>
    <x v="60"/>
    <m/>
    <s v="“Erişkinlerin Aromaterapi Hakkında Bilgi, Tutum ve Davranışlarının Araştırılması: Kesitsel Çalışma”"/>
    <m/>
    <m/>
    <m/>
    <m/>
    <m/>
    <m/>
    <m/>
    <m/>
    <m/>
    <m/>
  </r>
  <r>
    <m/>
    <m/>
    <x v="195"/>
    <x v="60"/>
    <m/>
    <s v="“Nörofibromatosis Tip 1 Vakalarında Gebelik Öncesi Dönemden Çocukluk Dönemine Çevresel Etkilenimler”"/>
    <m/>
    <m/>
    <m/>
    <m/>
    <m/>
    <m/>
    <m/>
    <m/>
    <m/>
    <m/>
  </r>
  <r>
    <m/>
    <m/>
    <x v="195"/>
    <x v="60"/>
    <m/>
    <s v="“Sıfır Eko Zamanlı Manyetik Rezonans Görüntüleme ile Ölçülen Kritik Omuz Açısının Rotator Kılıf Anormallikleri ve Glenohumeral Osteoartrit ile İlişkisi”"/>
    <m/>
    <m/>
    <m/>
    <m/>
    <m/>
    <m/>
    <m/>
    <m/>
    <m/>
    <m/>
  </r>
  <r>
    <m/>
    <m/>
    <x v="195"/>
    <x v="60"/>
    <m/>
    <s v="“Küçük/Orta Damar Vaskülitli Hastaların Kutanöz Prezentasyonları: Dermoskopik ve Histopatolojik Benzerlik ve Farklılıkların İncelenmesi”"/>
    <m/>
    <m/>
    <m/>
    <m/>
    <m/>
    <m/>
    <m/>
    <m/>
    <m/>
    <m/>
  </r>
  <r>
    <m/>
    <m/>
    <x v="195"/>
    <x v="60"/>
    <m/>
    <s v="“Fonksiyonel Nöbet ve Epilepsi Hastalarında Faillik ve Sahiplik Hissi Parametrelerinin Değerlendirilmesi, Epilepsi Hastalarında Fonksiyonel Nöbet Gelişimini Yordayan Etmenlerin İncelenmesi”"/>
    <m/>
    <m/>
    <m/>
    <m/>
    <m/>
    <m/>
    <m/>
    <m/>
    <m/>
    <m/>
  </r>
  <r>
    <m/>
    <m/>
    <x v="195"/>
    <x v="60"/>
    <m/>
    <s v="“Yoğun Bakımda Takip Edilen Geriatrik Hasta Grubunun Klinik Özellikleri ve Klinik Skorların Yoğun Bakım Sonuçlarına Etkisi: Çok Merkezli Prospektif Çalışma”"/>
    <m/>
    <m/>
    <m/>
    <m/>
    <m/>
    <m/>
    <m/>
    <m/>
    <m/>
    <m/>
  </r>
  <r>
    <m/>
    <m/>
    <x v="195"/>
    <x v="60"/>
    <m/>
    <s v="&quot;Preterm Doğum Öyküsü Olan Çocukların Okula Hazır Bulunuşluklarının Değerlendirilmesi&quot;"/>
    <m/>
    <m/>
    <m/>
    <m/>
    <m/>
    <m/>
    <m/>
    <m/>
    <m/>
    <m/>
  </r>
  <r>
    <m/>
    <m/>
    <x v="195"/>
    <x v="60"/>
    <m/>
    <s v="“Hastaneye Yatan Ergenlerde Hastalıkların Siberkondri Üzerindeki Etkisi”"/>
    <m/>
    <m/>
    <m/>
    <m/>
    <m/>
    <m/>
    <m/>
    <m/>
    <m/>
    <m/>
  </r>
  <r>
    <m/>
    <m/>
    <x v="195"/>
    <x v="60"/>
    <m/>
    <s v="“Türkiye’de Aile Sağlığı Merkezlerinde Yapılan Okul Sağlık Taramalarına Yönelik Öğretmenlerin Farkındalık ve Tutumlarının Araştırılması: Nitel Çalışma”"/>
    <m/>
    <m/>
    <m/>
    <m/>
    <m/>
    <m/>
    <m/>
    <m/>
    <m/>
    <m/>
  </r>
  <r>
    <m/>
    <m/>
    <x v="195"/>
    <x v="60"/>
    <m/>
    <s v="“Bilgisayarlı Tomografi Anjiyografide Hepatik Arter Aterosklerozu Prevalansının Araştırılması”"/>
    <m/>
    <m/>
    <m/>
    <m/>
    <m/>
    <m/>
    <m/>
    <m/>
    <m/>
    <m/>
  </r>
  <r>
    <m/>
    <m/>
    <x v="195"/>
    <x v="60"/>
    <m/>
    <s v="“Farklı Diş Macunları ve Er,Cr:YSGG Lazerin Süt Dişi Remineralizasyonuna Etkisi”"/>
    <m/>
    <m/>
    <m/>
    <m/>
    <m/>
    <m/>
    <m/>
    <m/>
    <m/>
    <m/>
  </r>
  <r>
    <m/>
    <m/>
    <x v="195"/>
    <x v="60"/>
    <m/>
    <s v="“Biyoprostetik Kalp Kapağı İmplantasyonu Geçiren Hastalarda Trombo-profilaksi İçin Warfarin ile Non–Vitamin K Oral Antikoagülanların Karşılaştırılması”"/>
    <m/>
    <m/>
    <m/>
    <m/>
    <m/>
    <m/>
    <m/>
    <m/>
    <m/>
    <m/>
  </r>
  <r>
    <m/>
    <m/>
    <x v="195"/>
    <x v="60"/>
    <m/>
    <s v="“Farklı Miyeloid Neoplazilerde Tanı ve İzlemde İnflamasyon Parametreleri”"/>
    <m/>
    <m/>
    <m/>
    <m/>
    <m/>
    <m/>
    <m/>
    <m/>
    <m/>
    <m/>
  </r>
  <r>
    <m/>
    <m/>
    <x v="195"/>
    <x v="60"/>
    <m/>
    <s v="“Erken Evre Glottik Kanserlerde Radyoterapi Sonuçları ve Ön Komissür Tutulumunun Radyoterapi Tekniği ile İlişkisi”"/>
    <m/>
    <m/>
    <m/>
    <m/>
    <m/>
    <m/>
    <m/>
    <m/>
    <m/>
    <m/>
  </r>
  <r>
    <m/>
    <m/>
    <x v="195"/>
    <x v="60"/>
    <m/>
    <s v="&quot;IKZF1 Gen Varyantı Saptanan Primer İmmün Yetmezlik Hastalarının Demografik, Klinik ve Laboratuvar Özelliklerinin Değerlendirilmesi&quot;"/>
    <m/>
    <m/>
    <m/>
    <m/>
    <m/>
    <m/>
    <m/>
    <m/>
    <m/>
    <m/>
  </r>
  <r>
    <m/>
    <m/>
    <x v="195"/>
    <x v="60"/>
    <m/>
    <s v="“Kardiyopulmoner Bypass Sırasında Hemadsorbsiyon Uygulamasının Pediyatrik Hastaların Mortalite ve Morbiditesi Üzerine Etkileri”"/>
    <m/>
    <m/>
    <m/>
    <m/>
    <m/>
    <m/>
    <m/>
    <m/>
    <m/>
    <m/>
  </r>
  <r>
    <m/>
    <m/>
    <x v="195"/>
    <x v="60"/>
    <m/>
    <s v="“İleri Blefaropitoz Olgularında Yeni Bir Cerrahi Yaklaşım: Kontralateral Corrugatör Supercilii Kas Transpozisyonu ve Topografik-Mikroskopik Analizi”"/>
    <m/>
    <m/>
    <m/>
    <m/>
    <m/>
    <m/>
    <m/>
    <m/>
    <m/>
    <m/>
  </r>
  <r>
    <m/>
    <m/>
    <x v="195"/>
    <x v="60"/>
    <m/>
    <s v="“Kan Akımı Kısıtlanmasına Bağlı Aerobik Egzersizin Metabolik Değişiklikler Üzerindeki Etkisinin Çoklu Omiks Teknikler ile Belirlenmesi”"/>
    <m/>
    <m/>
    <m/>
    <m/>
    <m/>
    <m/>
    <m/>
    <m/>
    <m/>
    <m/>
  </r>
  <r>
    <m/>
    <m/>
    <x v="195"/>
    <x v="60"/>
    <m/>
    <s v="“Toplumda Tarama İçin Risk Aracının (RISC) Hospitalize Yaşlı Hastada Geçerlik ve Güvenirliğinin Değerlendirilmesi”"/>
    <m/>
    <m/>
    <m/>
    <m/>
    <m/>
    <m/>
    <m/>
    <m/>
    <m/>
    <m/>
  </r>
  <r>
    <m/>
    <m/>
    <x v="195"/>
    <x v="60"/>
    <m/>
    <s v="“Osteoporozu Olan Geriatrik Hastalarda Kırık Riskinin FI-Lab Skoru ve Kapsamlı Geriatrik Değerlendirme ile Değerlendirilmesi”"/>
    <m/>
    <m/>
    <m/>
    <m/>
    <m/>
    <m/>
    <m/>
    <m/>
    <m/>
    <m/>
  </r>
  <r>
    <m/>
    <m/>
    <x v="195"/>
    <x v="60"/>
    <m/>
    <s v="&quot;İşitsel Üçlü Sessiz Harf Sıralaması Testi’nin Hafif Bilişsel Bozukluk ve Alzheimer Hastalarında Psikometrik Özelliklerinin Belirlenmesi: Ayırtedicilik, Geçerlik ve Güvenirlik Çalışması”"/>
    <m/>
    <m/>
    <m/>
    <m/>
    <m/>
    <m/>
    <m/>
    <m/>
    <m/>
    <m/>
  </r>
  <r>
    <m/>
    <m/>
    <x v="195"/>
    <x v="60"/>
    <m/>
    <s v="“Çocuk Acil Servise İlaç İntoksikasyonu ile Başvuran ve Çocuk ve Ergen Ruh Sağlığı Tarafından Takip Edilen Bireylerin Geriye Dönük Değerlendirilmesi”"/>
    <m/>
    <m/>
    <m/>
    <m/>
    <m/>
    <m/>
    <m/>
    <m/>
    <m/>
    <m/>
  </r>
  <r>
    <m/>
    <m/>
    <x v="195"/>
    <x v="60"/>
    <m/>
    <s v="“Palyatif Bakım Hastalarına Bakım Verenlerin Deneyimlerinde Cinsiyet Rollerinin Etkilerinin İncelenmesi”"/>
    <m/>
    <m/>
    <m/>
    <m/>
    <m/>
    <m/>
    <m/>
    <m/>
    <m/>
    <m/>
  </r>
  <r>
    <m/>
    <m/>
    <x v="195"/>
    <x v="60"/>
    <m/>
    <s v="“Brakial Pleksus Doğum Paralizisi Olan Hastalarda Gövde ve Alt Ekstremite Dengesinin Değerlendirilmesi”"/>
    <m/>
    <m/>
    <m/>
    <m/>
    <m/>
    <m/>
    <m/>
    <m/>
    <m/>
    <m/>
  </r>
  <r>
    <m/>
    <m/>
    <x v="195"/>
    <x v="60"/>
    <m/>
    <s v="“Ergen ve Genç Yetişkinlerde Menstrüasyon Farkındalığı”"/>
    <m/>
    <m/>
    <m/>
    <m/>
    <m/>
    <m/>
    <m/>
    <m/>
    <m/>
    <m/>
  </r>
  <r>
    <m/>
    <m/>
    <x v="195"/>
    <x v="60"/>
    <m/>
    <s v="“Viral Solunum Yolu Enfeksiyonu Tanısı ile Takip Edilen Çocuk Hastaların Klinik Verilerinin Retrospektif Olarak İncelenmesi”"/>
    <m/>
    <m/>
    <m/>
    <m/>
    <m/>
    <m/>
    <m/>
    <m/>
    <m/>
    <m/>
  </r>
  <r>
    <m/>
    <m/>
    <x v="195"/>
    <x v="60"/>
    <m/>
    <s v="“Astım Tanılı Çocuklarda Çekirdek Aile ve Çekirdek Aile Dışı Akrabalarda Alerjik Hastalık Sıklığının Belirlenmesi&quot;"/>
    <m/>
    <m/>
    <m/>
    <m/>
    <m/>
    <m/>
    <m/>
    <m/>
    <m/>
    <m/>
  </r>
  <r>
    <m/>
    <m/>
    <x v="195"/>
    <x v="60"/>
    <m/>
    <s v="“Proksimal Tibia Rekonstrüksiyonu ile Tedavi Edilen Hastaların Klinik Sonuçları”"/>
    <m/>
    <m/>
    <m/>
    <m/>
    <m/>
    <m/>
    <m/>
    <m/>
    <m/>
    <m/>
  </r>
  <r>
    <m/>
    <m/>
    <x v="195"/>
    <x v="60"/>
    <m/>
    <s v="&quot;Diş Hekimliğinde Yapay Zeka Destekli Teşhis ve Tedavilere Güven: Hasta Perspektifinden Bir Analiz&quot;"/>
    <m/>
    <m/>
    <m/>
    <m/>
    <m/>
    <m/>
    <m/>
    <m/>
    <m/>
    <m/>
  </r>
  <r>
    <m/>
    <m/>
    <x v="195"/>
    <x v="60"/>
    <m/>
    <s v="&quot;Akut Poststreptokoksik Glomerulonefrit Tanılı Hastaların Retrospektif Olarak İncelenmesi&quot;"/>
    <m/>
    <m/>
    <m/>
    <m/>
    <m/>
    <m/>
    <m/>
    <m/>
    <m/>
    <m/>
  </r>
  <r>
    <m/>
    <m/>
    <x v="195"/>
    <x v="60"/>
    <m/>
    <s v="“İnsan Göbek Kordonu Temelli Yapay Timüs Organoidlerinin Geliştirilmesi ve Karakterize Edilmesi”"/>
    <m/>
    <m/>
    <m/>
    <m/>
    <m/>
    <m/>
    <m/>
    <m/>
    <m/>
    <m/>
  </r>
  <r>
    <m/>
    <m/>
    <x v="195"/>
    <x v="60"/>
    <m/>
    <s v="“Wilms Tümörü ve Nefrojenik Artıklardaki Moleküler Değişiklikler”"/>
    <m/>
    <m/>
    <m/>
    <m/>
    <m/>
    <m/>
    <m/>
    <m/>
    <m/>
    <m/>
  </r>
  <r>
    <m/>
    <m/>
    <x v="195"/>
    <x v="60"/>
    <m/>
    <s v="“Erişkin Popülasyonda Ayak Bileği Kırıklarının Deplasman ve Yumuşak Doku Hasarlarının ZTE sekanslı MRG ile Değerlendirilmesi ve BT ile Karşılaştırılması”"/>
    <m/>
    <m/>
    <m/>
    <m/>
    <m/>
    <m/>
    <m/>
    <m/>
    <m/>
    <m/>
  </r>
  <r>
    <m/>
    <m/>
    <x v="195"/>
    <x v="60"/>
    <m/>
    <s v="“Yeni Nesil Antikoagülan İlaçların İlaç Etkileşimleri Hakkında Farkındalık Düzeyinin Ölçülmesi”"/>
    <m/>
    <m/>
    <m/>
    <m/>
    <m/>
    <m/>
    <m/>
    <m/>
    <m/>
    <m/>
  </r>
  <r>
    <m/>
    <m/>
    <x v="195"/>
    <x v="60"/>
    <m/>
    <s v="“Dental Tedavi Sırasında veya Reçetelendirmede Gelişebilecek İlaç Etkileşimleri Hakkında Farkındalık Düzeyinin Ölçülmesi”"/>
    <m/>
    <m/>
    <m/>
    <m/>
    <m/>
    <m/>
    <m/>
    <m/>
    <m/>
    <m/>
  </r>
  <r>
    <m/>
    <m/>
    <x v="195"/>
    <x v="60"/>
    <m/>
    <s v="&quot;İmmünoterapi ile Tedavi Edilen Kanser Hastalarında Tedavi Öncesi Serbest T3/T4 Oranı ile Sağkalım İlişkisi”"/>
    <m/>
    <m/>
    <m/>
    <m/>
    <m/>
    <m/>
    <m/>
    <m/>
    <m/>
    <m/>
  </r>
  <r>
    <m/>
    <m/>
    <x v="195"/>
    <x v="60"/>
    <m/>
    <s v="“Rotasyon Profilli Bilgisayarlı Tomografi Kullanılarak Oluşturulan Parametreler ile Radyografide Proksimal Femur Rotasyonunun Değerlendirilmesi”"/>
    <m/>
    <m/>
    <m/>
    <m/>
    <m/>
    <m/>
    <m/>
    <m/>
    <m/>
    <m/>
  </r>
  <r>
    <m/>
    <m/>
    <x v="195"/>
    <x v="60"/>
    <m/>
    <s v="&quot;Vegan Beslenmenin Oral Mukoza Üzerindeki Sitolojik, Genotoksik ve Antioksidan Etkilerinin İncelenmesi”"/>
    <m/>
    <m/>
    <m/>
    <m/>
    <m/>
    <m/>
    <m/>
    <m/>
    <m/>
    <m/>
  </r>
  <r>
    <m/>
    <m/>
    <x v="195"/>
    <x v="60"/>
    <m/>
    <s v="&quot;Hospitalize Edilen Kanser Hastalarında Mortaliteye ve Hastanede Yeniden Yatışa Etki Eden Klinik Faktörlerin İncelenmesi&quot;"/>
    <m/>
    <m/>
    <m/>
    <m/>
    <m/>
    <m/>
    <m/>
    <m/>
    <m/>
    <m/>
  </r>
  <r>
    <m/>
    <m/>
    <x v="195"/>
    <x v="60"/>
    <m/>
    <s v="&quot;BRCA Mutant Meme ve Over Kanseri Hastaların Birinci Derece Erkek ve Kadın Yakınlarında Genetik Test Oranlarının ve Sonuçlarının Değerlendirilmesi&quot;"/>
    <m/>
    <m/>
    <m/>
    <m/>
    <m/>
    <m/>
    <m/>
    <m/>
    <m/>
    <m/>
  </r>
  <r>
    <m/>
    <m/>
    <x v="195"/>
    <x v="60"/>
    <m/>
    <s v="“Çocuklarda Doğal İmmünite Kaynaklı Santral Sinir Sistemi İnflamasyonunda Beyin Büyümesini ve Sağlığını Haritalama”"/>
    <m/>
    <m/>
    <m/>
    <m/>
    <m/>
    <m/>
    <m/>
    <m/>
    <m/>
    <m/>
  </r>
  <r>
    <m/>
    <m/>
    <x v="195"/>
    <x v="60"/>
    <m/>
    <s v="“Geriatrik Sendromlarla C Reaktif-Albumin-Lenfosit İndeksinin İlişkisinin İncelenmesi”"/>
    <m/>
    <m/>
    <m/>
    <m/>
    <m/>
    <m/>
    <m/>
    <m/>
    <m/>
    <m/>
  </r>
  <r>
    <m/>
    <m/>
    <x v="195"/>
    <x v="60"/>
    <m/>
    <s v="&quot;Kristal Artropatilerde Klinik ve Radyolojik Değerlendirmenin İncelenmesi&quot;"/>
    <m/>
    <m/>
    <m/>
    <m/>
    <m/>
    <m/>
    <m/>
    <m/>
    <m/>
    <m/>
  </r>
  <r>
    <m/>
    <m/>
    <x v="195"/>
    <x v="60"/>
    <m/>
    <s v="&quot;Bakteriyel Enfeksiyon Tanısı ile Yatarak Tedavi Olan Çocuk Hastaların Verilerinin Retrospektif Olarak İncelenmesi&quot;"/>
    <m/>
    <m/>
    <m/>
    <m/>
    <m/>
    <m/>
    <m/>
    <m/>
    <m/>
    <m/>
  </r>
  <r>
    <m/>
    <m/>
    <x v="195"/>
    <x v="60"/>
    <m/>
    <s v="“Genç Yetişkin Erkeklerde Cinsiyet Rolü Gerilimi ve Problemli Kumar Oynama”"/>
    <m/>
    <m/>
    <m/>
    <m/>
    <m/>
    <m/>
    <m/>
    <m/>
    <m/>
    <m/>
  </r>
  <r>
    <m/>
    <m/>
    <x v="195"/>
    <x v="60"/>
    <m/>
    <s v="“Koroner Arter Hastalığı Tanılı Geriatrik Hastalarda Elektif Perkütan Koroner Girişiminin Geriatrik Sendromlarla İlişkisi”"/>
    <m/>
    <m/>
    <m/>
    <m/>
    <m/>
    <m/>
    <m/>
    <m/>
    <m/>
    <m/>
  </r>
  <r>
    <m/>
    <m/>
    <x v="195"/>
    <x v="60"/>
    <m/>
    <s v="“Rinoplasti Ameliyatlarında Piezoelektrik Yardımlı Osteotomi ve Konvansiyonel Osteotomilerin Periorbital Ödem ve Ekimoz Üzerine Etkisi”"/>
    <m/>
    <m/>
    <m/>
    <m/>
    <m/>
    <m/>
    <m/>
    <m/>
    <m/>
    <m/>
  </r>
  <r>
    <m/>
    <m/>
    <x v="195"/>
    <x v="60"/>
    <m/>
    <s v="“Yeme Bozukluğu Olan Ergenlerde Ebeveyn-Ergen Sınırlarının İncelenmesi”"/>
    <m/>
    <m/>
    <m/>
    <m/>
    <m/>
    <m/>
    <m/>
    <m/>
    <m/>
    <m/>
  </r>
  <r>
    <m/>
    <m/>
    <x v="195"/>
    <x v="60"/>
    <m/>
    <s v="“Ciddi Pnömokokkal Enfeksiyon Geçiren Hastaların Retrospektif Olarak İmmün Yetmezlik Açısından Değerlendirilmesi”"/>
    <m/>
    <m/>
    <m/>
    <m/>
    <m/>
    <m/>
    <m/>
    <m/>
    <m/>
    <m/>
  </r>
  <r>
    <m/>
    <m/>
    <x v="195"/>
    <x v="60"/>
    <m/>
    <s v="“Borderline Kişilik Özellikleri ve Çocuklukta Onaylamayan Çevre Arasındaki İlişki: Bir Model Testi”"/>
    <m/>
    <m/>
    <m/>
    <m/>
    <m/>
    <m/>
    <m/>
    <m/>
    <m/>
    <m/>
  </r>
  <r>
    <m/>
    <m/>
    <x v="195"/>
    <x v="60"/>
    <m/>
    <s v="“Serbest Dişeti Grefti Alınan Lateral Damak Bölgesine Farklı Ajanlar Uygulanarak Yara İyileşmesinin Karşılaştırılması”"/>
    <m/>
    <m/>
    <m/>
    <m/>
    <m/>
    <m/>
    <m/>
    <m/>
    <m/>
    <m/>
  </r>
  <r>
    <m/>
    <m/>
    <x v="195"/>
    <x v="60"/>
    <m/>
    <s v="“Heterozigot FMF Hastalarının Tedavi Kesildikten Sonraki İzleminin Değerlendirilmesi”"/>
    <m/>
    <m/>
    <m/>
    <m/>
    <m/>
    <m/>
    <m/>
    <m/>
    <m/>
    <m/>
  </r>
  <r>
    <m/>
    <m/>
    <x v="195"/>
    <x v="60"/>
    <m/>
    <s v="“PFAPA Tanılı Hastalarda Kullanılan Tedavilerin Retrospektif Olarak Değerlendirilmesi”"/>
    <m/>
    <m/>
    <m/>
    <m/>
    <m/>
    <m/>
    <m/>
    <m/>
    <m/>
    <m/>
  </r>
  <r>
    <m/>
    <m/>
    <x v="195"/>
    <x v="60"/>
    <m/>
    <s v="“Geriatrik Popülasyonda Prurigo Nodülaris Hastalarında Etyolojik Faktörlerin Araştırılması”"/>
    <m/>
    <m/>
    <m/>
    <m/>
    <m/>
    <m/>
    <m/>
    <m/>
    <m/>
    <m/>
  </r>
  <r>
    <m/>
    <m/>
    <x v="195"/>
    <x v="60"/>
    <m/>
    <s v="“İntravitreal Enjeksiyon Yapılan Yaşa Bağlı Makula Dejenerasyonuna Sahip Olan Hastalarda Non Kontakt Speküler Konfokal Mikroskopi İle Korneal Parametrelerin Değerlendirilmesi”"/>
    <m/>
    <m/>
    <m/>
    <m/>
    <m/>
    <m/>
    <m/>
    <m/>
    <m/>
    <m/>
  </r>
  <r>
    <m/>
    <m/>
    <x v="195"/>
    <x v="60"/>
    <m/>
    <s v="“Çocuklarda Post Enfeksiyöz Bronşiolitis Obliterans Gelişmesinin Genetik Temellerinin Belirlenmesi”"/>
    <m/>
    <m/>
    <m/>
    <m/>
    <m/>
    <m/>
    <m/>
    <m/>
    <m/>
    <m/>
  </r>
  <r>
    <m/>
    <m/>
    <x v="195"/>
    <x v="60"/>
    <m/>
    <s v="“Kemoterapötik İlaç Hazırlayan ve Uygulayan Hemşirelerde Olası Toksik Etkilerin Değerlendirilmesi”"/>
    <m/>
    <m/>
    <m/>
    <m/>
    <m/>
    <m/>
    <m/>
    <m/>
    <m/>
    <m/>
  </r>
  <r>
    <m/>
    <m/>
    <x v="195"/>
    <x v="60"/>
    <m/>
    <s v="“Metastatik Kolorektal Adenokarsinomunda Karaciğer Metastazektomisi Sonrası Adjuvan Tedavilerin Etkinliğinin Değerlendirilmesi”"/>
    <m/>
    <m/>
    <m/>
    <m/>
    <m/>
    <m/>
    <m/>
    <m/>
    <m/>
    <m/>
  </r>
  <r>
    <m/>
    <m/>
    <x v="195"/>
    <x v="60"/>
    <m/>
    <s v="&quot;Çocukluk Çağı Aşılarına Karşı Antikor Düzeylerinin Değerlendirilmesi&quot;"/>
    <m/>
    <m/>
    <m/>
    <m/>
    <m/>
    <m/>
    <m/>
    <m/>
    <m/>
    <m/>
  </r>
  <r>
    <m/>
    <m/>
    <x v="195"/>
    <x v="60"/>
    <m/>
    <s v="“Pediatrik Ampiyemde Streptococcus Pneumoniae’nin Rolü: Tanıdaki Gelişmeler ve Epidemiyolojik Bulgular”"/>
    <m/>
    <m/>
    <m/>
    <m/>
    <m/>
    <m/>
    <m/>
    <m/>
    <m/>
    <m/>
  </r>
  <r>
    <m/>
    <m/>
    <x v="195"/>
    <x v="60"/>
    <m/>
    <s v="“Superior Mezenter Arter Sendromu Tedavisinde Beslenme Desteği ve Sonuçları”"/>
    <m/>
    <m/>
    <m/>
    <m/>
    <m/>
    <m/>
    <m/>
    <m/>
    <m/>
    <m/>
  </r>
  <r>
    <m/>
    <m/>
    <x v="195"/>
    <x v="60"/>
    <m/>
    <s v="“Eozinofilik Özofajit Gelişen Özofagus Atrezili Olgularda Oral Mikrobiyom ve Metabolomik Profillerinin İncelenmesi”"/>
    <m/>
    <m/>
    <m/>
    <m/>
    <m/>
    <m/>
    <m/>
    <m/>
    <m/>
    <m/>
  </r>
  <r>
    <m/>
    <m/>
    <x v="195"/>
    <x v="60"/>
    <m/>
    <s v="“Septal Perforasyon Onarımı Sonrası Mukosiliyer Klirens değerlendirilmesi: Rinosintigrafi ve Sakkarin Testi ile Karşılaştırmalı Analiz”"/>
    <m/>
    <m/>
    <m/>
    <m/>
    <m/>
    <m/>
    <m/>
    <m/>
    <m/>
    <m/>
  </r>
  <r>
    <m/>
    <m/>
    <x v="195"/>
    <x v="60"/>
    <m/>
    <s v="“Ortognatik Cerrahi Takiplerinde Karşılaşılan Nörosensoriyel Bozuklukların Klinik Testler ile Değerlendirilmesi ve Yaşam Kalitesi Üzerine Etkisi”"/>
    <m/>
    <m/>
    <m/>
    <m/>
    <m/>
    <m/>
    <m/>
    <m/>
    <m/>
    <m/>
  </r>
  <r>
    <m/>
    <m/>
    <x v="195"/>
    <x v="6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95"/>
    <x v="60"/>
    <m/>
    <s v="“Sarkoidoz Hastalarının İmmünolojik Açıdan Değerlendirilmesi”"/>
    <m/>
    <m/>
    <m/>
    <m/>
    <m/>
    <m/>
    <m/>
    <m/>
    <m/>
    <m/>
  </r>
  <r>
    <m/>
    <m/>
    <x v="195"/>
    <x v="60"/>
    <m/>
    <s v="“Rejeneratif Endodontik Tedavide Kullanılan Materyallerin Simüle Dişlerin Kırılma Dayanımına Etkisi: Laboratuvar Çalışması”"/>
    <m/>
    <m/>
    <m/>
    <m/>
    <m/>
    <m/>
    <m/>
    <m/>
    <m/>
    <m/>
  </r>
  <r>
    <m/>
    <m/>
    <x v="195"/>
    <x v="60"/>
    <m/>
    <s v="“Fertil Yaş Grubunda Myomektomi Sonrası Gerçekleşen Gebeliklerin Myomektomi Zamanı ile Gebelik Zamanı Arasında Geçen Sürelerin ve Gebelik Sonuçlarının Retrospektif Olarak Araştırılması”"/>
    <m/>
    <m/>
    <m/>
    <m/>
    <m/>
    <m/>
    <m/>
    <m/>
    <m/>
    <m/>
  </r>
  <r>
    <m/>
    <m/>
    <x v="195"/>
    <x v="60"/>
    <m/>
    <s v="“Titanyum Tabanlı Monolitik Zirkonya Köprülerin Klinik Değerlendirmesi: Bir Retrospektif Takip Çalışması”"/>
    <m/>
    <m/>
    <m/>
    <m/>
    <m/>
    <m/>
    <m/>
    <m/>
    <m/>
    <m/>
  </r>
  <r>
    <m/>
    <m/>
    <x v="195"/>
    <x v="60"/>
    <m/>
    <s v="“Testiküler Germ Hücreli Tümörlerde Tedavi Yanıtı ve Prognoz ile İlişkilendirilebilecek Biyobelirteçlerin Araştırılması”"/>
    <m/>
    <m/>
    <m/>
    <m/>
    <m/>
    <m/>
    <m/>
    <m/>
    <m/>
    <m/>
  </r>
  <r>
    <m/>
    <m/>
    <x v="195"/>
    <x v="60"/>
    <m/>
    <s v="“Anoreksiya Nervoza Hastalarında Solunum Fonksiyonları ile Kas Kalınlığı ve Kuvveti Arasındaki İlişkinin Araştırılması: Vaka-Kontrol ve İzlem Çalışması”"/>
    <m/>
    <m/>
    <m/>
    <m/>
    <m/>
    <m/>
    <m/>
    <m/>
    <m/>
    <m/>
  </r>
  <r>
    <m/>
    <m/>
    <x v="195"/>
    <x v="60"/>
    <m/>
    <s v="“Kalsiyum Silikat ve Kalsiyum Hidroksit Kontaminasyonunun Universal Adezivlerin Dentin Yüzeylerine Bağlanma Dayanımı Üzerindeki Etkisi”"/>
    <m/>
    <m/>
    <m/>
    <m/>
    <m/>
    <m/>
    <m/>
    <m/>
    <m/>
    <m/>
  </r>
  <r>
    <m/>
    <m/>
    <x v="195"/>
    <x v="60"/>
    <m/>
    <s v="“Pediatrik Hiperlipidemi Hastalarında Glikolizasyon Profil  Karşılaştırması”"/>
    <m/>
    <m/>
    <m/>
    <m/>
    <m/>
    <m/>
    <m/>
    <m/>
    <m/>
    <m/>
  </r>
  <r>
    <m/>
    <m/>
    <x v="195"/>
    <x v="60"/>
    <m/>
    <s v="“Türkiye'de Steril Vücut Sıvılarında Streptococcus Pneumoniae Serogruplarının Prevalansı: Çok Merkezli, Prospektif Çalışma”"/>
    <m/>
    <m/>
    <m/>
    <m/>
    <m/>
    <m/>
    <m/>
    <m/>
    <m/>
    <m/>
  </r>
  <r>
    <m/>
    <m/>
    <x v="195"/>
    <x v="60"/>
    <m/>
    <s v="“Kullanılmış İnsülin İğnelerinin İmha Yöntemlerinin Tespiti: Türkiye’de Bir Aile Sağlığı Merkezi’nde Yapılandırılmış Hasta Eğitimi Müdahalesinin Sürdürülebilir Evsel Tıbbi Atık Yönetimine Etkisinin Değerlendirilmesi”"/>
    <m/>
    <m/>
    <m/>
    <m/>
    <m/>
    <m/>
    <m/>
    <m/>
    <m/>
    <m/>
  </r>
  <r>
    <m/>
    <m/>
    <x v="195"/>
    <x v="60"/>
    <m/>
    <s v="“Ambulans Çağrısı Sonrası Hastaneye Nakledilmeyen Hasta Özelliklerinin İncelenmesi ve Alternatif Bakım Önerilerinin Değerlendirilmesi”"/>
    <m/>
    <m/>
    <m/>
    <m/>
    <m/>
    <m/>
    <m/>
    <m/>
    <m/>
    <m/>
  </r>
  <r>
    <m/>
    <m/>
    <x v="195"/>
    <x v="60"/>
    <m/>
    <s v="“Orta Dönemde Bakılan Serum ve İdrar Metal İyon Seviyeleri, Metal-Metal Kalça Artroplastisinin On İki Yıllık Sağkalımım Öngörebilir mi?”"/>
    <m/>
    <m/>
    <m/>
    <m/>
    <m/>
    <m/>
    <m/>
    <m/>
    <m/>
    <m/>
  </r>
  <r>
    <m/>
    <m/>
    <x v="195"/>
    <x v="60"/>
    <m/>
    <s v="&quot;Rekreasyonel Sporcuların Maksimal Oksijen Tüketim Düzeyleri ile Vücut Kompozisyonu Arasındaki İlişkinin Belirlenmesi&quot;"/>
    <m/>
    <m/>
    <m/>
    <m/>
    <m/>
    <m/>
    <m/>
    <m/>
    <m/>
    <m/>
  </r>
  <r>
    <m/>
    <m/>
    <x v="195"/>
    <x v="60"/>
    <m/>
    <s v="“Uyku Sağlığı Okuryazarlığı Ölçeğinin Türkçe Geçerlik ve Güvenirlik Çalışması&quot;"/>
    <m/>
    <m/>
    <m/>
    <m/>
    <m/>
    <m/>
    <m/>
    <m/>
    <m/>
    <m/>
  </r>
  <r>
    <m/>
    <m/>
    <x v="195"/>
    <x v="60"/>
    <m/>
    <s v="“Videoürodinami Tetkiki Öncesi Hastanın Skopi İşlemi Sırasında Maruz Kalacağı Radyasyon Miktarını Öngörücü Faktörlerin ve Videoürodinami Tetkiki ile Kadın İşeme Fonksiyonun Tanımlanması”"/>
    <m/>
    <m/>
    <m/>
    <m/>
    <m/>
    <m/>
    <m/>
    <m/>
    <m/>
    <m/>
  </r>
  <r>
    <m/>
    <m/>
    <x v="195"/>
    <x v="60"/>
    <m/>
    <s v="“Rekürren Glial Tümörlerde Robotik Jiroskopik Lattice Tedavisi ile Reirradyasyon: Klinik Sonuçlar ve Yaşam Kalitesinin Değerlendirilmesi”"/>
    <m/>
    <m/>
    <m/>
    <m/>
    <m/>
    <m/>
    <m/>
    <m/>
    <m/>
    <m/>
  </r>
  <r>
    <m/>
    <m/>
    <x v="195"/>
    <x v="60"/>
    <m/>
    <s v="“Total Kalça Protezi Yapılan Hastalarda Gelişen Periprostetik Kırıkların Uzun Dönem Sonuçları ve Sağkalım Analizi”"/>
    <m/>
    <m/>
    <m/>
    <m/>
    <m/>
    <m/>
    <m/>
    <m/>
    <m/>
    <m/>
  </r>
  <r>
    <m/>
    <m/>
    <x v="195"/>
    <x v="60"/>
    <m/>
    <s v="“Acil Serviste Fraktür Şüphesi Taşıyan Hastalara Çekilen Pelvis Bilgisayarlı              Tomografi Görüntülerinin Yapay Zeka ile Değerlendirilmesi”"/>
    <m/>
    <m/>
    <m/>
    <m/>
    <m/>
    <m/>
    <m/>
    <m/>
    <m/>
    <m/>
  </r>
  <r>
    <m/>
    <m/>
    <x v="195"/>
    <x v="60"/>
    <m/>
    <s v="“Bir Aile Sağlığı Merkezi’ne Başvuran Erişkin Bireylerin Hipnoterapi Konusundaki Bilgi ve Tutumlarının İncelenmesi”"/>
    <m/>
    <m/>
    <m/>
    <m/>
    <m/>
    <m/>
    <m/>
    <m/>
    <m/>
    <m/>
  </r>
  <r>
    <m/>
    <m/>
    <x v="195"/>
    <x v="60"/>
    <m/>
    <s v="“Otoinflamatuvar Hastalıklarda Akciğer Tutulumunun Değerlendirilmesi”"/>
    <m/>
    <m/>
    <m/>
    <m/>
    <m/>
    <m/>
    <m/>
    <m/>
    <m/>
    <m/>
  </r>
  <r>
    <m/>
    <m/>
    <x v="195"/>
    <x v="60"/>
    <m/>
    <s v="“Psöriatik Artrit ve Psöriasis Tanılı Hastaların Tırnak Yatağı Kapilleroskopi Değerlendirmesi”"/>
    <m/>
    <m/>
    <m/>
    <m/>
    <m/>
    <m/>
    <m/>
    <m/>
    <m/>
    <m/>
  </r>
  <r>
    <m/>
    <m/>
    <x v="195"/>
    <x v="60"/>
    <m/>
    <s v="“Otoimmün Hastalıklarda Eşlik Eden Ek Otoimmün Hastalıkların İncelenmesi”"/>
    <m/>
    <m/>
    <m/>
    <m/>
    <m/>
    <m/>
    <m/>
    <m/>
    <m/>
    <m/>
  </r>
  <r>
    <m/>
    <m/>
    <x v="195"/>
    <x v="60"/>
    <m/>
    <s v="“Juvenil İdiyopatik Artritte Hastalık Gidişatının Değerlendirilmesinde Kalprotektinin Yeri”"/>
    <m/>
    <m/>
    <m/>
    <m/>
    <m/>
    <m/>
    <m/>
    <m/>
    <m/>
    <m/>
  </r>
  <r>
    <m/>
    <m/>
    <x v="195"/>
    <x v="60"/>
    <m/>
    <s v="“6-18 Yaş Arası Besin İlişkili IgE Aracılı Reaksiyonu Olan Hastaların Değerlendirilmesi”"/>
    <m/>
    <m/>
    <m/>
    <m/>
    <m/>
    <m/>
    <m/>
    <m/>
    <m/>
    <m/>
  </r>
  <r>
    <m/>
    <m/>
    <x v="195"/>
    <x v="60"/>
    <m/>
    <s v="“Astım Hastalarında Yorgunluk Düzeyinin Astım Kontrol Durumu ile İlişkisinin Değerlendirilmesi”"/>
    <m/>
    <m/>
    <m/>
    <m/>
    <m/>
    <m/>
    <m/>
    <m/>
    <m/>
    <m/>
  </r>
  <r>
    <m/>
    <m/>
    <x v="195"/>
    <x v="60"/>
    <m/>
    <s v="“Antiepileptik İlaç Aşırı Duyarlılık Reaksiyonlarının Klinik ve Laboratuvar Özelliklerinin Risk Analizi ile Değerlendirilmesi”"/>
    <m/>
    <m/>
    <m/>
    <m/>
    <m/>
    <m/>
    <m/>
    <m/>
    <m/>
    <m/>
  </r>
  <r>
    <m/>
    <m/>
    <x v="195"/>
    <x v="60"/>
    <m/>
    <s v="“Çocukluk Çağı IgG4 İlişkili Hastalık: Çok Merkezli Uluslararası Çalışma”"/>
    <m/>
    <m/>
    <m/>
    <m/>
    <m/>
    <m/>
    <m/>
    <m/>
    <m/>
    <m/>
  </r>
  <r>
    <m/>
    <m/>
    <x v="195"/>
    <x v="60"/>
    <m/>
    <s v="“Kronik Böbrek Hastalarında Glisemik Değişkenlik ve Metabolik Profilin İncelenmesi”"/>
    <m/>
    <m/>
    <m/>
    <m/>
    <m/>
    <m/>
    <m/>
    <m/>
    <m/>
    <m/>
  </r>
  <r>
    <m/>
    <m/>
    <x v="195"/>
    <x v="60"/>
    <m/>
    <s v="“Adli Tıp Araştırma Görevlilerinin İstifalarına Yönelik Değerlendirme: Bir Anket Çalışması”"/>
    <m/>
    <m/>
    <m/>
    <m/>
    <m/>
    <m/>
    <m/>
    <m/>
    <m/>
    <m/>
  </r>
  <r>
    <m/>
    <m/>
    <x v="195"/>
    <x v="60"/>
    <m/>
    <s v="“Abdominal ve Torasik Aort Anevrizma Olgularında Endovasküler Onarım Sırasındaki Anestezi Yaklaşımının Klinik Sonuçlar Üzerine Etkilerinin Retrospektif Olarak İncelenmesi”"/>
    <m/>
    <m/>
    <m/>
    <m/>
    <m/>
    <m/>
    <m/>
    <m/>
    <m/>
    <m/>
  </r>
  <r>
    <m/>
    <m/>
    <x v="195"/>
    <x v="60"/>
    <m/>
    <s v="“Ortodontik Tedavi Sürecinin Keratinize Diş Eti Özellikleri Üzerine Etkisinin İncelenmesi”"/>
    <m/>
    <m/>
    <m/>
    <m/>
    <m/>
    <m/>
    <m/>
    <m/>
    <m/>
    <m/>
  </r>
  <r>
    <m/>
    <m/>
    <x v="195"/>
    <x v="60"/>
    <m/>
    <s v="“Ankara’da Çalışan Aile Hekimlerinin Çalıştıkları İlçenin Sosyo-Ekonomik Gelişmişlik Düzeyi ile Tükenmişlik Durumları Arasındaki İlişkinin Değerlendirilmesi”"/>
    <m/>
    <m/>
    <m/>
    <m/>
    <m/>
    <m/>
    <m/>
    <m/>
    <m/>
    <m/>
  </r>
  <r>
    <m/>
    <m/>
    <x v="195"/>
    <x v="60"/>
    <m/>
    <s v="“Ankilozan Spondiliti Olan ve Olmayan Bireylerde Aşil, Plantar Fasya, Supraspinatus Entez Bölgelerinin Shear Wave Elastografi ile Değerlendirilmesi”"/>
    <m/>
    <m/>
    <m/>
    <m/>
    <m/>
    <m/>
    <m/>
    <m/>
    <m/>
    <m/>
  </r>
  <r>
    <m/>
    <m/>
    <x v="195"/>
    <x v="60"/>
    <m/>
    <s v="“Erken Başlangıçlı Skolyozda Tweener Grubunun Cerrahi Tedavisinde Büyüyen Rod Uygulamaları ile Posterior Spinal Füzyonun Orta-Uzun Dönem Sonuçlarının Karşılaştırılması”"/>
    <m/>
    <m/>
    <m/>
    <m/>
    <m/>
    <m/>
    <m/>
    <m/>
    <m/>
    <m/>
  </r>
  <r>
    <m/>
    <m/>
    <x v="195"/>
    <x v="60"/>
    <m/>
    <s v="“Serebral Palsili Çocuklarda Kalça Cerrahisi Sonrası Tekrar Çıkık Gelişimini Etkileyen Faktörler”"/>
    <m/>
    <m/>
    <m/>
    <m/>
    <m/>
    <m/>
    <m/>
    <m/>
    <m/>
    <m/>
  </r>
  <r>
    <m/>
    <m/>
    <x v="195"/>
    <x v="60"/>
    <m/>
    <s v="“Pediatrik Popülasyonda Pelvik BT ile Asetabular Sektör Açıları ve Femoroasetabular Parametreler Arasındaki Korelasyonun Değerlendirilmesi ve Normatif Referans Değerlerin Belirlenmesi”"/>
    <m/>
    <m/>
    <m/>
    <m/>
    <m/>
    <m/>
    <m/>
    <m/>
    <m/>
    <m/>
  </r>
  <r>
    <m/>
    <m/>
    <x v="195"/>
    <x v="60"/>
    <m/>
    <s v="“Panoramik Radyograflarda Derin Öğrenme Yöntemiyle Gelistirilen Yapay Zeka Algoritmasıyla Mandibulada Idiyopatik Osteoskleroz ile Kondensing Osteitisin Tespitinin ve Ayrımının Yapılması”"/>
    <m/>
    <m/>
    <m/>
    <m/>
    <m/>
    <m/>
    <m/>
    <m/>
    <m/>
    <m/>
  </r>
  <r>
    <m/>
    <m/>
    <x v="195"/>
    <x v="60"/>
    <m/>
    <s v="“Geriatrik Jinekolojik Hastalarda Cerrahi Morbiditenin İncelenmesi”"/>
    <m/>
    <m/>
    <m/>
    <m/>
    <m/>
    <m/>
    <m/>
    <m/>
    <m/>
    <m/>
  </r>
  <r>
    <m/>
    <m/>
    <x v="195"/>
    <x v="60"/>
    <m/>
    <s v="“İzole Humerus Kırığı İle Prezente Olan Endometrium Kanseri Vaka Raporu”"/>
    <m/>
    <m/>
    <m/>
    <m/>
    <m/>
    <m/>
    <m/>
    <m/>
    <m/>
    <m/>
  </r>
  <r>
    <m/>
    <m/>
    <x v="195"/>
    <x v="60"/>
    <m/>
    <s v="“Kanıta Dayalı Eğitim Müdahaleleri ile Lipid Profili Test İstemlerinin Optimizasyonu: Kalite Geliştirme Çalışması”"/>
    <m/>
    <m/>
    <m/>
    <m/>
    <m/>
    <m/>
    <m/>
    <m/>
    <m/>
    <m/>
  </r>
  <r>
    <m/>
    <m/>
    <x v="195"/>
    <x v="60"/>
    <m/>
    <s v="“Aile Sağlığı Merkezlerinde Aile Hekimleri Tarafından Yapılacak Bakım Noktası Ultrasonografisi: Erişkin Bireylerin Tutum ve Güveni”"/>
    <m/>
    <m/>
    <m/>
    <m/>
    <m/>
    <m/>
    <m/>
    <m/>
    <m/>
    <m/>
  </r>
  <r>
    <m/>
    <m/>
    <x v="195"/>
    <x v="60"/>
    <m/>
    <s v="“Borderline Over Tümörlerinde Histerektominin Prognoza Etkisi”"/>
    <m/>
    <m/>
    <m/>
    <m/>
    <m/>
    <m/>
    <m/>
    <m/>
    <m/>
    <m/>
  </r>
  <r>
    <m/>
    <m/>
    <x v="195"/>
    <x v="60"/>
    <m/>
    <s v="“IL-23 İnhibitörü Kullanan Hastalarda Üçüncü Ay Yanıtlarının Birinci Yıl Yanıtlarıyla Korelasyonu”"/>
    <m/>
    <m/>
    <m/>
    <m/>
    <m/>
    <m/>
    <m/>
    <m/>
    <m/>
    <m/>
  </r>
  <r>
    <m/>
    <m/>
    <x v="195"/>
    <x v="60"/>
    <m/>
    <s v="“Kol Salınımının Derinlik Sıçraması Optimal Düşüş Yüksekliğine Etkisinin İncelenmesi”"/>
    <m/>
    <m/>
    <m/>
    <m/>
    <m/>
    <m/>
    <m/>
    <m/>
    <m/>
    <m/>
  </r>
  <r>
    <m/>
    <m/>
    <x v="195"/>
    <x v="60"/>
    <m/>
    <s v="“Yardımcı Üreme Tekniklerine Başvuran Kadınlarla Güçlendirme Odaklı Sosyal Hizmet Grup Müdahalesi”"/>
    <m/>
    <m/>
    <m/>
    <m/>
    <m/>
    <m/>
    <m/>
    <m/>
    <m/>
    <m/>
  </r>
  <r>
    <m/>
    <m/>
    <x v="195"/>
    <x v="60"/>
    <m/>
    <s v="“Kalsiyum Silikat Esaslı Kök Kanal Dolgu Maddelerinin Kanal Tedavili Dişlerin Kırılma Dayanımına Etkisinde Kalsiyum Hidroksitin Rolü”"/>
    <m/>
    <m/>
    <m/>
    <m/>
    <m/>
    <m/>
    <m/>
    <m/>
    <m/>
    <m/>
  </r>
  <r>
    <m/>
    <m/>
    <x v="195"/>
    <x v="60"/>
    <m/>
    <s v="“Kök Kanalında Kırılan Farklı Döner Eğelerin Kanaldan Uzaklaştırılması Sırasındaki Dentin Kalınlığındaki Değişimin ve Apikalden Taşan Debrisin Değerlendirilmesi”"/>
    <m/>
    <m/>
    <m/>
    <m/>
    <m/>
    <m/>
    <m/>
    <m/>
    <m/>
    <m/>
  </r>
  <r>
    <m/>
    <m/>
    <x v="195"/>
    <x v="60"/>
    <m/>
    <s v="“Retroperitoneal Fibrozisli IgG4 İlişkili Hastalığı Bulunan Hastaların Romatolojik ve Ürolojik Açıdan Mortalite, Morbitide, Prognozlarının ve Tedavi Yaklaşımlarının Değerlendirilendirilmesi”"/>
    <m/>
    <m/>
    <m/>
    <m/>
    <m/>
    <m/>
    <m/>
    <m/>
    <m/>
    <m/>
  </r>
  <r>
    <m/>
    <m/>
    <x v="195"/>
    <x v="60"/>
    <m/>
    <s v="&quot;Fertilite Koruyucu Tedavi Uygulanan Endometrium Kanseri ve Endometrial İntraepitelyal Neoplazi Tanılı Hastalarda Moleküler Sınıflandırmanın Prognoza Etkisi”"/>
    <m/>
    <m/>
    <m/>
    <m/>
    <m/>
    <m/>
    <m/>
    <m/>
    <m/>
    <m/>
  </r>
  <r>
    <m/>
    <m/>
    <x v="195"/>
    <x v="60"/>
    <m/>
    <s v="“Mandibuler Distraktör Takılan Pediatrik Hastalarda Perioperatif Komlikasyonların Retrospektrif İncelenmesi”"/>
    <m/>
    <m/>
    <m/>
    <m/>
    <m/>
    <m/>
    <m/>
    <m/>
    <m/>
    <m/>
  </r>
  <r>
    <m/>
    <m/>
    <x v="195"/>
    <x v="60"/>
    <m/>
    <s v="“Pnömosistis Jirovecii Pnömonisi Tanısı Koyulan Hastalarda Risk Faktörleri ve Tedavi Yanıtlarının Değerlendirilmesi”"/>
    <m/>
    <m/>
    <m/>
    <m/>
    <m/>
    <m/>
    <m/>
    <m/>
    <m/>
    <m/>
  </r>
  <r>
    <m/>
    <m/>
    <x v="195"/>
    <x v="60"/>
    <m/>
    <s v="“Kök Kanal Tedavili Dişlerin Kırılma Dayanımında Gütaperkanın Tavsiye Edilen Tüketim Tarihinin Rolü”"/>
    <m/>
    <m/>
    <m/>
    <m/>
    <m/>
    <m/>
    <m/>
    <m/>
    <m/>
    <m/>
  </r>
  <r>
    <m/>
    <m/>
    <x v="195"/>
    <x v="60"/>
    <m/>
    <s v="“Cinsel Yolla Bulaşan Enfeksiyonlarda Risk Paternlerinin Veri Odaklı Keşfi: Makine Öğrenimi Yaklaşımı”"/>
    <m/>
    <m/>
    <m/>
    <m/>
    <m/>
    <m/>
    <m/>
    <m/>
    <m/>
    <m/>
  </r>
  <r>
    <m/>
    <m/>
    <x v="195"/>
    <x v="60"/>
    <m/>
    <s v="“Adipozite İndeksleri İle Geriatrik Sendromlar Arasındaki İlişki”"/>
    <m/>
    <m/>
    <m/>
    <m/>
    <m/>
    <m/>
    <m/>
    <m/>
    <m/>
    <m/>
  </r>
  <r>
    <m/>
    <m/>
    <x v="195"/>
    <x v="60"/>
    <m/>
    <s v="“Kişiye Özel İmplantlar İle Yapılan Le Fort 1 Cerrahisinde Maksilla Pozisyonunun Doğruluğunun İncelenmesi”"/>
    <m/>
    <m/>
    <m/>
    <m/>
    <m/>
    <m/>
    <m/>
    <m/>
    <m/>
    <m/>
  </r>
  <r>
    <m/>
    <m/>
    <x v="195"/>
    <x v="60"/>
    <m/>
    <s v="“Migren Tedavisi Optimizasyon Anketi (MTOQ)-4&quot;ün Türkçe Geçerlik ve Güvenirlik Çalışması”"/>
    <m/>
    <m/>
    <m/>
    <m/>
    <m/>
    <m/>
    <m/>
    <m/>
    <m/>
    <m/>
  </r>
  <r>
    <m/>
    <m/>
    <x v="195"/>
    <x v="60"/>
    <m/>
    <s v="“Kronik Hastalıklarda Doktor-Hasta İlişkisi Ölçeği’nin Türkçe Geçerlik ve Güvenirlik Çalışması”"/>
    <m/>
    <m/>
    <m/>
    <m/>
    <m/>
    <m/>
    <m/>
    <m/>
    <m/>
    <m/>
  </r>
  <r>
    <m/>
    <m/>
    <x v="195"/>
    <x v="6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95"/>
    <x v="60"/>
    <m/>
    <s v="“Prostat ve Mesane Kanserlerinde DNA Hasar Yanıtının Hedeflenmesi: Preklinik Modelleme&quot;"/>
    <m/>
    <m/>
    <m/>
    <m/>
    <m/>
    <m/>
    <m/>
    <m/>
    <m/>
    <m/>
  </r>
  <r>
    <m/>
    <m/>
    <x v="195"/>
    <x v="60"/>
    <m/>
    <s v="“Leiomyoma Tanısıyla Opere Edilen Ve Fumarat Hidrataz Eksikliği Saptanan Hastaların Klinik Sonuçlarının Değerlendirilmesi”"/>
    <m/>
    <m/>
    <m/>
    <m/>
    <m/>
    <m/>
    <m/>
    <m/>
    <m/>
    <m/>
  </r>
  <r>
    <m/>
    <m/>
    <x v="195"/>
    <x v="60"/>
    <m/>
    <s v="“Bir Üniversite Hastanesindeki Diş Hekimlerinin Dental Anksiyete Konusundaki Bilgi, Farkındalık ve Yönetim Stratejilerinin Değerlendirilmesi”"/>
    <m/>
    <m/>
    <m/>
    <m/>
    <m/>
    <m/>
    <m/>
    <m/>
    <m/>
    <m/>
  </r>
  <r>
    <m/>
    <m/>
    <x v="195"/>
    <x v="60"/>
    <m/>
    <s v="“Aktive Fosfoinositid 3-Kinaz Delta| Sendromu Tanısında Laboratuvar Testlerinin Karşılaştırılması”"/>
    <m/>
    <m/>
    <m/>
    <m/>
    <m/>
    <m/>
    <m/>
    <m/>
    <m/>
    <m/>
  </r>
  <r>
    <m/>
    <m/>
    <x v="195"/>
    <x v="60"/>
    <m/>
    <s v="“Kistik Fibrozisli Çocuklarda İlk Asemptomatik Metisilin Dirençli Staphylococcus aureus Üremesine Yönelik Antibiyotik Tedavisi Verilmesinin Klinik Duruma Etkisi”"/>
    <m/>
    <m/>
    <m/>
    <m/>
    <m/>
    <m/>
    <m/>
    <m/>
    <m/>
    <m/>
  </r>
  <r>
    <m/>
    <m/>
    <x v="195"/>
    <x v="60"/>
    <m/>
    <s v="“46,XY Cinsiyet Gelişim Bozukluğu Tanılı Hastalarda Moleküler Etiyolojinin Araştırılması”"/>
    <m/>
    <m/>
    <m/>
    <m/>
    <m/>
    <m/>
    <m/>
    <m/>
    <m/>
    <m/>
  </r>
  <r>
    <m/>
    <m/>
    <x v="195"/>
    <x v="60"/>
    <m/>
    <s v="“İnek Sütü Alerjisi Olan Çocuklarda Serum Albümin Duyarlılığı ve Sığır Eti Alerjisi Birlikteliğinin Değerlendirilmesi”"/>
    <m/>
    <m/>
    <m/>
    <m/>
    <m/>
    <m/>
    <m/>
    <m/>
    <m/>
    <m/>
  </r>
  <r>
    <m/>
    <m/>
    <x v="195"/>
    <x v="60"/>
    <m/>
    <s v="“Psödohipoparatiroidizmin Klinik ve Laboratuvar Özellikleri ile Genotip-Fenotip İlişkisi”"/>
    <m/>
    <m/>
    <m/>
    <m/>
    <m/>
    <m/>
    <m/>
    <m/>
    <m/>
    <m/>
  </r>
  <r>
    <m/>
    <m/>
    <x v="195"/>
    <x v="60"/>
    <m/>
    <s v="“Fossa Vermiana’nın Morfolojik ve Morfometrik Olarak İncelenmesi”"/>
    <m/>
    <m/>
    <m/>
    <m/>
    <m/>
    <m/>
    <m/>
    <m/>
    <m/>
    <m/>
  </r>
  <r>
    <m/>
    <m/>
    <x v="195"/>
    <x v="60"/>
    <m/>
    <s v="“Çocukluk Çağında Dirençli Epilepside Uyku Bozuklukları ve Diğer Komorbid Durumların Değerlendirilmesi”"/>
    <m/>
    <m/>
    <m/>
    <m/>
    <m/>
    <m/>
    <m/>
    <m/>
    <m/>
    <m/>
  </r>
  <r>
    <m/>
    <m/>
    <x v="195"/>
    <x v="60"/>
    <m/>
    <s v="“Kornea Endotelini Etkileyen Hastalıklarda İnvivo Konfokal Mikroskopi Görüntülerinin Derin Öğrenme Tabanlı Bilgisayarlı Görü Yöntemleriyle Sınıflandırılması”"/>
    <m/>
    <m/>
    <m/>
    <m/>
    <m/>
    <m/>
    <m/>
    <m/>
    <m/>
    <m/>
  </r>
  <r>
    <m/>
    <m/>
    <x v="195"/>
    <x v="60"/>
    <m/>
    <s v="“Yaşlı Bireylerde Farklı Formüllerle Hesaplanan Glomerüler Filtrasyon Hızı ile Kognitif Fonksiyonların ilişkisi”"/>
    <m/>
    <m/>
    <m/>
    <m/>
    <m/>
    <m/>
    <m/>
    <m/>
    <m/>
    <m/>
  </r>
  <r>
    <m/>
    <m/>
    <x v="195"/>
    <x v="60"/>
    <m/>
    <s v="“Kök Kanalında Farklı Uzunluklarda Kırılan Nikel-Titanyum Eğelerin Farklı Yöntemler ile Uzaklaştırılmasının Apikalden Taşan Debrise Etkisi”"/>
    <m/>
    <m/>
    <m/>
    <m/>
    <m/>
    <m/>
    <m/>
    <m/>
    <m/>
    <m/>
  </r>
  <r>
    <m/>
    <m/>
    <x v="195"/>
    <x v="60"/>
    <m/>
    <s v="“Türkiye 65 Yaş Üstü Popülasyonunda Yaşa ve Cinsiyete Göre Baldır Çevresi Persentil Eğrilerinin Oluşturulması: Tek Merkezli Kesitsel Bir Çalışma”"/>
    <m/>
    <m/>
    <m/>
    <m/>
    <m/>
    <m/>
    <m/>
    <m/>
    <m/>
    <m/>
  </r>
  <r>
    <m/>
    <m/>
    <x v="195"/>
    <x v="60"/>
    <m/>
    <s v="“Kartilaj Slop ve Ön Çapraz Bağı Rüptürü Risk Faktörlerinin Merge MRG ile Değerlendirilmesi”"/>
    <m/>
    <m/>
    <m/>
    <m/>
    <m/>
    <m/>
    <m/>
    <m/>
    <m/>
    <m/>
  </r>
  <r>
    <m/>
    <m/>
    <x v="195"/>
    <x v="60"/>
    <m/>
    <s v="“Sigara İçen ve İçmeyen Bireylerde D Vitamini Seviyeleri ile İnflamatuar Biyobelirteçler (CRP, IL-17, IL-19) Arasındaki İlişkinin Değerlendirilmesi”"/>
    <m/>
    <m/>
    <m/>
    <m/>
    <m/>
    <m/>
    <m/>
    <m/>
    <m/>
    <m/>
  </r>
  <r>
    <m/>
    <m/>
    <x v="195"/>
    <x v="60"/>
    <m/>
    <s v="“Farklı Konsantrasyonlarda ve Taşıyıcılarla Hazırlanan Kalsiyum Hidroksitin Apikalden Taşma Miktarının İn Vitro Değerlendirilmesi”"/>
    <m/>
    <m/>
    <m/>
    <m/>
    <m/>
    <m/>
    <m/>
    <m/>
    <m/>
    <m/>
  </r>
  <r>
    <m/>
    <m/>
    <x v="195"/>
    <x v="60"/>
    <m/>
    <s v="“Çocuklarda Duodenogastrik Reflü Hastalığı: Bu Bir Fonksiyonel Gastrointestinal Hastalık mıdır?”"/>
    <m/>
    <m/>
    <m/>
    <m/>
    <m/>
    <m/>
    <m/>
    <m/>
    <m/>
    <m/>
  </r>
  <r>
    <m/>
    <m/>
    <x v="195"/>
    <x v="60"/>
    <m/>
    <s v="“AtopikDermatit Tanılı Adölesan Hastalarda Uyku ve Yasam Kalitesinin Değerlendirilmesi”"/>
    <m/>
    <m/>
    <m/>
    <m/>
    <m/>
    <m/>
    <m/>
    <m/>
    <m/>
    <m/>
  </r>
  <r>
    <m/>
    <m/>
    <x v="195"/>
    <x v="60"/>
    <m/>
    <s v="“Schwartz Jampel Sendromunda Metabolik Yolakların Araştırılması ve Terapötik Yaklaşım Hedefleri”"/>
    <m/>
    <m/>
    <m/>
    <m/>
    <m/>
    <m/>
    <m/>
    <m/>
    <m/>
    <m/>
  </r>
  <r>
    <m/>
    <m/>
    <x v="195"/>
    <x v="60"/>
    <m/>
    <s v="&quot;Erişkinlerde Yaş Tayini İçin Pulpanın Radyolojik Değişikliklerinin İncelendiği Yeni Bir Yöntemin Değerlendirilmesi&quot;"/>
    <m/>
    <m/>
    <m/>
    <m/>
    <m/>
    <m/>
    <m/>
    <m/>
    <m/>
    <m/>
  </r>
  <r>
    <m/>
    <m/>
    <x v="195"/>
    <x v="60"/>
    <m/>
    <s v="“Elektrofizyoloji Laboratuvarında Miyotonik Boşalımlar: Tanı, Klinik ve Elektrofizyoloji”"/>
    <m/>
    <m/>
    <m/>
    <m/>
    <m/>
    <m/>
    <m/>
    <m/>
    <m/>
    <m/>
  </r>
  <r>
    <m/>
    <m/>
    <x v="195"/>
    <x v="60"/>
    <m/>
    <s v="“Herediter Miyelin Hastalıklarında Periferik Sinir Sistemi Tutulumunun Elektrofizyolojik Özellikleri”"/>
    <m/>
    <m/>
    <m/>
    <m/>
    <m/>
    <m/>
    <m/>
    <m/>
    <m/>
    <m/>
  </r>
  <r>
    <m/>
    <m/>
    <x v="195"/>
    <x v="60"/>
    <m/>
    <s v="“Dudak Damak Yarığı Hastalarında Temporomandibuler Eklem Patolojilerinin Konik Işınlı Bilgisayarlı Tomografi (KIBT) Görüntüleri Üzerinden Araştırılması”"/>
    <m/>
    <m/>
    <m/>
    <m/>
    <m/>
    <m/>
    <m/>
    <m/>
    <m/>
    <m/>
  </r>
  <r>
    <m/>
    <m/>
    <x v="195"/>
    <x v="60"/>
    <m/>
    <s v="“Baş Boyun Yassı Hücreli Kanserlerinde DNA Metilasyonunun Gen Ekspresyonu Üzerinden Prognoza Etkisi”"/>
    <m/>
    <m/>
    <m/>
    <m/>
    <m/>
    <m/>
    <m/>
    <m/>
    <m/>
    <m/>
  </r>
  <r>
    <m/>
    <m/>
    <x v="195"/>
    <x v="60"/>
    <m/>
    <s v="“Radyasyon Yönetim Sistemleri ile Bilgisayarlı Tomografi Tetkiklerinin Lokal Tanısal Referans Seviyelerinin Belirlenmesi”"/>
    <m/>
    <m/>
    <m/>
    <m/>
    <m/>
    <m/>
    <m/>
    <m/>
    <m/>
    <m/>
  </r>
  <r>
    <m/>
    <m/>
    <x v="195"/>
    <x v="60"/>
    <m/>
    <s v="“Primer Hiperparatiroidi Hastalarında Cerrahi Tedavi ile Sağlanan Kürün Miyokin Profili Üzerindeki Etkilerinin İncelenmesi”"/>
    <m/>
    <m/>
    <m/>
    <m/>
    <m/>
    <m/>
    <m/>
    <m/>
    <m/>
    <m/>
  </r>
  <r>
    <m/>
    <m/>
    <x v="195"/>
    <x v="60"/>
    <m/>
    <s v="“Lateral Epikondilit Tedavisinde Steroid Enjeksiyonu ile Kombine Lateral Antebrakial Kutanöz Sinir Pulsed Radyofrekans Tedavisinin Etkinliğinin Değerlendirilmesi”"/>
    <m/>
    <m/>
    <m/>
    <m/>
    <m/>
    <m/>
    <m/>
    <m/>
    <m/>
    <m/>
  </r>
  <r>
    <m/>
    <m/>
    <x v="195"/>
    <x v="60"/>
    <m/>
    <s v="“Medial Diz Ağrısı Olan Diz Osteoartritli Hastalarda Safen ve Medial Geniküler Sinirlerin Pulsed Radyofrekans Tedavilerinin Etkinliklerinin Karşılaştırılması”"/>
    <m/>
    <m/>
    <m/>
    <m/>
    <m/>
    <m/>
    <m/>
    <m/>
    <m/>
    <m/>
  </r>
  <r>
    <m/>
    <m/>
    <x v="195"/>
    <x v="60"/>
    <m/>
    <s v="“Küresel Bir Halk Sağlığı Problemi Olan Antibiyotik Direncini Aşmak için Antisense Oligonükleotit Temelli Yenilikçi Formülasyonların Geliştirilmesi ve Değerlendirilmesi”"/>
    <m/>
    <m/>
    <m/>
    <m/>
    <m/>
    <m/>
    <m/>
    <m/>
    <m/>
    <m/>
  </r>
  <r>
    <m/>
    <m/>
    <x v="195"/>
    <x v="60"/>
    <m/>
    <s v="“Multiple Miyelom Etiyolojisinde Kopya Sayısı Değişikliklerinin Dijital Multipleks Ligasyon Bağımlı Prob Amplifikasyonu (MLPA) ile Araştırılması”"/>
    <m/>
    <m/>
    <m/>
    <m/>
    <m/>
    <m/>
    <m/>
    <m/>
    <m/>
    <m/>
  </r>
  <r>
    <m/>
    <m/>
    <x v="195"/>
    <x v="60"/>
    <m/>
    <s v="“Çocuklarda Laparoskopik Kolesistektomilerde İndosiyaninyeşil (ICG) destekli Floresan Görüntülemenin Cerrahi Sonuçlara Etkisinin Belirlenmesi”"/>
    <m/>
    <m/>
    <m/>
    <m/>
    <m/>
    <m/>
    <m/>
    <m/>
    <m/>
    <m/>
  </r>
  <r>
    <m/>
    <m/>
    <x v="195"/>
    <x v="60"/>
    <m/>
    <s v="“Maksiller Darlığa Sahip İleri Sutural Maturasyon Evresinde Olan Hastalarda Modifiye Glassman Tekniği ile Cortico-Puncture Tekniği Uygulanarak Yapılan Mini Vida Destekli Genişletme Tedavisinin Etkilerinin Karşılaştırılması”"/>
    <m/>
    <m/>
    <m/>
    <m/>
    <m/>
    <m/>
    <m/>
    <m/>
    <m/>
    <m/>
  </r>
  <r>
    <m/>
    <m/>
    <x v="195"/>
    <x v="60"/>
    <m/>
    <s v="&quot;İntraoküler Retinoblastomun Geç Nükslerinin Retrospektif Olarak Değerlendirilmesi&quot;"/>
    <m/>
    <m/>
    <m/>
    <m/>
    <m/>
    <m/>
    <m/>
    <m/>
    <m/>
    <m/>
  </r>
  <r>
    <m/>
    <m/>
    <x v="195"/>
    <x v="60"/>
    <m/>
    <s v="“Temporomandibular Eklem Bozukluklarında Ağız Açma Sırasında Disk Morfolojisinde Meydana Gelen Pozisyonel Transformasyonun Klinik Bulgular ve Manyetik Rezonans Görüntüleme Parametreleri ile İlişkisinin Değerlendirilmesi”"/>
    <m/>
    <m/>
    <m/>
    <m/>
    <m/>
    <m/>
    <m/>
    <m/>
    <m/>
    <m/>
  </r>
  <r>
    <m/>
    <m/>
    <x v="195"/>
    <x v="60"/>
    <m/>
    <s v="“Nörodejeneratif Hastalıkların Erken Tanısında Göz Hareketleri Kullanılabilir mi?: Yapay Zeka Aracılıklı Vaka-Kontrol Çalışması”"/>
    <m/>
    <m/>
    <m/>
    <m/>
    <m/>
    <m/>
    <m/>
    <m/>
    <m/>
    <m/>
  </r>
  <r>
    <m/>
    <m/>
    <x v="195"/>
    <x v="60"/>
    <m/>
    <s v="“Kritik Hastalarda Rutin Mikrodolaşım Değerlendirmesinin Şok Erken Tanısına Etkisi”"/>
    <m/>
    <m/>
    <m/>
    <m/>
    <m/>
    <m/>
    <m/>
    <m/>
    <m/>
    <m/>
  </r>
  <r>
    <m/>
    <m/>
    <x v="195"/>
    <x v="6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95"/>
    <x v="60"/>
    <m/>
    <s v="“Şiddetli Ülseratif Kolit Hastalarında Aleksitimi Varlığının Değerlendirilmesi”"/>
    <m/>
    <m/>
    <m/>
    <m/>
    <m/>
    <m/>
    <m/>
    <m/>
    <m/>
    <m/>
  </r>
  <r>
    <m/>
    <m/>
    <x v="195"/>
    <x v="60"/>
    <m/>
    <s v="“İnflamatuar Bağırsak Hastalıklarında Kullanılan Biyolojik Ajanlarda Tedavi Persistensinin Değerlendirilmesi ”"/>
    <m/>
    <m/>
    <m/>
    <m/>
    <m/>
    <m/>
    <m/>
    <m/>
    <m/>
    <m/>
  </r>
  <r>
    <m/>
    <m/>
    <x v="195"/>
    <x v="60"/>
    <m/>
    <s v="“Meme Kanseri Hastalarında Gustave Roussy İmmün Skorunun Sağ Kalım ile İlişkisi”"/>
    <m/>
    <m/>
    <m/>
    <m/>
    <m/>
    <m/>
    <m/>
    <m/>
    <m/>
    <m/>
  </r>
  <r>
    <m/>
    <m/>
    <x v="195"/>
    <x v="60"/>
    <m/>
    <s v="“Endometrioma Nedeniyle Skleroterapi Uygulanan Hastalarda Over Rezervi, Fertilite, Gebelik Sonuçları ve Endometrioma Prognozu Üzerine Etkisinin Retrospektif Analizi”"/>
    <m/>
    <m/>
    <m/>
    <m/>
    <m/>
    <m/>
    <m/>
    <m/>
    <m/>
    <m/>
  </r>
  <r>
    <m/>
    <m/>
    <x v="195"/>
    <x v="60"/>
    <m/>
    <s v="&quot;Steroid Olmayan Anti-İnflamatuar İlaçlarla Alevlenen Hava Yolu Hastalığı (NERD) Hastalarında Aspirin Desensitizasyonu Sonrası Düzenli Aspirin Tedavisinin (ATAD) Serum Lipit Mediyatörleri Üzerine Etkilerinin Araştırılması&quot;"/>
    <m/>
    <m/>
    <m/>
    <m/>
    <m/>
    <m/>
    <m/>
    <m/>
    <m/>
    <m/>
  </r>
  <r>
    <m/>
    <m/>
    <x v="195"/>
    <x v="60"/>
    <m/>
    <s v="“Keratokonus Evresi ile Retina Sinir Lifi Tabakası, Makula Kalınlığı, Ganglion Hücre Tabakası Parametrelerindeki Değişikliklerin İlişkisinin Optik Koherens Tomografi Kullanarak İncelenmesi”"/>
    <m/>
    <m/>
    <m/>
    <m/>
    <m/>
    <m/>
    <m/>
    <m/>
    <m/>
    <m/>
  </r>
  <r>
    <m/>
    <m/>
    <x v="195"/>
    <x v="60"/>
    <m/>
    <s v="“Yeni Hepatit B Biyobelirteçlerinin Kronik Hepatit B Hastalığının Fazlarındaki Değişiminin İncelenmesi”"/>
    <m/>
    <m/>
    <m/>
    <m/>
    <m/>
    <m/>
    <m/>
    <m/>
    <m/>
    <m/>
  </r>
  <r>
    <m/>
    <m/>
    <x v="195"/>
    <x v="60"/>
    <m/>
    <s v="“Rekreasyonel ve Elit Kadın Sporcularda İnkontinans Sıklığının ve Etiyolojisinin Belirlenmesi”"/>
    <m/>
    <m/>
    <m/>
    <m/>
    <m/>
    <m/>
    <m/>
    <m/>
    <m/>
    <m/>
  </r>
  <r>
    <m/>
    <m/>
    <x v="195"/>
    <x v="60"/>
    <m/>
    <s v="“Eklem İçi Ortobiyolojik Uygulanmış Diz Osteoartritli Hastaların Hareket Analizi”"/>
    <m/>
    <m/>
    <m/>
    <m/>
    <m/>
    <m/>
    <m/>
    <m/>
    <m/>
    <m/>
  </r>
  <r>
    <m/>
    <m/>
    <x v="195"/>
    <x v="60"/>
    <m/>
    <s v="''Tam Çift Sistemler İçin Yapılan Üst Kutuplu Heminefrektomi Sonrası Hasta Takiplerinde Alt Üriner Sistem Cerrahisi Gerekliliğinin Değerlendirilmesi”"/>
    <m/>
    <m/>
    <m/>
    <m/>
    <m/>
    <m/>
    <m/>
    <m/>
    <m/>
    <m/>
  </r>
  <r>
    <m/>
    <m/>
    <x v="195"/>
    <x v="60"/>
    <m/>
    <s v="“Farklı Cinsteki Üriner Sistem Taşlarının Evriminin Cerrahi Bulgular ve Laboratuar Tetkikleri ile Araştırılması”"/>
    <m/>
    <m/>
    <m/>
    <m/>
    <m/>
    <m/>
    <m/>
    <m/>
    <m/>
    <m/>
  </r>
  <r>
    <m/>
    <m/>
    <x v="195"/>
    <x v="60"/>
    <m/>
    <s v="“Post-travmatik Epilepsi: Hastaların Klinik Özellikleri, MRGve EEG Bulgularının Prognozla İlişkisi”"/>
    <m/>
    <m/>
    <m/>
    <m/>
    <m/>
    <m/>
    <m/>
    <m/>
    <m/>
    <m/>
  </r>
  <r>
    <m/>
    <m/>
    <x v="195"/>
    <x v="60"/>
    <m/>
    <s v="“Mikrosatellit İnstabilitesi Yüksek Olan Mide Kanseri Olgularında Tedavi Yaklaşımı ve Prognoz İncelenmesi”"/>
    <m/>
    <m/>
    <m/>
    <m/>
    <m/>
    <m/>
    <m/>
    <m/>
    <m/>
    <m/>
  </r>
  <r>
    <m/>
    <m/>
    <x v="195"/>
    <x v="60"/>
    <m/>
    <s v="“Elektrofizyoloji Laboratuvannda Pleksus Hasarı Tanısı”"/>
    <m/>
    <m/>
    <m/>
    <m/>
    <m/>
    <m/>
    <m/>
    <m/>
    <m/>
    <m/>
  </r>
  <r>
    <m/>
    <m/>
    <x v="195"/>
    <x v="60"/>
    <m/>
    <s v="“Yoğun Bakım Hastalarında Vücut Yağ ve Kas Dağılımının Organ Sonlanımı ve Mortaliteye Etkisi”"/>
    <m/>
    <m/>
    <m/>
    <m/>
    <m/>
    <m/>
    <m/>
    <m/>
    <m/>
    <m/>
  </r>
  <r>
    <m/>
    <m/>
    <x v="195"/>
    <x v="60"/>
    <m/>
    <s v="“Kalıtsal Kanser Sendromlarında Gelişmiş Genomik Yaklaşımlarla Yeni Genetik Faktörlerin Tanımlanması”"/>
    <m/>
    <m/>
    <m/>
    <m/>
    <m/>
    <m/>
    <m/>
    <m/>
    <m/>
    <m/>
  </r>
  <r>
    <m/>
    <m/>
    <x v="195"/>
    <x v="60"/>
    <m/>
    <s v="“Opere Temporal Lob Epilepsili Hastalarda Jeneralize İnteriktal Epileptiform Deşarj Varlığı ve Önemi”"/>
    <m/>
    <m/>
    <m/>
    <m/>
    <m/>
    <m/>
    <m/>
    <m/>
    <m/>
    <m/>
  </r>
  <r>
    <m/>
    <m/>
    <x v="195"/>
    <x v="60"/>
    <m/>
    <s v="&quot;Üniversite Öğrencileri Arasında Sosyal Medyada Karşılaştıkları Beslenme ve Gıda ile İlgili İçeriklerin Öğrencilerin Beslenme Davranışlarını Etkileme Durumlarına İlişkin Görüşlerinin Belirlenmesi&quot;"/>
    <m/>
    <m/>
    <m/>
    <m/>
    <m/>
    <m/>
    <m/>
    <m/>
    <m/>
    <m/>
  </r>
  <r>
    <m/>
    <m/>
    <x v="195"/>
    <x v="60"/>
    <m/>
    <s v="“Üçüncü Molar Dişlerle İlişkili Perikoronal Foliküllerin Radyografik ve Patolojik Özelliklerinin Retrospektif İncelenmesi”"/>
    <m/>
    <m/>
    <m/>
    <m/>
    <m/>
    <m/>
    <m/>
    <m/>
    <m/>
    <m/>
  </r>
  <r>
    <m/>
    <m/>
    <x v="195"/>
    <x v="60"/>
    <m/>
    <s v="“İç Hastalıkları Uzmanları ve Araştırma Görevlilerinde Obezite Farkındalığı ve Bilgi Düzeyi ile Eğitim İhtiyacının Belirlenmesi”"/>
    <m/>
    <m/>
    <m/>
    <m/>
    <m/>
    <m/>
    <m/>
    <m/>
    <m/>
    <m/>
  </r>
  <r>
    <m/>
    <m/>
    <x v="195"/>
    <x v="60"/>
    <m/>
    <s v="“Mitral Anüler Disjunction Saptanan Hastalarda Genetik Etiyolojinin Araştırılması ”"/>
    <m/>
    <m/>
    <m/>
    <m/>
    <m/>
    <m/>
    <m/>
    <m/>
    <m/>
    <m/>
  </r>
  <r>
    <m/>
    <m/>
    <x v="195"/>
    <x v="60"/>
    <m/>
    <s v="“POS-VAP: Sürekli Gözlemsel Çalışma- Ventilatör İlişkili Pnömoni”"/>
    <m/>
    <m/>
    <m/>
    <m/>
    <m/>
    <m/>
    <m/>
    <m/>
    <m/>
    <m/>
  </r>
  <r>
    <m/>
    <m/>
    <x v="195"/>
    <x v="60"/>
    <m/>
    <s v="“Dahiliye Servislerinde İlaç Uygulama Zamanlarının Değerlendirilmesi ve Klinik Eczacının Rolü”"/>
    <m/>
    <m/>
    <m/>
    <m/>
    <m/>
    <m/>
    <m/>
    <m/>
    <m/>
    <m/>
  </r>
  <r>
    <m/>
    <m/>
    <x v="195"/>
    <x v="60"/>
    <m/>
    <s v="“Kalça Osteoartritli Hastalarda Floroskopi ve Ultrasonografi Kılavuzluğunda İntraartiküler Kalça Enjeksiyonlarının Etkinliklerinin Karşılaştırılması”"/>
    <m/>
    <m/>
    <m/>
    <m/>
    <m/>
    <m/>
    <m/>
    <m/>
    <m/>
    <m/>
  </r>
  <r>
    <m/>
    <m/>
    <x v="195"/>
    <x v="60"/>
    <m/>
    <s v="“Diz Osteoartritli Hastalarda Floroskopi ve Ultrasonografi Kılavuzluğunda İntraartiküler Diz Enjeksiyonlarının Etkinliklerinin Karşılaştırılması&quot;"/>
    <m/>
    <m/>
    <m/>
    <m/>
    <m/>
    <m/>
    <m/>
    <m/>
    <m/>
    <m/>
  </r>
  <r>
    <m/>
    <m/>
    <x v="195"/>
    <x v="60"/>
    <m/>
    <s v="“Laringotrakeal Stenoz Cerrahi Tedavisinde Uzun Dönem Sonuçlarımız: 15 Yıllık Hacettepe Tecrübesi”"/>
    <m/>
    <m/>
    <m/>
    <m/>
    <m/>
    <m/>
    <m/>
    <m/>
    <m/>
    <m/>
  </r>
  <r>
    <m/>
    <m/>
    <x v="195"/>
    <x v="60"/>
    <m/>
    <s v="“Soliter Fibröz Tümör/Hemanjioperisitoma Tanılı Hastaların Demografik, Klinikopatolojik, Prognostik Özelliklerinin ve Tedavi Yanıtlarının Değerlendirilmesi”"/>
    <m/>
    <m/>
    <m/>
    <m/>
    <m/>
    <m/>
    <m/>
    <m/>
    <m/>
    <m/>
  </r>
  <r>
    <m/>
    <m/>
    <x v="195"/>
    <x v="60"/>
    <m/>
    <s v="“B12 Vitamini Eksikliği Tedavisinin Kılavuza Uygunluğunun Değerlendirilmes”"/>
    <m/>
    <m/>
    <m/>
    <m/>
    <m/>
    <m/>
    <m/>
    <m/>
    <m/>
    <m/>
  </r>
  <r>
    <m/>
    <m/>
    <x v="195"/>
    <x v="60"/>
    <m/>
    <s v="“Obez Hastalarda Meropenem ve Vankomisin Terapötik İlaç Düzeyi İzlemi: Retrospektif Bir Kohort Çalışması”"/>
    <m/>
    <m/>
    <m/>
    <m/>
    <m/>
    <m/>
    <m/>
    <m/>
    <m/>
    <m/>
  </r>
  <r>
    <m/>
    <m/>
    <x v="195"/>
    <x v="60"/>
    <m/>
    <s v="“İlaca Dirençli Fokal Epilepsili Çocuklarda İktal Otonomik Bulguların Değerlendirilmesi”"/>
    <m/>
    <m/>
    <m/>
    <m/>
    <m/>
    <m/>
    <m/>
    <m/>
    <m/>
    <m/>
  </r>
  <r>
    <m/>
    <m/>
    <x v="195"/>
    <x v="60"/>
    <m/>
    <s v="“Türkiye’de Deri ve Zührevi Hastalıklar Uzmanları ve Uzmanlık Öğrencilerinin Hekimlik Uygulamalarında Chat GPT Kullanımını ve Bu Uygulamaya Güvenini Değerlendiren Anket Çalışması”"/>
    <m/>
    <m/>
    <m/>
    <m/>
    <m/>
    <m/>
    <m/>
    <m/>
    <m/>
    <m/>
  </r>
  <r>
    <m/>
    <m/>
    <x v="195"/>
    <x v="60"/>
    <m/>
    <s v="&quot;Biyolojik Tedavilerin Otoenjektor ve Kullanıma Hazır Enjektörler Formlarının Evde Kullanımının Degerlendirilmesi&quot;"/>
    <m/>
    <m/>
    <m/>
    <m/>
    <m/>
    <m/>
    <m/>
    <m/>
    <m/>
    <m/>
  </r>
  <r>
    <m/>
    <m/>
    <x v="195"/>
    <x v="60"/>
    <m/>
    <s v="“Paranazal Sinüs Pnömotizasyonu ile Nazal Muayene Bulguları ve Rinomanometrik Parametreler Arasındaki İlişkinin Değerlendirilmesi”"/>
    <m/>
    <m/>
    <m/>
    <m/>
    <m/>
    <m/>
    <m/>
    <m/>
    <m/>
    <m/>
  </r>
  <r>
    <m/>
    <m/>
    <x v="195"/>
    <x v="60"/>
    <m/>
    <s v="“Ortognatik Cerrahide ERAS Yaklaşımının Operatif Parametreler ve Nörosensoryel İyileşmeye Etkisi”"/>
    <m/>
    <m/>
    <m/>
    <m/>
    <m/>
    <m/>
    <m/>
    <m/>
    <m/>
    <m/>
  </r>
  <r>
    <m/>
    <m/>
    <x v="195"/>
    <x v="60"/>
    <m/>
    <s v="“Tıp Fakültesi Öğrencilerinin Zona Hastalığı ve Zona Aşısıyla İlgili Bilgi Düzeyinin Değerlendirilmesi: Tanımlayıcı Kesitsel Çalışma”"/>
    <m/>
    <m/>
    <m/>
    <m/>
    <m/>
    <m/>
    <m/>
    <m/>
    <m/>
    <m/>
  </r>
  <r>
    <m/>
    <m/>
    <x v="195"/>
    <x v="60"/>
    <m/>
    <s v="“Yumurta Alerjisi Olan Çocuk Hastalarda Yumurta Merdiveninin Güvenlik ve Etkinliğinin Değerlendirilmesi”"/>
    <m/>
    <m/>
    <m/>
    <m/>
    <m/>
    <m/>
    <m/>
    <m/>
    <m/>
    <m/>
  </r>
  <r>
    <m/>
    <m/>
    <x v="195"/>
    <x v="60"/>
    <m/>
    <s v="“Ön Çapraz Bağ Rekonstrüksiyonu Yapılan Hastalarda Kemik Tünel Genişliklerinin Zero Time Echo Sekans Manyetik Rezonans Görüntülemeve Bilgisayarlı Tomografi ile Karşılaştırılması”"/>
    <m/>
    <m/>
    <m/>
    <m/>
    <m/>
    <m/>
    <m/>
    <m/>
    <m/>
    <m/>
  </r>
  <r>
    <m/>
    <m/>
    <x v="195"/>
    <x v="60"/>
    <m/>
    <s v="“Aril Hidrokarbon Reseptör (AhR) Yolağının Mezenkimal Kök Hücreden İn Vitro Adiposit Farklılaşmasındaki ve Olgun Adipositlerdeki Rolünün İncelenmesi”"/>
    <m/>
    <m/>
    <m/>
    <m/>
    <m/>
    <m/>
    <m/>
    <m/>
    <m/>
    <m/>
  </r>
  <r>
    <m/>
    <m/>
    <x v="195"/>
    <x v="60"/>
    <m/>
    <s v="“Metabolik Disfonsiyon ile İlişkili Steatotik Karaciğer Hastalığında Serum ve İdrar Uromodulin Düzeylerinin Böbrek Fonksiyonlarıyla İlişkisi”"/>
    <m/>
    <m/>
    <m/>
    <m/>
    <m/>
    <m/>
    <m/>
    <m/>
    <m/>
    <m/>
  </r>
  <r>
    <m/>
    <m/>
    <x v="195"/>
    <x v="60"/>
    <m/>
    <s v="“Kırım- Kongo Kanamalı Ateşi Olan Çocuk Hastaların Klinik Verilerinin Retrospektif Değerlendirilmesi”"/>
    <m/>
    <m/>
    <m/>
    <m/>
    <m/>
    <m/>
    <m/>
    <m/>
    <m/>
    <m/>
  </r>
  <r>
    <m/>
    <m/>
    <x v="195"/>
    <x v="60"/>
    <m/>
    <s v="“Kalıcı Kalp Pili İmplantasyonunda Venöz Oklüzyon İzlenen Hastalarda Venoplasti Sonuçlarının Değerlendirilmesi”"/>
    <m/>
    <m/>
    <m/>
    <m/>
    <m/>
    <m/>
    <m/>
    <m/>
    <m/>
    <m/>
  </r>
  <r>
    <m/>
    <m/>
    <x v="195"/>
    <x v="60"/>
    <m/>
    <s v="“Transfemoral Yol ile Yapılan Girişimsel İşlemlerde Yüzeyel Ultrasonografinin Prognoz ve Mortaliteye Etkisinin Değerlendirilmesi”"/>
    <m/>
    <m/>
    <m/>
    <m/>
    <m/>
    <m/>
    <m/>
    <m/>
    <m/>
    <m/>
  </r>
  <r>
    <m/>
    <m/>
    <x v="195"/>
    <x v="60"/>
    <m/>
    <s v="“Yapay Zekanın Ventriküler Ekstrasistollerin Elektrokardiyografik Özelliklerine Göre Anatomik Lokalizasyonlarının Değerlendirilmesindeki Rolünün İncelenmesi”"/>
    <m/>
    <m/>
    <m/>
    <m/>
    <m/>
    <m/>
    <m/>
    <m/>
    <m/>
    <m/>
  </r>
  <r>
    <m/>
    <m/>
    <x v="195"/>
    <x v="60"/>
    <m/>
    <s v="“Hastanede Yatan 65 Yaş ve Üstü Bireylerde Sosyal Kırılganlığın Değerlendirilmesi ve Geriatrik Sendromlarla İlişkisi”"/>
    <m/>
    <m/>
    <m/>
    <m/>
    <m/>
    <m/>
    <m/>
    <m/>
    <m/>
    <m/>
  </r>
  <r>
    <m/>
    <m/>
    <x v="195"/>
    <x v="60"/>
    <m/>
    <s v="“Polikistik Over Sendromuna İlişkin Bilgi ve Algının Çok Dilli Video Tabanlı Eğitim ile Değerlendirilmesi”"/>
    <m/>
    <m/>
    <m/>
    <m/>
    <m/>
    <m/>
    <m/>
    <m/>
    <m/>
    <m/>
  </r>
  <r>
    <m/>
    <m/>
    <x v="195"/>
    <x v="60"/>
    <m/>
    <s v="“Periapikal Patolojisi Bulunan Dişlerde Primer Endodontik Tedavinin Başarısızlık Nedenlerinin İncelenmesi”"/>
    <m/>
    <m/>
    <m/>
    <m/>
    <m/>
    <m/>
    <m/>
    <m/>
    <m/>
    <m/>
  </r>
  <r>
    <m/>
    <m/>
    <x v="195"/>
    <x v="60"/>
    <m/>
    <s v="“Morganellaceae Ailesinde Antibiyotik Direnç Mekanizmalarının ve Virülans Faktörlerinin Fenotipik ve Genotipik Yöntemlerle İncelenmesi”"/>
    <m/>
    <m/>
    <m/>
    <m/>
    <m/>
    <m/>
    <m/>
    <m/>
    <m/>
    <m/>
  </r>
  <r>
    <m/>
    <m/>
    <x v="195"/>
    <x v="60"/>
    <m/>
    <s v="“Güncel Üniversal Kompozit Rezinlerin Polimerizasyon Büzülmesi ve Mikrosızıntı Açısından Karşılaştırılması”"/>
    <m/>
    <m/>
    <m/>
    <m/>
    <m/>
    <m/>
    <m/>
    <m/>
    <m/>
    <m/>
  </r>
  <r>
    <m/>
    <m/>
    <x v="195"/>
    <x v="60"/>
    <m/>
    <s v="“Peri-implantitis ve Periodontitiste İnflamatuvar ve Koruyucu Yanıt: Dişeti Islaklığı, Dişeti Oluğu Sıvısı ve Peri-implant Oluk Sıvısının TNF-α, IL-10, MUC4 Düzeylerinin İncelenmesi”"/>
    <m/>
    <m/>
    <m/>
    <m/>
    <m/>
    <m/>
    <m/>
    <m/>
    <m/>
    <m/>
  </r>
  <r>
    <m/>
    <m/>
    <x v="195"/>
    <x v="60"/>
    <m/>
    <s v="“Fasiyal Reanimasyonda Yeni Bir Donör Sinir: Servikal Sinirin Topografik ve Mikroanatomik Özelliklerinin İncelenmesi, Kadavra Çalışması”"/>
    <m/>
    <m/>
    <m/>
    <m/>
    <m/>
    <m/>
    <m/>
    <m/>
    <m/>
    <m/>
  </r>
  <r>
    <m/>
    <m/>
    <x v="195"/>
    <x v="60"/>
    <m/>
    <s v="“Sezon Öncesi Antrenman Yükü, Kuvvet Parametreleri ve Performans İlişkisinin Antrenman Takibi Yöntemleri ile Değerlendirmesi”"/>
    <m/>
    <m/>
    <m/>
    <m/>
    <m/>
    <m/>
    <m/>
    <m/>
    <m/>
    <m/>
  </r>
  <r>
    <m/>
    <m/>
    <x v="195"/>
    <x v="60"/>
    <m/>
    <s v="“Multipıl Skleroz Hastalarındaki Demiyelinizan Lezyonların, Non-demiyelinizan Lezyonlardan Duyarlılık Ağırlıklı MR Görüntüleme ile Ayrımı”"/>
    <m/>
    <m/>
    <m/>
    <m/>
    <m/>
    <m/>
    <m/>
    <m/>
    <m/>
    <m/>
  </r>
  <r>
    <m/>
    <m/>
    <x v="195"/>
    <x v="60"/>
    <m/>
    <s v="&quot;Santral Sinir Sistemi’nde T Hücreli Lenfomaların Görüntüleme Bulguları&quot;"/>
    <m/>
    <m/>
    <m/>
    <m/>
    <m/>
    <m/>
    <m/>
    <m/>
    <m/>
    <m/>
  </r>
  <r>
    <m/>
    <m/>
    <x v="195"/>
    <x v="60"/>
    <m/>
    <s v="“Torasik Outlet Sendromu Hastalarında Stellat Ganglion Bloğu ile Torasik Sempatik Bloğun Ağrı Yönetimindeki Etkinliğinin Karşılaştırılması”"/>
    <m/>
    <m/>
    <m/>
    <m/>
    <m/>
    <m/>
    <m/>
    <m/>
    <m/>
    <m/>
  </r>
  <r>
    <m/>
    <m/>
    <x v="195"/>
    <x v="60"/>
    <m/>
    <s v="“Türkiye'de Aile Hekimlerinin Kronik Ağrısı Olan Hastalara Yaklaşımı: Tanımlayıcı Çalışma”"/>
    <m/>
    <m/>
    <m/>
    <m/>
    <m/>
    <m/>
    <m/>
    <m/>
    <m/>
    <m/>
  </r>
  <r>
    <m/>
    <m/>
    <x v="195"/>
    <x v="60"/>
    <m/>
    <s v="“Koroner Arteriovenöz Fistül Hastalarının Tanı, Tedavi ve Takip Süreçlerinin Retrospektif Değerlendirilmesi”"/>
    <m/>
    <m/>
    <m/>
    <m/>
    <m/>
    <m/>
    <m/>
    <m/>
    <m/>
    <m/>
  </r>
  <r>
    <m/>
    <m/>
    <x v="195"/>
    <x v="60"/>
    <m/>
    <s v="“Yaş ve Cinsiyete Özgü Baldır Çevresi Persentilleri ile Geriatri Polikliniği Hastalarında Olası Sarkopeni Arasındaki İlişki”"/>
    <m/>
    <m/>
    <m/>
    <m/>
    <m/>
    <m/>
    <m/>
    <m/>
    <m/>
    <m/>
  </r>
  <r>
    <m/>
    <m/>
    <x v="195"/>
    <x v="60"/>
    <m/>
    <s v="“Aril Hidrokarbon Reseptörü İnhibisyonunun Kemik İliği Yağ Mezenkimal Kök Hücreleri Kaynaklı Ekstraselüler Veziküller Aracılığıyla Kemik İliği Nişine Olan Etkilerinin Araştırılması”"/>
    <m/>
    <m/>
    <m/>
    <m/>
    <m/>
    <m/>
    <m/>
    <m/>
    <m/>
    <m/>
  </r>
  <r>
    <m/>
    <m/>
    <x v="195"/>
    <x v="60"/>
    <m/>
    <s v="“Femoral ve Karotis Plak Yükünün Uzun Dönem Takipte Aterosklerotik Vasküler Olaylar ile İlişkisinin Değerlendirilmesi”"/>
    <m/>
    <m/>
    <m/>
    <m/>
    <m/>
    <m/>
    <m/>
    <m/>
    <m/>
    <m/>
  </r>
  <r>
    <m/>
    <m/>
    <x v="195"/>
    <x v="60"/>
    <m/>
    <s v="“Düşük İmmün Reaktif Tripsinojen (IRT) Değerleri Nedeniyle Yenidoğan Taramasından Kaçan Kistik Fibrozisli Çocukların Özellikleri ve Taramada Yakalanan Hasta Grubu ile Karşılaştırılması”"/>
    <m/>
    <m/>
    <m/>
    <m/>
    <m/>
    <m/>
    <m/>
    <m/>
    <m/>
    <m/>
  </r>
  <r>
    <m/>
    <m/>
    <x v="195"/>
    <x v="60"/>
    <m/>
    <s v="“Kafein ve L-Karnitin Takviyesinin Koşucularda Substrat Oksidasyonu ve Solunumsal Eşik Şiddeti Üzerindeki Koşu Performansýna Etkisi”"/>
    <m/>
    <m/>
    <m/>
    <m/>
    <m/>
    <m/>
    <m/>
    <m/>
    <m/>
    <m/>
  </r>
  <r>
    <m/>
    <m/>
    <x v="195"/>
    <x v="60"/>
    <m/>
    <s v="“Psöriazis Tanılı Biyolojik Tedavi Alan Kronik Hepatit B Enfeksiyonu Olan Hastalarda Hepatik Fibrozisin Transient Elastografi ile Değerlendirilmesi”"/>
    <m/>
    <m/>
    <m/>
    <m/>
    <m/>
    <m/>
    <m/>
    <m/>
    <m/>
    <m/>
  </r>
  <r>
    <m/>
    <m/>
    <x v="195"/>
    <x v="60"/>
    <m/>
    <s v="“Kolşisin Dirençli Ailevi Akdeniz Ateşinin Yönetiminde Klinisyen Yaklaşımlarının Anket ile Araştırılması”"/>
    <m/>
    <m/>
    <m/>
    <m/>
    <m/>
    <m/>
    <m/>
    <m/>
    <m/>
    <m/>
  </r>
  <r>
    <m/>
    <m/>
    <x v="195"/>
    <x v="60"/>
    <m/>
    <s v="&quot;Ankilozan Spondiliti Olan ve Olmayan Bireylerde Asil ve Supraspinatus Entez Bölgelerinin Karşılaştırılması ve Ankilozan Spondilit Hastalik Aktivitesi ve Fonksiyonel Durumu ile İlişkilendirilmesi&quot;"/>
    <m/>
    <m/>
    <m/>
    <m/>
    <m/>
    <m/>
    <m/>
    <m/>
    <m/>
    <m/>
  </r>
  <r>
    <m/>
    <m/>
    <x v="195"/>
    <x v="60"/>
    <m/>
    <s v="“Juvenil Skleroderma Tanılı Hastaların Özelliklerinin Belirlenmesi”"/>
    <m/>
    <m/>
    <m/>
    <m/>
    <m/>
    <m/>
    <m/>
    <m/>
    <m/>
    <m/>
  </r>
  <r>
    <m/>
    <m/>
    <x v="195"/>
    <x v="60"/>
    <m/>
    <s v="“Major Depresyon Bozukluğunda SSRI Tedavisinin Başarısını Öngören, Emosyonel EEG Tabanlı, Çizge Kuramsal ve Nedensel Bir Prognostik Belirteç Araştırması”"/>
    <m/>
    <m/>
    <m/>
    <m/>
    <m/>
    <m/>
    <m/>
    <m/>
    <m/>
    <m/>
  </r>
  <r>
    <m/>
    <m/>
    <x v="195"/>
    <x v="60"/>
    <m/>
    <s v="“İskelet Displazili Çocuklarda Geçici Hemiepifizyodez Cerrahisi Sonrası Radyolojik Sonuçlar ve Rekürrens Eğilimleri”"/>
    <m/>
    <m/>
    <m/>
    <m/>
    <m/>
    <m/>
    <m/>
    <m/>
    <m/>
    <m/>
  </r>
  <r>
    <m/>
    <m/>
    <x v="195"/>
    <x v="60"/>
    <m/>
    <s v="“Pierre Robin Sekanslı Hastalarda Distraksiyon Osteogenezis Uygulamasının Dentofasiyal Yapılara Uzun Dönemdeki Etkisi”"/>
    <m/>
    <m/>
    <m/>
    <m/>
    <m/>
    <m/>
    <m/>
    <m/>
    <m/>
    <m/>
  </r>
  <r>
    <m/>
    <m/>
    <x v="195"/>
    <x v="60"/>
    <m/>
    <s v="&quot;Şeffaf Plak Tedavilerinde Kullanılan Ataşmanların Hastaların Estetik ve Fonksiyon Algılarının Üzerine Etkisinin Değerlendirilmesi&quot;"/>
    <m/>
    <m/>
    <m/>
    <m/>
    <m/>
    <m/>
    <m/>
    <m/>
    <m/>
    <m/>
  </r>
  <r>
    <m/>
    <m/>
    <x v="195"/>
    <x v="60"/>
    <m/>
    <s v="&quot;Yüz Dikey Yüksekliği Farklı Olan Kadınlarda Degişen Üst Lateral Diş Boyutlarınım Gülümseme Estetiğine Etkisi”"/>
    <m/>
    <m/>
    <m/>
    <m/>
    <m/>
    <m/>
    <m/>
    <m/>
    <m/>
    <m/>
  </r>
  <r>
    <m/>
    <m/>
    <x v="195"/>
    <x v="60"/>
    <m/>
    <s v="“Neoadjuvan Kemoterapi, Cerrahi ve Adjuvan Radyoterapi Uygulanan Meme Kanserli Olgularda HER2- Düzeyi ile Sağkalım İlişkisi ”"/>
    <m/>
    <m/>
    <m/>
    <m/>
    <m/>
    <m/>
    <m/>
    <m/>
    <m/>
    <m/>
  </r>
  <r>
    <m/>
    <m/>
    <x v="195"/>
    <x v="60"/>
    <m/>
    <s v="“İnvaziv Lobüler Meme Kanserinde Pozitron Emisyon Tomografisi / Bilgisayarlı Tomografi Görüntüleme Yöntemi ile Hastalık Heterojenitesinin Değerlendirmesi”"/>
    <m/>
    <m/>
    <m/>
    <m/>
    <m/>
    <m/>
    <m/>
    <m/>
    <m/>
    <m/>
  </r>
  <r>
    <m/>
    <m/>
    <x v="195"/>
    <x v="60"/>
    <m/>
    <s v="“Cerrahi Olarak Tedavi Edilen Pelvik Fragilite Kırığı Olan Hastaların Retrospektif Olarak Değerlendirilmesi: Fonksiyonel ve Radyolojik Bulgular”"/>
    <m/>
    <m/>
    <m/>
    <m/>
    <m/>
    <m/>
    <m/>
    <m/>
    <m/>
    <m/>
  </r>
  <r>
    <m/>
    <m/>
    <x v="195"/>
    <x v="60"/>
    <m/>
    <s v="“ICIQ-FLUTS ve ICIQ-MLUTS Skorlarının Ürodinamik Tanılarla İlişkisi: Retrospektif Bir Analiz”"/>
    <m/>
    <m/>
    <m/>
    <m/>
    <m/>
    <m/>
    <m/>
    <m/>
    <m/>
    <m/>
  </r>
  <r>
    <m/>
    <m/>
    <x v="195"/>
    <x v="60"/>
    <m/>
    <s v="“Nöroloji ve Çocuk Nöroloji Bölümlerinden Çocuk İmmünoloji Bölümüne Konsulte Edilen ve Primer İmmün Yetmezlik Tanısı Konulan Hastaların İncelenmesi”"/>
    <m/>
    <m/>
    <m/>
    <m/>
    <m/>
    <m/>
    <m/>
    <m/>
    <m/>
    <m/>
  </r>
  <r>
    <m/>
    <m/>
    <x v="195"/>
    <x v="60"/>
    <m/>
    <s v="“2500 Hastalık Vaka Serisiyle Primer Dudak ve Damak Yarıkları: Epidemiyolojik, Cerrahi ve Postoperatif Komplikasyonların Erken ve Geç Dönem İlişkisinin Analizi”"/>
    <m/>
    <m/>
    <m/>
    <m/>
    <m/>
    <m/>
    <m/>
    <m/>
    <m/>
    <m/>
  </r>
  <r>
    <m/>
    <m/>
    <x v="195"/>
    <x v="60"/>
    <m/>
    <s v="&quot;Manyetik Rezonans Görüntülemede Difüzyon Ağırlıklı Görüntüleme Ovaryan ve Adneksal Lezyonları Raporlama ve Veri Sistemi– Manyetik Rezonans Skorlama Skalasının İsabetine Katkısı&quot;"/>
    <m/>
    <m/>
    <m/>
    <m/>
    <m/>
    <m/>
    <m/>
    <m/>
    <m/>
    <m/>
  </r>
  <r>
    <m/>
    <m/>
    <x v="195"/>
    <x v="60"/>
    <m/>
    <s v="“Yenidoğan Taraması ile Tanı Alan Spinal Musküler Atrofili Çocukların Tedavi Altında +2. Yıl Fonksiyonel İzlem Sonuçları: Hacettepe Örneği”"/>
    <m/>
    <m/>
    <m/>
    <m/>
    <m/>
    <m/>
    <m/>
    <m/>
    <m/>
    <m/>
  </r>
  <r>
    <m/>
    <m/>
    <x v="195"/>
    <x v="60"/>
    <m/>
    <s v="“Çocukluk Çağı Tümörleri İlişkili Trombüslerde Cerrahi Tedavi Yöntemleri”"/>
    <m/>
    <m/>
    <m/>
    <m/>
    <m/>
    <m/>
    <m/>
    <m/>
    <m/>
    <m/>
  </r>
  <r>
    <m/>
    <m/>
    <x v="195"/>
    <x v="60"/>
    <m/>
    <s v="“Çocuk Hastalarda Ekstragonadal Germ Hücreli Tümörlerin Klinik, Patolojik Özellikleri ve LIN28 ile İmmunohistokimyasal Analizi”"/>
    <m/>
    <m/>
    <m/>
    <m/>
    <m/>
    <m/>
    <m/>
    <m/>
    <m/>
    <m/>
  </r>
  <r>
    <m/>
    <m/>
    <x v="195"/>
    <x v="60"/>
    <m/>
    <s v="“Primer Dudak Damak Yarıklı Hastalarda Eşlik Eden Anomalilerin Operasyon Yaşı ve Erken Dönem Postoperatif Komplikasyonlarla İlişkisi"/>
    <m/>
    <m/>
    <m/>
    <m/>
    <m/>
    <m/>
    <m/>
    <m/>
    <m/>
    <m/>
  </r>
  <r>
    <m/>
    <m/>
    <x v="195"/>
    <x v="60"/>
    <m/>
    <s v="“Erişkin Kistik Fibrozis Hastalarında Genotiplere Göre Modülatör Tedavi Etkinliğinin Değerlendirilmesi”"/>
    <m/>
    <m/>
    <m/>
    <m/>
    <m/>
    <m/>
    <m/>
    <m/>
    <m/>
    <m/>
  </r>
  <r>
    <m/>
    <m/>
    <x v="195"/>
    <x v="6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95"/>
    <x v="60"/>
    <m/>
    <s v="“Pediatrik Wilson Hastalarında Nörotoksisitenin Değerlendirilmesi”"/>
    <m/>
    <m/>
    <m/>
    <m/>
    <m/>
    <m/>
    <m/>
    <m/>
    <m/>
    <m/>
  </r>
  <r>
    <m/>
    <m/>
    <x v="195"/>
    <x v="60"/>
    <m/>
    <s v="“Abdominal Patolojilerin Radyolojik Tanısına Yönelik Derin Öğrenme Modeli Geliştirilmesi.”"/>
    <m/>
    <m/>
    <m/>
    <m/>
    <m/>
    <m/>
    <m/>
    <m/>
    <m/>
    <m/>
  </r>
  <r>
    <m/>
    <m/>
    <x v="195"/>
    <x v="60"/>
    <m/>
    <s v="“Çocukluk Çağında Pankreatit”"/>
    <m/>
    <m/>
    <m/>
    <m/>
    <m/>
    <m/>
    <m/>
    <m/>
    <m/>
    <m/>
  </r>
  <r>
    <m/>
    <m/>
    <x v="195"/>
    <x v="60"/>
    <m/>
    <s v="“Farklı Materyaller ve Kalınlıklar ile Taklit Edilen Periodontal Ligamentin Kök Kanal Tedavili Dişlerde Kırılma Dayanımı Üzerindeki Etkisi: İn Vitro Çalışma”"/>
    <m/>
    <m/>
    <m/>
    <m/>
    <m/>
    <m/>
    <m/>
    <m/>
    <m/>
    <m/>
  </r>
  <r>
    <m/>
    <m/>
    <x v="195"/>
    <x v="60"/>
    <m/>
    <s v="“İmmünoterapi Alan Hastalarda İmmün Yan Etki Gelişimini Predikte Eden Klinik ve Genetik Belirteçler”"/>
    <m/>
    <m/>
    <m/>
    <m/>
    <m/>
    <m/>
    <m/>
    <m/>
    <m/>
    <m/>
  </r>
  <r>
    <m/>
    <m/>
    <x v="195"/>
    <x v="60"/>
    <m/>
    <s v="“Üst Aerodigestif Sistem Mukozal Lezyonların Analizinde Dar Bant Görüntülemenin Yeri, Verilerin Histopatolojik İnceleme ile Karşılaştırılması”"/>
    <m/>
    <m/>
    <m/>
    <m/>
    <m/>
    <m/>
    <m/>
    <m/>
    <m/>
    <m/>
  </r>
  <r>
    <m/>
    <m/>
    <x v="195"/>
    <x v="60"/>
    <m/>
    <s v="“Çocuklarda Cerrahi Sonrası Geliştirilmiş İyileştirme (Enhanced Recovery After Surgery: ERAS) Programı Uygulamaları”"/>
    <m/>
    <m/>
    <m/>
    <m/>
    <m/>
    <m/>
    <m/>
    <m/>
    <m/>
    <m/>
  </r>
  <r>
    <m/>
    <m/>
    <x v="195"/>
    <x v="60"/>
    <m/>
    <s v="“Kırım- Kongo Kanamalı Ateşi Tanılı Çocuk ve Erişkin Hastaların Sitokin ve Kemokin Yanıtlarının Değerlendirilmesi”"/>
    <m/>
    <m/>
    <m/>
    <m/>
    <m/>
    <m/>
    <m/>
    <m/>
    <m/>
    <m/>
  </r>
  <r>
    <m/>
    <m/>
    <x v="195"/>
    <x v="60"/>
    <m/>
    <s v="“Toraks BT Görüntülerinde İnterstisyel Akciğer Hastalığı Tespiti Amacıyla Akciğer Desen Analizine Yönelik Yapay Zeka Uygulaması”"/>
    <m/>
    <m/>
    <m/>
    <m/>
    <m/>
    <m/>
    <m/>
    <m/>
    <m/>
    <m/>
  </r>
  <r>
    <m/>
    <m/>
    <x v="195"/>
    <x v="60"/>
    <m/>
    <s v="'Mitral Kapak Replasmanı Sonrası Postoperatif Mitral Gradient ile Kapak Boyutu, Vücut Kitle İndeksi ve Sol Atrium Çapı Arasındakı İlişkinin Retrospektif Analizi''"/>
    <m/>
    <m/>
    <m/>
    <m/>
    <m/>
    <m/>
    <m/>
    <m/>
    <m/>
    <m/>
  </r>
  <r>
    <m/>
    <m/>
    <x v="195"/>
    <x v="60"/>
    <m/>
    <s v="“Preoperatif Uyku Kalitesinin Mandibular Gömülü Üçüncü Molar Diş Çekimi Sonrası Ağrı ve Ödem Üzerine Etkisi”"/>
    <m/>
    <m/>
    <m/>
    <m/>
    <m/>
    <m/>
    <m/>
    <m/>
    <m/>
    <m/>
  </r>
  <r>
    <m/>
    <m/>
    <x v="195"/>
    <x v="60"/>
    <m/>
    <s v="“Aile Hekimliği Uzmanlık Öğrencileri İçin EASM Rotasyonu Öncesi Çevrimiçi Bir Oryantasyon Eğitimi Programının Geliştirilmesi ve Etkinliğinin Değerlendirilmesi”"/>
    <m/>
    <m/>
    <m/>
    <m/>
    <m/>
    <m/>
    <m/>
    <m/>
    <m/>
    <m/>
  </r>
  <r>
    <m/>
    <m/>
    <x v="195"/>
    <x v="60"/>
    <m/>
    <s v="“Nemalin Miyopatisi Olan Hastalar için Çok Merkezli, Prospektif, Uzunlamasına ve Gözlemsel Bir Doğal Seyir Çalışması”"/>
    <m/>
    <m/>
    <m/>
    <m/>
    <m/>
    <m/>
    <m/>
    <m/>
    <m/>
    <m/>
  </r>
  <r>
    <m/>
    <m/>
    <x v="195"/>
    <x v="60"/>
    <m/>
    <s v="“Femur Başı Avasküler Nekrozu Olan Hastalarda Tedavi Modalitelerinin ve Sağkalımın Retrospektif Olarak Değerlendirilmesi”"/>
    <m/>
    <m/>
    <m/>
    <m/>
    <m/>
    <m/>
    <m/>
    <m/>
    <m/>
    <m/>
  </r>
  <r>
    <m/>
    <m/>
    <x v="195"/>
    <x v="60"/>
    <m/>
    <s v="“Çocukluk Çağında Nintedanib Kullanımı: Tek Merkez Deneyimi”"/>
    <m/>
    <m/>
    <m/>
    <m/>
    <m/>
    <m/>
    <m/>
    <m/>
    <m/>
    <m/>
  </r>
  <r>
    <m/>
    <m/>
    <x v="195"/>
    <x v="60"/>
    <m/>
    <s v="“Emzirme Danışmanlığı Merkezi’ne Başvuran Ebeveynlerde Postpartum Depresyon Saptanma Durumunun ve İlişkili Faktörlerin Değerlendirilmesi: Retrospektif Kohort Çalışması”"/>
    <m/>
    <m/>
    <m/>
    <m/>
    <m/>
    <m/>
    <m/>
    <m/>
    <m/>
    <m/>
  </r>
  <r>
    <m/>
    <m/>
    <x v="195"/>
    <x v="60"/>
    <m/>
    <s v="“Tıp Fakültesi ve Beslenme ve Diyetetik Bölümü Öğrencilerinin Hasta Güvenliği ve Mesleklerarası İşbirliği Programına Yönelik Görüşleri”"/>
    <m/>
    <m/>
    <m/>
    <m/>
    <m/>
    <m/>
    <m/>
    <m/>
    <m/>
    <m/>
  </r>
  <r>
    <m/>
    <m/>
    <x v="195"/>
    <x v="60"/>
    <m/>
    <s v="“Çocukluk Çağı Akut Arteriyel İskemik İnme Tanısı Alan Hastalarda Etiyoloji, Tedavi Yaklaşımı ve Nörolojik Sonuçlarının Değerlendirilmesi”"/>
    <m/>
    <m/>
    <m/>
    <m/>
    <m/>
    <m/>
    <m/>
    <m/>
    <m/>
    <m/>
  </r>
  <r>
    <m/>
    <m/>
    <x v="195"/>
    <x v="60"/>
    <m/>
    <s v="“18-49 Yaş Arası Kadınların Birinci Basamakta Yapılan Jinekolojik Muayene Hakkındaki Görüş ve Deneyimleri”"/>
    <m/>
    <m/>
    <m/>
    <m/>
    <m/>
    <m/>
    <m/>
    <m/>
    <m/>
    <m/>
  </r>
  <r>
    <m/>
    <m/>
    <x v="195"/>
    <x v="60"/>
    <m/>
    <s v="“Mesleklerarası İşbirliği Programına Yönelik Öğrenci ve Eğitici Görüşleri: Program Değerlendirme Çalışması”"/>
    <m/>
    <m/>
    <m/>
    <m/>
    <m/>
    <m/>
    <m/>
    <m/>
    <m/>
    <m/>
  </r>
  <r>
    <m/>
    <m/>
    <x v="195"/>
    <x v="60"/>
    <m/>
    <s v="“Asitretin Tedavisi Almış Psoriazis Vulgaris Tanılı Hastalarda FIB-4 Skorunun Retrospektif Değerlendirilmesi”"/>
    <m/>
    <m/>
    <m/>
    <m/>
    <m/>
    <m/>
    <m/>
    <m/>
    <m/>
    <m/>
  </r>
  <r>
    <m/>
    <m/>
    <x v="195"/>
    <x v="60"/>
    <m/>
    <s v="“Klinik Nütrisyon Tedavisinde Hedefe Ulaşmada Önemli Bir Bariyer: Refeedin Sendromu”"/>
    <m/>
    <m/>
    <m/>
    <m/>
    <m/>
    <m/>
    <m/>
    <m/>
    <m/>
    <m/>
  </r>
  <r>
    <m/>
    <m/>
    <x v="195"/>
    <x v="60"/>
    <m/>
    <s v="&quot;İleri Yaşlı Bireylerde Trombosit Lenfosit Oranı ile Disfaji Arasındaki İlişki”"/>
    <m/>
    <m/>
    <m/>
    <m/>
    <m/>
    <m/>
    <m/>
    <m/>
    <m/>
    <m/>
  </r>
  <r>
    <m/>
    <m/>
    <x v="195"/>
    <x v="60"/>
    <m/>
    <s v="“Bruselloz Tanılı Çocukların Sitokin ve Kemokin Yanıtlarının Değerlendirilmesi”"/>
    <m/>
    <m/>
    <m/>
    <m/>
    <m/>
    <m/>
    <m/>
    <m/>
    <m/>
    <m/>
  </r>
  <r>
    <m/>
    <m/>
    <x v="195"/>
    <x v="60"/>
    <m/>
    <s v="“Acil İstenen EEG’lerin Tanısal Değeri ve Tedaviye Katkısı”"/>
    <m/>
    <m/>
    <m/>
    <m/>
    <m/>
    <m/>
    <m/>
    <m/>
    <m/>
    <m/>
  </r>
  <r>
    <m/>
    <m/>
    <x v="195"/>
    <x v="60"/>
    <m/>
    <s v="“Anne Adaylarının İşitme Kaybı Risk Faktörleri ve Erken Korunma Hakkındaki Farkındalıklarının Belirlenmesi ve Eğitimi”"/>
    <m/>
    <m/>
    <m/>
    <m/>
    <m/>
    <m/>
    <m/>
    <m/>
    <m/>
    <m/>
  </r>
  <r>
    <m/>
    <m/>
    <x v="195"/>
    <x v="60"/>
    <m/>
    <s v="“Ekran Maruziyetinin Çocukların İşitme, Konuşma ve Dil Becerilerine Etkisi Konusunda Ebeveyn Farkındalığının İncelenmesi ve Bilgilendirilmesi”"/>
    <m/>
    <m/>
    <m/>
    <m/>
    <m/>
    <m/>
    <m/>
    <m/>
    <m/>
    <m/>
  </r>
  <r>
    <m/>
    <m/>
    <x v="195"/>
    <x v="60"/>
    <m/>
    <s v="“Panoramik Radyografik Görüntüler Kullanılarak Angle Sınıf I, II ve III Malokluzyona Sahip Hastalarda Mandibular Kemik Dansite ve Morfolojisinin Karşılaştırılması”"/>
    <m/>
    <m/>
    <m/>
    <m/>
    <m/>
    <m/>
    <m/>
    <m/>
    <m/>
    <m/>
  </r>
  <r>
    <m/>
    <m/>
    <x v="195"/>
    <x v="60"/>
    <m/>
    <s v="“Uyku Apnesinde Cerrahi Tedavi Olan ve  Pozitif Havayolu Basıncı(CPAP) Cihazı Kullanan Hastalarla, Amelyat Olmadan CPAP Tedavisi Kullanan Hastaların CPAP Basınç ve Titrasyon  Farklılıklarının Saptanması”"/>
    <m/>
    <m/>
    <m/>
    <m/>
    <m/>
    <m/>
    <m/>
    <m/>
    <m/>
    <m/>
  </r>
  <r>
    <m/>
    <m/>
    <x v="195"/>
    <x v="60"/>
    <m/>
    <s v="“Kurtarıcı Kardeş Uygulamasının Etik Boyutları: Uzman Hekimlerin Yaklaşımları”"/>
    <m/>
    <m/>
    <m/>
    <m/>
    <m/>
    <m/>
    <m/>
    <m/>
    <m/>
    <m/>
  </r>
  <r>
    <m/>
    <m/>
    <x v="195"/>
    <x v="60"/>
    <m/>
    <s v="“Membranöz Nefropati Hastalarında Tiroid Kanseri Taramasının Önemi”"/>
    <m/>
    <m/>
    <m/>
    <m/>
    <m/>
    <m/>
    <m/>
    <m/>
    <m/>
    <m/>
  </r>
  <r>
    <m/>
    <m/>
    <x v="195"/>
    <x v="60"/>
    <m/>
    <s v="“Pediatrik Nöroloji Polikliniğinde Nörogenetik Hastalıkların Dağılımı”"/>
    <m/>
    <m/>
    <m/>
    <m/>
    <m/>
    <m/>
    <m/>
    <m/>
    <m/>
    <m/>
  </r>
  <r>
    <m/>
    <m/>
    <x v="195"/>
    <x v="60"/>
    <m/>
    <s v="“ Santral Sinir Sistemi Atipik Demiyelinizan Olgularında Klinik, Radyolojik ve Patolojik Değerlendirme ”"/>
    <m/>
    <m/>
    <m/>
    <m/>
    <m/>
    <m/>
    <m/>
    <m/>
    <m/>
    <m/>
  </r>
  <r>
    <m/>
    <m/>
    <x v="195"/>
    <x v="60"/>
    <m/>
    <s v="&quot;Zigomatikomaksiller Kompleks Fraktürlerinde 2 Nokta ve 3 Nokta Fiksasyonunun Uzun Dönem Stabilite ve Orbital Hacim Açısından Kraniyometrik Analizi&quot;"/>
    <m/>
    <m/>
    <m/>
    <m/>
    <m/>
    <m/>
    <m/>
    <m/>
    <m/>
    <m/>
  </r>
  <r>
    <m/>
    <m/>
    <x v="195"/>
    <x v="60"/>
    <m/>
    <s v="“Kistik Fibrozis Yenidoğan Tarama Programı: 10 Yıllık Retrospektif Analiz ve Tanısal Değerlendirme”"/>
    <m/>
    <m/>
    <m/>
    <m/>
    <m/>
    <m/>
    <m/>
    <m/>
    <m/>
    <m/>
  </r>
  <r>
    <m/>
    <m/>
    <x v="195"/>
    <x v="60"/>
    <m/>
    <s v="“Arttırılmış Eksantrik Yük Uygulamasının Derinlik Sıçraması Üzerine Akut Etkisinin İncelenmesi”"/>
    <m/>
    <m/>
    <m/>
    <m/>
    <m/>
    <m/>
    <m/>
    <m/>
    <m/>
    <m/>
  </r>
  <r>
    <m/>
    <m/>
    <x v="195"/>
    <x v="60"/>
    <m/>
    <s v="“Atopik Dermatit Tanılı Adölesan Hastalarda Menstrüasyon Siklusun Hastalık Aktivitesi Üzerine Etkisi”"/>
    <m/>
    <m/>
    <m/>
    <m/>
    <m/>
    <m/>
    <m/>
    <m/>
    <m/>
    <m/>
  </r>
  <r>
    <m/>
    <m/>
    <x v="195"/>
    <x v="60"/>
    <m/>
    <s v="“Duygusal Zekâ Temelli Etkinliklerin Konuşma Akıcılığına, Duygusal Zekâya ve Beyin Bağlantısallık Ağlarına Etkisi”"/>
    <m/>
    <m/>
    <m/>
    <m/>
    <m/>
    <m/>
    <m/>
    <m/>
    <m/>
    <m/>
  </r>
  <r>
    <m/>
    <m/>
    <x v="195"/>
    <x v="60"/>
    <m/>
    <s v="“Tıp Fakültesi Öğrencilerinin Anatomi Eğitiminde Kullandıkları Yapay Zeka Araçları Hakkındaki Tutum ve Görüşleri”"/>
    <m/>
    <m/>
    <m/>
    <m/>
    <m/>
    <m/>
    <m/>
    <m/>
    <m/>
    <m/>
  </r>
  <r>
    <m/>
    <m/>
    <x v="195"/>
    <x v="60"/>
    <m/>
    <s v="“Erişkin Özofagus Atrezilere Özgü Hayat Kalitesi Anketi”"/>
    <m/>
    <m/>
    <m/>
    <m/>
    <m/>
    <m/>
    <m/>
    <m/>
    <m/>
    <m/>
  </r>
  <r>
    <m/>
    <m/>
    <x v="195"/>
    <x v="60"/>
    <m/>
    <s v="“Atipik Alzheimer Varyantlarında Glimfatik Sistem, Serebral Perfüzyon ve APOE Genotipinin Bütüncül Değerlendirmesi: Pilot Nörogörüntüleme ve Genetik Çalışma”"/>
    <m/>
    <m/>
    <m/>
    <m/>
    <m/>
    <m/>
    <m/>
    <m/>
    <m/>
    <m/>
  </r>
  <r>
    <m/>
    <m/>
    <x v="195"/>
    <x v="60"/>
    <m/>
    <s v="“Özofagus Atrezili Çocuklarda Tekrarlayan Trakeoözofageal Fistüllerin Yönetimi”"/>
    <m/>
    <m/>
    <m/>
    <m/>
    <m/>
    <m/>
    <m/>
    <m/>
    <m/>
    <m/>
  </r>
  <r>
    <m/>
    <m/>
    <x v="195"/>
    <x v="60"/>
    <m/>
    <s v="“Ağır Akciğer Hastalığı Olan Kistik Fibrozis Hastalarında Modulatör Tedavinin Akciğer Nakil Gereksinimine Etkisi: Ulusal Kistik Fibrozis Kayıt Sistemi Verilerinin İncelenmesi”"/>
    <m/>
    <m/>
    <m/>
    <m/>
    <m/>
    <m/>
    <m/>
    <m/>
    <m/>
    <m/>
  </r>
  <r>
    <m/>
    <m/>
    <x v="195"/>
    <x v="60"/>
    <m/>
    <s v="“Tiroid Göz Hastalığında Hastalık Şiddetinin Oftalmolojik ve Ortoptik Klinik Bulgular ile Korelasyonu”"/>
    <m/>
    <m/>
    <m/>
    <m/>
    <m/>
    <m/>
    <m/>
    <m/>
    <m/>
    <m/>
  </r>
  <r>
    <m/>
    <m/>
    <x v="195"/>
    <x v="60"/>
    <m/>
    <s v="“Kemik Tümörleri Nedeniyle Yapılan Segmental Kemik Rezeksiyonları Sonrası Oluşan Defektlerin Otogreft ve Tümör Protezi Yöntemleriyle Rekonstrüksiyonlarının Karşılaştırılması”"/>
    <m/>
    <m/>
    <m/>
    <m/>
    <m/>
    <m/>
    <m/>
    <m/>
    <m/>
    <m/>
  </r>
  <r>
    <m/>
    <m/>
    <x v="195"/>
    <x v="60"/>
    <m/>
    <s v="“5 Yaş Altı Hastalarda İstismar ve İhmal Değerlendirilmesi, Sandığımız Kadar Nadir Mi?”"/>
    <m/>
    <m/>
    <m/>
    <m/>
    <m/>
    <m/>
    <m/>
    <m/>
    <m/>
    <m/>
  </r>
  <r>
    <m/>
    <m/>
    <x v="195"/>
    <x v="60"/>
    <m/>
    <s v="“Konjenital Tibia Psödoartrozunda Ilizarov Tekniği ile Vaskülarize Fibula Grefti Kombinasyonunun Cerrahi Sonuçlarının Değerlendirilmesi”"/>
    <m/>
    <m/>
    <m/>
    <m/>
    <m/>
    <m/>
    <m/>
    <m/>
    <m/>
    <m/>
  </r>
  <r>
    <m/>
    <m/>
    <x v="195"/>
    <x v="60"/>
    <m/>
    <s v="“Geriatrik Popülasyonda Uykusuzluğu Ölçmeye Yönelik Bergen Uykusuzluk Ölçeğinin Türkçe Geçerlik ve Güvenirlik Çalışması”"/>
    <m/>
    <m/>
    <m/>
    <m/>
    <m/>
    <m/>
    <m/>
    <m/>
    <m/>
    <m/>
  </r>
  <r>
    <m/>
    <m/>
    <x v="195"/>
    <x v="60"/>
    <m/>
    <s v="“Legg-Calve-Perthes Hastalığı Olan Çocukların Kalça Eklem Sıvısından Alınan Örneklerinde Mikroorganizma Araştırılması: Karşılaştırmalı Prospektif Çalışma”"/>
    <m/>
    <m/>
    <m/>
    <m/>
    <m/>
    <m/>
    <m/>
    <m/>
    <m/>
    <m/>
  </r>
  <r>
    <m/>
    <m/>
    <x v="195"/>
    <x v="60"/>
    <m/>
    <s v="“Sarkopenik Obezite ile Serum İlişkili İnflamasyon Belirteçlerin İlişkisinin İncelenmesi”"/>
    <m/>
    <m/>
    <m/>
    <m/>
    <m/>
    <m/>
    <m/>
    <m/>
    <m/>
    <m/>
  </r>
  <r>
    <m/>
    <m/>
    <x v="195"/>
    <x v="60"/>
    <m/>
    <s v="“Psoriatik Tırnak ve Onikomikozda Klinik ve Dermoskopik Özelliklerin Karşılaştırılması”"/>
    <m/>
    <m/>
    <m/>
    <m/>
    <m/>
    <m/>
    <m/>
    <m/>
    <m/>
    <m/>
  </r>
  <r>
    <m/>
    <m/>
    <x v="195"/>
    <x v="60"/>
    <m/>
    <s v="“Alerjik ve Alerjik Olmayan Astımlı Çocuklardan İzole Edilen Eozinofillerde Oksidatif Stres Cevap Mekanizmalarının Araştırılması”"/>
    <m/>
    <m/>
    <m/>
    <m/>
    <m/>
    <m/>
    <m/>
    <m/>
    <m/>
    <m/>
  </r>
  <r>
    <m/>
    <m/>
    <x v="195"/>
    <x v="60"/>
    <m/>
    <s v="“İşitme Kayıplı Hastalarda Multidisipliner İmplant Konseyi Kararları ile ChatGPT Yanıtlarının Karşılaştırılması”"/>
    <m/>
    <m/>
    <m/>
    <m/>
    <m/>
    <m/>
    <m/>
    <m/>
    <m/>
    <m/>
  </r>
  <r>
    <m/>
    <m/>
    <x v="195"/>
    <x v="60"/>
    <m/>
    <s v="“Fetal Anemi Nedeniyle İntrauterin Kan Transfüzyonu Yapılan Bebeklerin Kısa ve Uzun Dönem Nörolojik Sonuçlarının Değerlendirmesi”"/>
    <m/>
    <m/>
    <m/>
    <m/>
    <m/>
    <m/>
    <m/>
    <m/>
    <m/>
    <m/>
  </r>
  <r>
    <m/>
    <m/>
    <x v="195"/>
    <x v="60"/>
    <m/>
    <s v="“Pre-menopozal ve Post-menopozal Kadınlarda Odyolojik ve Vestibüler Fonksiyonların Karşılaştırılması”"/>
    <m/>
    <m/>
    <m/>
    <m/>
    <m/>
    <m/>
    <m/>
    <m/>
    <m/>
    <m/>
  </r>
  <r>
    <m/>
    <m/>
    <x v="195"/>
    <x v="60"/>
    <m/>
    <s v="&quot;Serviks Kanserinde Kemoradyoterapi Öncesi ve Sürecindeki Sarkopeni ve Klinik Önemi&quot;"/>
    <m/>
    <m/>
    <m/>
    <m/>
    <m/>
    <m/>
    <m/>
    <m/>
    <m/>
    <m/>
  </r>
  <r>
    <m/>
    <m/>
    <x v="195"/>
    <x v="60"/>
    <m/>
    <s v="“İç Hastalıkları Servislerinde İntravenöz Diüretik Tedavisi Amacıyla Yatan Hipervolemik Hastaların Diüretik Doz Etkinliğinin İdrar Sodyumu İle Değerlendirilmesi”"/>
    <m/>
    <m/>
    <m/>
    <m/>
    <m/>
    <m/>
    <m/>
    <m/>
    <m/>
    <m/>
  </r>
  <r>
    <m/>
    <m/>
    <x v="195"/>
    <x v="60"/>
    <m/>
    <s v="“Yoğun Bakım Ünitesinde İntravenöz Sıvı Kullanımının Değerlendirilmesi”"/>
    <m/>
    <m/>
    <m/>
    <m/>
    <m/>
    <m/>
    <m/>
    <m/>
    <m/>
    <m/>
  </r>
  <r>
    <m/>
    <m/>
    <x v="195"/>
    <x v="60"/>
    <m/>
    <s v="“Konservatif Tedaviye Dirençli Periartiküler Kas İskelet Sistemi Hastalıklarında Fonksiyon Kısıtlayıcı Semptomların Transarteriyel Periartiküler Embolizasyon (TAPE) Tedavisi Sonrası Yanıt Değerlendirilemesi ”"/>
    <m/>
    <m/>
    <m/>
    <m/>
    <m/>
    <m/>
    <m/>
    <m/>
    <m/>
    <m/>
  </r>
  <r>
    <m/>
    <m/>
    <x v="195"/>
    <x v="60"/>
    <m/>
    <s v="“Klasik Hodgkin Lenfoma Hastalarında İlk Basamak ve Kurtarma Tedavilerinin Karşılaştırılması”"/>
    <m/>
    <m/>
    <m/>
    <m/>
    <m/>
    <m/>
    <m/>
    <m/>
    <m/>
    <m/>
  </r>
  <r>
    <m/>
    <m/>
    <x v="195"/>
    <x v="60"/>
    <m/>
    <s v="''Pulmoner Kapak Replasmanı Yapılan Hastaların Uzun Dönem Sonuçlarının İzlenmesi ve Bunların Maliyet Analizi Sonuçlarının Araştırılması''"/>
    <m/>
    <m/>
    <m/>
    <m/>
    <m/>
    <m/>
    <m/>
    <m/>
    <m/>
    <m/>
  </r>
  <r>
    <m/>
    <m/>
    <x v="195"/>
    <x v="60"/>
    <m/>
    <s v="“Klozapinle İlişkili Nötropeni İçin Aday İmmun Biyobelirteçlerin Araştırılması”"/>
    <m/>
    <m/>
    <m/>
    <m/>
    <m/>
    <m/>
    <m/>
    <m/>
    <m/>
    <m/>
  </r>
  <r>
    <m/>
    <m/>
    <x v="195"/>
    <x v="60"/>
    <m/>
    <s v="“Kronik Plak Tip Psöriazis Vulgaris Tanılı Çoklu Biyolojik Tedavi Dirençli Hastaların Demografik Özellikleri, Klinik Özellikleri ve Komorbiditelerinin İncelenmesinın”"/>
    <m/>
    <m/>
    <m/>
    <m/>
    <m/>
    <m/>
    <m/>
    <m/>
    <m/>
    <m/>
  </r>
  <r>
    <m/>
    <m/>
    <x v="195"/>
    <x v="60"/>
    <m/>
    <s v="“Mylohyoid Kas Transpozisyonunun Fasial Reanimasyondaki Potansiyeli: Kadavra Çalışması”"/>
    <m/>
    <m/>
    <m/>
    <m/>
    <m/>
    <m/>
    <m/>
    <m/>
    <m/>
    <m/>
  </r>
  <r>
    <m/>
    <m/>
    <x v="195"/>
    <x v="60"/>
    <m/>
    <s v="“Superior ve İnferior Labial Arterlerin Vermilion Sınırındaki Derinliklerinin ve Konumunun Ölçümü: Kadavra Çalışması”"/>
    <m/>
    <m/>
    <m/>
    <m/>
    <m/>
    <m/>
    <m/>
    <m/>
    <m/>
    <m/>
  </r>
  <r>
    <m/>
    <m/>
    <x v="195"/>
    <x v="60"/>
    <m/>
    <s v="“İmmünsüpresif Tedavi Öncesi HBV Serolojik Durumuna Göre Alınan Klinik Kararların ve Antiviral Kullanımının Uluslararası ve Ulusal Rehberlerle Uyumu: Tek Merkez Gerçek Yaşam Verilerinin Analizi”"/>
    <m/>
    <m/>
    <m/>
    <m/>
    <m/>
    <m/>
    <m/>
    <m/>
    <m/>
    <m/>
  </r>
  <r>
    <m/>
    <m/>
    <x v="195"/>
    <x v="60"/>
    <m/>
    <s v="&quot;Astımlı Hastalarda Otonom Disfonksiyon ve Termoregülasyon Bozukluklarının Klinik ve Proteomik Etkileri”"/>
    <m/>
    <m/>
    <m/>
    <m/>
    <m/>
    <m/>
    <m/>
    <m/>
    <m/>
    <m/>
  </r>
  <r>
    <m/>
    <m/>
    <x v="195"/>
    <x v="60"/>
    <m/>
    <s v="“Over Kanseri Hastalarında Primer Debulking Cerrahisi Yapılan ve Neoadjuvan Kemoterapi Alanlarda Gelişen Venöz Tromboembolik Olaylar, Risk Faktörleri, Sağkalım ve Profilaksi Uygulamalarının Retrospektif Olarak Araştırılması”"/>
    <m/>
    <m/>
    <m/>
    <m/>
    <m/>
    <m/>
    <m/>
    <m/>
    <m/>
    <m/>
  </r>
  <r>
    <m/>
    <m/>
    <x v="195"/>
    <x v="60"/>
    <m/>
    <s v="“Kistik Fibrozis Hastalarında Balgam Kültüründe Kronik Candida Kolonizasyonunun Solunum Fonksiyonları, Klinik ve Laboratuar Parametreleri Üzerine Olan Etkilerinin Değerlendirilmesi”"/>
    <m/>
    <m/>
    <m/>
    <m/>
    <m/>
    <m/>
    <m/>
    <m/>
    <m/>
    <m/>
  </r>
  <r>
    <m/>
    <m/>
    <x v="195"/>
    <x v="60"/>
    <m/>
    <s v="“İleri Evre Over Kanserinde Pelvik Sitoredüksiyon için Pelvik Peritonektomi Yapılan Hastalar ile Rektosigmoid Rezeksiyon Yapılan Hastalar Arasındaki Pelvik Nüks ve Sağ Kalım Oranlarının Karşılaştırılması”"/>
    <m/>
    <m/>
    <m/>
    <m/>
    <m/>
    <m/>
    <m/>
    <m/>
    <m/>
    <m/>
  </r>
  <r>
    <m/>
    <m/>
    <x v="195"/>
    <x v="60"/>
    <m/>
    <s v="“Obezite Hastalığının Oküler Yüzey Üzerindeki Etkilerinin Değerlendirilmesi”"/>
    <m/>
    <m/>
    <m/>
    <m/>
    <m/>
    <m/>
    <m/>
    <m/>
    <m/>
    <m/>
  </r>
  <r>
    <m/>
    <m/>
    <x v="195"/>
    <x v="60"/>
    <m/>
    <s v="“Ergenlerde Dayanıklılık ile İlişkili Etkenlerin İncelenmesi”"/>
    <m/>
    <m/>
    <m/>
    <m/>
    <m/>
    <m/>
    <m/>
    <m/>
    <m/>
    <m/>
  </r>
  <r>
    <m/>
    <m/>
    <x v="195"/>
    <x v="60"/>
    <m/>
    <s v="“Renal Amiloidozda Prognozu Etkileyen Faktörler: 25 Yıllık Tek Merkez Deneyimi”"/>
    <m/>
    <m/>
    <m/>
    <m/>
    <m/>
    <m/>
    <m/>
    <m/>
    <m/>
    <m/>
  </r>
  <r>
    <m/>
    <m/>
    <x v="195"/>
    <x v="60"/>
    <m/>
    <s v="“Glomerulonefritlerin Gebelik Süreci, Maternal ve Fetal Sonlanıma Etkisi”"/>
    <m/>
    <m/>
    <m/>
    <m/>
    <m/>
    <m/>
    <m/>
    <m/>
    <m/>
    <m/>
  </r>
  <r>
    <m/>
    <m/>
    <x v="195"/>
    <x v="60"/>
    <m/>
    <s v="“Serbest Diş Eti Grefti Alınan Lateral Damak Bölgesine Farklı Ajanlar Uygulanmış Hastaların Verilerinin Karşılaştırılmalı Olarak İncelenmesi”"/>
    <m/>
    <m/>
    <m/>
    <m/>
    <m/>
    <m/>
    <m/>
    <m/>
    <m/>
    <m/>
  </r>
  <r>
    <m/>
    <m/>
    <x v="195"/>
    <x v="60"/>
    <m/>
    <s v="“Klozapine Yanıt ile Yan Etkiler Arasındaki İlişkinin İncelenmesi: Geriye Dönük Bir Çalışma”"/>
    <m/>
    <m/>
    <m/>
    <m/>
    <m/>
    <m/>
    <m/>
    <m/>
    <m/>
    <m/>
  </r>
  <r>
    <m/>
    <m/>
    <x v="195"/>
    <x v="60"/>
    <m/>
    <s v="“Metabolik Disfonksiyonla İlişkili Steatotik Karaciğer Hastalığı (MASLD) Etiyopatogenezinde Safra Asidi Metabolitleri ve Metabolomik Analizi”"/>
    <m/>
    <m/>
    <m/>
    <m/>
    <m/>
    <m/>
    <m/>
    <m/>
    <m/>
    <m/>
  </r>
  <r>
    <m/>
    <m/>
    <x v="195"/>
    <x v="60"/>
    <m/>
    <s v="&quot;U14 Su Topu Oyuncularında Enerji Dengesi ve Bazı Performans Parametrelerinin Belirlenmesi&quot;"/>
    <m/>
    <m/>
    <m/>
    <m/>
    <m/>
    <m/>
    <m/>
    <m/>
    <m/>
    <m/>
  </r>
  <r>
    <m/>
    <m/>
    <x v="195"/>
    <x v="60"/>
    <m/>
    <s v="“Gıda Sağlığı ile İlgili Olan Profesyonellerin Gıda İnfodemisi Hakkındaki Görüş ve Deneyimleri: Niteliksel Bir Çalışma”"/>
    <m/>
    <m/>
    <m/>
    <m/>
    <m/>
    <m/>
    <m/>
    <m/>
    <m/>
    <m/>
  </r>
  <r>
    <m/>
    <m/>
    <x v="195"/>
    <x v="60"/>
    <m/>
    <s v="“Larinks Patolojilerinin Malignleşme Sürecinde SERPİNE1'in Rolü”"/>
    <m/>
    <m/>
    <m/>
    <m/>
    <m/>
    <m/>
    <m/>
    <m/>
    <m/>
    <m/>
  </r>
  <r>
    <m/>
    <m/>
    <x v="195"/>
    <x v="60"/>
    <m/>
    <s v="“Kalsiyum (Ca2+) ve Magnezyum (Mg2+) İlişkili İmmün Yetmezliklerde Fonksiyonel ve Klinik Özellikler”"/>
    <m/>
    <m/>
    <m/>
    <m/>
    <m/>
    <m/>
    <m/>
    <m/>
    <m/>
    <m/>
  </r>
  <r>
    <m/>
    <m/>
    <x v="195"/>
    <x v="60"/>
    <m/>
    <s v="“SCN5A Varyantı Saptanan Hastaların Klinik ve Moleküler Bulgularının Değerlendirilmesi”"/>
    <m/>
    <m/>
    <m/>
    <m/>
    <m/>
    <m/>
    <m/>
    <m/>
    <m/>
    <m/>
  </r>
  <r>
    <m/>
    <m/>
    <x v="195"/>
    <x v="60"/>
    <m/>
    <s v="“Gelişimsel Açıdan Riskli Çocuklarda 4–6 Yaş Arasında Öğrenme Güçlüğü Belirtilerinin Taranması ve Risk Etkenleriyle İlişkisinin Belirlenmesi”"/>
    <m/>
    <m/>
    <m/>
    <m/>
    <m/>
    <m/>
    <m/>
    <m/>
    <m/>
    <m/>
  </r>
  <r>
    <m/>
    <m/>
    <x v="195"/>
    <x v="60"/>
    <m/>
    <s v="“Akondroplazili Çocuk Hastalarda Uyku ile İlişkili Solunum Bozukluklarının ve Polisomnografi Bulgularının Değerlendirilmesi”"/>
    <m/>
    <m/>
    <m/>
    <m/>
    <m/>
    <m/>
    <m/>
    <m/>
    <m/>
    <m/>
  </r>
  <r>
    <m/>
    <m/>
    <x v="195"/>
    <x v="60"/>
    <m/>
    <s v="“Skleroderma Tanılı Olgu ve Bireylerin Biyopsikososyal Durumları ile Çiğneme-Yutma Performansları Arasındaki İlişkinin Araştırılması”"/>
    <m/>
    <m/>
    <m/>
    <m/>
    <m/>
    <m/>
    <m/>
    <m/>
    <m/>
    <m/>
  </r>
  <r>
    <m/>
    <m/>
    <x v="195"/>
    <x v="60"/>
    <m/>
    <s v="“Skleroderma Tanılı Olgu ve Bireylerin Biyopsikososyal Durumları ile Fiziksel Performans ve Fonksiyonellikleri Arasındaki İlişkinin Araştırılması”"/>
    <m/>
    <m/>
    <m/>
    <m/>
    <m/>
    <m/>
    <m/>
    <m/>
    <m/>
    <m/>
  </r>
  <r>
    <m/>
    <m/>
    <x v="195"/>
    <x v="60"/>
    <m/>
    <s v="“JİA Tanılı Olgularda Ebeveynlerin Bildirdiği Ağrıyı Felaketleştirme Durumuna Göre Biyopsikososyal Özelliklerin İncelenmesi”"/>
    <m/>
    <m/>
    <m/>
    <m/>
    <m/>
    <m/>
    <m/>
    <m/>
    <m/>
    <m/>
  </r>
  <r>
    <m/>
    <m/>
    <x v="195"/>
    <x v="60"/>
    <m/>
    <s v="“Üst Ekstremite Deri Kalınlığının Hasta Tarafından Kendi Kendine Değerlendirilmesi Anketinin Türkçe Versiyonunun Kültürel Adaptasyonu, Geçerliği ve Güvenirliğinin İncelenmesi”"/>
    <m/>
    <m/>
    <m/>
    <m/>
    <m/>
    <m/>
    <m/>
    <m/>
    <m/>
    <m/>
  </r>
  <r>
    <m/>
    <m/>
    <x v="195"/>
    <x v="60"/>
    <m/>
    <s v="“Nazal Septal Perforasyon Onarımının Hastaların Nazal Hava Akımı ve Yaşam Kalitesi Üzerine Olan Etkisinin Değerlendirilmesi”"/>
    <m/>
    <m/>
    <m/>
    <m/>
    <m/>
    <m/>
    <m/>
    <m/>
    <m/>
    <m/>
  </r>
  <r>
    <m/>
    <m/>
    <x v="195"/>
    <x v="60"/>
    <m/>
    <s v="“Kistik Fibrozis Transmembran Regülatör Protein-İlişkili Hastalık Tanılı Çocuk Hastalarımızın Klinik ve Radyolojik Özellikleri”"/>
    <m/>
    <m/>
    <m/>
    <m/>
    <m/>
    <m/>
    <m/>
    <m/>
    <m/>
    <m/>
  </r>
  <r>
    <m/>
    <m/>
    <x v="195"/>
    <x v="60"/>
    <m/>
    <s v="“Çocukluk Çağı Sinoviyal Sarkom Olgularının Retrospektif Değerlendrilmesi”"/>
    <m/>
    <m/>
    <m/>
    <m/>
    <m/>
    <m/>
    <m/>
    <m/>
    <m/>
    <m/>
  </r>
  <r>
    <m/>
    <m/>
    <x v="195"/>
    <x v="60"/>
    <m/>
    <s v="“Spinal Musküler Atrofi Tanılı Hastalarda Kemik Sağlığının Retrospektif Olarak Değerlendirilmesi”"/>
    <m/>
    <m/>
    <m/>
    <m/>
    <m/>
    <m/>
    <m/>
    <m/>
    <m/>
    <m/>
  </r>
  <r>
    <m/>
    <m/>
    <x v="195"/>
    <x v="60"/>
    <m/>
    <s v="“Griscelli Sendromu Tanısı Alan Hastaların Klinik ve Laboratuvar Özelliklerinin Değerelnedirilmesi”"/>
    <m/>
    <m/>
    <m/>
    <m/>
    <m/>
    <m/>
    <m/>
    <m/>
    <m/>
    <m/>
  </r>
  <r>
    <m/>
    <m/>
    <x v="195"/>
    <x v="60"/>
    <m/>
    <s v="“Stres, Cinsiyet ve Menstrual Döngünün, Tıkınırcasına Yeme Bozukluğu ve Uyku Kalitesi ile İlişkisinin İncelenmesi”"/>
    <m/>
    <m/>
    <m/>
    <m/>
    <m/>
    <m/>
    <m/>
    <m/>
    <m/>
    <m/>
  </r>
  <r>
    <m/>
    <m/>
    <x v="195"/>
    <x v="60"/>
    <m/>
    <s v="“Otizm Tanılı Ergenlerin Ebeveynlerinin Tükenmişlik ve Damgalanma Algısının Bilinçli Farkındalık Aracılığıyla Ergenlerin Psikososyal İyilik Hali Üzerine Etkisi”"/>
    <m/>
    <m/>
    <m/>
    <m/>
    <m/>
    <m/>
    <m/>
    <m/>
    <m/>
    <m/>
  </r>
  <r>
    <m/>
    <m/>
    <x v="195"/>
    <x v="60"/>
    <m/>
    <s v="“LeFort I Cerrahisi Uygulanan Hastalarda Maksiller Sinüs Membran Kalınlığı ve Sinüs Sağlığının Değerlendirilmesi”"/>
    <m/>
    <m/>
    <m/>
    <m/>
    <m/>
    <m/>
    <m/>
    <m/>
    <m/>
    <m/>
  </r>
  <r>
    <m/>
    <m/>
    <x v="195"/>
    <x v="60"/>
    <m/>
    <s v="&quot;Tiroid İnce İğne Aspirasyon Sitolojisinde Dijital Sitopatoloji ile Konvansiyonel Işık Mikroskobu Değerlendirmesinin Karşılaştırmalı Analizi: Belirsiz Kategorilere Odaklanarak&quot;"/>
    <m/>
    <m/>
    <m/>
    <m/>
    <m/>
    <m/>
    <m/>
    <m/>
    <m/>
    <m/>
  </r>
  <r>
    <m/>
    <m/>
    <x v="195"/>
    <x v="60"/>
    <m/>
    <s v="&quot;Yoğun Bakım Sonrası İzlem Polikliniğinde Takip Edilen Hastaların Demografik ve Klinik Özelliklerinin İncelenmesi &quot;"/>
    <m/>
    <m/>
    <m/>
    <m/>
    <m/>
    <m/>
    <m/>
    <m/>
    <m/>
    <m/>
  </r>
  <r>
    <m/>
    <m/>
    <x v="195"/>
    <x v="60"/>
    <m/>
    <s v="“Benign Histerektomi Öncesi Video Bilgilendirmesinin Anksiyete Düzeyine Etkisi”"/>
    <m/>
    <m/>
    <m/>
    <m/>
    <m/>
    <m/>
    <m/>
    <m/>
    <m/>
    <m/>
  </r>
  <r>
    <m/>
    <m/>
    <x v="195"/>
    <x v="60"/>
    <m/>
    <s v="“Ankara, Türkiye'deki Sahra Altı Afrikalı Üniversite Öğrencileri Arasında Sağlık Durumu, Sağlık Hizmetlerine Erişim, Sağlık Okuryazarlığı Düzeyi ve İlişkili Faktörlerin Belirlenmesi Araştırması”"/>
    <m/>
    <m/>
    <m/>
    <m/>
    <m/>
    <m/>
    <m/>
    <m/>
    <m/>
    <m/>
  </r>
  <r>
    <m/>
    <m/>
    <x v="195"/>
    <x v="60"/>
    <m/>
    <s v="“PIDCAP Skorlama Sisteminin Kronik Granülomatöz Hastalık Tanısı Olan Hastalarda Değerlendirilmesi”"/>
    <m/>
    <m/>
    <m/>
    <m/>
    <m/>
    <m/>
    <m/>
    <m/>
    <m/>
    <m/>
  </r>
  <r>
    <m/>
    <m/>
    <x v="195"/>
    <x v="60"/>
    <m/>
    <s v="“İmmünoterapilere Bağlı Endokrin Yan Etkiler ve Endokrinolojiye Yönlendirme Pratiklerinin Değerlendirilmesi”"/>
    <m/>
    <m/>
    <m/>
    <m/>
    <m/>
    <m/>
    <m/>
    <m/>
    <m/>
    <m/>
  </r>
  <r>
    <m/>
    <m/>
    <x v="195"/>
    <x v="60"/>
    <m/>
    <s v="“Yeme Bozukluğu Olan Ergende Tütün, Alkol ve Madde Kullanım Sıklığı ile Hastalık Şiddeti Arasındaki İlişkinin İncelenmesi”"/>
    <m/>
    <m/>
    <m/>
    <m/>
    <m/>
    <m/>
    <m/>
    <m/>
    <m/>
    <m/>
  </r>
  <r>
    <m/>
    <m/>
    <x v="195"/>
    <x v="60"/>
    <m/>
    <s v="“Uterin Serviksin İnvaziv Stratifiye Müsin Üreten Karsinomu: Klinikopatolojik Bulguların ve Prognostik Faktörlerin Değerlendirilmesi”"/>
    <m/>
    <m/>
    <m/>
    <m/>
    <m/>
    <m/>
    <m/>
    <m/>
    <m/>
    <m/>
  </r>
  <r>
    <m/>
    <m/>
    <x v="195"/>
    <x v="60"/>
    <m/>
    <s v="“Uluslararası İnkontinans Konsültasyonu– Az Aktif Mesane Anketi’nin Türkçe Geçerlik ve Güvenirlik Çalışması”"/>
    <m/>
    <m/>
    <m/>
    <m/>
    <m/>
    <m/>
    <m/>
    <m/>
    <m/>
    <m/>
  </r>
  <r>
    <m/>
    <m/>
    <x v="195"/>
    <x v="60"/>
    <m/>
    <s v="“Böbrek Biyopsilerinde Lupus Nefriti NIH Skorlamasının Dil Modeli ile Otomatikleştirilmesi ve Patolog Değerlendirmesi ile Karşılaştırılması”"/>
    <m/>
    <m/>
    <m/>
    <m/>
    <m/>
    <m/>
    <m/>
    <m/>
    <m/>
    <m/>
  </r>
  <r>
    <m/>
    <m/>
    <x v="195"/>
    <x v="60"/>
    <m/>
    <s v="“Şeffaf Plak Tedavilerinde Refinement Aşamasında Tekrarlayan Ataşman Debonding İşleminin Mine Yüzeyine Etkilerinin 3 Boyutlu Olarak İncelenmesi: In-Vitro Çalışma”"/>
    <m/>
    <m/>
    <m/>
    <m/>
    <m/>
    <m/>
    <m/>
    <m/>
    <m/>
    <m/>
  </r>
  <r>
    <m/>
    <m/>
    <x v="195"/>
    <x v="60"/>
    <m/>
    <s v="“Kistik Fibrozis, Primer Siliyer Diskinezi ve Astım Tanılı Çocukların Solunum Fonksiyon Testlerinin; Spirometri, Akciğer Temizleme İndeksi ve İmpuls Osilometri ile Değerlendirilmesi ve Parametreler Arasındaki İlişkilerin İncelenmesi”"/>
    <m/>
    <m/>
    <m/>
    <m/>
    <m/>
    <m/>
    <m/>
    <m/>
    <m/>
    <m/>
  </r>
  <r>
    <m/>
    <m/>
    <x v="195"/>
    <x v="60"/>
    <m/>
    <s v="“IgA Nefropatisi Oxford (MEST-C) Skorlamasında Dil Modeli Çıktılarının Patolog Değerlendirmeleriyle Karşılaştırılması ve Standardizasyona Yönelik Potansiyelinin Araştırılması”"/>
    <m/>
    <m/>
    <m/>
    <m/>
    <m/>
    <m/>
    <m/>
    <m/>
    <m/>
    <m/>
  </r>
  <r>
    <m/>
    <m/>
    <x v="195"/>
    <x v="60"/>
    <m/>
    <s v="“Üst Aerodigestif Sistem Mukozal Lezyonların Analizinde Dar Bant Görüntülemenin Yeri, Verilerin Histopatolojik İnceleme ile Karşılaştırılması”"/>
    <m/>
    <m/>
    <m/>
    <m/>
    <m/>
    <m/>
    <m/>
    <m/>
    <m/>
    <m/>
  </r>
  <r>
    <m/>
    <m/>
    <x v="195"/>
    <x v="60"/>
    <m/>
    <s v="“Fetal Kardiyak Girişim Yapılan Fetuslarda Prenatal Dönemde Yapılan Ekstremite Dopplerlerinin Longitudinal İzlemi ve Perinatal Sonuçlarla İlişkisi”"/>
    <m/>
    <m/>
    <m/>
    <m/>
    <m/>
    <m/>
    <m/>
    <m/>
    <m/>
    <m/>
  </r>
  <r>
    <m/>
    <m/>
    <x v="195"/>
    <x v="60"/>
    <m/>
    <s v="“Anti-TNF Tedavi Sürecinde Çekilen Akciğer Grafilerinin Yapay Zeka Destekli Değerlendirmesinin, Klinisyen Değerlendirmesi ile Karşılaştırması ve Klinik Uygulamalara Entegrasyonunun İncelenmesi”"/>
    <m/>
    <m/>
    <m/>
    <m/>
    <m/>
    <m/>
    <m/>
    <m/>
    <m/>
    <m/>
  </r>
  <r>
    <m/>
    <m/>
    <x v="195"/>
    <x v="60"/>
    <m/>
    <s v="“Küçük Hücreli Akciğer Karsinomunda Moleküler Alt Tiplerin ASCL1, NEUROD1, POU2F3 ve YAP1 İmmünohistokimyasal Ekspresyonuna Göre Sınıflandırılması ve Klinik Önemi”"/>
    <m/>
    <m/>
    <m/>
    <m/>
    <m/>
    <m/>
    <m/>
    <m/>
    <m/>
    <m/>
  </r>
  <r>
    <m/>
    <m/>
    <x v="195"/>
    <x v="60"/>
    <m/>
    <s v="“Multipl Sklerozda Telomer Uzunluğu, p16INK4a İfadesi ve İleri Beyin MR Görüntülemeleri ile Hastalık Progresyonu Arasındaki İlişkinin Prospektif İncelenmesi”"/>
    <m/>
    <m/>
    <m/>
    <m/>
    <m/>
    <m/>
    <m/>
    <m/>
    <m/>
    <m/>
  </r>
  <r>
    <m/>
    <m/>
    <x v="195"/>
    <x v="60"/>
    <m/>
    <s v="“Türkiye’deki Çocukluk Çağı İnterstisiyel Akciğer Hastalığı Tanısıyla İzlenen Hastaların Demografik ve Klinik Özelliklerinin REDCap Veri Tabanına Kaydedilmesi (chILD Türkiye) ve Verilerin Değerlendirilmesi”"/>
    <m/>
    <m/>
    <m/>
    <m/>
    <m/>
    <m/>
    <m/>
    <m/>
    <m/>
    <m/>
  </r>
  <r>
    <m/>
    <m/>
    <x v="195"/>
    <x v="60"/>
    <m/>
    <s v="“Taburculuk Sonrası Bakım Geçiş Kalitesinin Değerlendirilmesi: Çok Boyutlu Bir Ölçüm Yaklaşımı”"/>
    <m/>
    <m/>
    <m/>
    <m/>
    <m/>
    <m/>
    <m/>
    <m/>
    <m/>
    <m/>
  </r>
  <r>
    <m/>
    <m/>
    <x v="195"/>
    <x v="60"/>
    <m/>
    <s v="“Geç Preterm Gebeliklerde Antenatal Kortikosteroid Uygulamasının Neonatal Hipoglisemi ve Klinik Sonuçlara Etkisi”"/>
    <m/>
    <m/>
    <m/>
    <m/>
    <m/>
    <m/>
    <m/>
    <m/>
    <m/>
    <m/>
  </r>
  <r>
    <m/>
    <m/>
    <x v="195"/>
    <x v="60"/>
    <m/>
    <s v="“Oral Biyopsi Uygulanan Hastalarda Anksiyete ve Ağrı Düzeylerinin Değerlendirilmesi”"/>
    <m/>
    <m/>
    <m/>
    <m/>
    <m/>
    <m/>
    <m/>
    <m/>
    <m/>
    <m/>
  </r>
  <r>
    <m/>
    <m/>
    <x v="195"/>
    <x v="60"/>
    <m/>
    <s v="“İdiopatik İzole Ekstrakraniyal İnternal Karotis Arter Vazospazmında Tedavi Seçenekleri ve Prognoza Etkileri”"/>
    <m/>
    <m/>
    <m/>
    <m/>
    <m/>
    <m/>
    <m/>
    <m/>
    <m/>
    <m/>
  </r>
  <r>
    <m/>
    <m/>
    <x v="195"/>
    <x v="60"/>
    <m/>
    <s v="“Yüzücülerde Ultrason ve Güç Ölçümleri ile Omuz Yaralanma Profili Çıkarılması”"/>
    <m/>
    <m/>
    <m/>
    <m/>
    <m/>
    <m/>
    <m/>
    <m/>
    <m/>
    <m/>
  </r>
  <r>
    <m/>
    <m/>
    <x v="195"/>
    <x v="60"/>
    <m/>
    <s v="“Seçilmiş Nöroloji Olgularının Klinik Seyir ve Tedavi-Prognozuna Yönelik Olgu Temelli Derlemesi”"/>
    <m/>
    <m/>
    <m/>
    <m/>
    <m/>
    <m/>
    <m/>
    <m/>
    <m/>
    <m/>
  </r>
  <r>
    <m/>
    <m/>
    <x v="195"/>
    <x v="60"/>
    <m/>
    <s v="“Büllöz Pemfigoid Tanılı Hastalarda Omalizumab Tedavisinin Yanıtlarının Değerlendirilmesi&quot;"/>
    <m/>
    <m/>
    <m/>
    <m/>
    <m/>
    <m/>
    <m/>
    <m/>
    <m/>
    <m/>
  </r>
  <r>
    <m/>
    <m/>
    <x v="195"/>
    <x v="60"/>
    <m/>
    <s v="&quot;Çocukluk Çağında Matür T/NK Hücreli Lenfomalar : Hacettepe Deneyimi&quot;"/>
    <m/>
    <m/>
    <m/>
    <m/>
    <m/>
    <m/>
    <m/>
    <m/>
    <m/>
    <m/>
  </r>
  <r>
    <m/>
    <m/>
    <x v="195"/>
    <x v="60"/>
    <m/>
    <s v="“Kronik Miyeloid Lösemi Hastalarında Tirozin Kinaz Kullanımı İlişkili Proteinüri Gelişimini Etkileyen Faktörlerin İncelenmesi”"/>
    <m/>
    <m/>
    <m/>
    <m/>
    <m/>
    <m/>
    <m/>
    <m/>
    <m/>
    <m/>
  </r>
  <r>
    <m/>
    <m/>
    <x v="195"/>
    <x v="60"/>
    <m/>
    <s v="“Stajyer Diş Hekimlerinde Maket Üzerinde Sütur Eğitiminin Etkinliği ve Memnuniyetinin Değerlendirilmesi&quot;"/>
    <m/>
    <m/>
    <m/>
    <m/>
    <m/>
    <m/>
    <m/>
    <m/>
    <m/>
    <m/>
  </r>
  <r>
    <m/>
    <m/>
    <x v="195"/>
    <x v="60"/>
    <m/>
    <s v="“Preklinik Endodonti Eğitiminde 3D Baskılı Modeller: Öğrenci Perspektifinden Bir Değerlendirme”"/>
    <m/>
    <m/>
    <m/>
    <m/>
    <m/>
    <m/>
    <m/>
    <m/>
    <m/>
    <m/>
  </r>
  <r>
    <m/>
    <m/>
    <x v="195"/>
    <x v="60"/>
    <m/>
    <s v="“Koklear İmplant ile İlgili Tüm Soruların ChatGPT Yanıtlarının Kulak Burun Boğaz Uzmanları Tarafından Değerlendirilmesi”"/>
    <m/>
    <m/>
    <m/>
    <m/>
    <m/>
    <m/>
    <m/>
    <m/>
    <m/>
    <m/>
  </r>
  <r>
    <m/>
    <m/>
    <x v="195"/>
    <x v="60"/>
    <m/>
    <s v="“Susam Alerjisi Olan Çocuklarda Oral İmmünoterapinin Güvenliği ve Yaşam Kalitesi Üzerine Etkilerinin Değerlendirilmesi''"/>
    <m/>
    <m/>
    <m/>
    <m/>
    <m/>
    <m/>
    <m/>
    <m/>
    <m/>
    <m/>
  </r>
  <r>
    <m/>
    <m/>
    <x v="195"/>
    <x v="60"/>
    <m/>
    <s v="“Çocukluk Çağı Over Kistadenomları: Hacettepe Deneyimi”"/>
    <m/>
    <m/>
    <m/>
    <m/>
    <m/>
    <m/>
    <m/>
    <m/>
    <m/>
    <m/>
  </r>
  <r>
    <m/>
    <m/>
    <x v="195"/>
    <x v="60"/>
    <m/>
    <s v="“Sigara İçen Bireylerde Fonksiyonel Yakın Kızılötesi Spektroskopisi Kullanılarak Fonksiyonel Bağlantısallığın ve Kalp Hızı Değişkenliğinin İncelenmesi”"/>
    <m/>
    <m/>
    <m/>
    <m/>
    <m/>
    <m/>
    <m/>
    <m/>
    <m/>
    <m/>
  </r>
  <r>
    <m/>
    <m/>
    <x v="195"/>
    <x v="60"/>
    <m/>
    <s v="“Malignite Tanısı Alan Primer İmmün Yetmezlikli Hastaların Klinik ve Laboratuvar Özelliklerinin Değerlendirilmesi ”"/>
    <m/>
    <m/>
    <m/>
    <m/>
    <m/>
    <m/>
    <m/>
    <m/>
    <m/>
    <m/>
  </r>
  <r>
    <m/>
    <m/>
    <x v="195"/>
    <x v="60"/>
    <m/>
    <s v="“Çene Bölgesi Patolojik Lezyonların CBCT Görüntülerinde Yapay Zeka Tabanlı Otomatik Tanısı: Derin Öğrenme Yaklaşımı”"/>
    <m/>
    <m/>
    <m/>
    <m/>
    <m/>
    <m/>
    <m/>
    <m/>
    <m/>
    <m/>
  </r>
  <r>
    <m/>
    <m/>
    <x v="195"/>
    <x v="60"/>
    <m/>
    <s v="“Endoskopik Endonazal ya da Transkonjonktival Yaklaşımla Optik Sinir Dekompresyonu ve/veya Optik Sinir Kılıf Fenestrasyonu Yapılan Olgularda Sonuçların Karşılaştırılması”"/>
    <m/>
    <m/>
    <m/>
    <m/>
    <m/>
    <m/>
    <m/>
    <m/>
    <m/>
    <m/>
  </r>
  <r>
    <m/>
    <m/>
    <x v="195"/>
    <x v="6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95"/>
    <x v="6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95"/>
    <x v="60"/>
    <m/>
    <s v="“Dijital Fotoğraf Tabanlı Renk Analizi ile Gingival İndeksin Belirlenmesi: Klinik Sağlık, Gingivitis ve Periodontitis Vakalarının Karşılaştırılması”"/>
    <m/>
    <m/>
    <m/>
    <m/>
    <m/>
    <m/>
    <m/>
    <m/>
    <m/>
    <m/>
  </r>
  <r>
    <m/>
    <m/>
    <x v="195"/>
    <x v="60"/>
    <m/>
    <s v="“İnme Hastalarında Kardiyak Risk Faktörleri: Sol Atriyum Morfolojisi, Koroner Kalsifikasyon Skoru ve Mitral Kazeöz Kalsifikasyonun Kardiyak Bilgisayarlı Tomografi ile Değerlendirilmesi”"/>
    <m/>
    <m/>
    <m/>
    <m/>
    <m/>
    <m/>
    <m/>
    <m/>
    <m/>
    <m/>
  </r>
  <r>
    <m/>
    <m/>
    <x v="195"/>
    <x v="60"/>
    <m/>
    <s v="“Pediatrik Popülasyonda Yaşla Değişen Alerjene Özgü Duyarlanma Dinamikleri"/>
    <m/>
    <m/>
    <m/>
    <m/>
    <m/>
    <m/>
    <m/>
    <m/>
    <m/>
    <m/>
  </r>
  <r>
    <m/>
    <m/>
    <x v="195"/>
    <x v="60"/>
    <m/>
    <s v="“Minimal İnvaziv Kardiyak Cerrahide Anestezi Yönetimi Deneyimimiz Tek Merkezli Gözlemsel Çalışma-Bireysel Araştırma”"/>
    <m/>
    <m/>
    <m/>
    <m/>
    <m/>
    <m/>
    <m/>
    <m/>
    <m/>
    <m/>
  </r>
  <r>
    <m/>
    <m/>
    <x v="195"/>
    <x v="60"/>
    <m/>
    <s v="“Primer Hiperparatiroidi Tanılı Hastaların Demografik, Klinik, Biyokimyasal ve Görüntüleme Bulgularının Değerlendirilmesi”"/>
    <m/>
    <m/>
    <m/>
    <m/>
    <m/>
    <m/>
    <m/>
    <m/>
    <m/>
    <m/>
  </r>
  <r>
    <m/>
    <m/>
    <x v="195"/>
    <x v="60"/>
    <m/>
    <s v="“.Yüksek Dereceli Majör Tükürük Bezleri Malignitelerinin Sonuçlarının Retrospektif İncelenmesi: Uluslararası Çok Merkezli Bir Çalışma”"/>
    <m/>
    <m/>
    <m/>
    <m/>
    <m/>
    <m/>
    <m/>
    <m/>
    <m/>
    <m/>
  </r>
  <r>
    <m/>
    <m/>
    <x v="195"/>
    <x v="60"/>
    <m/>
    <s v="“Prostat Kanserinde Sistemik Tedavi Yanıt Değerlendirilmesinde Ga-68 İşaretli PSMA PET-BT ile Biyokimyasal Belirteçlerin Rolü ve Prognostik Önemi”"/>
    <m/>
    <m/>
    <m/>
    <m/>
    <m/>
    <m/>
    <m/>
    <m/>
    <m/>
    <m/>
  </r>
  <r>
    <m/>
    <m/>
    <x v="195"/>
    <x v="60"/>
    <m/>
    <s v="“Metastatik Prostat Kanseri Olan Hastalarda Androjen Reseptör Yolak İnhibitörlerinin Etkinliğini Tahmin Etmede Klinik-Biyokimyasal ve Moleküler Görüntüleme Parametrelerinin Rolü”"/>
    <m/>
    <m/>
    <m/>
    <m/>
    <m/>
    <m/>
    <m/>
    <m/>
    <m/>
    <m/>
  </r>
  <r>
    <m/>
    <m/>
    <x v="195"/>
    <x v="60"/>
    <m/>
    <s v="“Nöromusküler Hastalıklarda Tüm Ekzom Dizileme Yöntemi ile Genetik Etyolojinin Belirlenmesi”"/>
    <m/>
    <m/>
    <m/>
    <m/>
    <m/>
    <m/>
    <m/>
    <m/>
    <m/>
    <m/>
  </r>
  <r>
    <m/>
    <m/>
    <x v="195"/>
    <x v="60"/>
    <m/>
    <s v="“Örgün ve Mesleki Öğretimde Olmayan veya Çalışmayan (NEET) Gençlerin Ruh Sağlığının Sosyal Eşitsizlikler Açısından İncelenmesi: Nitel ve Nicel bir Derleme”"/>
    <m/>
    <m/>
    <m/>
    <m/>
    <m/>
    <m/>
    <m/>
    <m/>
    <m/>
    <m/>
  </r>
  <r>
    <m/>
    <m/>
    <x v="195"/>
    <x v="60"/>
    <m/>
    <s v="“Pseudo-Bartter Sendromu Olan Kistik Fibrozis Transmembran Regülatör-İlişkili Hastalık Tanılı Çocuklarda Epitel İyon Kanallarının İfade Analizi”"/>
    <m/>
    <m/>
    <m/>
    <m/>
    <m/>
    <m/>
    <m/>
    <m/>
    <m/>
    <m/>
  </r>
  <r>
    <m/>
    <m/>
    <x v="195"/>
    <x v="60"/>
    <m/>
    <s v="“Anaplastik Tiroid Kanserli Olguların Tanı, Tedavi ve Takip Açısından Retrospektif Değerlendirilmesi”"/>
    <m/>
    <m/>
    <m/>
    <m/>
    <m/>
    <m/>
    <m/>
    <m/>
    <m/>
    <m/>
  </r>
  <r>
    <m/>
    <m/>
    <x v="195"/>
    <x v="60"/>
    <m/>
    <s v="“Yeni Bir İrrigasyon Solüsyonu Triton’un Epoksi Rezin ve Kalsiyum Silikat Esaslı Kök Kanal Dolgu Materyallerinin İtme Bağlanma Dayanımına Etkisi”"/>
    <m/>
    <m/>
    <m/>
    <m/>
    <m/>
    <m/>
    <m/>
    <m/>
    <m/>
    <m/>
  </r>
  <r>
    <m/>
    <m/>
    <x v="195"/>
    <x v="60"/>
    <m/>
    <s v="“Pitoz Cerrahisinde Yeni Bir Teknik: Procerus Kas Transferi ile Üst Göz Kapağının Dinamik Reanimasyonu, Kadavra Çalışması”"/>
    <m/>
    <m/>
    <m/>
    <m/>
    <m/>
    <m/>
    <m/>
    <m/>
    <m/>
    <m/>
  </r>
  <r>
    <m/>
    <m/>
    <x v="195"/>
    <x v="60"/>
    <m/>
    <s v="“Türkiye'de Konjenital Miyastenik Sendromların Genetik Profili: Yeni Mutasyonlar ve Klinik Perspektifler”"/>
    <m/>
    <m/>
    <m/>
    <m/>
    <m/>
    <m/>
    <m/>
    <m/>
    <m/>
    <m/>
  </r>
  <r>
    <m/>
    <m/>
    <x v="195"/>
    <x v="60"/>
    <m/>
    <s v="“Menstrüel Kanama Dışı Risk Faktörü Olmayan Genç Kadınlarda Demir Eksikliği ile Menstrüel Kanama Özellikleri Arasındaki İlişkinin Değerlendirilmesi”"/>
    <m/>
    <m/>
    <m/>
    <m/>
    <m/>
    <m/>
    <m/>
    <m/>
    <m/>
    <m/>
  </r>
  <r>
    <m/>
    <m/>
    <x v="195"/>
    <x v="60"/>
    <m/>
    <s v="“Yakınını Kaybetmiş Yaşlılarda Uzamış Yas Belirtilerini Yordayan Faktörler”"/>
    <m/>
    <m/>
    <m/>
    <m/>
    <m/>
    <m/>
    <m/>
    <m/>
    <m/>
    <m/>
  </r>
  <r>
    <m/>
    <m/>
    <x v="195"/>
    <x v="60"/>
    <m/>
    <s v="“Gonadotropin Salgılatıcı Hormon Analoglarının Endometriyal İntraepitelyal Neoplazi ve Erken Evre Endometrium Kanserinde Fertilite Koruyucu Tedaviye Etkisi”"/>
    <m/>
    <m/>
    <m/>
    <m/>
    <m/>
    <m/>
    <m/>
    <m/>
    <m/>
    <m/>
  </r>
  <r>
    <m/>
    <m/>
    <x v="195"/>
    <x v="60"/>
    <m/>
    <s v="“Teikoplanin ile Tedavi Edilen Hastalarda Terapötik İlaç Düzey İzlemi: Retrospektif Bir Analiz”"/>
    <m/>
    <m/>
    <m/>
    <m/>
    <m/>
    <m/>
    <m/>
    <m/>
    <m/>
    <m/>
  </r>
  <r>
    <m/>
    <m/>
    <x v="195"/>
    <x v="60"/>
    <m/>
    <s v="“Vorikonazol Serum Düzeyi İzlemi Yapılan Hastalarda Terapötik Aralığı Etkileyen Faktörlerin Retrospektif Değerlendirilmesi ve Klinik Bir Skorlama Modelinin Geliştirilmesi”"/>
    <m/>
    <m/>
    <m/>
    <m/>
    <m/>
    <m/>
    <m/>
    <m/>
    <m/>
    <m/>
  </r>
  <r>
    <m/>
    <m/>
    <x v="195"/>
    <x v="60"/>
    <m/>
    <s v="“Periventriküler Nodüler Heterotopi İlişkili Epilepside Klinik Özellikler”"/>
    <m/>
    <m/>
    <m/>
    <m/>
    <m/>
    <m/>
    <m/>
    <m/>
    <m/>
    <m/>
  </r>
  <r>
    <m/>
    <m/>
    <x v="195"/>
    <x v="60"/>
    <m/>
    <s v="“Polimikrogiri İlişkili Epilepsi Hastalarında Klinik ve Laboratuvar Bulgular: Tek Merkez Deneyimi”"/>
    <m/>
    <m/>
    <m/>
    <m/>
    <m/>
    <m/>
    <m/>
    <m/>
    <m/>
    <m/>
  </r>
  <r>
    <m/>
    <m/>
    <x v="195"/>
    <x v="60"/>
    <m/>
    <s v="“Diş Hekimliği Fakültesine Başvuran Çocukların Ebeveynlerinin Ağız Sağlığı Okuryazarlık Durumlarının Değerlendirilmesi”"/>
    <m/>
    <m/>
    <m/>
    <m/>
    <m/>
    <m/>
    <m/>
    <m/>
    <m/>
    <m/>
  </r>
  <r>
    <m/>
    <m/>
    <x v="195"/>
    <x v="60"/>
    <m/>
    <s v="“Bronkopulmoner Displazi Tanılı Hastaların İzleminde Akciğer Ultrasonografisinin Yeri”"/>
    <m/>
    <m/>
    <m/>
    <m/>
    <m/>
    <m/>
    <m/>
    <m/>
    <m/>
    <m/>
  </r>
  <r>
    <m/>
    <m/>
    <x v="195"/>
    <x v="60"/>
    <m/>
    <s v="“Ara Değer Ter Testi Olan Kistik Fibrozisli Çocukların Klinik Özellikleri”"/>
    <m/>
    <m/>
    <m/>
    <m/>
    <m/>
    <m/>
    <m/>
    <m/>
    <m/>
    <m/>
  </r>
  <r>
    <m/>
    <m/>
    <x v="195"/>
    <x v="60"/>
    <m/>
    <s v="“Multipl Myelomda Fonksiyonel Görüntüleme: MRG ve PET-BT Yöntemlerinin Karşılaştırılması”"/>
    <m/>
    <m/>
    <m/>
    <m/>
    <m/>
    <m/>
    <m/>
    <m/>
    <m/>
    <m/>
  </r>
  <r>
    <m/>
    <m/>
    <x v="195"/>
    <x v="60"/>
    <m/>
    <s v="“Wolfram Sendromlu ve Midline Anomalili Hastaların Klinik Özelliklerinin Retrospektif Değerlendirilmesi”"/>
    <m/>
    <m/>
    <m/>
    <m/>
    <m/>
    <m/>
    <m/>
    <m/>
    <m/>
    <m/>
  </r>
  <r>
    <m/>
    <m/>
    <x v="195"/>
    <x v="60"/>
    <m/>
    <s v="“MEN1 ve MEN4 Sendromlu Hastaların Klinik Özelliklerinin Retrospektif Değerlendirilmesi”"/>
    <m/>
    <m/>
    <m/>
    <m/>
    <m/>
    <m/>
    <m/>
    <m/>
    <m/>
    <m/>
  </r>
  <r>
    <m/>
    <m/>
    <x v="195"/>
    <x v="60"/>
    <m/>
    <s v="“Yetişkin Bireylerde Sedanter Davranışın Kesintiye Uğratma Sıklığı, Fiziksel Aktivite ve Sedanter Davranış Sürelerinin İncelenmesi”"/>
    <m/>
    <m/>
    <m/>
    <m/>
    <m/>
    <m/>
    <m/>
    <m/>
    <m/>
    <m/>
  </r>
  <r>
    <m/>
    <m/>
    <x v="195"/>
    <x v="60"/>
    <m/>
    <s v="“Clavicula'nin Morfometrik Analizi ve Ortopedik İmplant Planlamasina Yönelik Katkıları”"/>
    <m/>
    <m/>
    <m/>
    <m/>
    <m/>
    <m/>
    <m/>
    <m/>
    <m/>
    <m/>
  </r>
  <r>
    <m/>
    <m/>
    <x v="195"/>
    <x v="60"/>
    <m/>
    <s v="“KBB Hastalarında Farklı Yapay Zekâ Modellerinin Tanı ve Tedavi Önerilerinin Değerlendirip Karşılaştırılması”"/>
    <m/>
    <m/>
    <m/>
    <m/>
    <m/>
    <m/>
    <m/>
    <m/>
    <m/>
    <m/>
  </r>
  <r>
    <m/>
    <m/>
    <x v="195"/>
    <x v="60"/>
    <m/>
    <s v="“Papiller Tiroid Kanserinin Tükürükteki Moleküler Belirteçler ile Tanısı”"/>
    <m/>
    <m/>
    <m/>
    <m/>
    <m/>
    <m/>
    <m/>
    <m/>
    <m/>
    <m/>
  </r>
  <r>
    <m/>
    <m/>
    <x v="195"/>
    <x v="60"/>
    <m/>
    <s v="&quot;Diş Hekimliği Fakültesine Konsülte Edilen Hastalarda Konik Işınlı Bilgisayarlı Tomografi Endikasyonları ve Saptanan Bulgular&quot;"/>
    <m/>
    <m/>
    <m/>
    <m/>
    <m/>
    <m/>
    <m/>
    <m/>
    <m/>
    <m/>
  </r>
  <r>
    <m/>
    <m/>
    <x v="195"/>
    <x v="60"/>
    <m/>
    <s v="&quot;Kadınlarda Spor Türü ve Yaşın Alt Ekstremite de Mekanik Sertlik Üzerine Etkisi: İki Farklı Sıçrama Türü için Karşılaştırmalı Bir Analiz&quot;"/>
    <m/>
    <m/>
    <m/>
    <m/>
    <m/>
    <m/>
    <m/>
    <m/>
    <m/>
    <m/>
  </r>
  <r>
    <m/>
    <m/>
    <x v="195"/>
    <x v="60"/>
    <m/>
    <s v="&quot;Serum Triptaz Düzeyinin Mast Hücre İlişkili Hastalıklardaki Rolünün Retrospektif Olarak Değerlendirilmesi&quot;"/>
    <m/>
    <m/>
    <m/>
    <m/>
    <m/>
    <m/>
    <m/>
    <m/>
    <m/>
    <m/>
  </r>
  <r>
    <m/>
    <m/>
    <x v="195"/>
    <x v="60"/>
    <m/>
    <s v="“Behçet Hastalarının Serum Nörofilaman Seviyelerinin Belirlenmesi”"/>
    <m/>
    <m/>
    <m/>
    <m/>
    <m/>
    <m/>
    <m/>
    <m/>
    <m/>
    <m/>
  </r>
  <r>
    <m/>
    <m/>
    <x v="195"/>
    <x v="60"/>
    <m/>
    <s v="“Topikal Ürünlerde Mikroyapı Benzerliğini Aydınlatmaya Yönelik In Vitro Permeasyon Çalışması”"/>
    <m/>
    <m/>
    <m/>
    <m/>
    <m/>
    <m/>
    <m/>
    <m/>
    <m/>
    <m/>
  </r>
  <r>
    <m/>
    <m/>
    <x v="195"/>
    <x v="60"/>
    <m/>
    <s v="“Bronkopulmoner Displazili Çocuklarda Solunum Fonksiyonlarının Değerlendirilmesinde İmpuls Osilometri ve Spirometrinin Karşılaştırılması”"/>
    <m/>
    <m/>
    <m/>
    <m/>
    <m/>
    <m/>
    <m/>
    <m/>
    <m/>
    <m/>
  </r>
  <r>
    <m/>
    <m/>
    <x v="195"/>
    <x v="60"/>
    <m/>
    <s v="“Metilmalonik Asidemi ve Propiyonik Asidemide Akut Metabolik Dekompanzasyonun Acil Tanı ve Tedavisi”"/>
    <m/>
    <m/>
    <m/>
    <m/>
    <m/>
    <m/>
    <m/>
    <m/>
    <m/>
    <m/>
  </r>
  <r>
    <m/>
    <m/>
    <x v="195"/>
    <x v="60"/>
    <m/>
    <s v="“Pediatrik Proksimal Humerus Kırıklarında Konservatif ve Cerrahi Tedavinin Uzun Dönem Sonuçları”"/>
    <m/>
    <m/>
    <m/>
    <m/>
    <m/>
    <m/>
    <m/>
    <m/>
    <m/>
    <m/>
  </r>
  <r>
    <m/>
    <m/>
    <x v="195"/>
    <x v="60"/>
    <m/>
    <s v="“Yeni Terapötiklerin ve Biyobelirteçlerin Keşfi İçin Metabolik Fonksiyon Bozukluğu ile İlişkili Steatotik Karaciğer Hastalığının (MASLD) Patobiyolojisinin Açığa Çıkarılması(UNMASK- EP PerMed Horizon 2020 Projesi)”"/>
    <m/>
    <m/>
    <m/>
    <m/>
    <m/>
    <m/>
    <m/>
    <m/>
    <m/>
    <m/>
  </r>
  <r>
    <m/>
    <m/>
    <x v="195"/>
    <x v="60"/>
    <m/>
    <s v="“Adölesan Nöromüsküler Kalça Displazisi için Asetabuloplasti ile Kombine Üçlü Pelvik Osteotominin Güvenliği ve Uygulanabilirliği&quot;"/>
    <m/>
    <m/>
    <m/>
    <m/>
    <m/>
    <m/>
    <m/>
    <m/>
    <m/>
    <m/>
  </r>
  <r>
    <m/>
    <m/>
    <x v="195"/>
    <x v="60"/>
    <m/>
    <s v="“Polikistik Böbrek Hastalığı Olan Renal Transplant Alıcılarında Postoperatif Sağkalım ve Komplikasyonların Değerlendirilmesi''"/>
    <m/>
    <m/>
    <m/>
    <m/>
    <m/>
    <m/>
    <m/>
    <m/>
    <m/>
    <m/>
  </r>
  <r>
    <m/>
    <m/>
    <x v="195"/>
    <x v="60"/>
    <m/>
    <s v="“Jüvenil Sistemik Skleroz için Uluslararası Başlangıç Kohortu”"/>
    <m/>
    <m/>
    <m/>
    <m/>
    <m/>
    <m/>
    <m/>
    <m/>
    <m/>
    <m/>
  </r>
  <r>
    <m/>
    <m/>
    <x v="195"/>
    <x v="60"/>
    <m/>
    <s v="“Tiroid Kanserinde Metabolik Çeşitliliğin Açığa Çıkarılması: Fiber Tabanlı, İşaretsiz Orta Dalgaboylu Kızılötesi Optoakustik Prob Teknolojisinin Geliştirilmesi”"/>
    <m/>
    <m/>
    <m/>
    <m/>
    <m/>
    <m/>
    <m/>
    <m/>
    <m/>
    <m/>
  </r>
  <r>
    <m/>
    <m/>
    <x v="195"/>
    <x v="60"/>
    <m/>
    <s v="“Çocuk Kardiyoloji ÜnitesiTransvenöz Lead Çıkarılması Deneyimlerinin Retrospektif Değerlendirilmesi”"/>
    <m/>
    <m/>
    <m/>
    <m/>
    <m/>
    <m/>
    <m/>
    <m/>
    <m/>
    <m/>
  </r>
  <r>
    <m/>
    <m/>
    <x v="195"/>
    <x v="60"/>
    <m/>
    <s v="“Çocuk Acile Başvuran Kritik HastalardaHiperglisemi Sıklığı, Hastalıklara Göre Dağılımı ve Hasta Sonuçlarına Etkisi”"/>
    <m/>
    <m/>
    <m/>
    <m/>
    <m/>
    <m/>
    <m/>
    <m/>
    <m/>
    <m/>
  </r>
  <r>
    <m/>
    <m/>
    <x v="195"/>
    <x v="60"/>
    <m/>
    <s v="“Farklı Branşlardaki Erkek Sporcularda DXA ile Değerlendirilen Vücut Kompozisyonu İndekslerinin Karşılaştırılması”"/>
    <m/>
    <m/>
    <m/>
    <m/>
    <m/>
    <m/>
    <m/>
    <m/>
    <m/>
    <m/>
  </r>
  <r>
    <m/>
    <m/>
    <x v="195"/>
    <x v="60"/>
    <m/>
    <s v="“Melazma Hastalarında Vasküler Endotelyal Büyüme Faktörü Polimorfizminin Değerlendirilmesi”"/>
    <m/>
    <m/>
    <m/>
    <m/>
    <m/>
    <m/>
    <m/>
    <m/>
    <m/>
    <m/>
  </r>
  <r>
    <m/>
    <m/>
    <x v="195"/>
    <x v="60"/>
    <m/>
    <s v="“Platisma KasTranspozisyonunun Fonksiyonel ve Rekonstrüktif Kullanımı: Kadavra Çalışması”"/>
    <m/>
    <m/>
    <m/>
    <m/>
    <m/>
    <m/>
    <m/>
    <m/>
    <m/>
    <m/>
  </r>
  <r>
    <m/>
    <m/>
    <x v="195"/>
    <x v="60"/>
    <m/>
    <s v="“Doğumsal Brakiyal Pleksus Yaralanmalarında Önkol Cerrahi Sonrası Fonksiyonel Başarıyı Etkileyen Radyolojik Parametreler: Radius Anatomisinin Rolü”"/>
    <m/>
    <m/>
    <m/>
    <m/>
    <m/>
    <m/>
    <m/>
    <m/>
    <m/>
    <m/>
  </r>
  <r>
    <m/>
    <m/>
    <x v="195"/>
    <x v="60"/>
    <m/>
    <s v="“Gerçek Yaşam Verileriyle Romatoid Artritli Hastalarda Hedefe Yönelik Tedavi Zamanlaması ve Diz-Kalça Protez Cerrahisi İlişkisi”"/>
    <m/>
    <m/>
    <m/>
    <m/>
    <m/>
    <m/>
    <m/>
    <m/>
    <m/>
    <m/>
  </r>
  <r>
    <m/>
    <m/>
    <x v="195"/>
    <x v="60"/>
    <m/>
    <s v="“Kronik Böbrek Hastalığı İlişkili Bilişsel Bozukluk Patofizyolojisinin Radyolojik, Biyokimyasal ve Metabolomik Biyobelirteçler Işığında Karşılaştırmalı Bir Sistem Biyolojisi Analizi”"/>
    <m/>
    <m/>
    <m/>
    <m/>
    <m/>
    <m/>
    <m/>
    <m/>
    <m/>
    <m/>
  </r>
  <r>
    <m/>
    <m/>
    <x v="195"/>
    <x v="60"/>
    <m/>
    <s v="“Şeffaf Plak Tedavilerinde Kullanılan Ataşmanların Bağlanma ve Uzaklaştırılma Yöntemlerinin Diş Rengi Üzerine Etkileri”"/>
    <m/>
    <m/>
    <m/>
    <m/>
    <m/>
    <m/>
    <m/>
    <m/>
    <m/>
    <m/>
  </r>
  <r>
    <m/>
    <m/>
    <x v="195"/>
    <x v="60"/>
    <m/>
    <s v="“Ottawa Kriz Kaynak Yönetimi Küresel Değerlendirme Ölçeği ve Ottawa Kriz Kaynak Yönetimi Becerileri Kontrol Listesinin Türkçeye Uyarlanması”"/>
    <m/>
    <m/>
    <m/>
    <m/>
    <m/>
    <m/>
    <m/>
    <m/>
    <m/>
    <m/>
  </r>
  <r>
    <m/>
    <m/>
    <x v="195"/>
    <x v="60"/>
    <m/>
    <s v="“Polimiksin Nefrotoksisitesi için Makine Öğrenme Tabanlı Prediktif Skor Geliştirilmesi”"/>
    <m/>
    <m/>
    <m/>
    <m/>
    <m/>
    <m/>
    <m/>
    <m/>
    <m/>
    <m/>
  </r>
  <r>
    <m/>
    <m/>
    <x v="195"/>
    <x v="60"/>
    <m/>
    <s v="“Antrenman Maskesi ile Uygulanan Dar Alan Oyunlarına Verilen İç ve Dış Yük Yanıtlar&quot;"/>
    <m/>
    <m/>
    <m/>
    <m/>
    <m/>
    <m/>
    <m/>
    <m/>
    <m/>
    <m/>
  </r>
  <r>
    <m/>
    <m/>
    <x v="195"/>
    <x v="60"/>
    <m/>
    <s v="“Yorgunluğun Farklı Açısal Hızlarda Alt Ekstremite İzokinetik Kas Kuvvet Çıktıları Üzerine Etkisi”"/>
    <m/>
    <m/>
    <m/>
    <m/>
    <m/>
    <m/>
    <m/>
    <m/>
    <m/>
    <m/>
  </r>
  <r>
    <m/>
    <m/>
    <x v="195"/>
    <x v="60"/>
    <m/>
    <s v="“İç Hastalıkları Servislerinde Yatan ve Eksizyonel Lenf Nodu Biyopsisi Yapılan Hastaların Klinik, Laboratuvar ve Radyolojik Görüntülemelerinin Tanı Süreci ile İlişkili Analizi ve Prediktörlerin Belirlenmesi”"/>
    <m/>
    <m/>
    <m/>
    <m/>
    <m/>
    <m/>
    <m/>
    <m/>
    <m/>
    <m/>
  </r>
  <r>
    <m/>
    <m/>
    <x v="195"/>
    <x v="60"/>
    <m/>
    <s v="“Os Parietale Kalınlığının Bölgesel Değişkenliğinin Analizi ve Klinik Önemi”"/>
    <m/>
    <m/>
    <m/>
    <m/>
    <m/>
    <m/>
    <m/>
    <m/>
    <m/>
    <m/>
  </r>
  <r>
    <m/>
    <m/>
    <x v="195"/>
    <x v="60"/>
    <m/>
    <s v="“Hacettepe Üniversitesi Hastanesinde Solid Tümörlü Kanser Hastalarının Tedaviye Ulaşmak İçin Geçirdikleri Sürenin ve Zaman Toksisitesinin Değerlendirilmesi”"/>
    <m/>
    <m/>
    <m/>
    <m/>
    <m/>
    <m/>
    <m/>
    <m/>
    <m/>
    <m/>
  </r>
  <r>
    <m/>
    <m/>
    <x v="195"/>
    <x v="60"/>
    <m/>
    <s v="“İntihar Davranışı Ayrımı: Ası Vakalarında Proteomik Analiz ve İmmünflöresan İnceleme ile Nörobiyolojik Belirteç Belirlenmesi”"/>
    <m/>
    <m/>
    <m/>
    <m/>
    <m/>
    <m/>
    <m/>
    <m/>
    <m/>
    <m/>
  </r>
  <r>
    <m/>
    <m/>
    <x v="195"/>
    <x v="60"/>
    <m/>
    <s v="“Hücresizleştirilmiş İnsan Amniyotik Membran Temelli Küçük Çaplı Vasküler Greft Geliştirilmesi ve Cerrahi Anastomoz Uygulamalarında Değerlendirilmesi”"/>
    <m/>
    <m/>
    <m/>
    <m/>
    <m/>
    <m/>
    <m/>
    <m/>
    <m/>
    <m/>
  </r>
  <r>
    <m/>
    <m/>
    <x v="195"/>
    <x v="60"/>
    <m/>
    <s v="“Farklı Elektrikli Testere Sistemlerinin Cerrahi Verimlilik, Termal Etki ve Kullanıcı Deneyimi Açısından Kemik Modelinde Karşılaştırılması”"/>
    <m/>
    <m/>
    <m/>
    <m/>
    <m/>
    <m/>
    <m/>
    <m/>
    <m/>
    <m/>
  </r>
  <r>
    <m/>
    <m/>
    <x v="195"/>
    <x v="60"/>
    <m/>
    <s v="“İlaca Dirençli Ekstratemporal Lob Epilepsisi Cerrahisi Geçiren Hastalarda Cerrahi Sonuçlar ve Prognozu Etkileyen Faktörlerin Retrospektif Analizi”"/>
    <m/>
    <m/>
    <m/>
    <m/>
    <m/>
    <m/>
    <m/>
    <m/>
    <m/>
    <m/>
  </r>
  <r>
    <m/>
    <m/>
    <x v="195"/>
    <x v="60"/>
    <m/>
    <s v="“Matematik ve Türkçe Derslerinde Kullanılan Fiziksel Aktivite Tabanlı Aktif ve Pasif Zihin Molalarının Akademik Başarı, Bilişsel İşlevler, Fiziksel Aktivite Düzeyi ve Sınıf İçi Davranışlar Üzerindeki Etkisi”"/>
    <m/>
    <m/>
    <m/>
    <m/>
    <m/>
    <m/>
    <m/>
    <m/>
    <m/>
    <m/>
  </r>
  <r>
    <m/>
    <m/>
    <x v="195"/>
    <x v="6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95"/>
    <x v="60"/>
    <m/>
    <s v="“Komplikasyonların Azaltılmasında Distraksiyon Tabanlı Büyüme Dostu Teknikler İçin Uygun Cerrahi Yaş”"/>
    <m/>
    <m/>
    <m/>
    <m/>
    <m/>
    <m/>
    <m/>
    <m/>
    <m/>
    <m/>
  </r>
  <r>
    <m/>
    <m/>
    <x v="195"/>
    <x v="60"/>
    <m/>
    <s v="“Meningomiyesel ve Diğer Nöromusküler Erken Başlangıçlı Skolyozlarda Büyüyen Rod Tedavisini Tekiben Uygulanan Definitif Cerrahinin Klinik ve Radyolojik Sonuçlarının Karşılaştırılması”"/>
    <m/>
    <m/>
    <m/>
    <m/>
    <m/>
    <m/>
    <m/>
    <m/>
    <m/>
    <m/>
  </r>
  <r>
    <m/>
    <m/>
    <x v="195"/>
    <x v="60"/>
    <m/>
    <s v="“Vulva Kanseri ve HER-2 İlişkisi”"/>
    <m/>
    <m/>
    <m/>
    <m/>
    <m/>
    <m/>
    <m/>
    <m/>
    <m/>
    <m/>
  </r>
  <r>
    <m/>
    <m/>
    <x v="195"/>
    <x v="60"/>
    <m/>
    <s v="“Artan Renal Klirensi Olan Hastalarda Meropenem Kan Düzeylerinin Retrospektif Olarak Değerlendirilmesi”"/>
    <m/>
    <m/>
    <m/>
    <m/>
    <m/>
    <m/>
    <m/>
    <m/>
    <m/>
    <m/>
  </r>
  <r>
    <m/>
    <m/>
    <x v="195"/>
    <x v="60"/>
    <m/>
    <s v="“Kanserli Hastalarda Serum Albumin-Kreatin Oranının Sağkalım ve Progresyonsu Sağkalım ile İlişkisinin Araştırılması”"/>
    <m/>
    <m/>
    <m/>
    <m/>
    <m/>
    <m/>
    <m/>
    <m/>
    <m/>
    <m/>
  </r>
  <r>
    <m/>
    <m/>
    <x v="195"/>
    <x v="60"/>
    <m/>
    <s v="“Biyopsi ile Tanımlanmış Lakrimal Bez Patolojilerine Sahip Hastaların Demografik ve Klinik Özelliklerinin Belirlenmesi”"/>
    <m/>
    <m/>
    <m/>
    <m/>
    <m/>
    <m/>
    <m/>
    <m/>
    <m/>
    <m/>
  </r>
  <r>
    <m/>
    <m/>
    <x v="195"/>
    <x v="60"/>
    <m/>
    <s v="“REM Uyku Davranış Bozukluğunun Prodromal, İdiopatik ve Sekonder Alt Tiplerinde Klinik, Polisomnografik Özellikler ve Tedavi Yanıtlarının Karşılaştırılması”"/>
    <m/>
    <m/>
    <m/>
    <m/>
    <m/>
    <m/>
    <m/>
    <m/>
    <m/>
    <m/>
  </r>
  <r>
    <m/>
    <m/>
    <x v="195"/>
    <x v="60"/>
    <m/>
    <s v="“Hipokampal Sklerozlu Mezial Temporal Lob Epilepsisinde Skalp EEG’de İktal Yayılım Özelliklerinin Cerrahi Sonrası Prognozu Öngörmede Rolü: Retrospektif Bir Analiz”"/>
    <m/>
    <m/>
    <m/>
    <m/>
    <m/>
    <m/>
    <m/>
    <m/>
    <m/>
    <m/>
  </r>
  <r>
    <m/>
    <m/>
    <x v="195"/>
    <x v="60"/>
    <m/>
    <s v="“Kronik Çok İlaca Dirençli Pseudomonas Aeruginosa Enfeksiyonu Olan Kistik Fibrozisli Çocuk Hastalarımızın Retrospektif Değerlendirilmesi"/>
    <m/>
    <m/>
    <m/>
    <m/>
    <m/>
    <m/>
    <m/>
    <m/>
    <m/>
    <m/>
  </r>
  <r>
    <m/>
    <m/>
    <x v="195"/>
    <x v="60"/>
    <m/>
    <s v="“Hemoptizi Sebebiyle Fleksible Fiberoptik Bronkoskopi Yaptiğimiz Çocuk Hastalarımızın Retrospektif Değerlendirilmesi”"/>
    <m/>
    <m/>
    <m/>
    <m/>
    <m/>
    <m/>
    <m/>
    <m/>
    <m/>
    <m/>
  </r>
  <r>
    <m/>
    <m/>
    <x v="195"/>
    <x v="60"/>
    <m/>
    <s v="“Pediyatrik Orbital Rabdomyosarkomun Görüntüleme Bulguları”"/>
    <m/>
    <m/>
    <m/>
    <m/>
    <m/>
    <m/>
    <m/>
    <m/>
    <m/>
    <m/>
  </r>
  <r>
    <m/>
    <m/>
    <x v="195"/>
    <x v="60"/>
    <m/>
    <s v="“Sanal Cerrahi Planlamanın Kişiye Özel Plak ve Geleneksel Miniplak Fiksasyonu Yapılmış Hastalardaki Doğruluğunun İncelenmesi”"/>
    <m/>
    <m/>
    <m/>
    <m/>
    <m/>
    <m/>
    <m/>
    <m/>
    <m/>
    <m/>
  </r>
  <r>
    <m/>
    <m/>
    <x v="195"/>
    <x v="60"/>
    <m/>
    <s v="“.Huzurevinde Yaşayan Yaşlı Bireylerin Ağız Sağlığı Durumu ile Bakımevi Personelinin Ağız Sağlığına Yönelik Bilgi Düzeyi Arasındaki İlişkinin Değerlendirilmesi.”"/>
    <m/>
    <m/>
    <m/>
    <m/>
    <m/>
    <m/>
    <m/>
    <m/>
    <m/>
    <m/>
  </r>
  <r>
    <m/>
    <m/>
    <x v="195"/>
    <x v="60"/>
    <m/>
    <s v="“İdiyopatik Jeneralize Epilepside Klinik ve Tanısal Özelliklerin Saptanması ve Tedavi Sonuçlarıyla İlişkisinin Retrospektif Olarak Değerlendirilmesi”"/>
    <m/>
    <m/>
    <m/>
    <m/>
    <m/>
    <m/>
    <m/>
    <m/>
    <m/>
    <m/>
  </r>
  <r>
    <m/>
    <m/>
    <x v="195"/>
    <x v="60"/>
    <m/>
    <s v="“Çevresel Sensör Reseptör Uyarımı ile Koşullandırılmış İnflamasyon Baskılayıcı”"/>
    <m/>
    <m/>
    <m/>
    <m/>
    <m/>
    <m/>
    <m/>
    <m/>
    <m/>
    <m/>
  </r>
  <r>
    <m/>
    <m/>
    <x v="195"/>
    <x v="60"/>
    <m/>
    <s v="“Evre 3 ve 4 Kronik Böbrek Hastalarında Hastalık Farkındalık Ölçeği Geliştirilmesi: Ekolojik Model Temelli Bir Yaklaşım”"/>
    <m/>
    <m/>
    <m/>
    <m/>
    <m/>
    <m/>
    <m/>
    <m/>
    <m/>
    <m/>
  </r>
  <r>
    <m/>
    <m/>
    <x v="195"/>
    <x v="60"/>
    <m/>
    <s v="“Kolorektal Kanserli Hastaların Klinopatolojik Özellikleri”"/>
    <m/>
    <m/>
    <m/>
    <m/>
    <m/>
    <m/>
    <m/>
    <m/>
    <m/>
    <m/>
  </r>
  <r>
    <m/>
    <m/>
    <x v="195"/>
    <x v="60"/>
    <m/>
    <s v="“Kronik Granülomatoz Hastalık Tanılı Çocukların Akciğer Bulgularının Değerlendirilmesi”"/>
    <m/>
    <m/>
    <m/>
    <m/>
    <m/>
    <m/>
    <m/>
    <m/>
    <m/>
    <m/>
  </r>
  <r>
    <m/>
    <m/>
    <x v="195"/>
    <x v="60"/>
    <m/>
    <s v="“Diyabet Tarama Test İstemlerinin Kanıta Dayalı Eğitim Müdahaleleri ile Rasyonel Kullanımının Arttırılması: Kalite Geliştirme Çalışması”"/>
    <m/>
    <m/>
    <m/>
    <m/>
    <m/>
    <m/>
    <m/>
    <m/>
    <m/>
    <m/>
  </r>
  <r>
    <m/>
    <m/>
    <x v="195"/>
    <x v="60"/>
    <m/>
    <s v="“Eczacılıkta Uzmanlık Sınavı Başarısı Açısından Yapay Zeka Tabanlı Büyük Dil Modellerinin Karşılaştırması”"/>
    <m/>
    <m/>
    <m/>
    <m/>
    <m/>
    <m/>
    <m/>
    <m/>
    <m/>
    <m/>
  </r>
  <r>
    <m/>
    <m/>
    <x v="195"/>
    <x v="60"/>
    <m/>
    <s v="“HIV ile Yaşayan Kişilerde HIV Viral Yükün ve İmmünolojik Parametrelerin Quantiferon-TB Gold Plus Testi Sonucuna Etkisi”"/>
    <m/>
    <m/>
    <m/>
    <m/>
    <m/>
    <m/>
    <m/>
    <m/>
    <m/>
    <m/>
  </r>
  <r>
    <m/>
    <m/>
    <x v="195"/>
    <x v="60"/>
    <m/>
    <s v="“40 Yaş ve Üstü HIV Pozitif Bireylerde Kırılganlık Riskinin Tahmini ve Dijital Risk Değerlendirmede Web R Shiny Uygulaması”"/>
    <m/>
    <m/>
    <m/>
    <m/>
    <m/>
    <m/>
    <m/>
    <m/>
    <m/>
    <m/>
  </r>
  <r>
    <m/>
    <m/>
    <x v="195"/>
    <x v="60"/>
    <m/>
    <s v="“İmmunoglobulin-E Aracılı Besin Alerjisi Tanılı Hastalarda Besin Yükleme Testinde Pozitif Reaksiyon Gelişen Eşik Değeri Öngörmek Amacıyla Kullanılabilecek Faktörlerin Belirlenmesi”"/>
    <m/>
    <m/>
    <m/>
    <m/>
    <m/>
    <m/>
    <m/>
    <m/>
    <m/>
    <m/>
  </r>
  <r>
    <m/>
    <m/>
    <x v="195"/>
    <x v="60"/>
    <m/>
    <s v="“Balık İlişkili Besin Proteininin İndüklediği Enterokolit Sendromunda İlk Provakasyon Zamanının Belirlenmesi”"/>
    <m/>
    <m/>
    <m/>
    <m/>
    <m/>
    <m/>
    <m/>
    <m/>
    <m/>
    <m/>
  </r>
  <r>
    <m/>
    <m/>
    <x v="195"/>
    <x v="60"/>
    <m/>
    <s v="“L-Sitrülin Malat Takviyesinin Dövüş Sporcularında Aerobik Egzersiz Performansı Üzerine Etkisi”"/>
    <m/>
    <m/>
    <m/>
    <m/>
    <m/>
    <m/>
    <m/>
    <m/>
    <m/>
    <m/>
  </r>
  <r>
    <m/>
    <m/>
    <x v="195"/>
    <x v="60"/>
    <m/>
    <s v="“Fibrodisplazi Ossifikans Progressiva Tanılı Hastaların Klinik ve Moleküler Özelliklerinin Gözden Geçirilmesi”"/>
    <m/>
    <m/>
    <m/>
    <m/>
    <m/>
    <m/>
    <m/>
    <m/>
    <m/>
    <m/>
  </r>
  <r>
    <m/>
    <m/>
    <x v="195"/>
    <x v="60"/>
    <m/>
    <s v="“İmmün Kontrol Noktası İnhibitörü Alan Kanser Hastalarında Vücut Kompozisyonu, Psikososyal Faktörler ve İlaç İlişkili Sorunların Klinik Seyirle İlişkisinin Değerlendirilmesi”"/>
    <m/>
    <m/>
    <m/>
    <m/>
    <m/>
    <m/>
    <m/>
    <m/>
    <m/>
    <m/>
  </r>
  <r>
    <m/>
    <m/>
    <x v="195"/>
    <x v="60"/>
    <m/>
    <s v="“Oral Bakteri Kaynaklı Ekstraselüler Veziküllerin İnsan Mikroçevre Hücreleri Üzerindeki Etkilerinin Araştırılması”"/>
    <m/>
    <m/>
    <m/>
    <m/>
    <m/>
    <m/>
    <m/>
    <m/>
    <m/>
    <m/>
  </r>
  <r>
    <m/>
    <m/>
    <x v="195"/>
    <x v="60"/>
    <m/>
    <s v="“Amyotrofik Lateral Skleroz Hastalarında trapez Kasına Uygulanan Repetetif Sinir Stimülasyonunun Tanısal Değerlendirilmesi: Kontrollü Prospektif Bir Çalışma”"/>
    <m/>
    <m/>
    <m/>
    <m/>
    <m/>
    <m/>
    <m/>
    <m/>
    <m/>
    <m/>
  </r>
  <r>
    <m/>
    <m/>
    <x v="195"/>
    <x v="60"/>
    <m/>
    <s v="“SOD1 Mutasyonu Taşıyan Amyotrofik Lateral Skleroz Hastalarında Kalp Hızı Değişkenliği ve Sempatik Deri Yanıtı ile Otonomik Disfonksiyonun Değerlendirilmesi”"/>
    <m/>
    <m/>
    <m/>
    <m/>
    <m/>
    <m/>
    <m/>
    <m/>
    <m/>
    <m/>
  </r>
  <r>
    <m/>
    <m/>
    <x v="195"/>
    <x v="60"/>
    <m/>
    <s v="“Susam Alerjisi Olan Çocuklarda Oral İmmünoterapi ve Besinden Kaçınma Yaklaşımlarının Yaşam Kalitesi Üzerine Etkileri”"/>
    <m/>
    <m/>
    <m/>
    <m/>
    <m/>
    <m/>
    <m/>
    <m/>
    <m/>
    <m/>
  </r>
  <r>
    <m/>
    <m/>
    <x v="195"/>
    <x v="60"/>
    <m/>
    <s v="“İdrar Kaçıran Kadınlarda Yapay Zeka Yardımlı Görüntüleme Analizi ile Tanı Süreçlerinin Geliştirilmesi”"/>
    <m/>
    <m/>
    <m/>
    <m/>
    <m/>
    <m/>
    <m/>
    <m/>
    <m/>
    <m/>
  </r>
  <r>
    <m/>
    <m/>
    <x v="195"/>
    <x v="60"/>
    <m/>
    <s v="“Astım Tanılı Çocuklarda Tedavi Edilebilir Özelliklerin İncelenmesi”"/>
    <m/>
    <m/>
    <m/>
    <m/>
    <m/>
    <m/>
    <m/>
    <m/>
    <m/>
    <m/>
  </r>
  <r>
    <m/>
    <m/>
    <x v="195"/>
    <x v="60"/>
    <m/>
    <s v="“Sedanter Davranışın Farklı Şiddette Egzersizlerle Kesintiye Uğratılmasının Postprandiyal Kardiyometabolik Etkileri”"/>
    <m/>
    <m/>
    <m/>
    <m/>
    <m/>
    <m/>
    <m/>
    <m/>
    <m/>
    <m/>
  </r>
  <r>
    <m/>
    <m/>
    <x v="195"/>
    <x v="60"/>
    <m/>
    <s v="“Polikistik Over Sendromu Tanılı Hastaların Endokrinolojik İzlemi ve Veri Tabanı Oluşturulması”"/>
    <m/>
    <m/>
    <m/>
    <m/>
    <m/>
    <m/>
    <m/>
    <m/>
    <m/>
    <m/>
  </r>
  <r>
    <m/>
    <m/>
    <x v="195"/>
    <x v="60"/>
    <m/>
    <s v="&quot;Nörofibromatozis Tip1 İlişkili Pleksiform Nörofibromlarda Selümetinib Kullanımı: Hacettepe Deneyimi”"/>
    <m/>
    <m/>
    <m/>
    <m/>
    <m/>
    <m/>
    <m/>
    <m/>
    <m/>
    <m/>
  </r>
  <r>
    <m/>
    <m/>
    <x v="195"/>
    <x v="60"/>
    <m/>
    <s v="“Proksimal Tibia İntraartiküler Kırıklarının Retrospektif Analizi ve Tedavi Sonuçları”"/>
    <m/>
    <m/>
    <m/>
    <m/>
    <m/>
    <m/>
    <m/>
    <m/>
    <m/>
    <m/>
  </r>
  <r>
    <m/>
    <m/>
    <x v="195"/>
    <x v="60"/>
    <m/>
    <s v="“Graves Hastalarında Beslenme Alışkanlıkları ve Vücut Kompozisyonunun İncelenmesi”"/>
    <m/>
    <m/>
    <m/>
    <m/>
    <m/>
    <m/>
    <m/>
    <m/>
    <m/>
    <m/>
  </r>
  <r>
    <m/>
    <m/>
    <x v="195"/>
    <x v="60"/>
    <m/>
    <s v="“Sekonder İmmün Yetmezlik İçin Farkındalığın Değerlendirilmesi: Pediatri ve İmmünoloji Perspektifi”"/>
    <m/>
    <m/>
    <m/>
    <m/>
    <m/>
    <m/>
    <m/>
    <m/>
    <m/>
    <m/>
  </r>
  <r>
    <m/>
    <m/>
    <x v="195"/>
    <x v="60"/>
    <m/>
    <s v="“ALPACA Tanısı İle İzlenen Hastaların Değerlendirilmesi”"/>
    <m/>
    <m/>
    <m/>
    <m/>
    <m/>
    <m/>
    <m/>
    <m/>
    <m/>
    <m/>
  </r>
  <r>
    <m/>
    <m/>
    <x v="195"/>
    <x v="60"/>
    <m/>
    <s v="“Şeffaf Plak Kompozit Ataşmanlarının Renk Stabilitesi ve Diş Rengi Üzerine Etkileri”"/>
    <m/>
    <m/>
    <m/>
    <m/>
    <m/>
    <m/>
    <m/>
    <m/>
    <m/>
    <m/>
  </r>
  <r>
    <m/>
    <m/>
    <x v="195"/>
    <x v="60"/>
    <m/>
    <s v="“Hacettepe Üniversitesi Hastanesi Ameliyathanesinde Çalışan Cerrahlarda Kas İskelet Sistemi Problemlerinin Tespiti&quot;"/>
    <m/>
    <m/>
    <m/>
    <m/>
    <m/>
    <m/>
    <m/>
    <m/>
    <m/>
    <m/>
  </r>
  <r>
    <m/>
    <m/>
    <x v="195"/>
    <x v="60"/>
    <m/>
    <s v="“Eozinofilik Gastrointestinal Hastalık Tanısı Alan Primer İmmün Yetmezlikli Hastaların Klinik ve Laboratuvar Özelliklerinin Değerlendirilmesi”"/>
    <m/>
    <m/>
    <m/>
    <m/>
    <m/>
    <m/>
    <m/>
    <m/>
    <m/>
    <m/>
  </r>
  <r>
    <m/>
    <m/>
    <x v="195"/>
    <x v="60"/>
    <m/>
    <s v="“Süt Azı Dişlerinde Fizyolojik ve Patolojik Rezorpsiyonun Derin Öğrenme ile Otomatik Sınıflandırılması”"/>
    <m/>
    <m/>
    <m/>
    <m/>
    <m/>
    <m/>
    <m/>
    <m/>
    <m/>
    <m/>
  </r>
  <r>
    <m/>
    <m/>
    <x v="195"/>
    <x v="60"/>
    <m/>
    <s v="“Tip 2 Diyabet Hastalarında Karar Verme Çatışması, Kronik Hastalık Bakım Değerlendirmesi, Diyabet Distresi ve Tedaviye Uyum Arasındaki İlişkilerin Değrlendirilmesi”"/>
    <m/>
    <m/>
    <m/>
    <m/>
    <m/>
    <m/>
    <m/>
    <m/>
    <m/>
    <m/>
  </r>
  <r>
    <m/>
    <m/>
    <x v="195"/>
    <x v="60"/>
    <m/>
    <s v="“LeFort 1 Cerrahisinde Maksillaya Yaptırılan Çeşitli Hareketlerin Dudak ve Burun Estetik Bölgelerindeki Etkilerinin İncelenmesi”"/>
    <m/>
    <m/>
    <m/>
    <m/>
    <m/>
    <m/>
    <m/>
    <m/>
    <m/>
    <m/>
  </r>
  <r>
    <m/>
    <m/>
    <x v="195"/>
    <x v="60"/>
    <m/>
    <s v="“Primer İmmün Yetmezlik Tanısı ile İzlenen Hastalarda Karaciğerde Gelişebilen Fokal Nodüler Hiperplazi Lezyonlarmin Değerlendirilmesi ”"/>
    <m/>
    <m/>
    <m/>
    <m/>
    <m/>
    <m/>
    <m/>
    <m/>
    <m/>
    <m/>
  </r>
  <r>
    <m/>
    <m/>
    <x v="195"/>
    <x v="60"/>
    <m/>
    <s v="“Kronik Tromboembolik Pulmoner Hipertansiyonun Tanisonda ve Tedavi Yanıtı Değerlendirmesinde Akciğer Ventilasyon/Perfüzyon Sintigrafisinin Prognostik Gücü”"/>
    <m/>
    <m/>
    <m/>
    <m/>
    <m/>
    <m/>
    <m/>
    <m/>
    <m/>
    <m/>
  </r>
  <r>
    <m/>
    <m/>
    <x v="195"/>
    <x v="60"/>
    <m/>
    <s v="“Axial ve Koronal Düzlemde Koklear Apertür Ölçümlerinin İnternal Akustik Kanal ve Koklear Sinir ile İlişkisi”"/>
    <m/>
    <m/>
    <m/>
    <m/>
    <m/>
    <m/>
    <m/>
    <m/>
    <m/>
    <m/>
  </r>
  <r>
    <m/>
    <m/>
    <x v="195"/>
    <x v="60"/>
    <m/>
    <s v="“Sigara Kullanan Erişkinlerin Sigaraya Ayırdıkları Bütçeye Dair Farkındalıklarının Sigara Bırakma Motivasyonlarıyla İlişkisi”"/>
    <m/>
    <m/>
    <m/>
    <m/>
    <m/>
    <m/>
    <m/>
    <m/>
    <m/>
    <m/>
  </r>
  <r>
    <m/>
    <m/>
    <x v="195"/>
    <x v="60"/>
    <m/>
    <s v="“Çene Kemiklerinde Multipl Miyeloma Bağlı Mikroyapısal Bozulmaların Kantitatif Analizi: Fraktal, Lakünerite ve Entropi Parametrelerinin Karşılaştırmalı İncelemesi”"/>
    <m/>
    <m/>
    <m/>
    <m/>
    <m/>
    <m/>
    <m/>
    <m/>
    <m/>
    <m/>
  </r>
  <r>
    <m/>
    <m/>
    <x v="195"/>
    <x v="60"/>
    <m/>
    <s v="&quot;Ailesel Akdeniz Ateşi’nde MEFV Genotipine Göre Klinik Özelliklerin Karşılaştırılması: Homozigot, Heterozigot ve Klinik Önemi Bilinmeyen Varyant Taşıyıcıları&quot;"/>
    <m/>
    <m/>
    <m/>
    <m/>
    <m/>
    <m/>
    <m/>
    <m/>
    <m/>
    <m/>
  </r>
  <r>
    <m/>
    <m/>
    <x v="195"/>
    <x v="60"/>
    <m/>
    <s v="&quot;Çocukluk Çağı Kronik Non-Bakteriyel Osteomiyelit Hastalarında Tedaviye Yanıtlar ve Relapsı Öngören Faktörler&quot;"/>
    <m/>
    <m/>
    <m/>
    <m/>
    <m/>
    <m/>
    <m/>
    <m/>
    <m/>
    <m/>
  </r>
  <r>
    <m/>
    <m/>
    <x v="195"/>
    <x v="60"/>
    <m/>
    <s v="“Tablet Tabanlı Mikroperimetri ile Yaşa Bağlı Makula Dejenerasyonunda Görme Keskinliği Değişiminin Ev Ortamında Saptanması”"/>
    <m/>
    <m/>
    <m/>
    <m/>
    <m/>
    <m/>
    <m/>
    <m/>
    <m/>
    <m/>
  </r>
  <r>
    <m/>
    <m/>
    <x v="195"/>
    <x v="60"/>
    <m/>
    <s v="“Humerus Şaft Kırıklarının Retrospektif Analizi ve Tedavi Sonuçları”"/>
    <m/>
    <m/>
    <m/>
    <m/>
    <m/>
    <m/>
    <m/>
    <m/>
    <m/>
    <m/>
  </r>
  <r>
    <m/>
    <m/>
    <x v="195"/>
    <x v="60"/>
    <m/>
    <s v="“Mitokondriyal Hastalık Tanılı Hastaların Semptom ve Bulgularının Mitokondriyal Hastalık Tanı Kriterleri ile Değerlendirilmesi”"/>
    <m/>
    <m/>
    <m/>
    <m/>
    <m/>
    <m/>
    <m/>
    <m/>
    <m/>
    <m/>
  </r>
  <r>
    <m/>
    <m/>
    <x v="195"/>
    <x v="60"/>
    <m/>
    <s v="“Kırım-Kongo Kanamalı Ateşinin Moleküler İmzalarının Ortaya Konması: mRNA, lncRNA, sRNA ve circRNA Profilleri Üzerine Transkriptomik ve Biyoinformatik Yaklaşım”"/>
    <m/>
    <m/>
    <m/>
    <m/>
    <m/>
    <m/>
    <m/>
    <m/>
    <m/>
    <m/>
  </r>
  <r>
    <m/>
    <m/>
    <x v="195"/>
    <x v="60"/>
    <m/>
    <s v="“Konjenital Kalp Hastalığı Nedeniyle Opere Edilen Yenidoğanlarda Mortaliteyi Etkileyen Klinik Faktörler”"/>
    <m/>
    <m/>
    <m/>
    <m/>
    <m/>
    <m/>
    <m/>
    <m/>
    <m/>
    <m/>
  </r>
  <r>
    <m/>
    <m/>
    <x v="195"/>
    <x v="60"/>
    <m/>
    <s v="“Pediatrik Cerrahi Hastalarında Postoperatif Ağrı Yönetimi Başarısının Değerlendirilmesi”"/>
    <m/>
    <m/>
    <m/>
    <m/>
    <m/>
    <m/>
    <m/>
    <m/>
    <m/>
    <m/>
  </r>
  <r>
    <m/>
    <m/>
    <x v="195"/>
    <x v="60"/>
    <m/>
    <s v="“Bilateral Sagital Split Ramus Osteotomisi ve Genioplasti ile Mandibulaya Yaptırılan Çeşitli Hareketlerin Dudak, Çene Ucu ve Angulus Estetik Bölgelerindeki Etkilerinin İncelenmesi”"/>
    <m/>
    <m/>
    <m/>
    <m/>
    <m/>
    <m/>
    <m/>
    <m/>
    <m/>
    <m/>
  </r>
  <r>
    <m/>
    <m/>
    <x v="195"/>
    <x v="60"/>
    <m/>
    <s v="“Üst Ekstremitede Ön Kondisyonlanma ile “Aktivasyon Sonrası Performans Artışı” mümkün mü?”"/>
    <m/>
    <m/>
    <m/>
    <m/>
    <m/>
    <m/>
    <m/>
    <m/>
    <m/>
    <m/>
  </r>
  <r>
    <m/>
    <m/>
    <x v="195"/>
    <x v="60"/>
    <m/>
    <s v="“Tüm Beyin Radyoterapisi Sırasında Hipokampüsün Dentat Girus ve Cornu Ammonis Bölgelerinin Korunduğu Hastalarda Nörokognitif Fonksiyon Durumunun Değerlendirilmesi”"/>
    <m/>
    <m/>
    <m/>
    <m/>
    <m/>
    <m/>
    <m/>
    <m/>
    <m/>
    <m/>
  </r>
  <r>
    <m/>
    <m/>
    <x v="195"/>
    <x v="60"/>
    <m/>
    <s v="“Tek Taraflı Dudak-Damak Yarıklı Dental Modellerde Farklı Ağız İçi Tarayıcıların Karşılaştırılması: İn-vitro Çalışma”"/>
    <m/>
    <m/>
    <m/>
    <m/>
    <m/>
    <m/>
    <m/>
    <m/>
    <m/>
    <m/>
  </r>
  <r>
    <m/>
    <m/>
    <x v="195"/>
    <x v="60"/>
    <m/>
    <s v="“Luminal A Meme Kanseri: Genç Yaşa Özgü Kötü Prognozun Moleküler Temelleri”"/>
    <m/>
    <m/>
    <m/>
    <m/>
    <m/>
    <m/>
    <m/>
    <m/>
    <m/>
    <m/>
  </r>
  <r>
    <m/>
    <m/>
    <x v="195"/>
    <x v="60"/>
    <m/>
    <s v="“Sol Dal Alan Uyarım Metodu ile İmplante Edilen Kardiyak Cihazların Hastalar Üzerideki Takip Verilerinin İncelenmesi ve Konvansiyonel Metodoloji ile Karşılaştırılması”"/>
    <m/>
    <m/>
    <m/>
    <m/>
    <m/>
    <m/>
    <m/>
    <m/>
    <m/>
    <m/>
  </r>
  <r>
    <m/>
    <m/>
    <x v="195"/>
    <x v="60"/>
    <m/>
    <s v="“Periferik Fasiyal Paralizili Hastalarda Kulak MRG Bulguları ve 3D-FLAIR Sekansın Tanıya Katkısının Araştırılması”"/>
    <m/>
    <m/>
    <m/>
    <m/>
    <m/>
    <m/>
    <m/>
    <m/>
    <m/>
    <m/>
  </r>
  <r>
    <m/>
    <m/>
    <x v="195"/>
    <x v="60"/>
    <m/>
    <s v="“İleri Derecede Kemik Kaybı Olan Lezyonlarda Oral Protozoa Varlığının Değerlendirilmesi”"/>
    <m/>
    <m/>
    <m/>
    <m/>
    <m/>
    <m/>
    <m/>
    <m/>
    <m/>
    <m/>
  </r>
  <r>
    <m/>
    <m/>
    <x v="195"/>
    <x v="60"/>
    <m/>
    <s v="“Pemfigus Vulgaris Hastalarında Rituksimab Tedavisinden Sonrası Relaps İle İlişkili Laboratuar ve Klinik Parametrelerin Araştırılması”"/>
    <m/>
    <m/>
    <m/>
    <m/>
    <m/>
    <m/>
    <m/>
    <m/>
    <m/>
    <m/>
  </r>
  <r>
    <m/>
    <m/>
    <x v="195"/>
    <x v="60"/>
    <m/>
    <s v="“PAX1 Gen Mutasyonunun Timus Gelişimi ve Fonksiyonu Üzerinde Etkilerinin Araştırılması”"/>
    <m/>
    <m/>
    <m/>
    <m/>
    <m/>
    <m/>
    <m/>
    <m/>
    <m/>
    <m/>
  </r>
  <r>
    <m/>
    <m/>
    <x v="195"/>
    <x v="60"/>
    <m/>
    <s v="“Mikozis Fungoides ve Ayırıcı Tanısına Giren Lezyonlarda TRPS1, RBC1, TOX ve PDCD1 Ekspresyonlarının Karşılaştırmalı Değerlendirilmesi: Tanısal Algoritma Geliştirmeye Yönelik Klinikopatolojik Yaklaşım”"/>
    <m/>
    <m/>
    <m/>
    <m/>
    <m/>
    <m/>
    <m/>
    <m/>
    <m/>
    <m/>
  </r>
  <r>
    <m/>
    <m/>
    <x v="195"/>
    <x v="60"/>
    <m/>
    <s v="“Başlangıç Yaşına Göre Atopik Dermatit Olgularının Klinik ve Laboratuvar Parametrelerinin Karşılaştırılması”"/>
    <m/>
    <m/>
    <m/>
    <m/>
    <m/>
    <m/>
    <m/>
    <m/>
    <m/>
    <m/>
  </r>
  <r>
    <m/>
    <m/>
    <x v="195"/>
    <x v="60"/>
    <m/>
    <s v="“Metastatik Kolorektal, Over ve Serviks Hastalarında Renal Sonlanımların Değerlendirilmesi”"/>
    <m/>
    <m/>
    <m/>
    <m/>
    <m/>
    <m/>
    <m/>
    <m/>
    <m/>
    <m/>
  </r>
  <r>
    <m/>
    <m/>
    <x v="195"/>
    <x v="60"/>
    <m/>
    <s v="“Pediyatrik Sarkomlarda Metabolik ve Radyomik Parametreler ile Prognostik Modelleme”"/>
    <m/>
    <m/>
    <m/>
    <m/>
    <m/>
    <m/>
    <m/>
    <m/>
    <m/>
    <m/>
  </r>
  <r>
    <m/>
    <m/>
    <x v="195"/>
    <x v="60"/>
    <m/>
    <s v="“Paraservikal Blok Uygulamasının Histeroskopi Sonrası Postoperatif Ağrı Üzerine Etkisi: Anket Çalışması”"/>
    <m/>
    <m/>
    <m/>
    <m/>
    <m/>
    <m/>
    <m/>
    <m/>
    <m/>
    <m/>
  </r>
  <r>
    <m/>
    <m/>
    <x v="195"/>
    <x v="60"/>
    <m/>
    <s v="“Jinekolojik Onkoloji Konsey Kararlarının Yapay Zekâ Destekli Kararlarla Karşılaştırılması: Over, Endometrium ve Serviks Kanseri Üzerine Retrospektif Bir Analiz”"/>
    <m/>
    <m/>
    <m/>
    <m/>
    <m/>
    <m/>
    <m/>
    <m/>
    <m/>
    <m/>
  </r>
  <r>
    <m/>
    <m/>
    <x v="195"/>
    <x v="60"/>
    <m/>
    <s v="“Nazal Dermoid Kistlere Multidisipliner Yaklaşım: Konjenital Vakaların Klinik, Görüntüleme ve Cerrahi Bulguları Üzerine Tek Merkezli Bir Analiz ”"/>
    <m/>
    <m/>
    <m/>
    <m/>
    <m/>
    <m/>
    <m/>
    <m/>
    <m/>
    <m/>
  </r>
  <r>
    <m/>
    <m/>
    <x v="195"/>
    <x v="60"/>
    <m/>
    <s v="''Besin Alerjili Çocuklarda Kazara Alerjen Maruziyeti: Sıklığı, Risk Faktörleri ve Yaşam Kalitesi Üzerindeki Etkileri''"/>
    <m/>
    <m/>
    <m/>
    <m/>
    <m/>
    <m/>
    <m/>
    <m/>
    <m/>
    <m/>
  </r>
  <r>
    <m/>
    <m/>
    <x v="195"/>
    <x v="60"/>
    <m/>
    <s v="“Manyetik Rezonans Görüntüleme ile Belirlenen Pankreas Yağlanmasının ERCP Sonrası Komplikasyonlarla İlişkisinin Değerlendirilmesi”"/>
    <m/>
    <m/>
    <m/>
    <m/>
    <m/>
    <m/>
    <m/>
    <m/>
    <m/>
    <m/>
  </r>
  <r>
    <m/>
    <m/>
    <x v="195"/>
    <x v="60"/>
    <m/>
    <s v="“Triküspid Kapak Cerrahisi Uygulanmış Hastalarda Bradikardi Tedavisinde Kalıcı Kalp Pilinin Koroner Sinüs Yoluyla Uygulanması”"/>
    <m/>
    <m/>
    <m/>
    <m/>
    <m/>
    <m/>
    <m/>
    <m/>
    <m/>
    <m/>
  </r>
  <r>
    <m/>
    <m/>
    <x v="195"/>
    <x v="60"/>
    <m/>
    <s v="“Kardiyak Bilgisayarlı Tomografi Anjiyografi Bulguları ile Koroner Arter Hastalığının Seyri ve Stent İçi Restenoz Arasındaki İlişkinin Degerlendirilmesi”"/>
    <m/>
    <m/>
    <m/>
    <m/>
    <m/>
    <m/>
    <m/>
    <m/>
    <m/>
    <m/>
  </r>
  <r>
    <m/>
    <m/>
    <x v="195"/>
    <x v="60"/>
    <m/>
    <s v="“Türkiye’de 2022–2024 Yılları Arasında Gerçekleştirilen Aile Hekimliği Uyum Eğitimlerinin Etkililiğinin Değerlendirilmesi: Ön Test ve Son Test Sonuçları Üzerinden Bir Analiz”"/>
    <m/>
    <m/>
    <m/>
    <m/>
    <m/>
    <m/>
    <m/>
    <m/>
    <m/>
    <m/>
  </r>
  <r>
    <m/>
    <m/>
    <x v="195"/>
    <x v="60"/>
    <m/>
    <s v="“Yüksek Enerjili Patlayıcılara Bağlı Gelişen İşitme Kayıplarının Adli Tıbbi Değerlendirilmesi”"/>
    <m/>
    <m/>
    <m/>
    <m/>
    <m/>
    <m/>
    <m/>
    <m/>
    <m/>
    <m/>
  </r>
  <r>
    <m/>
    <m/>
    <x v="195"/>
    <x v="60"/>
    <m/>
    <s v="“Travma İlişkili Venöz Tromboembolizm Olgularının Medikolegal Açıdan İncelenmesi”"/>
    <m/>
    <m/>
    <m/>
    <m/>
    <m/>
    <m/>
    <m/>
    <m/>
    <m/>
    <m/>
  </r>
  <r>
    <m/>
    <m/>
    <x v="195"/>
    <x v="60"/>
    <m/>
    <s v="“Santral Sinir Sistemi Lenfomalarında Sentinel Lezyonların Görüntüleme Bulguları ve Tanısal Önemi”"/>
    <m/>
    <m/>
    <m/>
    <m/>
    <m/>
    <m/>
    <m/>
    <m/>
    <m/>
    <m/>
  </r>
  <r>
    <m/>
    <m/>
    <x v="195"/>
    <x v="60"/>
    <m/>
    <s v="&quot;Diş Hekimliği Lisans Eğitiminde Total Protez Konulu Açık Uçlu Sınav Sorularının Büyük Dil Modelleri ve Uzman Puanlamaları ile Karşılaştırılması.”"/>
    <m/>
    <m/>
    <m/>
    <m/>
    <m/>
    <m/>
    <m/>
    <m/>
    <m/>
    <m/>
  </r>
  <r>
    <m/>
    <m/>
    <x v="195"/>
    <x v="60"/>
    <m/>
    <s v="“Gastrointestinal Sistem İlişkili Ani Beklenmedik Ölümler: Retrospektif Otopsi Çalışması”"/>
    <m/>
    <m/>
    <m/>
    <m/>
    <m/>
    <m/>
    <m/>
    <m/>
    <m/>
    <m/>
  </r>
  <r>
    <m/>
    <m/>
    <x v="195"/>
    <x v="60"/>
    <m/>
    <s v="“Çocukluk ve Ergenlik Döneminde Gerçekleşen Doğal Olmayan Ölüm Olgularının Değerlendirilmesi”"/>
    <m/>
    <m/>
    <m/>
    <m/>
    <m/>
    <m/>
    <m/>
    <m/>
    <m/>
    <m/>
  </r>
  <r>
    <m/>
    <m/>
    <x v="195"/>
    <x v="60"/>
    <m/>
    <s v="“El Osteoartriti ve İnflamatuar Artritlerde Transarteriyel Periartiküler Embolizasyon: Teknik Uygulanabilirlik ve Klinik Sonuçları”"/>
    <m/>
    <m/>
    <m/>
    <m/>
    <m/>
    <m/>
    <m/>
    <m/>
    <m/>
    <m/>
  </r>
  <r>
    <m/>
    <m/>
    <x v="195"/>
    <x v="60"/>
    <m/>
    <s v="“Fankoni Anemisinde Büyüme Hormonu Eksikliği Olan Olguların Özelliklerinin İncelenmesi”"/>
    <m/>
    <m/>
    <m/>
    <m/>
    <m/>
    <m/>
    <m/>
    <m/>
    <m/>
    <m/>
  </r>
  <r>
    <m/>
    <m/>
    <x v="195"/>
    <x v="60"/>
    <m/>
    <s v="“Humerus'un Proksimal Kısmının Morfometrik Özelliklerinin Değerlendirilmesi ve Klinik Önemi&quot;"/>
    <m/>
    <m/>
    <m/>
    <m/>
    <m/>
    <m/>
    <m/>
    <m/>
    <m/>
    <m/>
  </r>
  <r>
    <m/>
    <m/>
    <x v="195"/>
    <x v="60"/>
    <m/>
    <s v="“Matür T Hücreli Lenfomalarda INI-1 (SMARCB1) Ekspresyon Kaybının Değerlendirilmesi”"/>
    <m/>
    <m/>
    <m/>
    <m/>
    <m/>
    <m/>
    <m/>
    <m/>
    <m/>
    <m/>
  </r>
  <r>
    <m/>
    <m/>
    <x v="195"/>
    <x v="60"/>
    <m/>
    <s v="“Tip-1 Diyabeti Olan Çocuklarda Sağlıkta Baba Katılımı ve İlişkili Faktörler&quot;"/>
    <m/>
    <m/>
    <m/>
    <m/>
    <m/>
    <m/>
    <m/>
    <m/>
    <m/>
    <m/>
  </r>
  <r>
    <m/>
    <m/>
    <x v="195"/>
    <x v="60"/>
    <m/>
    <s v="“Kronik Oklüzif İliofemoral Hastalıkta Rekanalizasyon: Endovasküler Tedavi Sonuçları ve Venöz Giriş Akımının Asendan Venografi ile Değerlendirilmesi”"/>
    <m/>
    <m/>
    <m/>
    <m/>
    <m/>
    <m/>
    <m/>
    <m/>
    <m/>
    <m/>
  </r>
  <r>
    <m/>
    <m/>
    <x v="195"/>
    <x v="60"/>
    <m/>
    <s v="“Down Sendromu Tanısı Almış Çocuk Hastaların Mandibula Kemik Yapısının Fraktal Analizi”"/>
    <m/>
    <m/>
    <m/>
    <m/>
    <m/>
    <m/>
    <m/>
    <m/>
    <m/>
    <m/>
  </r>
  <r>
    <m/>
    <m/>
    <x v="195"/>
    <x v="60"/>
    <m/>
    <s v="“DiGeorge Sendromu Tanısı Almış Çocuk Hastaların Mandibula Kemik Yapısının Fraktal Analizi”"/>
    <m/>
    <m/>
    <m/>
    <m/>
    <m/>
    <m/>
    <m/>
    <m/>
    <m/>
    <m/>
  </r>
  <r>
    <m/>
    <m/>
    <x v="195"/>
    <x v="60"/>
    <m/>
    <s v="“Disfonili Hastalarda Multidisipliner Ses Konseyi Kararları ile ChatGPT Yanıtlarının Karşılaştırılması”"/>
    <m/>
    <m/>
    <m/>
    <m/>
    <m/>
    <m/>
    <m/>
    <m/>
    <m/>
    <m/>
  </r>
  <r>
    <m/>
    <m/>
    <x v="195"/>
    <x v="60"/>
    <m/>
    <s v="“3D Modelleme ile Cerrahi Planlama'nın Sakral Nöromodülasyon Cerrahisine ve Başarıya Olan Katkısının Değerlendirilmesi”"/>
    <m/>
    <m/>
    <m/>
    <m/>
    <m/>
    <m/>
    <m/>
    <m/>
    <m/>
    <m/>
  </r>
  <r>
    <m/>
    <m/>
    <x v="195"/>
    <x v="60"/>
    <m/>
    <s v="&quot;İmmünoterapi Alan Hastalarda Serum Vitamin D Düzeylerinin Prognostik Önemi &quot;"/>
    <m/>
    <m/>
    <m/>
    <m/>
    <m/>
    <m/>
    <m/>
    <m/>
    <m/>
    <m/>
  </r>
  <r>
    <m/>
    <m/>
    <x v="195"/>
    <x v="60"/>
    <m/>
    <s v="“Ektopik Gebelik Tanısı Alan Hastalarda Metotreksat Tedavisinin mg/m2 veya mg/kg Dozuna Göre Uygulanıp Etkinliğin Değerlendirilmesi ve Cerrahi Müdahale Gerektiren Vakaları Retrospektif Olarak Belirlenmesi”"/>
    <m/>
    <m/>
    <m/>
    <m/>
    <m/>
    <m/>
    <m/>
    <m/>
    <m/>
    <m/>
  </r>
  <r>
    <m/>
    <m/>
    <x v="195"/>
    <x v="60"/>
    <m/>
    <s v="“Pediatrik Pankreas Cerrahisinde Postoperatif Komplikasyonlar: On Yılda Ne Öğrendik?”"/>
    <m/>
    <m/>
    <m/>
    <m/>
    <m/>
    <m/>
    <m/>
    <m/>
    <m/>
    <m/>
  </r>
  <r>
    <m/>
    <m/>
    <x v="195"/>
    <x v="60"/>
    <m/>
    <s v="“Transkateter Aort Kapak İmplantasyonu Yapılan Hastalarda Kapak Fonksiyonlarının, Kalıcı Pil İhtiyacı Prediktörlerinin, Periprosedürel Komplikasyonların ve Takip Verilerinin Retrospektif Değerlendirilmesi”"/>
    <m/>
    <m/>
    <m/>
    <m/>
    <m/>
    <m/>
    <m/>
    <m/>
    <m/>
    <m/>
  </r>
  <r>
    <m/>
    <m/>
    <x v="195"/>
    <x v="60"/>
    <m/>
    <s v="“Hipertrofik Kardiyomiyopati Tanılı Hastalarda Atriyal Fibrilasyon Ablasyonu Sonrası Klinik Sonlanımlar”"/>
    <m/>
    <m/>
    <m/>
    <m/>
    <m/>
    <m/>
    <m/>
    <m/>
    <m/>
    <m/>
  </r>
  <r>
    <m/>
    <m/>
    <x v="195"/>
    <x v="60"/>
    <m/>
    <s v="“Tropomiyozin ve Arjinin Kinaz Duyarlılıkları Arasındaki İlişkilerin İncelenmesi”"/>
    <m/>
    <m/>
    <m/>
    <m/>
    <m/>
    <m/>
    <m/>
    <m/>
    <m/>
    <m/>
  </r>
  <r>
    <m/>
    <m/>
    <x v="195"/>
    <x v="60"/>
    <m/>
    <s v="“CDK 4/6 İnhibitörü Kullanan Metastik Meme Kanseri Hastalarında Sağkalıma Etki Eden Faktörlerin Yapay Zeka Aracılığıy Belirlenmesi”"/>
    <m/>
    <m/>
    <m/>
    <m/>
    <m/>
    <m/>
    <m/>
    <m/>
    <m/>
    <m/>
  </r>
  <r>
    <m/>
    <m/>
    <x v="195"/>
    <x v="60"/>
    <m/>
    <s v="“Kas Ultrasonografisi ile Yapılan Kas Kütlesi Ölçümleri ile Geriatri Populasyonda Referans Kas Kütlesi Değerlerinin Belirlenmesi”"/>
    <m/>
    <m/>
    <m/>
    <m/>
    <m/>
    <m/>
    <m/>
    <m/>
    <m/>
    <m/>
  </r>
  <r>
    <m/>
    <m/>
    <x v="195"/>
    <x v="60"/>
    <m/>
    <s v="“Küçük Hücreli Dışı Akciğer Kanseri Tanılı Hastalarda Venöz Tromboembolizm Riskini Öngören Tahmin Modelinin Geliştirilmesi”"/>
    <m/>
    <m/>
    <m/>
    <m/>
    <m/>
    <m/>
    <m/>
    <m/>
    <m/>
    <m/>
  </r>
  <r>
    <m/>
    <m/>
    <x v="195"/>
    <x v="60"/>
    <m/>
    <s v="“Sistemik Otoinflamatuvar Hastalıklarda Üçüncü Nesil Dizileme ile Genetik Etiyolojinin Belirlenmesi”"/>
    <m/>
    <m/>
    <m/>
    <m/>
    <m/>
    <m/>
    <m/>
    <m/>
    <m/>
    <m/>
  </r>
  <r>
    <m/>
    <m/>
    <x v="195"/>
    <x v="60"/>
    <m/>
    <s v="“Yapay Zekanın Odontojenik Olmayan Ağrı Tanısındaki Başarısının Diş Hekimleri ile Karşılaştırılması: Senaryo Temelli Bir Veri Analizi”"/>
    <m/>
    <m/>
    <m/>
    <m/>
    <m/>
    <m/>
    <m/>
    <m/>
    <m/>
    <m/>
  </r>
  <r>
    <m/>
    <m/>
    <x v="195"/>
    <x v="60"/>
    <m/>
    <s v="“Şok Hastalarında Mikrodolaşım ve Makrodolaşımın Eş Zamanlı Değerlendirilmesi”"/>
    <m/>
    <m/>
    <m/>
    <m/>
    <m/>
    <m/>
    <m/>
    <m/>
    <m/>
    <m/>
  </r>
  <r>
    <m/>
    <m/>
    <x v="195"/>
    <x v="60"/>
    <m/>
    <s v="“Non-Metrik Kraniyal Özelliklerin Cinsiyet Ayrımında Makine Öğrenmesi ve Uzman Değerlendirmeleri”"/>
    <m/>
    <m/>
    <m/>
    <m/>
    <m/>
    <m/>
    <m/>
    <m/>
    <m/>
    <m/>
  </r>
  <r>
    <m/>
    <m/>
    <x v="195"/>
    <x v="60"/>
    <m/>
    <s v="&quot;Anne ve Babaların Olumsuz Çocukluk Çağı Deneyimlerinin Erken Doğum Öyküsü Olan Çocukların Gelişimlerine Etkileri&quot;"/>
    <m/>
    <m/>
    <m/>
    <m/>
    <m/>
    <m/>
    <m/>
    <m/>
    <m/>
    <m/>
  </r>
  <r>
    <m/>
    <m/>
    <x v="195"/>
    <x v="60"/>
    <m/>
    <s v="“Os Naviculare Cerrahi Fiksasyonu İçin İmplant Boyutlarının Optimizasyonu: Morfometrik Çalışma”"/>
    <m/>
    <m/>
    <m/>
    <m/>
    <m/>
    <m/>
    <m/>
    <m/>
    <m/>
    <m/>
  </r>
  <r>
    <m/>
    <m/>
    <x v="195"/>
    <x v="60"/>
    <m/>
    <s v="“Ağız Diş Ve Çene Cerrahisi Kliniğine Başvuran Hastaların Yapay Zeka Farkındalik Düzeyi İle Ağız Sağlığı ile İliskili Yaşam Kalitesi Arasındaki Korelasyonun Değerlendirilmesi”"/>
    <m/>
    <m/>
    <m/>
    <m/>
    <m/>
    <m/>
    <m/>
    <m/>
    <m/>
    <m/>
  </r>
  <r>
    <m/>
    <m/>
    <x v="195"/>
    <x v="60"/>
    <m/>
    <s v="“Kronik Obstrüktif Akciğer Hastalığı Tanılı İleri Yaş Hastalarda Anksiyete ve Depresyonun İnhaler Uyumuyla İlişkisinin İncelenmesi”"/>
    <m/>
    <m/>
    <m/>
    <m/>
    <m/>
    <m/>
    <m/>
    <m/>
    <m/>
    <m/>
  </r>
  <r>
    <m/>
    <m/>
    <x v="195"/>
    <x v="60"/>
    <m/>
    <s v="“Erişkin Kistik Fibrozis Hastalarında Modülatör Tedaviye Erişim Sürecinin Psikososyal ve Ekonomik Etkilerinin Değerlendirilmesi”"/>
    <m/>
    <m/>
    <m/>
    <m/>
    <m/>
    <m/>
    <m/>
    <m/>
    <m/>
    <m/>
  </r>
  <r>
    <m/>
    <m/>
    <x v="195"/>
    <x v="60"/>
    <m/>
    <s v="“Spinal Musküler Atrofi (SMA) Tip 1 ve 2 Hastalarında İntratekal Nusinersenin Ultrasonografi Eşliğinde Uygulanmasının Değerlendirilmesi”"/>
    <m/>
    <m/>
    <m/>
    <m/>
    <m/>
    <m/>
    <m/>
    <m/>
    <m/>
    <m/>
  </r>
  <r>
    <m/>
    <m/>
    <x v="195"/>
    <x v="60"/>
    <m/>
    <s v="“Metafizyel Displazi Olgularında Klinik Spektrumun ve Genetik Etiyolojinin İncelenmesi”"/>
    <m/>
    <m/>
    <m/>
    <m/>
    <m/>
    <m/>
    <m/>
    <m/>
    <m/>
    <m/>
  </r>
  <r>
    <m/>
    <m/>
    <x v="195"/>
    <x v="60"/>
    <m/>
    <s v="“Cerrahi Zorluğu Ölçmenin Yeni Yolu: VESPA skoru ile DIEP Fleplerde Anatomik Karmaşıklığın Sayısallaştırılması”"/>
    <m/>
    <m/>
    <m/>
    <m/>
    <m/>
    <m/>
    <m/>
    <m/>
    <m/>
    <m/>
  </r>
  <r>
    <m/>
    <m/>
    <x v="195"/>
    <x v="60"/>
    <m/>
    <s v="“Karaciğer Hastalıkları ile İlgili Stigmatizasyon Ölçeği Geliştirme Çalışması: Metodolojik Araştırma”"/>
    <m/>
    <m/>
    <m/>
    <m/>
    <m/>
    <m/>
    <m/>
    <m/>
    <m/>
    <m/>
  </r>
  <r>
    <m/>
    <m/>
    <x v="195"/>
    <x v="60"/>
    <m/>
    <s v="“SLC2943 Gen Defekti Olan Hastalarda Otofajinin İncelenmesi”"/>
    <m/>
    <m/>
    <m/>
    <m/>
    <m/>
    <m/>
    <m/>
    <m/>
    <m/>
    <m/>
  </r>
  <r>
    <m/>
    <m/>
    <x v="195"/>
    <x v="60"/>
    <m/>
    <s v="“Cerrahi veya Perkütan Yolla Atriyal Septal Defekt Kapatılan Hastalarda Atriyal Taşikardinin Kateter Ablasyonunun Sonlanım Noktalarının İncelenmesi”"/>
    <m/>
    <m/>
    <m/>
    <m/>
    <m/>
    <m/>
    <m/>
    <m/>
    <m/>
    <m/>
  </r>
  <r>
    <m/>
    <m/>
    <x v="195"/>
    <x v="60"/>
    <m/>
    <s v="“Bir Kamu Hastanesinin Acil Servisinde Yalın Yönetim Uygulaması”"/>
    <m/>
    <m/>
    <m/>
    <m/>
    <m/>
    <m/>
    <m/>
    <m/>
    <m/>
    <m/>
  </r>
  <r>
    <m/>
    <m/>
    <x v="195"/>
    <x v="60"/>
    <m/>
    <s v="“Ankara’da Bir İlçe Belediyesi Ana Hizmet Binasında Görev Yapan Belediye Çalışanlarının İklim Değişikliği Risk Algısının Değerlendirilmesi”"/>
    <m/>
    <m/>
    <m/>
    <m/>
    <m/>
    <m/>
    <m/>
    <m/>
    <m/>
    <m/>
  </r>
  <r>
    <m/>
    <m/>
    <x v="195"/>
    <x v="60"/>
    <m/>
    <s v="“Kalp Hastalığı Olan Çocukların Sağlık Durumları ile Ebeveynlerinin Yaşantılarının Uyum ve Mücadele Dinamiklerinin Nitel Analizi”"/>
    <m/>
    <m/>
    <m/>
    <m/>
    <m/>
    <m/>
    <m/>
    <m/>
    <m/>
    <m/>
  </r>
  <r>
    <m/>
    <m/>
    <x v="195"/>
    <x v="60"/>
    <m/>
    <s v="&quot;Diferansiye Tiroid Kanserlerinde Tedavi Öncesi Kan Sonuçlarının Prognostik Değerlendirmesi&quot;"/>
    <m/>
    <m/>
    <m/>
    <m/>
    <m/>
    <m/>
    <m/>
    <m/>
    <m/>
    <m/>
  </r>
  <r>
    <m/>
    <m/>
    <x v="195"/>
    <x v="60"/>
    <m/>
    <s v="“Hacettepe Üniversitesi Genel Dahiliye Polikliniğine Başvuran 40-65 Yaş Arası Bireylerde Kardiyovasküler Riskin Değerlendirilmesi ve Risk Farkındalığının İncelenmesi”"/>
    <m/>
    <m/>
    <m/>
    <m/>
    <m/>
    <m/>
    <m/>
    <m/>
    <m/>
    <m/>
  </r>
  <r>
    <m/>
    <m/>
    <x v="195"/>
    <x v="60"/>
    <m/>
    <s v="“Susam veya Kabuklu Ağaç Yemişi Alerjisi Olan Hastalarda Deri Prick Testi, Besin Spesifik IgE ve Dudak Teması Testine Dayalı Risk Skorlaması”"/>
    <m/>
    <m/>
    <m/>
    <m/>
    <m/>
    <m/>
    <m/>
    <m/>
    <m/>
    <m/>
  </r>
  <r>
    <m/>
    <m/>
    <x v="195"/>
    <x v="60"/>
    <m/>
    <s v="“Çocuk Acile Başvuran İdrar Toksikolojisi Gönderilen Ergenlerin Ergen Sağlığı İzlemi”"/>
    <m/>
    <m/>
    <m/>
    <m/>
    <m/>
    <m/>
    <m/>
    <m/>
    <m/>
    <m/>
  </r>
  <r>
    <m/>
    <m/>
    <x v="195"/>
    <x v="60"/>
    <m/>
    <s v="“Farklı Kök Kanal Dolgu Materyallerinin Devital Beyazlatma Sonrası Renk Stabilitesi ve Fraktür Direnci Üzerine Etkileri: Laboratuvar Çalışması”"/>
    <m/>
    <m/>
    <m/>
    <m/>
    <m/>
    <m/>
    <m/>
    <m/>
    <m/>
    <m/>
  </r>
  <r>
    <m/>
    <m/>
    <x v="195"/>
    <x v="60"/>
    <m/>
    <s v="“Bronkopulmoner Displazinin Erken Tanı ve Tedavi Sürecinin İzleminde Yapay Zeka Destekli Metabolomik Yaklaşımlar”"/>
    <m/>
    <m/>
    <m/>
    <m/>
    <m/>
    <m/>
    <m/>
    <m/>
    <m/>
    <m/>
  </r>
  <r>
    <m/>
    <m/>
    <x v="195"/>
    <x v="60"/>
    <m/>
    <s v="“Kök Kanal Dolgu Materyalleri ve İntraorifis Bariyer Materyali Etkileşiminin İntrakoronal Beyazlatma ve Kırılma Dayanımı Üzerindeki Etkisi: İn Vitro Çalışma”"/>
    <m/>
    <m/>
    <m/>
    <m/>
    <m/>
    <m/>
    <m/>
    <m/>
    <m/>
    <m/>
  </r>
  <r>
    <m/>
    <m/>
    <x v="195"/>
    <x v="60"/>
    <m/>
    <s v="“Atriyal Septal Defekt Tanısı Olan Pediatrik Hastalarda Demografik, Klinik ve Ekokardiyografik Bulguların Değerlendirilmesi ile İzlem Sürecinde Bu Parametrelerdeki Değişikliklerin Araştırılması”"/>
    <m/>
    <m/>
    <m/>
    <m/>
    <m/>
    <m/>
    <m/>
    <m/>
    <m/>
    <m/>
  </r>
  <r>
    <m/>
    <m/>
    <x v="195"/>
    <x v="60"/>
    <m/>
    <s v="“Glioblastoma Multiforme Hastalarında Venöz Tromboembolizm ve Hidrosefali Risk Faktörlerinin Anlaşılması ve Rekürren Cerrahi Sonrası Komplikasyonların Belirlenmesi”"/>
    <m/>
    <m/>
    <m/>
    <m/>
    <m/>
    <m/>
    <m/>
    <m/>
    <m/>
    <m/>
  </r>
  <r>
    <m/>
    <m/>
    <x v="195"/>
    <x v="60"/>
    <m/>
    <s v="“Çocukluk Başlangıçlı Monogenik Sendromik Obezitenin Erişkin Dönem Klinik Seyri”"/>
    <m/>
    <m/>
    <m/>
    <m/>
    <m/>
    <m/>
    <m/>
    <m/>
    <m/>
    <m/>
  </r>
  <r>
    <m/>
    <m/>
    <x v="195"/>
    <x v="60"/>
    <m/>
    <s v="“Rasgrp1 Mutasyonu Olan Hastaların Klinik ve Laboratuvar Özelliklerinin Değerlendirilmesi ”"/>
    <m/>
    <m/>
    <m/>
    <m/>
    <m/>
    <m/>
    <m/>
    <m/>
    <m/>
    <m/>
  </r>
  <r>
    <m/>
    <m/>
    <x v="195"/>
    <x v="60"/>
    <m/>
    <s v="“İnflamatuar Barsak Hastalıklarında Komplikasyon ve Tedavi Direncinin Retrospektif Veriler Üzerinden Büyük Dil Modeli (LLM) ile Değerlendirilmesi”"/>
    <m/>
    <m/>
    <m/>
    <m/>
    <m/>
    <m/>
    <m/>
    <m/>
    <m/>
    <m/>
  </r>
  <r>
    <m/>
    <m/>
    <x v="195"/>
    <x v="60"/>
    <m/>
    <s v="“IDH Mutant Düşük Gradeli Gliomların Cerrahi Tedavisi Sonrasıda Kullanılan Adjuvan Tedavi Modalitelirinin Karşılaştırılması”"/>
    <m/>
    <m/>
    <m/>
    <m/>
    <m/>
    <m/>
    <m/>
    <m/>
    <m/>
    <m/>
  </r>
  <r>
    <m/>
    <m/>
    <x v="195"/>
    <x v="60"/>
    <m/>
    <s v="“İskelet Siliyopatisi Hastalarında Ağız Sağlığı Durumu Değerlendirilmesi”"/>
    <m/>
    <m/>
    <m/>
    <m/>
    <m/>
    <m/>
    <m/>
    <m/>
    <m/>
    <m/>
  </r>
  <r>
    <m/>
    <m/>
    <x v="195"/>
    <x v="60"/>
    <m/>
    <s v="“Os Hyoideum Anatomik Değerlendirmesi: Şekil, Füzyon, Gövde Genişliği ve Bunların Birbirleriyle Olan İlişkileri, Basit Bir Sınıflandırma Önerisiyle”"/>
    <m/>
    <m/>
    <m/>
    <m/>
    <m/>
    <m/>
    <m/>
    <m/>
    <m/>
    <m/>
  </r>
  <r>
    <m/>
    <m/>
    <x v="195"/>
    <x v="60"/>
    <m/>
    <s v="“Klinefelter Sendromlu Hastalarda Klinik, Gelişimsel, Genetik ve Reprodüktif Özelliklerin Değerlendirilmesi”"/>
    <m/>
    <m/>
    <m/>
    <m/>
    <m/>
    <m/>
    <m/>
    <m/>
    <m/>
    <m/>
  </r>
  <r>
    <m/>
    <m/>
    <x v="195"/>
    <x v="60"/>
    <m/>
    <s v="“Geriatri Hekimlerinin Reçeteleme Kaskadı Hakkında Farkındalığı ve Yönetim Yaklaşımlarının Değerlendirilmesi: Ulusal Düzeyde Bir Çalışma”"/>
    <m/>
    <m/>
    <m/>
    <m/>
    <m/>
    <m/>
    <m/>
    <m/>
    <m/>
    <m/>
  </r>
  <r>
    <m/>
    <m/>
    <x v="195"/>
    <x v="60"/>
    <m/>
    <s v="“Çocuk Romatoloji Hastalarında Tümör Nekroz Faktör Alfa Blokör Tedavisinin Tiroid Fonksiyonu Üzerine Etkisinin Değerlendirilmesi”"/>
    <m/>
    <m/>
    <m/>
    <m/>
    <m/>
    <m/>
    <m/>
    <m/>
    <m/>
    <m/>
  </r>
  <r>
    <m/>
    <m/>
    <x v="195"/>
    <x v="60"/>
    <m/>
    <s v="Minimal İnvaziv Kardiyak Cerrahi Uygulanan Pediatrik Hastalarda Anestezi Yönetimi: Tek Merkezli Olgu Serisi-Bireysel Araştırma”"/>
    <m/>
    <m/>
    <m/>
    <m/>
    <m/>
    <m/>
    <m/>
    <m/>
    <m/>
    <m/>
  </r>
  <r>
    <m/>
    <m/>
    <x v="195"/>
    <x v="60"/>
    <m/>
    <s v="“Kritik Hastalarda Enteral Beslenme Hedeflerine Ulaşma Durumu ve Klinik Sonuçlarla İlişkisi”"/>
    <m/>
    <m/>
    <m/>
    <m/>
    <m/>
    <m/>
    <m/>
    <m/>
    <m/>
    <m/>
  </r>
  <r>
    <m/>
    <m/>
    <x v="195"/>
    <x v="60"/>
    <m/>
    <s v="“Mizofoninin Klinik Alt Türleri: Demografik Özellikler, Ruhsal ve Bedensel Ek Tanıların İki Aşamalı İncelenmesi”"/>
    <m/>
    <m/>
    <m/>
    <m/>
    <m/>
    <m/>
    <m/>
    <m/>
    <m/>
    <m/>
  </r>
  <r>
    <m/>
    <m/>
    <x v="195"/>
    <x v="60"/>
    <m/>
    <s v="“Bireysel Sodyum Sitrat Tüketiminin Kadın Futbolcularda Tekrarlı Sprint Performansına Etkisi”"/>
    <m/>
    <m/>
    <m/>
    <m/>
    <m/>
    <m/>
    <m/>
    <m/>
    <m/>
    <m/>
  </r>
  <r>
    <m/>
    <m/>
    <x v="195"/>
    <x v="60"/>
    <m/>
    <s v="“Radikal Prostatektomiye Bağlı Erektil Disfonksiyon ve Preoperatif Hasta Bilgilendirme Düzeyinin Değerlendirilmesi”"/>
    <m/>
    <m/>
    <m/>
    <m/>
    <m/>
    <m/>
    <m/>
    <m/>
    <m/>
    <m/>
  </r>
  <r>
    <m/>
    <m/>
    <x v="195"/>
    <x v="60"/>
    <m/>
    <s v="“Konjenital Kalp Hastalıkları Ameliyatlarından Sonra Gelişen Akut Böbrek Hasarına Etki Eden Faktörlerin İncelenmesi”"/>
    <m/>
    <m/>
    <m/>
    <m/>
    <m/>
    <m/>
    <m/>
    <m/>
    <m/>
    <m/>
  </r>
  <r>
    <m/>
    <m/>
    <x v="195"/>
    <x v="60"/>
    <m/>
    <s v="“Sanal Mentorluğun Dinamiklerini Keşfetmek: WONCA Araştırma Çalışma Grubu Programındaki Engeller, Kolaylaştırıcılar ve Mentor ve Danışanların Beklentileri Üzerine Betimleyici Bir Çalışma”"/>
    <m/>
    <m/>
    <m/>
    <m/>
    <m/>
    <m/>
    <m/>
    <m/>
    <m/>
    <m/>
  </r>
  <r>
    <m/>
    <m/>
    <x v="195"/>
    <x v="60"/>
    <m/>
    <s v="“Akromegali ve Prolaktinoma Hastalarında Hepsidin, Eritroferron, Eritropoietin, Soluble Transferrin Reseptör ve Fibroblast Growth Faktör-23 Düzeyleri İle Hematolojik Parametrelerin İlişkisi”"/>
    <m/>
    <m/>
    <m/>
    <m/>
    <m/>
    <m/>
    <m/>
    <m/>
    <m/>
    <m/>
  </r>
  <r>
    <m/>
    <m/>
    <x v="195"/>
    <x v="60"/>
    <m/>
    <s v="“Şeffaf Plak Ataşmanlarında Kullanılan Kompozit Rezinin Renklendirme Ajanı Uygulanması Sonrası Dayanıklılık ve Yüzey Özelliklerinin Karşılaştırılması”"/>
    <m/>
    <m/>
    <m/>
    <m/>
    <m/>
    <m/>
    <m/>
    <m/>
    <m/>
    <m/>
  </r>
  <r>
    <m/>
    <m/>
    <x v="195"/>
    <x v="60"/>
    <m/>
    <s v="“Multipl Skleroz (MS) Tanılı Hastalarda MS Mesane Kontrol Aracı Kullanılarak Alt Üriner Sistem Semptomlarının Ön Değerlendirmesi ve Fonksiyonel Üroloji Polikliniğine Yönlendirme Kriterlerinin Belirlenmesi”"/>
    <m/>
    <m/>
    <m/>
    <m/>
    <m/>
    <m/>
    <m/>
    <m/>
    <m/>
    <m/>
  </r>
  <r>
    <m/>
    <m/>
    <x v="195"/>
    <x v="60"/>
    <m/>
    <s v="“Antenatal Kortikosteroid Uygulanan Fetüslerde Fetal Pulmoner Ven Dopplerinin Longitudinal İzlemi ve Perinatal Sonuçlarla İlişkisi: Prospektif Kohort Çalışması”"/>
    <m/>
    <m/>
    <m/>
    <m/>
    <m/>
    <m/>
    <m/>
    <m/>
    <m/>
    <m/>
  </r>
  <r>
    <m/>
    <m/>
    <x v="195"/>
    <x v="60"/>
    <m/>
    <s v="“Tip 1 Interferonopati Tanılı Pediatrik Hastalarda Klinik ve Laboratuvar Bulguların Degerlendirilmesi”"/>
    <m/>
    <m/>
    <m/>
    <m/>
    <m/>
    <m/>
    <m/>
    <m/>
    <m/>
    <m/>
  </r>
  <r>
    <m/>
    <m/>
    <x v="195"/>
    <x v="60"/>
    <m/>
    <s v="“Türkiye'de Dudak ve Damak Yarıklarının Epidemiyoloji”"/>
    <m/>
    <m/>
    <m/>
    <m/>
    <m/>
    <m/>
    <m/>
    <m/>
    <m/>
    <m/>
  </r>
  <r>
    <m/>
    <m/>
    <x v="195"/>
    <x v="60"/>
    <m/>
    <s v="“Nadir Bir Over Tümörü: Ovaryen Fibrosarkom ve Mitotik Aktif Fibrom Olgularının Klinikopatolojik İncelemesi”"/>
    <m/>
    <m/>
    <m/>
    <m/>
    <m/>
    <m/>
    <m/>
    <m/>
    <m/>
    <m/>
  </r>
  <r>
    <m/>
    <m/>
    <x v="195"/>
    <x v="60"/>
    <m/>
    <s v="“Adneksiyel Torsiyon Tanısında Manyetik Rezonans Görüntülemenin Yeri”"/>
    <m/>
    <m/>
    <m/>
    <m/>
    <m/>
    <m/>
    <m/>
    <m/>
    <m/>
    <m/>
  </r>
  <r>
    <m/>
    <m/>
    <x v="195"/>
    <x v="60"/>
    <m/>
    <s v="“Patient Enablement Instrument (PEI)” Hasta Yetkilendirme Ölçeğinin Türkçe Geçerlilik ve Güvenilirlik Çalışması”"/>
    <m/>
    <m/>
    <m/>
    <m/>
    <m/>
    <m/>
    <m/>
    <m/>
    <m/>
    <m/>
  </r>
  <r>
    <m/>
    <m/>
    <x v="195"/>
    <x v="60"/>
    <m/>
    <s v="“Primer Atopik Hastalıklarda Yardımcı T Hücre 2 Yanıtının Multiomik Yaklaşımla Ayrıntılı Olarak Değerlendirilmesi”"/>
    <m/>
    <m/>
    <m/>
    <m/>
    <m/>
    <m/>
    <m/>
    <m/>
    <m/>
    <m/>
  </r>
  <r>
    <m/>
    <m/>
    <x v="195"/>
    <x v="60"/>
    <m/>
    <s v="“Monogenik Obezite ile İlişkili Varyant Saptanmış Erken Başlangıçlı Ciddi Obezitesi Olan Çocuklarda Klinik Ayırıcı Özelliklerin Belirlenmesi”"/>
    <m/>
    <m/>
    <m/>
    <m/>
    <m/>
    <m/>
    <m/>
    <m/>
    <m/>
    <m/>
  </r>
  <r>
    <m/>
    <m/>
    <x v="195"/>
    <x v="60"/>
    <m/>
    <s v="“Sağır ve İşitme Yetersizliği Olan Bireylerin Sağlıkla İlgili Bilgi Gereksinimlerini Karşılamaya Yönelik Görsel ve İşitsel Medya İçeriklerinin Geliştirilmesi Projesi”"/>
    <m/>
    <m/>
    <m/>
    <m/>
    <m/>
    <m/>
    <m/>
    <m/>
    <m/>
    <m/>
  </r>
  <r>
    <m/>
    <m/>
    <x v="195"/>
    <x v="60"/>
    <m/>
    <s v="“Üroloji Aalnında Çalışan Erkek Sağlık Profesyonellerinde Oturarak ve Ayakta İşeme Pozisyonlarının Üroflovmetrik Parametrelere Etkisinin Değerlendirilmesi”"/>
    <m/>
    <m/>
    <m/>
    <m/>
    <m/>
    <m/>
    <m/>
    <m/>
    <m/>
    <m/>
  </r>
  <r>
    <m/>
    <m/>
    <x v="195"/>
    <x v="60"/>
    <m/>
    <s v="“Kronik Obstrüktif Akciğer Hastalığının Oküler Mikrovasküler ParametrelerÜzerine Etkilerinin Değerlendirilmesi”"/>
    <m/>
    <m/>
    <m/>
    <m/>
    <m/>
    <m/>
    <m/>
    <m/>
    <m/>
    <m/>
  </r>
  <r>
    <m/>
    <m/>
    <x v="195"/>
    <x v="60"/>
    <m/>
    <s v="“Hepatosellüler Karsinom Tanılı Hastalarda Küratif Tedavi Al(a)mamasına Rağmen Uzun Süre Sağkalım Sağlanabilmiş Hastaların Klinik Özellikleri”"/>
    <m/>
    <m/>
    <m/>
    <m/>
    <m/>
    <m/>
    <m/>
    <m/>
    <m/>
    <m/>
  </r>
  <r>
    <m/>
    <m/>
    <x v="195"/>
    <x v="60"/>
    <m/>
    <s v="“Çocukluk Çağında Tanı Alan Adrenokortikal Tümörlerde Mitotan Kullanımının Endokrin Yan Etkilerinin İncelenmesi”"/>
    <m/>
    <m/>
    <m/>
    <m/>
    <m/>
    <m/>
    <m/>
    <m/>
    <m/>
    <m/>
  </r>
  <r>
    <m/>
    <m/>
    <x v="195"/>
    <x v="60"/>
    <m/>
    <s v="“Hastanede Yatan ve Nütrisyon Tedavisi alan Hastalarda Aspirasyon Pnömonisi ile İlişkili Faktörler: Retrospektif Kohort Çalışması”"/>
    <m/>
    <m/>
    <m/>
    <m/>
    <m/>
    <m/>
    <m/>
    <m/>
    <m/>
    <m/>
  </r>
  <r>
    <m/>
    <m/>
    <x v="195"/>
    <x v="60"/>
    <m/>
    <s v="“Pediatrik AdrenokortikalTümörler İçin Avrupa-Çapında Araştırma İnisiyatifi-Hastalığı Kavrama ve Tedavi Sonuçlarını Geliştirme”"/>
    <m/>
    <m/>
    <m/>
    <m/>
    <m/>
    <m/>
    <m/>
    <m/>
    <m/>
    <m/>
  </r>
  <r>
    <m/>
    <m/>
    <x v="195"/>
    <x v="60"/>
    <m/>
    <s v="“Nükleer Tıp Görüntüleme Yöntemleri ile Saptanan İnsidental Papiller Tiroid Mikrokarsinomlarının Klinikopatolojik Özelliklerinin Diğer Saptanma Yöntemleriyle Karşılaştırıması”"/>
    <m/>
    <m/>
    <m/>
    <m/>
    <m/>
    <m/>
    <m/>
    <m/>
    <m/>
    <m/>
  </r>
  <r>
    <m/>
    <m/>
    <x v="195"/>
    <x v="60"/>
    <m/>
    <s v="“Alerjik Çocuklarda Bileşene Dayalı Moleküler Test ile Alerjene Özgü IgE Duyarlılık Profilinin İncelenmesi”"/>
    <m/>
    <m/>
    <m/>
    <m/>
    <m/>
    <m/>
    <m/>
    <m/>
    <m/>
    <m/>
  </r>
  <r>
    <m/>
    <m/>
    <x v="195"/>
    <x v="60"/>
    <m/>
    <s v="“Sonografik Sol Ventrikül Çıkış Yolu Hız Zaman İntegrali Değerlendirmesi ile Hesaplanan Kalp Debisinin Akut Kalp Yetmezliği Tedavisinde Diüretik Direnci Göstergesi Olan Spot İdrar Sodyumu Ölçümü ile İlişkisinin İncelenmesi”"/>
    <m/>
    <m/>
    <m/>
    <m/>
    <m/>
    <m/>
    <m/>
    <m/>
    <m/>
    <m/>
  </r>
  <r>
    <m/>
    <m/>
    <x v="195"/>
    <x v="60"/>
    <m/>
    <s v="“Akut İskemik İnme Hastalarında “Genel Obezite”, “Santral Obezite” ve “Adipozite” İndekslerinin İnme Fenotipi, Aterosklerotik Arter Hastalıkları ve Prognoza Etkisi: Prospektif Çalışma”"/>
    <m/>
    <m/>
    <m/>
    <m/>
    <m/>
    <m/>
    <m/>
    <m/>
    <m/>
    <m/>
  </r>
  <r>
    <m/>
    <m/>
    <x v="195"/>
    <x v="6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95"/>
    <x v="60"/>
    <m/>
    <s v="“Çocukluk Çağı Malign Karaciğer Tümörlü Hastalarının Retrospektif Analizi”"/>
    <m/>
    <m/>
    <m/>
    <m/>
    <m/>
    <m/>
    <m/>
    <m/>
    <m/>
    <m/>
  </r>
  <r>
    <m/>
    <m/>
    <x v="195"/>
    <x v="60"/>
    <m/>
    <s v="“IgE Aracılı Kabak Çekirdeği Alerjisinin Moleküler Karakterizasyonu”"/>
    <m/>
    <m/>
    <m/>
    <m/>
    <m/>
    <m/>
    <m/>
    <m/>
    <m/>
    <m/>
  </r>
  <r>
    <m/>
    <m/>
    <x v="195"/>
    <x v="60"/>
    <m/>
    <s v="“Atriyal Fibrilasyon Ablasyonu Planlanan Hastalarda Sol Atriyal Apendikste Trombüs Oluşumunun Öngorülmesi”"/>
    <m/>
    <m/>
    <m/>
    <m/>
    <m/>
    <m/>
    <m/>
    <m/>
    <m/>
    <m/>
  </r>
  <r>
    <m/>
    <m/>
    <x v="195"/>
    <x v="60"/>
    <m/>
    <s v="“Madde Kullanım Bozukluğu Hastalarında Yaygın Tek Nükleotid Polimorfizmlerinin Sıklığının Belirlenmesi ve Bunların Madde Kullanımını Yordayan Alt Özelliklerle İlişkileri”"/>
    <m/>
    <m/>
    <m/>
    <m/>
    <m/>
    <m/>
    <m/>
    <m/>
    <m/>
    <m/>
  </r>
  <r>
    <m/>
    <m/>
    <x v="195"/>
    <x v="60"/>
    <m/>
    <s v="“Koklear Hipoplazili Hastalarda Fasiyal Sinir Seyrinin Değerlendirilmesi”"/>
    <m/>
    <m/>
    <m/>
    <m/>
    <m/>
    <m/>
    <m/>
    <m/>
    <m/>
    <m/>
  </r>
  <r>
    <m/>
    <m/>
    <x v="195"/>
    <x v="60"/>
    <m/>
    <s v="“Çocuklarda Mantar Duyarlılık Profili ve Klinik ile İlişkisi”"/>
    <m/>
    <m/>
    <m/>
    <m/>
    <m/>
    <m/>
    <m/>
    <m/>
    <m/>
    <m/>
  </r>
  <r>
    <m/>
    <m/>
    <x v="195"/>
    <x v="60"/>
    <m/>
    <s v="“Molibden Kofaktor Eksikligi-Tek Merkez Deneyimi”"/>
    <m/>
    <m/>
    <m/>
    <m/>
    <m/>
    <m/>
    <m/>
    <m/>
    <m/>
    <m/>
  </r>
  <r>
    <m/>
    <m/>
    <x v="195"/>
    <x v="60"/>
    <m/>
    <s v="“CHARGE Sendromlu Hastalarda Kokleanın Yerleşiminin Değerlendirilmesi”"/>
    <m/>
    <m/>
    <m/>
    <m/>
    <m/>
    <m/>
    <m/>
    <m/>
    <m/>
    <m/>
  </r>
  <r>
    <m/>
    <m/>
    <x v="195"/>
    <x v="60"/>
    <m/>
    <s v="“Major Depresif Bozukluğu Olan Ergenlerde Kendine Zarar Verme Davranışı ile Ebeveynlerinin Duygu Düzenleme Becerileri ve Aile İşlevselliği Arasındaki İlişki”"/>
    <m/>
    <m/>
    <m/>
    <m/>
    <m/>
    <m/>
    <m/>
    <m/>
    <m/>
    <m/>
  </r>
  <r>
    <m/>
    <m/>
    <x v="195"/>
    <x v="60"/>
    <m/>
    <s v="“Katarakt Cerrahisinde Preoperatif Chord mu ve Chord alpha Referansı ile Yerleştirilen İntraoküler Göz İçi Mercek Santralizasyonunun Postoperatif Mikroperimetrik İki Değişkenli Eliptik Kontur Alan Sapma Açısı ile Değerlendirilmesi”"/>
    <m/>
    <m/>
    <m/>
    <m/>
    <m/>
    <m/>
    <m/>
    <m/>
    <m/>
    <m/>
  </r>
  <r>
    <m/>
    <m/>
    <x v="195"/>
    <x v="60"/>
    <m/>
    <s v="“Sınıf 3 Uzun Yüz Tipine Sahip Hastalarda Cerrahi Planlamanın Barcelona Çizgisi ve Gerçek Dikey Çizgi Açısından Karşılaştırmalı Değerlendirilmesi”"/>
    <m/>
    <m/>
    <m/>
    <m/>
    <m/>
    <m/>
    <m/>
    <m/>
    <m/>
    <m/>
  </r>
  <r>
    <m/>
    <m/>
    <x v="195"/>
    <x v="60"/>
    <m/>
    <s v="“Abdominal Tüberküloz Tanısı ile İzlenen Çocukların Klinik ve Laboratuar Özelliklerinin Değerlendirilmesi”"/>
    <m/>
    <m/>
    <m/>
    <m/>
    <m/>
    <m/>
    <m/>
    <m/>
    <m/>
    <m/>
  </r>
  <r>
    <m/>
    <m/>
    <x v="195"/>
    <x v="60"/>
    <m/>
    <s v="“Dikkat Eksikliği Hiperaktivite Bozukluğu Olan Ergenlerde Duyusal İşlemleme Özellikleri, Zihin Kuramı Becerileri ve Bilinçli Farkındalık Düzeylerinin Akran Zorbalığı İle İlişkisi”"/>
    <m/>
    <m/>
    <m/>
    <m/>
    <m/>
    <m/>
    <m/>
    <m/>
    <m/>
    <m/>
  </r>
  <r>
    <m/>
    <m/>
    <x v="195"/>
    <x v="60"/>
    <m/>
    <s v="“Covid-19 Pandemisinin Toplumdan Kazanılmış Pnömoni Etkenlerinin Epidemiyolojisine Etkisi: Retrospektif Bir Gözlemsel Çalışma”"/>
    <m/>
    <m/>
    <m/>
    <m/>
    <m/>
    <m/>
    <m/>
    <m/>
    <m/>
    <m/>
  </r>
  <r>
    <m/>
    <m/>
    <x v="195"/>
    <x v="60"/>
    <m/>
    <s v="“Malign Potansiyeli Belirsiz Uterus Düz Kas Tümörleri ile Erken Evre Leiomyosarkomda Rekürrensi ve Prognozu Öngörmede Klinik ve Histopatolojik Prediktörler”"/>
    <m/>
    <m/>
    <m/>
    <m/>
    <m/>
    <m/>
    <m/>
    <m/>
    <m/>
    <m/>
  </r>
  <r>
    <m/>
    <m/>
    <x v="195"/>
    <x v="60"/>
    <m/>
    <s v="“Papivir Kullanımının HPV Pozitif Kadınlarda Viral Klirense Etkisi”"/>
    <m/>
    <m/>
    <m/>
    <m/>
    <m/>
    <m/>
    <m/>
    <m/>
    <m/>
    <m/>
  </r>
  <r>
    <m/>
    <m/>
    <x v="195"/>
    <x v="60"/>
    <m/>
    <s v="“Pediatri Günübirlik Tedavi Servisinde İzlenen Tıbbi Olarak Karmaşık Çocukların Değerlendirilmesi”"/>
    <m/>
    <m/>
    <m/>
    <m/>
    <m/>
    <m/>
    <m/>
    <m/>
    <m/>
    <m/>
  </r>
  <r>
    <m/>
    <m/>
    <x v="195"/>
    <x v="60"/>
    <m/>
    <s v="“Tıp Fakültesi Öğrencilerinde İleri Kardiyak Yaşam Desteği Eğitiminde Oyun Kartları ile Öğrenmenin Değerlendirilmesi”"/>
    <m/>
    <m/>
    <m/>
    <m/>
    <m/>
    <m/>
    <m/>
    <m/>
    <m/>
    <m/>
  </r>
  <r>
    <m/>
    <m/>
    <x v="195"/>
    <x v="60"/>
    <m/>
    <s v="“Kistik Fibroziste Kistik Fibrozis Transmembran Regülator Modülatör Tedavinin Etkili Olmama Nedenlerinin İncelenmesi”"/>
    <m/>
    <m/>
    <m/>
    <m/>
    <m/>
    <m/>
    <m/>
    <m/>
    <m/>
    <m/>
  </r>
  <r>
    <m/>
    <m/>
    <x v="195"/>
    <x v="60"/>
    <m/>
    <s v="“Büyüme Hormonu Salgılama Hormonu ve Analoglarının İdrarda Nano Sıvı Kromatografisi Kuadrupol/Orbitrap Kütle Spektrometrisi Kullanılarak Analizi”"/>
    <m/>
    <m/>
    <m/>
    <m/>
    <m/>
    <m/>
    <m/>
    <m/>
    <m/>
    <m/>
  </r>
  <r>
    <m/>
    <m/>
    <x v="195"/>
    <x v="60"/>
    <m/>
    <s v="“Arteria Hepatica Sınıflamasının Radyolojik Olarak İncelenmesi”"/>
    <m/>
    <m/>
    <m/>
    <m/>
    <m/>
    <m/>
    <m/>
    <m/>
    <m/>
    <m/>
  </r>
  <r>
    <m/>
    <m/>
    <x v="195"/>
    <x v="60"/>
    <m/>
    <s v="“Malign Kemik Lezyonlarının Tedavisinde Perkütan Osteosentez ve Sementoplastinin Rolü ve Tedavi Sonuçlarının Değerlendirilmesi”"/>
    <m/>
    <m/>
    <m/>
    <m/>
    <m/>
    <m/>
    <m/>
    <m/>
    <m/>
    <m/>
  </r>
  <r>
    <m/>
    <m/>
    <x v="195"/>
    <x v="60"/>
    <m/>
    <s v="“Ligamentum Falciforme Hepatis Radyolojik Anatomisi: Morfometri ve Yağ Dokusu İlişkisi”"/>
    <m/>
    <m/>
    <m/>
    <m/>
    <m/>
    <m/>
    <m/>
    <m/>
    <m/>
    <m/>
  </r>
  <r>
    <m/>
    <m/>
    <x v="195"/>
    <x v="60"/>
    <m/>
    <s v="“Kulak Burun Boğaz Hastalarının Cerrahi Müdahaleler Hakkında Sık Sordukları Sorulara Büyük Dil Modelleri ve Uzmanlarının Verdiği Cevapların Hasta Bakış Açısından Karşılaştırılması”"/>
    <m/>
    <m/>
    <m/>
    <m/>
    <m/>
    <m/>
    <m/>
    <m/>
    <m/>
    <m/>
  </r>
  <r>
    <m/>
    <m/>
    <x v="195"/>
    <x v="60"/>
    <m/>
    <s v="“Farklı Büyük Dil Modellerinin Benign Larinks Patolojileri Hakkındaki Sorulara Verdiği Cevapların Doğruluklarının Araştırılması”"/>
    <m/>
    <m/>
    <m/>
    <m/>
    <m/>
    <m/>
    <m/>
    <m/>
    <m/>
    <m/>
  </r>
  <r>
    <m/>
    <m/>
    <x v="195"/>
    <x v="60"/>
    <m/>
    <s v="“Plöroparenkimal Fibroelastozis Tanılı Pediatrik Olguların Klinik, Radyolojik ve Tanı Süreçlerinin Değerlendirilmesi: Üç Olguluk Retrospektif Vaka Serisi”"/>
    <m/>
    <m/>
    <m/>
    <m/>
    <m/>
    <m/>
    <m/>
    <m/>
    <m/>
    <m/>
  </r>
  <r>
    <m/>
    <m/>
    <x v="195"/>
    <x v="60"/>
    <m/>
    <s v="“İlaca Dirençli Epilepsisi Olan Erişkin Hastalarda Korpus Kallozotominin Uzun Dönem Sonuçları”"/>
    <m/>
    <m/>
    <m/>
    <m/>
    <m/>
    <m/>
    <m/>
    <m/>
    <m/>
    <m/>
  </r>
  <r>
    <m/>
    <m/>
    <x v="195"/>
    <x v="60"/>
    <m/>
    <s v="“Çocuk Yoğun Bakım Hastalarında Ferritin Yüksekliği Tespit Edilen Olguların İncelenmesi”"/>
    <m/>
    <m/>
    <m/>
    <m/>
    <m/>
    <m/>
    <m/>
    <m/>
    <m/>
    <m/>
  </r>
  <r>
    <m/>
    <m/>
    <x v="195"/>
    <x v="60"/>
    <m/>
    <s v="“Hacettepe Üniversitesi Tıp Fakültesi Genel Dahiliye Bilim Dalı Polikliniklerine Başvuran Diyabet, Hipertansiyon ve Hiperlipidemi Hastalarında İlaç Uyumunun Değerlendirilmesi”"/>
    <m/>
    <m/>
    <m/>
    <m/>
    <m/>
    <m/>
    <m/>
    <m/>
    <m/>
    <m/>
  </r>
  <r>
    <m/>
    <m/>
    <x v="195"/>
    <x v="60"/>
    <m/>
    <s v="“Ev Tipi İnvaziv Mekanik Ventilatör ile İzlenen Hastaların Değerlendirilmesi”"/>
    <m/>
    <m/>
    <m/>
    <m/>
    <m/>
    <m/>
    <m/>
    <m/>
    <m/>
    <m/>
  </r>
  <r>
    <m/>
    <m/>
    <x v="195"/>
    <x v="60"/>
    <m/>
    <s v="“Çocukluk Çağı Romatolojik Hastalıkları Nedeniyle Biyolojik Ajan Kullanan Hastalarda Pnömokok ve Meningokok Taşıyıcılığı”"/>
    <m/>
    <m/>
    <m/>
    <m/>
    <m/>
    <m/>
    <m/>
    <m/>
    <m/>
    <m/>
  </r>
  <r>
    <m/>
    <m/>
    <x v="195"/>
    <x v="60"/>
    <m/>
    <s v="“ECMO Uygulanan Hastalarda Akut Böbrek Hasarı Açısından Risk Faktörlerinin Değerlendirilmesi”"/>
    <m/>
    <m/>
    <m/>
    <m/>
    <m/>
    <m/>
    <m/>
    <m/>
    <m/>
    <m/>
  </r>
  <r>
    <m/>
    <m/>
    <x v="195"/>
    <x v="60"/>
    <m/>
    <s v="“Travma Olgularının Endovasküler Tedavilerle Yönetimi; Neredeyiz?”"/>
    <m/>
    <m/>
    <m/>
    <m/>
    <m/>
    <m/>
    <m/>
    <m/>
    <m/>
    <m/>
  </r>
  <r>
    <m/>
    <m/>
    <x v="195"/>
    <x v="60"/>
    <m/>
    <s v="“Kanal Tedavili Dişlerin Fraktür Direncinde Servikal Bariyer ve Kroniçi Ağartma Materyallerinin Rolü: Laboratuvar Çalışması”"/>
    <m/>
    <m/>
    <m/>
    <m/>
    <m/>
    <m/>
    <m/>
    <m/>
    <m/>
    <m/>
  </r>
  <r>
    <m/>
    <m/>
    <x v="195"/>
    <x v="60"/>
    <m/>
    <s v="“Akçaağaç Şurubu İdrar Hastalığında Nöropsikiyatrik Özellikler”"/>
    <m/>
    <m/>
    <m/>
    <m/>
    <m/>
    <m/>
    <m/>
    <m/>
    <m/>
    <m/>
  </r>
  <r>
    <m/>
    <m/>
    <x v="195"/>
    <x v="60"/>
    <m/>
    <s v="“Küçük Hücreli Dışı Akciğer Kanseri Hastalannda Pulmoner Rezeksiyonu Takiben Göğüs Tüpünün Erken Dönemde Çıkanlmasının Güvenlik ve Uygulama Yönünden Değerlendirilmesi”"/>
    <m/>
    <m/>
    <m/>
    <m/>
    <m/>
    <m/>
    <m/>
    <m/>
    <m/>
    <m/>
  </r>
  <r>
    <m/>
    <m/>
    <x v="195"/>
    <x v="60"/>
    <m/>
    <s v="“Portal Hipertansiyon Tanılı Çocuk Hastaların Uzun Süreli Klinik İzlem Sonuçları”"/>
    <m/>
    <m/>
    <m/>
    <m/>
    <m/>
    <m/>
    <m/>
    <m/>
    <m/>
    <m/>
  </r>
  <r>
    <m/>
    <m/>
    <x v="195"/>
    <x v="60"/>
    <m/>
    <s v="“Klinik Eczacıların Geriatrik Sendromlar Konusundaki Yaklaşımlarının Değerlendirilmesi”"/>
    <m/>
    <m/>
    <m/>
    <m/>
    <m/>
    <m/>
    <m/>
    <m/>
    <m/>
    <m/>
  </r>
  <r>
    <m/>
    <m/>
    <x v="195"/>
    <x v="60"/>
    <m/>
    <s v="“Primer Siliyer Diskinezi Hastalarında Beslenme Durumu ve Solunum Parametreleri İlişkisi: Kesitesel ve Takip Çalışması”"/>
    <m/>
    <m/>
    <m/>
    <m/>
    <m/>
    <m/>
    <m/>
    <m/>
    <m/>
    <m/>
  </r>
  <r>
    <m/>
    <m/>
    <x v="195"/>
    <x v="60"/>
    <m/>
    <s v="“2012 Revize Atlanta Sınıflamasına Göre Şiddetli Akut Pankreatitin Öngörülmesinde Ranson, BISAP ve APACHE-II Skorlarının Karşılaştırmalı Prognostik Doğruluğu: Sistematik Derleme ve Meta-Analiz”"/>
    <m/>
    <m/>
    <m/>
    <m/>
    <m/>
    <m/>
    <m/>
    <m/>
    <m/>
    <m/>
  </r>
  <r>
    <m/>
    <m/>
    <x v="195"/>
    <x v="60"/>
    <m/>
    <s v="“Eczacıların Farmakogenetik Testlere Yaklaşımı: Bilgi, Farkındalık ve Tutum Analizi”"/>
    <m/>
    <m/>
    <m/>
    <m/>
    <m/>
    <m/>
    <m/>
    <m/>
    <m/>
    <m/>
  </r>
  <r>
    <m/>
    <m/>
    <x v="195"/>
    <x v="60"/>
    <m/>
    <s v="“Belirsiz Gastrointestinal Kanaması Olan Hastalarda Kapsül Endoskopisinin Tanısal Sensitivitesi-Kapsamlı Tek Merkez Veri Analizi”"/>
    <m/>
    <m/>
    <m/>
    <m/>
    <m/>
    <m/>
    <m/>
    <m/>
    <m/>
    <m/>
  </r>
  <r>
    <m/>
    <m/>
    <x v="195"/>
    <x v="60"/>
    <m/>
    <s v="“Küçük Hücreli Dışı Akciğer Kanseri Tanılı Hastalarda Cerrahi Kapsam ve Tekniğin Postoperatif Akciğer Fonksiyonları Üzerine Etkisi”"/>
    <m/>
    <m/>
    <m/>
    <m/>
    <m/>
    <m/>
    <m/>
    <m/>
    <m/>
    <m/>
  </r>
  <r>
    <m/>
    <m/>
    <x v="195"/>
    <x v="60"/>
    <m/>
    <s v="“Mahrum Edilmiş Yas: Kürtaj Sonrası Kayıp Sürecinin Anlamlandırılması”"/>
    <m/>
    <m/>
    <m/>
    <m/>
    <m/>
    <m/>
    <m/>
    <m/>
    <m/>
    <m/>
  </r>
  <r>
    <m/>
    <m/>
    <x v="195"/>
    <x v="60"/>
    <m/>
    <s v="“Cinsiyet Uyuşmazlığı Nedeniyle Başvuran Kişilerin Sosyodemografik ve Klinik Özelliklerinin Zaman İçerisindeki Değişiminin İncelenmesi”"/>
    <m/>
    <m/>
    <m/>
    <m/>
    <m/>
    <m/>
    <m/>
    <m/>
    <m/>
    <m/>
  </r>
  <r>
    <m/>
    <m/>
    <x v="195"/>
    <x v="60"/>
    <m/>
    <s v="“Kistik Fibrozis Hastalarında CFTR Modülatör Tedavilerine Bağlı Yan Etkilerin Değerlendirilmesi: Üçüncü Basamak Bir Merkezden Deneyimler”"/>
    <m/>
    <m/>
    <m/>
    <m/>
    <m/>
    <m/>
    <m/>
    <m/>
    <m/>
    <m/>
  </r>
  <r>
    <m/>
    <m/>
    <x v="195"/>
    <x v="60"/>
    <m/>
    <s v="“Koklear İmplant Cerrahisi Sonrası Revizyon Geçirmiş Olgularda Revizyon Nedenlerinin İncelenmesi”"/>
    <m/>
    <m/>
    <m/>
    <m/>
    <m/>
    <m/>
    <m/>
    <m/>
    <m/>
    <m/>
  </r>
  <r>
    <m/>
    <m/>
    <x v="195"/>
    <x v="60"/>
    <m/>
    <s v="“Agresif ve Metastatik Pituiter Nöroendokrin Tümör Tanısı Alan Olguların Retrospektif İncelenmesi”"/>
    <m/>
    <m/>
    <m/>
    <m/>
    <m/>
    <m/>
    <m/>
    <m/>
    <m/>
    <m/>
  </r>
  <r>
    <m/>
    <m/>
    <x v="195"/>
    <x v="60"/>
    <m/>
    <s v="“Kistik Fibrozisli Cocuklarda Balgam Kolonizasyonu ile Ailelerin Enfeksiyon Kontrol Bilgi Düzeyi ve Sosyoekonomik Durumu Arasindaki İlişki”"/>
    <m/>
    <m/>
    <m/>
    <m/>
    <m/>
    <m/>
    <m/>
    <m/>
    <m/>
    <m/>
  </r>
  <r>
    <m/>
    <m/>
    <x v="195"/>
    <x v="60"/>
    <m/>
    <s v="“Coğrafik Atrofi Tanılı Hastalarda Derin Öğrenme Tabanlı Bilgisayarlı Görü Yöntemleriyle Bölütlenmesi ve 5 Yıllık Progresyonun Kestiriminin Değerlendirilmesi”"/>
    <m/>
    <m/>
    <m/>
    <m/>
    <m/>
    <m/>
    <m/>
    <m/>
    <m/>
    <m/>
  </r>
  <r>
    <m/>
    <m/>
    <x v="195"/>
    <x v="60"/>
    <m/>
    <s v="“Erişkin Kistik Fibrozis ve Primer Siliyer Diskinezi Olgularında Solunum Yolu Örneklerinden Nadir Küf Türlerinin İzolasyon Sıklığının ve Klinik Yansımalarının Değerlendirilmesi ”"/>
    <m/>
    <m/>
    <m/>
    <m/>
    <m/>
    <m/>
    <m/>
    <m/>
    <m/>
    <m/>
  </r>
  <r>
    <m/>
    <m/>
    <x v="195"/>
    <x v="60"/>
    <m/>
    <s v="“Trakeotomi Dekanülasyonu Yapılan Hastalarda Havayolu Basınçlarındaki ve Solunum İş Yükündeki Değişimin Bilgisayar Simülasyonu ile Değerlendirilmesi”"/>
    <m/>
    <m/>
    <m/>
    <m/>
    <m/>
    <m/>
    <m/>
    <m/>
    <m/>
    <m/>
  </r>
  <r>
    <m/>
    <m/>
    <x v="195"/>
    <x v="60"/>
    <m/>
    <s v="“Ani İdiyopatik İşitme Kaybı ile Koklear Ossifikasyonun İlişkisinin İncelenmesi”"/>
    <m/>
    <m/>
    <m/>
    <m/>
    <m/>
    <m/>
    <m/>
    <m/>
    <m/>
    <m/>
  </r>
  <r>
    <m/>
    <m/>
    <x v="195"/>
    <x v="60"/>
    <m/>
    <s v="“65 Yaş Üzeri Hastalarda Gereksiz Betahistin Kullanımının Araştırılması”"/>
    <m/>
    <m/>
    <m/>
    <m/>
    <m/>
    <m/>
    <m/>
    <m/>
    <m/>
    <m/>
  </r>
  <r>
    <m/>
    <m/>
    <x v="195"/>
    <x v="60"/>
    <m/>
    <s v="“Kafa Tabanı Osteomyeliti Hastalığının Tedavisinin Finansal Analizi”"/>
    <m/>
    <m/>
    <m/>
    <m/>
    <m/>
    <m/>
    <m/>
    <m/>
    <m/>
    <m/>
  </r>
  <r>
    <m/>
    <m/>
    <x v="195"/>
    <x v="60"/>
    <m/>
    <s v="“65 Yaş ve Üzeri Hastalarda Kısa Nütrisyonel İndekslerinin Tüm Nedenlere Bağlı Mortalite ile İlişkisi”"/>
    <m/>
    <m/>
    <m/>
    <m/>
    <m/>
    <m/>
    <m/>
    <m/>
    <m/>
    <m/>
  </r>
  <r>
    <m/>
    <m/>
    <x v="195"/>
    <x v="60"/>
    <m/>
    <s v="“Geriatri Polikliniği Hastalarında Farklı Kırılganlık İndekslerinin Tüm Nedenlere Bağlı Mortaliteyi Öngörme Etkilerinin Karşılaştırılması”"/>
    <m/>
    <m/>
    <m/>
    <m/>
    <m/>
    <m/>
    <m/>
    <m/>
    <m/>
    <m/>
  </r>
  <r>
    <m/>
    <m/>
    <x v="195"/>
    <x v="60"/>
    <m/>
    <s v="“Migrende Fonksiyonel Transkranial Doppler ultrasonografi”"/>
    <m/>
    <m/>
    <m/>
    <m/>
    <m/>
    <m/>
    <m/>
    <m/>
    <m/>
    <m/>
  </r>
  <r>
    <m/>
    <m/>
    <x v="195"/>
    <x v="60"/>
    <m/>
    <s v="“Avrupa Uyuşturucu Madde Acilleri İletişim Ağı Projesi - ‘European Drug Emergencies Network Plus (Euro-DEN Plus) Proiect’”"/>
    <m/>
    <m/>
    <m/>
    <m/>
    <m/>
    <m/>
    <m/>
    <m/>
    <m/>
    <m/>
  </r>
  <r>
    <m/>
    <m/>
    <x v="195"/>
    <x v="60"/>
    <m/>
    <s v="“D110H Mutasyonu Varhginda; Klinik Seyir Nasil Sekilleniyor?”"/>
    <m/>
    <m/>
    <m/>
    <m/>
    <m/>
    <m/>
    <m/>
    <m/>
    <m/>
    <m/>
  </r>
  <r>
    <m/>
    <m/>
    <x v="195"/>
    <x v="60"/>
    <m/>
    <s v="&quot;Jak İnhibitörlerinin Labaratuvar Parametreleri Üzerindeki Etkilerinin Zaman İçindeki Değişimi: 0., 3. ve 6. Ay Değerlendirmeleri&quot;"/>
    <m/>
    <m/>
    <m/>
    <m/>
    <m/>
    <m/>
    <m/>
    <m/>
    <m/>
    <m/>
  </r>
  <r>
    <m/>
    <m/>
    <x v="195"/>
    <x v="60"/>
    <m/>
    <s v="“Gebelikte Boğmaca Aşısının Uygulanma Haftası ile Doğumda Kord Kanında Anti-PT ve Anti-FHA IgG Düzeylerinin Karşılaştırılması: Prospektif Gözlemsel Çalışma”"/>
    <m/>
    <m/>
    <m/>
    <m/>
    <m/>
    <m/>
    <m/>
    <m/>
    <m/>
    <m/>
  </r>
  <r>
    <m/>
    <m/>
    <x v="195"/>
    <x v="60"/>
    <m/>
    <s v="“Neovasküler Yaşa Bağlı Makula Dejenerasyonunda Fibrotik Skar Özellikleri ve Tedavi Parametrelerinin Görme Keskinliği Üzerine Etkileri: Retrospektif Gözlemsel Bir Çalışma”"/>
    <m/>
    <m/>
    <m/>
    <m/>
    <m/>
    <m/>
    <m/>
    <m/>
    <m/>
    <m/>
  </r>
  <r>
    <m/>
    <m/>
    <x v="195"/>
    <x v="60"/>
    <m/>
    <s v="“Otoimmün Demiyelinizan Hastalıklar (MS, NMO, MOGAD)'a Bağlı Optik Nörit Geçiren Olgularda Mikroperimetri ve Patern Elektroretinografi ile Optik Sinir ile Makula Fonksiyonunun Değerlendirilmesi"/>
    <m/>
    <m/>
    <m/>
    <m/>
    <m/>
    <m/>
    <m/>
    <m/>
    <m/>
    <m/>
  </r>
  <r>
    <m/>
    <m/>
    <x v="195"/>
    <x v="60"/>
    <m/>
    <s v="“Doğal İmmünite Defektleri, Kombine İmmün Yetmezlikler ve İmmün Disregülasyonla Giden Primer İmmün Yetmezliklerin Genetik ve İleri İmmünolojik Yöntemlerle Araştırılması”"/>
    <m/>
    <m/>
    <m/>
    <m/>
    <m/>
    <m/>
    <m/>
    <m/>
    <m/>
    <m/>
  </r>
  <r>
    <m/>
    <m/>
    <x v="195"/>
    <x v="60"/>
    <m/>
    <s v="“Otizm Spektrum Bozukluğu ve Dikkat Eksikliği Hiperaktivite Bozukluğu Tanılı Çocuklarda İnflamasyon Hipotezinin Tam Kan Sayımı Parametreleri ile İncelenmesi”"/>
    <m/>
    <m/>
    <m/>
    <m/>
    <m/>
    <m/>
    <m/>
    <m/>
    <m/>
    <m/>
  </r>
  <r>
    <m/>
    <m/>
    <x v="195"/>
    <x v="60"/>
    <m/>
    <s v="“Kalıtsal Metabolik Hastalıklarda 1,5 Anhidroglusitol (1,5-AG) ve 1,5-Anhidroglusitol-fosfat (1,5-AG6P) Düzeylerinin Araştırılması''"/>
    <m/>
    <m/>
    <m/>
    <m/>
    <m/>
    <m/>
    <m/>
    <m/>
    <m/>
    <m/>
  </r>
  <r>
    <m/>
    <m/>
    <x v="195"/>
    <x v="60"/>
    <m/>
    <s v="“AVNRT Tanısı ile Ablasyon Uygulanan Çocuklarda Transozefagial Elektrofizyolojik Çalışmanin Nüksü Belirlemedeki Rolü''"/>
    <m/>
    <m/>
    <m/>
    <m/>
    <m/>
    <m/>
    <m/>
    <m/>
    <m/>
    <m/>
  </r>
  <r>
    <m/>
    <m/>
    <x v="195"/>
    <x v="60"/>
    <m/>
    <s v="“Çocuk Kardiyoloji Ünitesinde Uygulanan Farmakolojik Provakasyon Testlerinin Tanı Sürecindeki Rolü&quot;"/>
    <m/>
    <m/>
    <m/>
    <m/>
    <m/>
    <m/>
    <m/>
    <m/>
    <m/>
    <m/>
  </r>
  <r>
    <m/>
    <m/>
    <x v="195"/>
    <x v="60"/>
    <m/>
    <s v="“Çocuk Acil Polikliniğine Başvuran Skuter Kazalarının Retrospektif Değerlendirilmesi”"/>
    <m/>
    <m/>
    <m/>
    <m/>
    <m/>
    <m/>
    <m/>
    <m/>
    <m/>
    <m/>
  </r>
  <r>
    <m/>
    <m/>
    <x v="195"/>
    <x v="60"/>
    <m/>
    <s v="“Ankara Grup Başkanlığında Doğal Olmayan Yabancı Uyruklu Ölümlerin Değerlendirilmesi”"/>
    <m/>
    <m/>
    <m/>
    <m/>
    <m/>
    <m/>
    <m/>
    <m/>
    <m/>
    <m/>
  </r>
  <r>
    <m/>
    <m/>
    <x v="195"/>
    <x v="60"/>
    <m/>
    <s v="“Tıbbi Uygulama Hatası İddiası Bulunan Otopsi Vakalarının Medikolegal Açıdan Değerlendirilmesi”"/>
    <m/>
    <m/>
    <m/>
    <m/>
    <m/>
    <m/>
    <m/>
    <m/>
    <m/>
    <m/>
  </r>
  <r>
    <m/>
    <m/>
    <x v="195"/>
    <x v="60"/>
    <m/>
    <s v="“Aort Diseksiyonu ve Anevrizma Rüptürüne Bağlı Ölümler: Otopsi Çalışması”"/>
    <m/>
    <m/>
    <m/>
    <m/>
    <m/>
    <m/>
    <m/>
    <m/>
    <m/>
    <m/>
  </r>
  <r>
    <m/>
    <m/>
    <x v="195"/>
    <x v="60"/>
    <m/>
    <s v="“Asıya Bağlı Ölüm Olgularında Retina Kanamalarının İndirekt Fundoskopi ile Değerlendirilmesi”"/>
    <m/>
    <m/>
    <m/>
    <m/>
    <m/>
    <m/>
    <m/>
    <m/>
    <m/>
    <m/>
  </r>
  <r>
    <m/>
    <m/>
    <x v="195"/>
    <x v="60"/>
    <m/>
    <s v="“Boyun Diseksiyonu Yapılan Hastalarda En-Bloc Rezeksiyon Yöntemi ile Juguler Ven Split Rezeksiyon Yönteminin Karşılaştırılması”"/>
    <m/>
    <m/>
    <m/>
    <m/>
    <m/>
    <m/>
    <m/>
    <m/>
    <m/>
    <m/>
  </r>
  <r>
    <m/>
    <m/>
    <x v="195"/>
    <x v="60"/>
    <m/>
    <s v="“Human Papilloma Virus Aşısı Uygulanan Kadınlarda Serum Anti-Müllerian Hormon Düzeylerindeki Değişimin Değerlendirilmesi”"/>
    <m/>
    <m/>
    <m/>
    <m/>
    <m/>
    <m/>
    <m/>
    <m/>
    <m/>
    <m/>
  </r>
  <r>
    <m/>
    <m/>
    <x v="195"/>
    <x v="60"/>
    <m/>
    <s v="“Santral Sinir Sistemi Hastalıklarında Kappa Serbest Hafif Zincir İndeksinin Tanısal Değeri”"/>
    <m/>
    <m/>
    <m/>
    <m/>
    <m/>
    <m/>
    <m/>
    <m/>
    <m/>
    <m/>
  </r>
  <r>
    <m/>
    <m/>
    <x v="195"/>
    <x v="60"/>
    <m/>
    <s v="“Rotasyon Profilli Bilgisayarlı Tomografi Kullanılarak Oluşturulan Parametreler ile Radyografide Proksimal Femur Rotasyonunun Değerlendirilmesi ve Yapay Zekâ ile Analizi”"/>
    <m/>
    <m/>
    <m/>
    <m/>
    <m/>
    <m/>
    <m/>
    <m/>
    <m/>
    <m/>
  </r>
  <r>
    <m/>
    <m/>
    <x v="195"/>
    <x v="60"/>
    <m/>
    <s v="“Üniversite Öğrencilerinde Akıllı Telefon Bağımlılığı ile Dijital Sağlık Okuryazarlığı Arasındaki İlişkinin İncelenmesi: Tanımlayıcı Araştırma”"/>
    <m/>
    <m/>
    <m/>
    <m/>
    <m/>
    <m/>
    <m/>
    <m/>
    <m/>
    <m/>
  </r>
  <r>
    <m/>
    <m/>
    <x v="195"/>
    <x v="60"/>
    <m/>
    <s v="“Psikotik Bozukluklarda Tedaviye Direnç ve Klozapine Dirençle İlişkili Doğal Dil İşleme Değişkenlerinin ve Düşünce Süreci Bozukluklarının Değerlendirilmesi”"/>
    <m/>
    <m/>
    <m/>
    <m/>
    <m/>
    <m/>
    <m/>
    <m/>
    <m/>
    <m/>
  </r>
  <r>
    <m/>
    <m/>
    <x v="195"/>
    <x v="60"/>
    <m/>
    <s v="“Tek Taraflı Dudak ve Damak Yarığına Sahip Hastalarda Maksiller Ekspansiyon ve Yüz Maskesi Sonrası Oklüzyonun Değerlendirilmesinde İki Farklı İndeksin Karşılaştırılması”"/>
    <m/>
    <m/>
    <m/>
    <m/>
    <m/>
    <m/>
    <m/>
    <m/>
    <m/>
    <m/>
  </r>
  <r>
    <m/>
    <m/>
    <x v="195"/>
    <x v="60"/>
    <m/>
    <s v="“Relapsing Remitting Multipl Skleroz Tanılı Hastalarda Yaş Gruplarına Göre Kognitif Profil ve Görüntüleme Bulgularının Karşılaştırılması”"/>
    <m/>
    <m/>
    <m/>
    <m/>
    <m/>
    <m/>
    <m/>
    <m/>
    <m/>
    <m/>
  </r>
  <r>
    <m/>
    <m/>
    <x v="195"/>
    <x v="60"/>
    <m/>
    <s v="“Odontojenik Kist ve Tümörlerde Kortikal Perforasyon, Kemik Dolumu ve Rekürrens Oranlarının Volümetrik ve Kantitatif Değerlendirilmesi”"/>
    <m/>
    <m/>
    <m/>
    <m/>
    <m/>
    <m/>
    <m/>
    <m/>
    <m/>
    <m/>
  </r>
  <r>
    <m/>
    <m/>
    <x v="195"/>
    <x v="60"/>
    <m/>
    <s v="“Antimikrobiyal Dirençteki Değişimler: Bir Üçüncü Basamak Hastanesindeki 11 Yıllık Deneyim”"/>
    <m/>
    <m/>
    <m/>
    <m/>
    <m/>
    <m/>
    <m/>
    <m/>
    <m/>
    <m/>
  </r>
  <r>
    <m/>
    <m/>
    <x v="195"/>
    <x v="60"/>
    <m/>
    <s v="“Fertilite Koruyucu Tedavi Sonrası In Vitro Fertilizasyon Başarısını Etkileyen Faktörler: Endometrium Kanseri ve Endometrial Intraepitelyal Neoplazi Hastalarına Ait Retrospektif Veri Analizi”"/>
    <m/>
    <m/>
    <m/>
    <m/>
    <m/>
    <m/>
    <m/>
    <m/>
    <m/>
    <m/>
  </r>
  <r>
    <m/>
    <m/>
    <x v="195"/>
    <x v="60"/>
    <m/>
    <s v="“Temporomandibular Eklem Hipermobilitesinde Dekstroz Proloterapisinin Uzun Dönem Klinik Sonuçlarının Retrospektif Değerlendirilmesi”"/>
    <m/>
    <m/>
    <m/>
    <m/>
    <m/>
    <m/>
    <m/>
    <m/>
    <m/>
    <m/>
  </r>
  <r>
    <m/>
    <m/>
    <x v="195"/>
    <x v="60"/>
    <m/>
    <s v="“Duchenne Musküler Distrofi Tanısı ile Pediatrik Yaş Grubunda İzlenen Hastaların Solunum Bulgularının Retrospektif Olarak Değerlendirilmesi”"/>
    <m/>
    <m/>
    <m/>
    <m/>
    <m/>
    <m/>
    <m/>
    <m/>
    <m/>
    <m/>
  </r>
  <r>
    <m/>
    <m/>
    <x v="195"/>
    <x v="60"/>
    <m/>
    <s v="“Ergenlik Döneminde Yeme Bozukluğu Tanısı Almış Yetişkinlerde Ruhsal Hastalık Kimliği ve İyileşme: Nitel Bir Çalışma”"/>
    <m/>
    <m/>
    <m/>
    <m/>
    <m/>
    <m/>
    <m/>
    <m/>
    <m/>
    <m/>
  </r>
  <r>
    <m/>
    <m/>
    <x v="195"/>
    <x v="60"/>
    <m/>
    <s v="“Triple X Sendromlu Hastalarda Demografik, Fenotipik ve Gelişimsel Özelliklerin Değerlendirilmesi”"/>
    <m/>
    <m/>
    <m/>
    <m/>
    <m/>
    <m/>
    <m/>
    <m/>
    <m/>
    <m/>
  </r>
  <r>
    <m/>
    <m/>
    <x v="195"/>
    <x v="60"/>
    <m/>
    <s v="“Yaşlı Yetişkinlerde İnflamasyon Belirteçleri ile Bilişsel İşlevler Arasındaki İlişki”"/>
    <m/>
    <m/>
    <m/>
    <m/>
    <m/>
    <m/>
    <m/>
    <m/>
    <m/>
    <m/>
  </r>
  <r>
    <m/>
    <m/>
    <x v="195"/>
    <x v="60"/>
    <m/>
    <s v="“Erişkinlerde HPV Aşısına Yönelik Tutum, Okuryazarlık ve Ulusal Programa Dahil Edilmesine İlişkin Görüşler”"/>
    <m/>
    <m/>
    <m/>
    <m/>
    <m/>
    <m/>
    <m/>
    <m/>
    <m/>
    <m/>
  </r>
  <r>
    <m/>
    <m/>
    <x v="195"/>
    <x v="60"/>
    <m/>
    <s v="“.Hacettepe Üniversitesi Erişkin ve Onkoloji Hastanelerinde 2017-2025 Yılları Arasında Karbapenem Dirençli Enterobacteriacea Kolonizasyonu ve Takiben İnfeksiyonu Gelişen Hastaların Analizi”"/>
    <m/>
    <m/>
    <m/>
    <m/>
    <m/>
    <m/>
    <m/>
    <m/>
    <m/>
    <m/>
  </r>
  <r>
    <m/>
    <m/>
    <x v="195"/>
    <x v="60"/>
    <m/>
    <s v="&quot;Senil Presbiakuzi ve Sarkopeni Arasındaki İlişkinin İncelenmesi”"/>
    <m/>
    <m/>
    <m/>
    <m/>
    <m/>
    <m/>
    <m/>
    <m/>
    <m/>
    <m/>
  </r>
  <r>
    <m/>
    <m/>
    <x v="195"/>
    <x v="60"/>
    <m/>
    <s v="“Fallot Tetralojisi Hastalarında Kardiyolojik Özellikler ve Uzun Dönem Sonuçlarının Retrospektif Değerlendirilmesi”"/>
    <m/>
    <m/>
    <m/>
    <m/>
    <m/>
    <m/>
    <m/>
    <m/>
    <m/>
    <m/>
  </r>
  <r>
    <m/>
    <m/>
    <x v="195"/>
    <x v="60"/>
    <m/>
    <s v="“Propionik Asidemi Tanılı Hastaların Kardiyak Özelliklerinin Retrospektif Değerlendirilmesi”"/>
    <m/>
    <m/>
    <m/>
    <m/>
    <m/>
    <m/>
    <m/>
    <m/>
    <m/>
    <m/>
  </r>
  <r>
    <m/>
    <m/>
    <x v="195"/>
    <x v="60"/>
    <m/>
    <s v="“Pulmoner Arter Agenezisi ve/veya Hipoplazisi Olan Hastaların Retrospektif Değerlendirilmesi”"/>
    <m/>
    <m/>
    <m/>
    <m/>
    <m/>
    <m/>
    <m/>
    <m/>
    <m/>
    <m/>
  </r>
  <r>
    <m/>
    <m/>
    <x v="195"/>
    <x v="60"/>
    <m/>
    <s v="“Sistemik Venöz Dönüş Anomalisi Olan Hastaların Retrospektif Değerlendirilmesi”"/>
    <m/>
    <m/>
    <m/>
    <m/>
    <m/>
    <m/>
    <m/>
    <m/>
    <m/>
    <m/>
  </r>
  <r>
    <m/>
    <m/>
    <x v="195"/>
    <x v="60"/>
    <m/>
    <s v="“Transkateter Pulmoner Kapak İmplantasyonunun Kardiyopulmoner Egzersiz Kapasitesi Üzerine Etkisinin Retrospektif Analizi''"/>
    <m/>
    <m/>
    <m/>
    <m/>
    <m/>
    <m/>
    <m/>
    <m/>
    <m/>
    <m/>
  </r>
  <r>
    <m/>
    <m/>
    <x v="195"/>
    <x v="60"/>
    <m/>
    <s v="“Kardiyovasküler-Renal-Metabolik Sendromda Malnütrisyon ve Sarkopeni”"/>
    <m/>
    <m/>
    <m/>
    <m/>
    <m/>
    <m/>
    <m/>
    <m/>
    <m/>
    <m/>
  </r>
  <r>
    <m/>
    <m/>
    <x v="195"/>
    <x v="60"/>
    <m/>
    <s v="&quot;Platin Bazlı Kemoterapi Ajanları ile Hızlı İlaç Desensitizasyonuna İlişkin Tek Merkez Deneyimimiz &quot;"/>
    <m/>
    <m/>
    <m/>
    <m/>
    <m/>
    <m/>
    <m/>
    <m/>
    <m/>
    <m/>
  </r>
  <r>
    <m/>
    <m/>
    <x v="195"/>
    <x v="60"/>
    <m/>
    <s v="“Bilateral Vokal Kord Paralizisi Nedeniyle Parsiyel veya Total Aritenoidektomi Yapılan Hastalarda Vücut Kitle Endeksinin Dispne Üzerine Etkisi”"/>
    <m/>
    <m/>
    <m/>
    <m/>
    <m/>
    <m/>
    <m/>
    <m/>
    <m/>
    <m/>
  </r>
  <r>
    <m/>
    <m/>
    <x v="195"/>
    <x v="60"/>
    <m/>
    <s v="“Patolojik Miyopi Hastalarının Retina Bulgularının Uzun Dönem Takip Sonuçları”"/>
    <m/>
    <m/>
    <m/>
    <m/>
    <m/>
    <m/>
    <m/>
    <m/>
    <m/>
    <m/>
  </r>
  <r>
    <m/>
    <m/>
    <x v="195"/>
    <x v="60"/>
    <m/>
    <s v="“Kolorektal Karsinogenezde THY1 İfadesinin Patoloji Arşiv Materyallerinde Değerlendirilmesi”"/>
    <m/>
    <m/>
    <m/>
    <m/>
    <m/>
    <m/>
    <m/>
    <m/>
    <m/>
    <m/>
  </r>
  <r>
    <m/>
    <m/>
    <x v="195"/>
    <x v="60"/>
    <m/>
    <s v="“Çocuklarda Budd-Chiari Sendromu: Tek Merkez Deneyimi”"/>
    <m/>
    <m/>
    <m/>
    <m/>
    <m/>
    <m/>
    <m/>
    <m/>
    <m/>
    <m/>
  </r>
  <r>
    <m/>
    <m/>
    <x v="195"/>
    <x v="60"/>
    <m/>
    <s v="“İç Hastalıkları Servislerinde Yatan 65 Yaş ve Üstü Hastaların Yatış anında Kullandığı İlaçlar ve Taburculuk Reçetelerinin Beers (2023), Stopp/Start V3, TIME (2020) Kriterlerine Göre İncelenmesi”"/>
    <m/>
    <m/>
    <m/>
    <m/>
    <m/>
    <m/>
    <m/>
    <m/>
    <m/>
    <m/>
  </r>
  <r>
    <m/>
    <m/>
    <x v="195"/>
    <x v="60"/>
    <m/>
    <s v="“Motor Beceri Zorlukları Özgül Öğrenme Bozukluğu İçin Fenotipik Bir Belirteç Olabilir mi? Motor Performansın Postürografik Analizi ve Bilişsel Becerilerle İlişkisi”"/>
    <m/>
    <m/>
    <m/>
    <m/>
    <m/>
    <m/>
    <m/>
    <m/>
    <m/>
    <m/>
  </r>
  <r>
    <m/>
    <m/>
    <x v="195"/>
    <x v="60"/>
    <m/>
    <s v="“Kanser Hastalarının Cepten Sağlık Harcamalarının Finansal Yükü ve Sağlık Hizmeti Kullanımı ve Sağlık Sonuçlarıyla İlişkisi”"/>
    <m/>
    <m/>
    <m/>
    <m/>
    <m/>
    <m/>
    <m/>
    <m/>
    <m/>
    <m/>
  </r>
  <r>
    <m/>
    <m/>
    <x v="195"/>
    <x v="60"/>
    <m/>
    <s v="“Çocukluk Çağı Vaskülitlerinde Serum/Plazma Metabolomik Profilinin İncelenmesi: Tanısal ve Klinik İlişkilerin Değerlendirilmesi”"/>
    <m/>
    <m/>
    <m/>
    <m/>
    <m/>
    <m/>
    <m/>
    <m/>
    <m/>
    <m/>
  </r>
  <r>
    <m/>
    <m/>
    <x v="195"/>
    <x v="60"/>
    <m/>
    <s v="“Dikkat Eksikliği ve Hiperaktivite Bozukluğu Tanılı Ergenlerde Çocukluk Çağı Olumsuz Yaşantılarının Klinik Görünüm ve İnflamatuar Biyobelirteçlerle İlişkisi”"/>
    <m/>
    <m/>
    <m/>
    <m/>
    <m/>
    <m/>
    <m/>
    <m/>
    <m/>
    <m/>
  </r>
  <r>
    <m/>
    <m/>
    <x v="195"/>
    <x v="60"/>
    <m/>
    <s v="“Primer Diz Artroplastisi Yapılan Hastaların VKİ Oranlarının Uzun Dönem Klinik ve Fonksiyonel Sonuçlara Etkisi”"/>
    <m/>
    <m/>
    <m/>
    <m/>
    <m/>
    <m/>
    <m/>
    <m/>
    <m/>
    <m/>
  </r>
  <r>
    <m/>
    <m/>
    <x v="195"/>
    <x v="60"/>
    <m/>
    <s v="“Total Diz Artroplastisinde Posterior Tibial Eğim ve Posterior Kondiler Ofset: Gerçekten Önemli Mi?”"/>
    <m/>
    <m/>
    <m/>
    <m/>
    <m/>
    <m/>
    <m/>
    <m/>
    <m/>
    <m/>
  </r>
  <r>
    <m/>
    <m/>
    <x v="195"/>
    <x v="60"/>
    <m/>
    <s v="“Ergenlerde Sağlık Alanında Yapay Zekâ Kullanım Ölçeği’ ve ‘Ebeveynin Çocuğunun Sağlığı ile İlgili Yapay Zekâ Kullanım Ölçeği’nin Geliştirilmesi ve Değerlendirilmesi”"/>
    <m/>
    <m/>
    <m/>
    <m/>
    <m/>
    <m/>
    <m/>
    <m/>
    <m/>
    <m/>
  </r>
  <r>
    <m/>
    <m/>
    <x v="195"/>
    <x v="60"/>
    <m/>
    <s v="“Hipopitüitarizmli Erişkin Hastalarda Morbidite ve Mortaliteyi Etkileyen Faktörler: Retrospektif Değerlendirme”"/>
    <m/>
    <m/>
    <m/>
    <m/>
    <m/>
    <m/>
    <m/>
    <m/>
    <m/>
    <m/>
  </r>
  <r>
    <m/>
    <m/>
    <x v="195"/>
    <x v="60"/>
    <m/>
    <s v="“Primer Hipofizit (Otoimmün ve IgG4 İlişkili) Olgularının Uzun Dönem Klinik Seyri”"/>
    <m/>
    <m/>
    <m/>
    <m/>
    <m/>
    <m/>
    <m/>
    <m/>
    <m/>
    <m/>
  </r>
  <r>
    <m/>
    <m/>
    <x v="195"/>
    <x v="60"/>
    <m/>
    <s v="“İdiopatik Pulmoner Fibrozisin Akut Alevlenmeleri için Hidrojen Sülfür Tedavisinin Etkilerinin Değerlendirilmesi&quot;"/>
    <m/>
    <m/>
    <m/>
    <m/>
    <m/>
    <m/>
    <m/>
    <m/>
    <m/>
    <m/>
  </r>
  <r>
    <m/>
    <m/>
    <x v="195"/>
    <x v="60"/>
    <m/>
    <s v="“Çocukluk Çağı Poliarteritis Nodosa Hastalarının Değerlendirilmesi”"/>
    <m/>
    <m/>
    <m/>
    <m/>
    <m/>
    <m/>
    <m/>
    <m/>
    <m/>
    <m/>
  </r>
  <r>
    <m/>
    <m/>
    <x v="195"/>
    <x v="60"/>
    <m/>
    <s v="“Konjonktival Melanomlarda ATRX, PDL-1 ve p16 İmmünohistokimyasal Ekspresyonlarının Klinikopatolojik Parametrelerle Korelasyonu”"/>
    <m/>
    <m/>
    <m/>
    <m/>
    <m/>
    <m/>
    <m/>
    <m/>
    <m/>
    <m/>
  </r>
  <r>
    <m/>
    <m/>
    <x v="195"/>
    <x v="60"/>
    <m/>
    <s v="“Geriatri Popülasyonda eGFR Tahmin Denklemleri Arasındaki Uyumun ve Tahmin Hatalarına Etki Eden Faktörlerin Değerlendirilmesi”"/>
    <m/>
    <m/>
    <m/>
    <m/>
    <m/>
    <m/>
    <m/>
    <m/>
    <m/>
    <m/>
  </r>
  <r>
    <m/>
    <m/>
    <x v="195"/>
    <x v="60"/>
    <m/>
    <s v="“Geriatrik Hastalarda Telefon Bağımlılığının Geriatrik Sendromlarla İlişkisi”"/>
    <m/>
    <m/>
    <m/>
    <m/>
    <m/>
    <m/>
    <m/>
    <m/>
    <m/>
    <m/>
  </r>
  <r>
    <m/>
    <m/>
    <x v="195"/>
    <x v="60"/>
    <m/>
    <s v="“Mekanik Ventilatörden Ayırmada T-tüp Denemesi Uygulanan Hastalarda Hemodinami Parametrelerinin Değişimlerinin Gözlenmesi”"/>
    <m/>
    <m/>
    <m/>
    <m/>
    <m/>
    <m/>
    <m/>
    <m/>
    <m/>
    <m/>
  </r>
  <r>
    <m/>
    <m/>
    <x v="195"/>
    <x v="60"/>
    <m/>
    <s v="“Bilateral Testis Germ Hücreli Tümörler: Hacettepe Üniversitesi Üroloji Anabilim Dalı'nın 40 Yıllık Deneyimi”"/>
    <m/>
    <m/>
    <m/>
    <m/>
    <m/>
    <m/>
    <m/>
    <m/>
    <m/>
    <m/>
  </r>
  <r>
    <m/>
    <m/>
    <x v="195"/>
    <x v="60"/>
    <m/>
    <s v="“Çocuklarda Fasiküler Ventriküler Aritmi ve Transkateter Ablasyon Uygulaması Deneyimlerimiz”"/>
    <m/>
    <m/>
    <m/>
    <m/>
    <m/>
    <m/>
    <m/>
    <m/>
    <m/>
    <m/>
  </r>
  <r>
    <m/>
    <m/>
    <x v="195"/>
    <x v="60"/>
    <m/>
    <s v="“Ventriküler Erken Vuru Olan Çocuk Hastalarda Transkateter Ablasyon Sonuçlarımız”"/>
    <m/>
    <m/>
    <m/>
    <m/>
    <m/>
    <m/>
    <m/>
    <m/>
    <m/>
    <m/>
  </r>
  <r>
    <m/>
    <m/>
    <x v="195"/>
    <x v="60"/>
    <m/>
    <s v="''Buğday Alerjisi Olan Çocuklarda Oral İmmünoterapi ve Besinden Kaçınma Yaklaşımlarının Beslenme Durumu ve Yaşam Kalitesi Üzerine Etkilerinin Karşılaştırılması''"/>
    <m/>
    <m/>
    <m/>
    <m/>
    <m/>
    <m/>
    <m/>
    <m/>
    <m/>
    <m/>
  </r>
  <r>
    <m/>
    <m/>
    <x v="195"/>
    <x v="60"/>
    <m/>
    <s v="“Seksen Beş Yaş ve Üzeri Geriatrik Hastalarda İntrinsik Kapasite Değişimi, İyileşme Paternleri ve Klinik Sonuçları; Retrospektif Kohort Çalışması”"/>
    <m/>
    <m/>
    <m/>
    <m/>
    <m/>
    <m/>
    <m/>
    <m/>
    <m/>
    <m/>
  </r>
  <r>
    <m/>
    <m/>
    <x v="195"/>
    <x v="60"/>
    <m/>
    <s v="“Kanal Tedavisi Yenileme İşlemine Maruz Kalan Dişlerin Kırılma Dayanımında Ağartmanın Etkisi”"/>
    <m/>
    <m/>
    <m/>
    <m/>
    <m/>
    <m/>
    <m/>
    <m/>
    <m/>
    <m/>
  </r>
  <r>
    <m/>
    <m/>
    <x v="195"/>
    <x v="60"/>
    <m/>
    <s v="“DEHB Tanılı Çocuklarda KOKGB Eşlik Etme Durumuna Göre İrritabilite ve Ödül Sisteminin Fonksiyonel MRG ile İncelenmesi”"/>
    <m/>
    <m/>
    <m/>
    <m/>
    <m/>
    <m/>
    <m/>
    <m/>
    <m/>
    <m/>
  </r>
  <r>
    <m/>
    <m/>
    <x v="195"/>
    <x v="60"/>
    <m/>
    <s v="“Diş Hekimliği Son Sınıf Öğrencilerinin Acil Tıbbi Durumlar Bağlamında Algılanan Güven ve Bilgi Düzeylerinin Değerlendirilmesi”"/>
    <m/>
    <m/>
    <m/>
    <m/>
    <m/>
    <m/>
    <m/>
    <m/>
    <m/>
    <m/>
  </r>
  <r>
    <m/>
    <m/>
    <x v="195"/>
    <x v="60"/>
    <m/>
    <s v="“Melanom Hastalarında Kiraz Anjiyom Sıklığının ve Kiraz Anjiyomların Gelişiminde VEGF ile VEGF Reseptörlerinin Doku ve Serum Düzeyinde Değerlendirilmesi”"/>
    <m/>
    <m/>
    <m/>
    <m/>
    <m/>
    <m/>
    <m/>
    <m/>
    <m/>
    <m/>
  </r>
  <r>
    <m/>
    <m/>
    <x v="195"/>
    <x v="60"/>
    <m/>
    <s v="“Takayasu Arteriti Hastalığında Oftalmolojik Bulguların Değerlendirilmesi”"/>
    <m/>
    <m/>
    <m/>
    <m/>
    <m/>
    <m/>
    <m/>
    <m/>
    <m/>
    <m/>
  </r>
  <r>
    <m/>
    <m/>
    <x v="195"/>
    <x v="60"/>
    <m/>
    <s v="“Hacettepe Üniversitesi Tıp Fakültesi Öğrencilerinin Geriatri Eğitim ve İlgi Düzeylerinin Değerlendirilmesi”"/>
    <m/>
    <m/>
    <m/>
    <m/>
    <m/>
    <m/>
    <m/>
    <m/>
    <m/>
    <m/>
  </r>
  <r>
    <m/>
    <m/>
    <x v="195"/>
    <x v="60"/>
    <m/>
    <s v="“Acil Serviste İntrakraniyal Merkezi Sinir Sistemi Enfeksiyonu Tanısı Konulan Hastalarda Hipokampüs Hacimlerinin Klinik Seyir Tahminindeki Rolü”"/>
    <m/>
    <m/>
    <m/>
    <m/>
    <m/>
    <m/>
    <m/>
    <m/>
    <m/>
    <m/>
  </r>
  <r>
    <m/>
    <m/>
    <x v="195"/>
    <x v="60"/>
    <m/>
    <s v="“TRVaS Türkiye Vaskülit Çalışma Grubu Prospektif, Gözlemsel Veritabanı Devam Çalışması”"/>
    <m/>
    <m/>
    <m/>
    <m/>
    <m/>
    <m/>
    <m/>
    <m/>
    <m/>
    <m/>
  </r>
  <r>
    <m/>
    <m/>
    <x v="195"/>
    <x v="60"/>
    <m/>
    <s v="“Cinsiyet Uyuşmazlığı Tanısı Konulan Kişilerde Otizm Spektrumu Özelliklerinin Klinik Gereksinimler ve Psikososyal İyilik Hali ile İlişkisi”"/>
    <m/>
    <m/>
    <m/>
    <m/>
    <m/>
    <m/>
    <m/>
    <m/>
    <m/>
    <m/>
  </r>
  <r>
    <m/>
    <m/>
    <x v="195"/>
    <x v="60"/>
    <m/>
    <s v="“Hemodiyaliz Sırasında Gelişen İntradialitik Hipotansiyonun Klinik ve Hemodinamik Belirteçlerle İlişkisinin Retrospektif İncelenmesi”"/>
    <m/>
    <m/>
    <m/>
    <m/>
    <m/>
    <m/>
    <m/>
    <m/>
    <m/>
    <m/>
  </r>
  <r>
    <m/>
    <m/>
    <x v="195"/>
    <x v="60"/>
    <m/>
    <s v="“Hyalüronik Asit, ß-Glukan, Centella Asiatica, Coriolus Versicolor, Neem, BioEcolia®, Aloe Vera İçeren Doğal İçerikli Vajinal Jel Papilocare® Kullanımının HPV Pozitif Kadınlarda Viral Klirense Etkisinin Retrospektif Olarak Araştırılması”"/>
    <m/>
    <m/>
    <m/>
    <m/>
    <m/>
    <m/>
    <m/>
    <m/>
    <m/>
    <m/>
  </r>
  <r>
    <m/>
    <m/>
    <x v="195"/>
    <x v="60"/>
    <m/>
    <s v="“İşitme Kaybı Olan Hastalarda Hipopigmentasyon Bozukluklarının İncelenmesi”"/>
    <m/>
    <m/>
    <m/>
    <m/>
    <m/>
    <m/>
    <m/>
    <m/>
    <m/>
    <m/>
  </r>
  <r>
    <m/>
    <m/>
    <x v="195"/>
    <x v="60"/>
    <m/>
    <s v="“Ramus Intermedius Arteriae Hepaticae Sınıflamasının Radyolojik Olarak İncelenmesi”"/>
    <m/>
    <m/>
    <m/>
    <m/>
    <m/>
    <m/>
    <m/>
    <m/>
    <m/>
    <m/>
  </r>
  <r>
    <m/>
    <m/>
    <x v="195"/>
    <x v="60"/>
    <m/>
    <s v="“Saçlı Hücreli Lösemi Hastalarının Tanı Anındaki Klinik, Laboratuvar Parametrelerinin Prognostik, Sağ Kalım ve Tedaviye Yanıt Durumları Açısından Değerlendirilmesi”"/>
    <m/>
    <m/>
    <m/>
    <m/>
    <m/>
    <m/>
    <m/>
    <m/>
    <m/>
    <m/>
  </r>
  <r>
    <m/>
    <m/>
    <x v="195"/>
    <x v="60"/>
    <m/>
    <s v="“Hastane Yatışının Adolesanlarda Ekran Kullanımı Üzerine Etkisi”"/>
    <m/>
    <m/>
    <m/>
    <m/>
    <m/>
    <m/>
    <m/>
    <m/>
    <m/>
    <m/>
  </r>
  <r>
    <m/>
    <m/>
    <x v="195"/>
    <x v="60"/>
    <m/>
    <s v="“Amiyotrofik Lateral Skleroz Hastalarında İpsilateral Transkraniyal Manyetik Uyarım Ölçütleri”"/>
    <m/>
    <m/>
    <m/>
    <m/>
    <m/>
    <m/>
    <m/>
    <m/>
    <m/>
    <m/>
  </r>
  <r>
    <m/>
    <m/>
    <x v="195"/>
    <x v="60"/>
    <m/>
    <s v="“Obez Hastalarda Antimikrobiyal Tedavide Terapötik İlaç Düzeyi İzlemi: Prospektif Gözlemsel Bir Çalışma”"/>
    <m/>
    <m/>
    <m/>
    <m/>
    <m/>
    <m/>
    <m/>
    <m/>
    <m/>
    <m/>
  </r>
  <r>
    <m/>
    <m/>
    <x v="195"/>
    <x v="60"/>
    <m/>
    <s v="“Kadınların Gebelikte Uygulanan Dental ve Radyolojik İşlemler ile Ağız Sağlığına Dair Farkındalık ve Algısı: Anket Temelli Kesitsel Bir Çalışma”"/>
    <m/>
    <m/>
    <m/>
    <m/>
    <m/>
    <m/>
    <m/>
    <m/>
    <m/>
    <m/>
  </r>
  <r>
    <m/>
    <m/>
    <x v="195"/>
    <x v="60"/>
    <m/>
    <s v="“Yeni Nesil Girişimsiz Kapiller Anjiyografi Sisteminin Tasarım Doğrulama Numunesinin Geliştirilmesi ve Sistemin İşlevsellik Değerlendirmesi”"/>
    <m/>
    <m/>
    <m/>
    <m/>
    <m/>
    <m/>
    <m/>
    <m/>
    <m/>
    <m/>
  </r>
  <r>
    <m/>
    <m/>
    <x v="195"/>
    <x v="60"/>
    <m/>
    <s v="&quot;Kronik Böbrek Hastalığının Teşhisi: Bir Makine Öğrenmesi Uygulaması&quot;"/>
    <m/>
    <m/>
    <m/>
    <m/>
    <m/>
    <m/>
    <m/>
    <m/>
    <m/>
    <m/>
  </r>
  <r>
    <m/>
    <m/>
    <x v="195"/>
    <x v="60"/>
    <m/>
    <s v="“Orta-Şiddetli Kronik Plak Tipi Psöriazis Nedeniyle TNF-α İnhibitörü, IL-17 İnhibitörü veya IL-23 İnhibitörü Tedavisi Kullanan Hastalarda, Aynı Grup İçindeki Biyolojik Ajan Değişiminin Değerlendirilmesi”"/>
    <m/>
    <m/>
    <m/>
    <m/>
    <m/>
    <m/>
    <m/>
    <m/>
    <m/>
    <m/>
  </r>
  <r>
    <m/>
    <m/>
    <x v="195"/>
    <x v="60"/>
    <m/>
    <s v="“Üniversiteler Arası Ragbi Turnuvasında Yaralanma ve Semptomların Retrospektif Analizi: Meteorolojik Veriler ile Karşılaştırmalı Değerlendirme”"/>
    <m/>
    <m/>
    <m/>
    <m/>
    <m/>
    <m/>
    <m/>
    <m/>
    <m/>
    <m/>
  </r>
  <r>
    <m/>
    <m/>
    <x v="195"/>
    <x v="60"/>
    <m/>
    <s v="“Hipertansiyon Tedavisine İlişkin YouTube Videolarının DISCERN Kriterleriyle Değerlendirilmesinde Manuel ve Yapay Zekâ Değerlendiricileri Arasındaki Uyum”"/>
    <m/>
    <m/>
    <m/>
    <m/>
    <m/>
    <m/>
    <m/>
    <m/>
    <m/>
    <m/>
  </r>
  <r>
    <m/>
    <m/>
    <x v="195"/>
    <x v="60"/>
    <m/>
    <s v="“Mesleki Kurşun İntoksikasyonu için Etilendiamintetraasetik Asit (EDTA) Şelasyon Tedavisi Alan Hastalarda Eser Element Düzeylerinin Retrospektif Değerlendirilmesi”"/>
    <m/>
    <m/>
    <m/>
    <m/>
    <m/>
    <m/>
    <m/>
    <m/>
    <m/>
    <m/>
  </r>
  <r>
    <m/>
    <m/>
    <x v="195"/>
    <x v="60"/>
    <m/>
    <s v="“Denosumab Alan Geriatrik Hastaların İlaç Uyumunun Değerlendirilmesi ve ilaç Uyum Sonuçlarının Osteoporoz Üzerine Olan Etkisi”"/>
    <m/>
    <m/>
    <m/>
    <m/>
    <m/>
    <m/>
    <m/>
    <m/>
    <m/>
    <m/>
  </r>
  <r>
    <m/>
    <m/>
    <x v="195"/>
    <x v="60"/>
    <m/>
    <s v="“İç Hastalıkları Yoğun Bakım Ünitesinde İzlenen Hastaların Retrospektif Değerlendirilmesi”"/>
    <m/>
    <m/>
    <m/>
    <m/>
    <m/>
    <m/>
    <m/>
    <m/>
    <m/>
    <m/>
  </r>
  <r>
    <m/>
    <m/>
    <x v="195"/>
    <x v="60"/>
    <m/>
    <s v="“Borderline Over Tümörlerinde Fertilite Koruyucu Cerrahi Yaklaşımlar, İntraoperatif Frozen İncelemenin Nihai Patoloji ile Uyumluluğu ve Sağ Kalım Verilerinin Tek Merkez Çok Yönlü Retrospektif İncelenmesi”"/>
    <m/>
    <m/>
    <m/>
    <m/>
    <m/>
    <m/>
    <m/>
    <m/>
    <m/>
    <m/>
  </r>
  <r>
    <m/>
    <m/>
    <x v="195"/>
    <x v="60"/>
    <m/>
    <s v="“Over Kanseri Hastalarında Uygulanan Tedavi Stratejilerinin, Tedavi Yanıtı Öngörücü Parametrelerin, Sağ Kalım ve Nüks Paternlerinin Çok Yönlü Analizi”"/>
    <m/>
    <m/>
    <m/>
    <m/>
    <m/>
    <m/>
    <m/>
    <m/>
    <m/>
    <m/>
  </r>
  <r>
    <m/>
    <m/>
    <x v="195"/>
    <x v="60"/>
    <m/>
    <s v="“MuItidisipliner KBB-Onkoloji Konseyinde Tartışılan Larinks Kanserli Hastalarda Klasifikasyon ve Sağkalım Değerlendirmede Yapay Zeka Temelli Tahmin Modeli Oluşturmak”"/>
    <m/>
    <m/>
    <m/>
    <m/>
    <m/>
    <m/>
    <m/>
    <m/>
    <m/>
    <m/>
  </r>
  <r>
    <m/>
    <m/>
    <x v="195"/>
    <x v="60"/>
    <m/>
    <s v="“Video-EEG Monitorizasyonunda İzlenen Status Epileptikus ve Küme Tip Nöbetlerin Elektrokli̇ni̇k Özellikleri”"/>
    <m/>
    <m/>
    <m/>
    <m/>
    <m/>
    <m/>
    <m/>
    <m/>
    <m/>
    <m/>
  </r>
  <r>
    <m/>
    <m/>
    <x v="195"/>
    <x v="60"/>
    <m/>
    <s v="“Sağlıkta Kalite Standartları Değerlendiricilerinin Sağlık Teknolojilerini Değerlendirme Konusundaki Tutumları”"/>
    <m/>
    <m/>
    <m/>
    <m/>
    <m/>
    <m/>
    <m/>
    <m/>
    <m/>
    <m/>
  </r>
  <r>
    <m/>
    <m/>
    <x v="195"/>
    <x v="60"/>
    <m/>
    <s v="“Nasal Septal Perforasyonlu Hastalarda NOSE-Perf Ölçeğinin Türkçe Uyarlamasının Geçerlilik ve Güvenilirlik Analizi”"/>
    <m/>
    <m/>
    <m/>
    <m/>
    <m/>
    <m/>
    <m/>
    <m/>
    <m/>
    <m/>
  </r>
  <r>
    <m/>
    <m/>
    <x v="195"/>
    <x v="60"/>
    <m/>
    <s v="“Sanal Karaciğer Biyopsisi- Metabolik Hastalık İlişkili Yağlı Karaciğer Hastalığında Prognoz ve İzlem”"/>
    <m/>
    <m/>
    <m/>
    <m/>
    <m/>
    <m/>
    <m/>
    <m/>
    <m/>
    <m/>
  </r>
  <r>
    <m/>
    <m/>
    <x v="195"/>
    <x v="60"/>
    <m/>
    <s v="“Yağlı Karaciğer Hastalığında Karaciğer Yağlanması ve Karaciğer Sertliğinin Değerlendirilmesinde Multiparametrik Ultrasonografi ve Manyetik Rezonans Elastografinin Karşılaştırılması”"/>
    <m/>
    <m/>
    <m/>
    <m/>
    <m/>
    <m/>
    <m/>
    <m/>
    <m/>
    <m/>
  </r>
  <r>
    <m/>
    <m/>
    <x v="195"/>
    <x v="60"/>
    <m/>
    <s v="“Hemşirelerin Bütünsel Sağlık, Duygusal Emek, Şefkat Yorgunluğu ve İş Doyumu Arasındaki İlişkiler: Yol Analizi”"/>
    <m/>
    <m/>
    <m/>
    <m/>
    <m/>
    <m/>
    <m/>
    <m/>
    <m/>
    <m/>
  </r>
  <r>
    <m/>
    <m/>
    <x v="195"/>
    <x v="60"/>
    <m/>
    <s v="“Radyoloji Tetkiklerinde Hastalar İçin Tahmini Fetal Doz Hesaplamaları”"/>
    <m/>
    <m/>
    <m/>
    <m/>
    <m/>
    <m/>
    <m/>
    <m/>
    <m/>
    <m/>
  </r>
  <r>
    <m/>
    <m/>
    <x v="195"/>
    <x v="60"/>
    <m/>
    <s v="“Tıbbi Uygulama Hatası Olgularının Değerlendirilmesinde Büyük Dil Modelleri ve Adli Tıp Uzman Görüşlerinin Karşılaştırmalı Analizi”"/>
    <m/>
    <m/>
    <m/>
    <m/>
    <m/>
    <m/>
    <m/>
    <m/>
    <m/>
    <m/>
  </r>
  <r>
    <m/>
    <m/>
    <x v="195"/>
    <x v="60"/>
    <m/>
    <s v="“Mohs Cerrahisinde Artırılmış Gerçeklik Entegrasyonlu Simülasyon Çalışması”"/>
    <m/>
    <m/>
    <m/>
    <m/>
    <m/>
    <m/>
    <m/>
    <m/>
    <m/>
    <m/>
  </r>
  <r>
    <m/>
    <m/>
    <x v="195"/>
    <x v="60"/>
    <m/>
    <s v="“Pediatrik Non-Hodgkin Lenfoma Tanılı Hastalarda PET-BT'den Elde Edilen Semikantitatif Parametrelerin Değerlendirilmesi”"/>
    <m/>
    <m/>
    <m/>
    <m/>
    <m/>
    <m/>
    <m/>
    <m/>
    <m/>
    <m/>
  </r>
  <r>
    <m/>
    <m/>
    <x v="195"/>
    <x v="60"/>
    <m/>
    <s v="“Parkinson Hastalığında Levodopa-Karbidopa İntestinal Jel Kullanan Hastalarda Periferik Nörolojik Tutulum: Elektrofizyolojik Çalışma”"/>
    <m/>
    <m/>
    <m/>
    <m/>
    <m/>
    <m/>
    <m/>
    <m/>
    <m/>
    <m/>
  </r>
  <r>
    <m/>
    <m/>
    <x v="195"/>
    <x v="60"/>
    <m/>
    <s v="“Özgül Öğrenme Bozukluğu Tanılı Ergenlerde Benlik Saygısı, Yeterlik Algısı ve Baskın Savunma Mekanizmalarının Annelerdeki Psikolojik Farkındalık ve Empati Düzeyi ile İlişkisi”"/>
    <m/>
    <m/>
    <m/>
    <m/>
    <m/>
    <m/>
    <m/>
    <m/>
    <m/>
    <m/>
  </r>
  <r>
    <m/>
    <m/>
    <x v="195"/>
    <x v="60"/>
    <m/>
    <s v="“Normal Gebeliklerde Fetal Farinks Büyüme Paternlerinin Üç Boyutlu Ultrasonografi ile Değerlendirilmesi”"/>
    <m/>
    <m/>
    <m/>
    <m/>
    <m/>
    <m/>
    <m/>
    <m/>
    <m/>
    <m/>
  </r>
  <r>
    <m/>
    <m/>
    <x v="195"/>
    <x v="60"/>
    <m/>
    <s v="“Multiple Skleroz (MS) Tanılı Hastalarda MS Mesane Kontrol Aracı Kullanılarak Alt Üriner Sistem Semptomlarının Ön Değerlendirilmesi ve Fonksiyonel Üroloji Polikliniğine Yönlendirme Kriterlerinin Belirlenmesi”"/>
    <m/>
    <m/>
    <m/>
    <m/>
    <m/>
    <m/>
    <m/>
    <m/>
    <m/>
    <m/>
  </r>
  <r>
    <m/>
    <m/>
    <x v="195"/>
    <x v="60"/>
    <m/>
    <s v="“Sirotik Hastalarda Sarkopeni ve Kognisyon Değerlendirilmesi”"/>
    <m/>
    <m/>
    <m/>
    <m/>
    <m/>
    <m/>
    <m/>
    <m/>
    <m/>
    <m/>
  </r>
  <r>
    <m/>
    <m/>
    <x v="195"/>
    <x v="60"/>
    <m/>
    <s v="“Erişkinlerde Timus Boyutlarının BT ile Değerlendirilmesi, Farklı Yaş Gruplan, Cinsiyet ve Sigara Kullanımıyla İlişkisi”"/>
    <m/>
    <m/>
    <m/>
    <m/>
    <m/>
    <m/>
    <m/>
    <m/>
    <m/>
    <m/>
  </r>
  <r>
    <m/>
    <m/>
    <x v="195"/>
    <x v="60"/>
    <m/>
    <s v="“Onikomikoz Teşhisinde Yapay Zeka Algoritmalarının Dermatolog ve Aile Hekimleri ile Karşılatırmalı Olarak Değerlendirilmesi”"/>
    <m/>
    <m/>
    <m/>
    <m/>
    <m/>
    <m/>
    <m/>
    <m/>
    <m/>
    <m/>
  </r>
  <r>
    <m/>
    <m/>
    <x v="195"/>
    <x v="60"/>
    <m/>
    <s v="“Çocukluk Çağı Astımında Uzun Süreli İzlem ve Remisyon”"/>
    <m/>
    <m/>
    <m/>
    <m/>
    <m/>
    <m/>
    <m/>
    <m/>
    <m/>
    <m/>
  </r>
  <r>
    <m/>
    <m/>
    <x v="195"/>
    <x v="60"/>
    <m/>
    <s v="“DJ-1 Mutasyonuna Bağlı Mitokondriyal Hasarın ve Organeller Arası Etkileşimlerin Hasta Hücrelerinde İncelenmesi”"/>
    <m/>
    <m/>
    <m/>
    <m/>
    <m/>
    <m/>
    <m/>
    <m/>
    <m/>
    <m/>
  </r>
  <r>
    <m/>
    <m/>
    <x v="195"/>
    <x v="60"/>
    <m/>
    <s v="“Lenfoma Hastalarında Warburg Etkisine Bağlı Tip B Laktik Asidoz ve Hipoglisemi: İki Olgu Sunumu ve Literatür Derlemesi”"/>
    <m/>
    <m/>
    <m/>
    <m/>
    <m/>
    <m/>
    <m/>
    <m/>
    <m/>
    <m/>
  </r>
  <r>
    <m/>
    <m/>
    <x v="195"/>
    <x v="60"/>
    <m/>
    <s v="“Vaskülit Hastalarında Erektil Disfonksiyonun Yaygınlığı ve Ürolojik Değerlendirme Sıklığı: Kesitsel Bir Anket Çalışması”"/>
    <m/>
    <m/>
    <m/>
    <m/>
    <m/>
    <m/>
    <m/>
    <m/>
    <m/>
    <m/>
  </r>
  <r>
    <m/>
    <m/>
    <x v="195"/>
    <x v="60"/>
    <m/>
    <s v="“İntra Uterin İnseminasyon Tedavisi Öncesi Elastoscan (Shear Wave Elastografi) ile Uterusun Prospektif Olarak Değerlendirmesi ve Gebelik Sonuçları ile İlişkisinin İncelenmesi”"/>
    <m/>
    <m/>
    <m/>
    <m/>
    <m/>
    <m/>
    <m/>
    <m/>
    <m/>
    <m/>
  </r>
  <r>
    <m/>
    <m/>
    <x v="195"/>
    <x v="60"/>
    <m/>
    <s v="“İn Vitro Fertilizasyon Tedavisi Öncesi Elastoscan (Shear Wave Elastografi) ile Uterusun Prospektif Olarak Değerlendirmesi ve Gebelik Sonuçları ile İlişkisinin İncelenmesi”"/>
    <m/>
    <m/>
    <m/>
    <m/>
    <m/>
    <m/>
    <m/>
    <m/>
    <m/>
    <m/>
  </r>
  <r>
    <m/>
    <m/>
    <x v="195"/>
    <x v="60"/>
    <m/>
    <s v="“Kalp ve Beyin MRG Görüntülerinde Hareket Kaynaklı Aretfaktların Tespiti ve Düzeltilmesine Yönelik Yapay Zeka Yaklaşımı”"/>
    <m/>
    <m/>
    <m/>
    <m/>
    <m/>
    <m/>
    <m/>
    <m/>
    <m/>
    <m/>
  </r>
  <r>
    <m/>
    <m/>
    <x v="195"/>
    <x v="60"/>
    <m/>
    <s v="“Koroner MRA Görüntülerinde Görüntü Kalitesinin Artırılmasına ve Otomatik Değerlendirilmesine Yönelik Yapay Zeka Uygulaması”"/>
    <m/>
    <m/>
    <m/>
    <m/>
    <m/>
    <m/>
    <m/>
    <m/>
    <m/>
    <m/>
  </r>
  <r>
    <m/>
    <m/>
    <x v="195"/>
    <x v="60"/>
    <m/>
    <s v="“Ultrasonografi Eşliğinde Transperineal Prostat Biyopsisinin Güvenirliliği, Uygulanabilirliği ve Kanser Yakalamada Başarı Oranı”"/>
    <m/>
    <m/>
    <m/>
    <m/>
    <m/>
    <m/>
    <m/>
    <m/>
    <m/>
    <m/>
  </r>
  <r>
    <m/>
    <m/>
    <x v="195"/>
    <x v="60"/>
    <m/>
    <s v="“Hemodiyaliz Sürecinde Mikroplastik Varlığının ve Maruziyet Düzeyinin Değerlendirilmesi”"/>
    <m/>
    <m/>
    <m/>
    <m/>
    <m/>
    <m/>
    <m/>
    <m/>
    <m/>
    <m/>
  </r>
  <r>
    <m/>
    <m/>
    <x v="195"/>
    <x v="60"/>
    <m/>
    <s v="“Kurutulmuş İdrar Örneklerinde (DUS) Uyuşturucu-Uyarıcı Madde Analizi”"/>
    <m/>
    <m/>
    <m/>
    <m/>
    <m/>
    <m/>
    <m/>
    <m/>
    <m/>
    <m/>
  </r>
  <r>
    <m/>
    <m/>
    <x v="195"/>
    <x v="60"/>
    <m/>
    <s v="“Vitiligo Tanılı Pediatrik Hastalarda Oral Mikrobiyom ve Diş Çürüğü İlişkisinin İncelenmesi ”"/>
    <m/>
    <m/>
    <m/>
    <m/>
    <m/>
    <m/>
    <m/>
    <m/>
    <m/>
    <m/>
  </r>
  <r>
    <m/>
    <m/>
    <x v="195"/>
    <x v="60"/>
    <m/>
    <s v="“Agresif Başlangıçlı Tip 1 Diabetes Mellitus ile Tanınan CD70 Eksikliği Tanısı Alan Olgunun Klinik ve Laboratuvar Özelliklerinin İncelenmesi"/>
    <m/>
    <m/>
    <m/>
    <m/>
    <m/>
    <m/>
    <m/>
    <m/>
    <m/>
    <m/>
  </r>
  <r>
    <m/>
    <m/>
    <x v="195"/>
    <x v="60"/>
    <m/>
    <s v="“Pelargonium graveolens'in Endometriozis Hücre Hattı (12Z) Üzerindeki Etkilerinin Araştırılması”"/>
    <m/>
    <m/>
    <m/>
    <m/>
    <m/>
    <m/>
    <m/>
    <m/>
    <m/>
    <m/>
  </r>
  <r>
    <m/>
    <m/>
    <x v="195"/>
    <x v="60"/>
    <m/>
    <s v="“Kas Kuvveti ve Fiziksel Performans Ölçümlerinin Yaşlılarda Düşme Riskiyle İlişkisi”"/>
    <m/>
    <m/>
    <m/>
    <m/>
    <m/>
    <m/>
    <m/>
    <m/>
    <m/>
    <m/>
  </r>
  <r>
    <m/>
    <m/>
    <x v="195"/>
    <x v="60"/>
    <m/>
    <s v="“İnsan İmmün Yetmezlik Virüsü (HIV) ile Yaşayan 40 Yaş Üstü Bireylerde 7 Yıllık İzlemde Kırılganlık ve Sarkopeni Değişimi: 2018 Hacettepe Kohortunun Prospektif Yeniden Değerlendirilmesi”"/>
    <m/>
    <m/>
    <m/>
    <m/>
    <m/>
    <m/>
    <m/>
    <m/>
    <m/>
    <m/>
  </r>
  <r>
    <m/>
    <m/>
    <x v="195"/>
    <x v="60"/>
    <m/>
    <s v="“01/01/2015-30/09/2025 Yılları Arasında Koryokarsinom Olgularının Klinik, Patolojik ve Epidemiyolojik Verilerinin Değerlendirilmesi”"/>
    <m/>
    <m/>
    <m/>
    <m/>
    <m/>
    <m/>
    <m/>
    <m/>
    <m/>
    <m/>
  </r>
  <r>
    <m/>
    <m/>
    <x v="195"/>
    <x v="60"/>
    <m/>
    <s v="“Spesifik T Hücre Reseptör Yolağı Yetmezliklerinde İmmün Repertuvar Profillerinin Belirlenmesi”"/>
    <m/>
    <m/>
    <m/>
    <m/>
    <m/>
    <m/>
    <m/>
    <m/>
    <m/>
    <m/>
  </r>
  <r>
    <m/>
    <m/>
    <x v="195"/>
    <x v="60"/>
    <m/>
    <s v="“Proksimal Humerus Kırıklarında Kalkar Vidası Pozisyonunun Başarısızlık Üzerine Etkisi”"/>
    <m/>
    <m/>
    <m/>
    <m/>
    <m/>
    <m/>
    <m/>
    <m/>
    <m/>
    <m/>
  </r>
  <r>
    <m/>
    <m/>
    <x v="195"/>
    <x v="60"/>
    <m/>
    <s v="“Travma Sonrası Yumuşak Doku Yönetimi Nasıl Olmalı Travma Cerrahları Ne Diyor?”"/>
    <m/>
    <m/>
    <m/>
    <m/>
    <m/>
    <m/>
    <m/>
    <m/>
    <m/>
    <m/>
  </r>
  <r>
    <m/>
    <m/>
    <x v="195"/>
    <x v="60"/>
    <m/>
    <s v="“Tiroid Nodüllerinde Telomer Uzunluğunun Prediktif Değeri”"/>
    <m/>
    <m/>
    <m/>
    <m/>
    <m/>
    <m/>
    <m/>
    <m/>
    <m/>
    <m/>
  </r>
  <r>
    <m/>
    <m/>
    <x v="195"/>
    <x v="60"/>
    <m/>
    <s v="“İmmünoterapiye Bağlı Tiroidit Gelişiminde KIR ve HLA Genetik Profillerinin Rolü”"/>
    <m/>
    <m/>
    <m/>
    <m/>
    <m/>
    <m/>
    <m/>
    <m/>
    <m/>
    <m/>
  </r>
  <r>
    <m/>
    <m/>
    <x v="195"/>
    <x v="60"/>
    <m/>
    <s v="“Pediatrik Ürolitiazis Hastalarında Endoskopik Taş Cerrahileri Sonrası Taşsızlık ve Komplikasyon Oranını Etkileyen Faktörlerin Retrospektif İncelemesi”"/>
    <m/>
    <m/>
    <m/>
    <m/>
    <m/>
    <m/>
    <m/>
    <m/>
    <m/>
    <m/>
  </r>
  <r>
    <m/>
    <m/>
    <x v="195"/>
    <x v="60"/>
    <m/>
    <s v="“TESE Başarısını Etkileyen Faktörler”"/>
    <m/>
    <m/>
    <m/>
    <m/>
    <m/>
    <m/>
    <m/>
    <m/>
    <m/>
    <m/>
  </r>
  <r>
    <m/>
    <m/>
    <x v="195"/>
    <x v="60"/>
    <m/>
    <s v="“Stuve-Wiedemann Sendromu Tanısıyla İzlenen Olguların Klinik ve Moleküler Özelliklerinin Değerlendirilmesi”"/>
    <m/>
    <m/>
    <m/>
    <m/>
    <m/>
    <m/>
    <m/>
    <m/>
    <m/>
    <m/>
  </r>
  <r>
    <m/>
    <m/>
    <x v="195"/>
    <x v="60"/>
    <m/>
    <s v="“Hemoroidektomi Sonrası Kanama ve Belirleyici Faktorlerin Degerlendirilmesi: Tek Merkezli Retrospektif Analiz”"/>
    <m/>
    <m/>
    <m/>
    <m/>
    <m/>
    <m/>
    <m/>
    <m/>
    <m/>
    <m/>
  </r>
  <r>
    <m/>
    <m/>
    <x v="195"/>
    <x v="60"/>
    <m/>
    <s v="“Abdominal Nöroblastom Cerrahisinin Böbrek Hacmi Üzerine Etkisi”"/>
    <m/>
    <m/>
    <m/>
    <m/>
    <m/>
    <m/>
    <m/>
    <m/>
    <m/>
    <m/>
  </r>
  <r>
    <m/>
    <m/>
    <x v="195"/>
    <x v="60"/>
    <m/>
    <s v="“Retinopati Tarama Muayenesinde İntranazal Deksmedetomidin: En Uygun Uygulama Zamanının Belirlenmesi”"/>
    <m/>
    <m/>
    <m/>
    <m/>
    <m/>
    <m/>
    <m/>
    <m/>
    <m/>
    <m/>
  </r>
  <r>
    <m/>
    <m/>
    <x v="195"/>
    <x v="60"/>
    <m/>
    <s v="“Histerosalpingografide Uterin Kavite Ölçümlerine Dayalı Uterus Morfometrisinin IVF/Embriyo Transfer Başarısı ile İlişkisinin Değerlendirilmesi”"/>
    <m/>
    <m/>
    <m/>
    <m/>
    <m/>
    <m/>
    <m/>
    <m/>
    <m/>
    <m/>
  </r>
  <r>
    <m/>
    <m/>
    <x v="195"/>
    <x v="60"/>
    <m/>
    <s v="“Hava Kirliliğine Mesleki Maruziyetin Oküler Yüzey Sağlığına Etkisi: Ankara'da Partikül Madde Düzeyleri ile İlişkilendirilmiş Açık Alan ve Ofis Çalışanlarında Gözyaşı İnflamatuar Sitokinlerinin Karşılaştırılması”"/>
    <m/>
    <m/>
    <m/>
    <m/>
    <m/>
    <m/>
    <m/>
    <m/>
    <m/>
    <m/>
  </r>
  <r>
    <m/>
    <m/>
    <x v="195"/>
    <x v="60"/>
    <m/>
    <s v="&quot;Astım Hastalarında Çocukluktan Erişkine Geçişin Tedavi Uyumu ve Takip Üzerine Etkisi&quot;"/>
    <m/>
    <m/>
    <m/>
    <m/>
    <m/>
    <m/>
    <m/>
    <m/>
    <m/>
    <m/>
  </r>
  <r>
    <m/>
    <m/>
    <x v="195"/>
    <x v="60"/>
    <m/>
    <s v="“Sürdürülebilirlik ve Çevre Dostu Eczacılık Uygulamaları Kapsamında Farmasötik Ayak İzi Konusunda Görüş ve Tutumların Değerlendirilmesi”"/>
    <m/>
    <m/>
    <m/>
    <m/>
    <m/>
    <m/>
    <m/>
    <m/>
    <m/>
    <m/>
  </r>
  <r>
    <m/>
    <m/>
    <x v="195"/>
    <x v="60"/>
    <m/>
    <s v="“Nefrotik Sendrom Tanılı Pediatrik Hastalarda Kapsamlı İlaç Yönetimi”"/>
    <m/>
    <m/>
    <m/>
    <m/>
    <m/>
    <m/>
    <m/>
    <m/>
    <m/>
    <m/>
  </r>
  <r>
    <m/>
    <m/>
    <x v="195"/>
    <x v="60"/>
    <m/>
    <s v="“Modülatör Tedavi Kullanan Kistik Fibrozis Tanılı Çocuk Hastalarımızın Özellikleri ve Mental Sağlık Durumları”"/>
    <m/>
    <m/>
    <m/>
    <m/>
    <m/>
    <m/>
    <m/>
    <m/>
    <m/>
    <m/>
  </r>
  <r>
    <m/>
    <m/>
    <x v="195"/>
    <x v="60"/>
    <m/>
    <s v="“Çocuk Yoğun Bakımda Basınç Yaralanması Prevalansı ve Etkileyen Faktörlerin Analizi: Retrospektif Bir Çalışma”"/>
    <m/>
    <m/>
    <m/>
    <m/>
    <m/>
    <m/>
    <m/>
    <m/>
    <m/>
    <m/>
  </r>
  <r>
    <m/>
    <m/>
    <x v="195"/>
    <x v="60"/>
    <m/>
    <s v="&quot;Oral Demir Preparatı Alerjisi Şüphesi Olan Hastalarda Alternatif Demir Tuzları ile Yapılan Oral Provokasyon Sonuçlarının Değerlendirilmesi&quot;"/>
    <m/>
    <m/>
    <m/>
    <m/>
    <m/>
    <m/>
    <m/>
    <m/>
    <m/>
    <m/>
  </r>
  <r>
    <m/>
    <m/>
    <x v="195"/>
    <x v="60"/>
    <m/>
    <s v="&quot;Erişkin Yaygın Değişken İmmün Yetmezlik Hastalarında Klinik Bulgular ve İmmünfenotipik Özelliklerin Analizi&quot;"/>
    <m/>
    <m/>
    <m/>
    <m/>
    <m/>
    <m/>
    <m/>
    <m/>
    <m/>
    <m/>
  </r>
  <r>
    <m/>
    <m/>
    <x v="195"/>
    <x v="60"/>
    <m/>
    <s v="“Vücut Yuvarlaklık İndeksi ve Vücut Şekil İndeksi ile Beyin Hacmi Arasındaki İlişkinin Hafif Bilişsel Bozukluğu veya Demansı olan Hastalarda Manyetik Rezonans Görüntüleme ile (MRG) Değerlendirilmesi”"/>
    <m/>
    <m/>
    <m/>
    <m/>
    <m/>
    <m/>
    <m/>
    <m/>
    <m/>
    <m/>
  </r>
  <r>
    <m/>
    <m/>
    <x v="195"/>
    <x v="60"/>
    <m/>
    <s v="“Yapay Zeka Destekli Yüz Analizi ile Estetik Cerrahi Sonuçlarının Objektif Değerlendirilmesi: Retrospektif Görsel Veri Analizi”"/>
    <m/>
    <m/>
    <m/>
    <m/>
    <m/>
    <m/>
    <m/>
    <m/>
    <m/>
    <m/>
  </r>
  <r>
    <m/>
    <m/>
    <x v="195"/>
    <x v="60"/>
    <m/>
    <s v="“Geriatrik Gastrostomi Olgularında Mortalite ve Gastroskopi Komplikasyonlarını Öngeren Faktörlerin Retrospektif Analizi”"/>
    <m/>
    <m/>
    <m/>
    <m/>
    <m/>
    <m/>
    <m/>
    <m/>
    <m/>
    <m/>
  </r>
  <r>
    <m/>
    <m/>
    <x v="195"/>
    <x v="60"/>
    <m/>
    <s v="“Allojenik Kemik İliği Nakli Sonrası Nüks Hastalıkta Yapılan Tedavilerin Klinik, Laboratuvar, Prognostik, Sağ Kalım ve Yan Etkiler Açısından Değerlendirilmesi”"/>
    <m/>
    <m/>
    <m/>
    <m/>
    <m/>
    <m/>
    <m/>
    <m/>
    <m/>
    <m/>
  </r>
  <r>
    <m/>
    <m/>
    <x v="195"/>
    <x v="60"/>
    <m/>
    <s v="“Menstrual Siklusun Farklı Dönemlerinde Aşil Tendon Elastisitesi ile Anterior Talofibular Ligament Kalınlığının Ultrasonografi ve Shear Wave Elastografi ile Değerlendirilmesi”"/>
    <m/>
    <m/>
    <m/>
    <m/>
    <m/>
    <m/>
    <m/>
    <m/>
    <m/>
    <m/>
  </r>
  <r>
    <m/>
    <m/>
    <x v="195"/>
    <x v="60"/>
    <m/>
    <s v="“Benzotiyofen Oksabütanoik Asit'in Endometriyum Kanserinde Karboplatin Direncine Etkilerinin İn Vitro Araştırılması”"/>
    <m/>
    <m/>
    <m/>
    <m/>
    <m/>
    <m/>
    <m/>
    <m/>
    <m/>
    <m/>
  </r>
  <r>
    <m/>
    <m/>
    <x v="195"/>
    <x v="60"/>
    <m/>
    <s v="“Kronik Plak Psöriazis Tanılı Hastalarda Hepatik Fibrozisin Değerlendirilmesi”"/>
    <m/>
    <m/>
    <m/>
    <m/>
    <m/>
    <m/>
    <m/>
    <m/>
    <m/>
    <m/>
  </r>
  <r>
    <m/>
    <m/>
    <x v="195"/>
    <x v="60"/>
    <m/>
    <s v="“Tuberositas İnterossea Ulnaris Morfolojik ve Morfometrik Özelliklerinin Değerlendirilmesi”"/>
    <m/>
    <m/>
    <m/>
    <m/>
    <m/>
    <m/>
    <m/>
    <m/>
    <m/>
    <m/>
  </r>
  <r>
    <m/>
    <m/>
    <x v="195"/>
    <x v="60"/>
    <m/>
    <s v="“Maksiller Retrüzyon ile Birlikte Obstrüktif Uyku Apne Sendromu Olan Çocuklarda Maksiller İlerletme Tedavisinin Etkilerinin Retrospektif Değerlendirilmesi”"/>
    <m/>
    <m/>
    <m/>
    <m/>
    <m/>
    <m/>
    <m/>
    <m/>
    <m/>
    <m/>
  </r>
  <r>
    <m/>
    <m/>
    <x v="195"/>
    <x v="60"/>
    <m/>
    <s v="“İnfertilitenin Psikolojik Yükü: İnfertilite Tedavisi Gören Kadınlarda Beck Umutsuzluk Ölçeği ile Umutsuzluk Düzeyinin Değerlendirilmesi”"/>
    <m/>
    <m/>
    <m/>
    <m/>
    <m/>
    <m/>
    <m/>
    <m/>
    <m/>
    <m/>
  </r>
  <r>
    <m/>
    <m/>
    <x v="195"/>
    <x v="60"/>
    <m/>
    <s v="“Antenatal Kortikosteroid Uygulanan Gebeliklerde Fetal Dolaşım Dinamiklerinin Longitudinal İzlemi ve Perinatal Sonuçlarla İlişkisi: Prospektif Gözlemsel Çalışma”"/>
    <m/>
    <m/>
    <m/>
    <m/>
    <m/>
    <m/>
    <m/>
    <m/>
    <m/>
    <m/>
  </r>
  <r>
    <m/>
    <m/>
    <x v="195"/>
    <x v="60"/>
    <m/>
    <s v="“Fetal Kardiyak Girişim Sonrası Fetal Hemodinamik Değişimler ve Perinatal Sonuçlar”"/>
    <m/>
    <m/>
    <m/>
    <m/>
    <m/>
    <m/>
    <m/>
    <m/>
    <m/>
    <m/>
  </r>
  <r>
    <m/>
    <m/>
    <x v="195"/>
    <x v="60"/>
    <m/>
    <s v="“Psikotik Bozukluklarda Tedaviye Direnç ile İlişkili Doğal Dil İşleme Değişkenlerinin ve Düşünce Süreci Bozukluklarının Değerlendirilmesi”"/>
    <m/>
    <m/>
    <m/>
    <m/>
    <m/>
    <m/>
    <m/>
    <m/>
    <m/>
    <m/>
  </r>
  <r>
    <m/>
    <m/>
    <x v="195"/>
    <x v="60"/>
    <m/>
    <s v="“Anoreksiya Nervoza ve Atipik Anoreksiya Nervoza Tanılı Ergenlerin Remisyon ve Relaps Süreçlerinin ve Yordayıcılarının Değerlendirilmesi”"/>
    <m/>
    <m/>
    <m/>
    <m/>
    <m/>
    <m/>
    <m/>
    <m/>
    <m/>
    <m/>
  </r>
  <r>
    <m/>
    <m/>
    <x v="195"/>
    <x v="60"/>
    <m/>
    <s v="“Doksan Yaş ve Üzeri Bireylerde Elektrokardiyografik Bulgular ve Aritmi Gelişiminde Rol Oynayan Faktörlerin Değerlendirilmesi”"/>
    <m/>
    <m/>
    <m/>
    <m/>
    <m/>
    <m/>
    <m/>
    <m/>
    <m/>
    <m/>
  </r>
  <r>
    <m/>
    <m/>
    <x v="195"/>
    <x v="60"/>
    <m/>
    <s v=", “Eczacılık Öğrencileri ve Eczacıların Mesleki İlaç Erişimine Bağlı Madde Kullanımı Niyet ve Davranışlarının İncelenmesi: Bir Anket Çalışması”"/>
    <m/>
    <m/>
    <m/>
    <m/>
    <m/>
    <m/>
    <m/>
    <m/>
    <m/>
    <m/>
  </r>
  <r>
    <m/>
    <m/>
    <x v="195"/>
    <x v="60"/>
    <m/>
    <s v="“Maksillofasiyal Protezlerde Konvansiyonel ve Dijital İş Akışlarına Yönelik Diş Hekimliği 4. ve 5. Sınıf Öğrencilerinin Bilgi Düzeyinin Değerlendirilmesi”"/>
    <m/>
    <m/>
    <m/>
    <m/>
    <m/>
    <m/>
    <m/>
    <m/>
    <m/>
    <m/>
  </r>
  <r>
    <m/>
    <m/>
    <x v="195"/>
    <x v="60"/>
    <m/>
    <s v="“Protetik Diş Tedavisinde Yapay Zeka Kullanımına Dair Diş Hekimliği 4. ve 5. Sınıf Öğrencilerinin Farkındalık, Tutum ve Etik Algılarının Değerlendirilmesi”"/>
    <m/>
    <m/>
    <m/>
    <m/>
    <m/>
    <m/>
    <m/>
    <m/>
    <m/>
    <m/>
  </r>
  <r>
    <m/>
    <m/>
    <x v="195"/>
    <x v="60"/>
    <m/>
    <s v="“Adölesan Dönemdeki Çocuklarda Kaygı Düzeyi ve Okul Başarasının Temporomandibular Eklem Bozuklukları ile İlişkisi”"/>
    <m/>
    <m/>
    <m/>
    <m/>
    <m/>
    <m/>
    <m/>
    <m/>
    <m/>
    <m/>
  </r>
  <r>
    <m/>
    <m/>
    <x v="195"/>
    <x v="60"/>
    <m/>
    <s v="''Kalp Nakli Bekleyen Çocukların Ailelerinin Bilgi Düzeyi ve Eğitim İhtiyaçlarının Belirlenmesi: Tek Merkez Örneği''"/>
    <m/>
    <m/>
    <m/>
    <m/>
    <m/>
    <m/>
    <m/>
    <m/>
    <m/>
    <m/>
  </r>
  <r>
    <m/>
    <m/>
    <x v="195"/>
    <x v="60"/>
    <m/>
    <s v="“Tanıdan Tedaviye Güncel Yaklaşımlar Eğitim Programlarının Memnuniyet Anket Sonuçlarının Değerlendirilmesi”"/>
    <m/>
    <m/>
    <m/>
    <m/>
    <m/>
    <m/>
    <m/>
    <m/>
    <m/>
    <m/>
  </r>
  <r>
    <m/>
    <m/>
    <x v="195"/>
    <x v="60"/>
    <m/>
    <s v="“Sistemik Lupus Eritematozus Nefritinde Osteoporoz Risk Faktörlerinin ve Fibroblast Büyüme Faktörü-23 Yolağının Rolünün İncelenmesi”"/>
    <m/>
    <m/>
    <m/>
    <m/>
    <m/>
    <m/>
    <m/>
    <m/>
    <m/>
    <m/>
  </r>
  <r>
    <m/>
    <m/>
    <x v="195"/>
    <x v="60"/>
    <m/>
    <s v="“Term Yenidoğanlarda Kord Klempleme Süresinin Erken Metabolik ve Solunumsal Sonuçlar Üzerine Etkisi”"/>
    <m/>
    <m/>
    <m/>
    <m/>
    <m/>
    <m/>
    <m/>
    <m/>
    <m/>
    <m/>
  </r>
  <r>
    <m/>
    <m/>
    <x v="195"/>
    <x v="60"/>
    <m/>
    <s v="“80 Yaş Üzeri Hastalarda Osteoporoz Bulguları ve Tedavi Yaklaşımlarının Retrospektif Analizi”"/>
    <m/>
    <m/>
    <m/>
    <m/>
    <m/>
    <m/>
    <m/>
    <m/>
    <m/>
    <m/>
  </r>
  <r>
    <m/>
    <m/>
    <x v="195"/>
    <x v="60"/>
    <m/>
    <s v="“KBB Hava Yolu Cerrahilerinde ChatGPT’nin Preoperatif Anestezi Risk Değerlendirme Performansının İncelenmesi”"/>
    <m/>
    <m/>
    <m/>
    <m/>
    <m/>
    <m/>
    <m/>
    <m/>
    <m/>
    <m/>
  </r>
  <r>
    <m/>
    <m/>
    <x v="195"/>
    <x v="60"/>
    <m/>
    <s v="“Acil Servislerin Uygunsuz Kullanımının İncelenmesi: Bir Üniversite Hastanesi Örneği”"/>
    <m/>
    <m/>
    <m/>
    <m/>
    <m/>
    <m/>
    <m/>
    <m/>
    <m/>
    <m/>
  </r>
  <r>
    <m/>
    <m/>
    <x v="195"/>
    <x v="60"/>
    <m/>
    <s v="“İkili Seçim Deneyi Yöntemi Kullanılarak 60 yaş üstü Bireylerin RSV Aşısı ile Aşılanma Davranışına Etki Edebilecek Faktörlerin Değerlendirilmesi”"/>
    <m/>
    <m/>
    <m/>
    <m/>
    <m/>
    <m/>
    <m/>
    <m/>
    <m/>
    <m/>
  </r>
  <r>
    <m/>
    <m/>
    <x v="195"/>
    <x v="60"/>
    <m/>
    <s v="“Kronik Spontan Ürtiker Hastalarında Nonsteroid Antiinflamatuvar İlaç (NSAİİ) Hipersensitivitesinin İncelenmesi”"/>
    <m/>
    <m/>
    <m/>
    <m/>
    <m/>
    <m/>
    <m/>
    <m/>
    <m/>
    <m/>
  </r>
  <r>
    <m/>
    <m/>
    <x v="195"/>
    <x v="60"/>
    <m/>
    <s v="“Acil Serviste Çocukluk Çağı Ekzantemlerinin Haritalanması: Bir Kesitsel Gözlemsel Çalışma”"/>
    <m/>
    <m/>
    <m/>
    <m/>
    <m/>
    <m/>
    <m/>
    <m/>
    <m/>
    <m/>
  </r>
  <r>
    <m/>
    <m/>
    <x v="195"/>
    <x v="60"/>
    <m/>
    <s v="“Dermatoloji Ayaktan ve Yatan Hasta Başvurularında Yama Testi Endikasyonlarının Belirlenmesi ve Klinik ile Test Sonuçlarının Korelasyonunun İncelenmesi”"/>
    <m/>
    <m/>
    <m/>
    <m/>
    <m/>
    <m/>
    <m/>
    <m/>
    <m/>
    <m/>
  </r>
  <r>
    <m/>
    <m/>
    <x v="195"/>
    <x v="60"/>
    <m/>
    <s v="“Yatan Hastalarda Malnütrisyonun Sıklığı ve Kas Kütlesi ile Cilt Altı Yağ Dokusu Kalınlığının Ultrasonografik Korelasyonu”"/>
    <m/>
    <m/>
    <m/>
    <m/>
    <m/>
    <m/>
    <m/>
    <m/>
    <m/>
    <m/>
  </r>
  <r>
    <m/>
    <m/>
    <x v="195"/>
    <x v="60"/>
    <m/>
    <s v="“Kornea Rejenerasyonuna Yönelik Enjekte Edilebilir Gözenekli İpek Mikrotaşıyıcıların In Vivo Çalışmalarda Kullanım Etkinliğinin Belirlenmesi”"/>
    <m/>
    <m/>
    <m/>
    <m/>
    <m/>
    <m/>
    <m/>
    <m/>
    <m/>
    <m/>
  </r>
  <r>
    <m/>
    <m/>
    <x v="195"/>
    <x v="60"/>
    <m/>
    <s v="“Plastik, Rekonstrüktif ve Estetik Cerrahi Polikliniği Hastalarında Hekime Ulaşma ve Tercih Kanallarının İncelenmesi”"/>
    <m/>
    <m/>
    <m/>
    <m/>
    <m/>
    <m/>
    <m/>
    <m/>
    <m/>
    <m/>
  </r>
  <r>
    <m/>
    <m/>
    <x v="195"/>
    <x v="60"/>
    <m/>
    <s v="“Non-Melanositik Deri Tümörlerinin Dermoskopik Özelliklerinin Polarize, Non-Polarize ve UV Modlar ile Karşılaştırılması”"/>
    <m/>
    <m/>
    <m/>
    <m/>
    <m/>
    <m/>
    <m/>
    <m/>
    <m/>
    <m/>
  </r>
  <r>
    <m/>
    <m/>
    <x v="195"/>
    <x v="60"/>
    <m/>
    <s v="“Acil Servise Akut Ataksi Nedeniyle Başvuran Hastaların Klinik Özellikleri ve Yaklaşım Algoritması”"/>
    <m/>
    <m/>
    <m/>
    <m/>
    <m/>
    <m/>
    <m/>
    <m/>
    <m/>
    <m/>
  </r>
  <r>
    <m/>
    <m/>
    <x v="195"/>
    <x v="60"/>
    <m/>
    <s v="“Yüksek Dereceli Servikal Lezyon Saptanan ve Konizasyon Uygulanan Hastalarda Cerrahi Sınır Pozitifliğinin Prognoza Olan Etkisi”"/>
    <m/>
    <m/>
    <m/>
    <m/>
    <m/>
    <m/>
    <m/>
    <m/>
    <m/>
    <m/>
  </r>
  <r>
    <m/>
    <m/>
    <x v="195"/>
    <x v="60"/>
    <m/>
    <s v="“Sepsis/Septik Şok Hastalarında PI, MEWS, qSOFA, APACHE II ve CRT Değerlerinin Analizi ve Klinik Sonuçlarla İlişkisi”"/>
    <m/>
    <m/>
    <m/>
    <m/>
    <m/>
    <m/>
    <m/>
    <m/>
    <m/>
    <m/>
  </r>
  <r>
    <m/>
    <m/>
    <x v="195"/>
    <x v="60"/>
    <m/>
    <s v="“Yapay Zekâ Yardımlı Analizler ile Jinekolojik Onkoloji Konsey Karar Süreçlerinin Geliştirilmesi”"/>
    <m/>
    <m/>
    <m/>
    <m/>
    <m/>
    <m/>
    <m/>
    <m/>
    <m/>
    <m/>
  </r>
  <r>
    <m/>
    <m/>
    <x v="195"/>
    <x v="60"/>
    <m/>
    <s v="“Obsesif Kompulsif Bozukluğu olan Ergenlerde Duyusal Profil ile İnteroseptif Farkındalık ve Doğruluğun İncelenmesi”"/>
    <m/>
    <m/>
    <m/>
    <m/>
    <m/>
    <m/>
    <m/>
    <m/>
    <m/>
    <m/>
  </r>
  <r>
    <m/>
    <m/>
    <x v="195"/>
    <x v="60"/>
    <m/>
    <s v="“Mayer-Rokitansky-Küster-Hauser Sendromlu Hastalarda Uterin Remnant Dokuların Anterior Neovajen Duvarı Oluşturulmasında Kullanıldığı Modifiye Davydov Tekniğinin Tanımlanması ve Uzun Dönem Sonuçlarının Analizi”"/>
    <m/>
    <m/>
    <m/>
    <m/>
    <m/>
    <m/>
    <m/>
    <m/>
    <m/>
    <m/>
  </r>
  <r>
    <m/>
    <m/>
    <x v="195"/>
    <x v="60"/>
    <m/>
    <s v="“Erişkin Kistik Fibrozis Hastalarında Genetik Mutasyon Kombinasyonları ile Organ Sistem Tutulumu İlişkisinin İncelenmesi ”"/>
    <m/>
    <m/>
    <m/>
    <m/>
    <m/>
    <m/>
    <m/>
    <m/>
    <m/>
    <m/>
  </r>
  <r>
    <m/>
    <m/>
    <x v="195"/>
    <x v="60"/>
    <m/>
    <s v="“Mohs Cerrahisi Fellowship Eğitiminde Kullanılan Ölçme ve Değerlendirme Araçlarıyla İlgili Eğitici ve Öğrenci Görüşleri”"/>
    <m/>
    <m/>
    <m/>
    <m/>
    <m/>
    <m/>
    <m/>
    <m/>
    <m/>
    <m/>
  </r>
  <r>
    <m/>
    <m/>
    <x v="195"/>
    <x v="60"/>
    <m/>
    <s v="“Bloom Sendromu Tanısı Alan Hastaların Klinik, Demografik ve İmmünolojik Özelliklerinin Değerlendirilmesi”"/>
    <m/>
    <m/>
    <m/>
    <m/>
    <m/>
    <m/>
    <m/>
    <m/>
    <m/>
    <m/>
  </r>
  <r>
    <m/>
    <m/>
    <x v="195"/>
    <x v="60"/>
    <m/>
    <s v="“Tuberositas İnterossea Radii Morfolojik ve Morfometrik Özelliklerinin Değerlendirilmesi”"/>
    <m/>
    <m/>
    <m/>
    <m/>
    <m/>
    <m/>
    <m/>
    <m/>
    <m/>
    <m/>
  </r>
  <r>
    <m/>
    <m/>
    <x v="195"/>
    <x v="60"/>
    <m/>
    <s v="“Açık Apeksli Devital Dişlerde Vaka Seçimi ve Klinik Protokol Açısından Pratisyen Diş Hekimleri, Endodonti Uzmanları ve Pedodonti Uzmanlarının Tedavi Yaklaşımları”"/>
    <m/>
    <m/>
    <m/>
    <m/>
    <m/>
    <m/>
    <m/>
    <m/>
    <m/>
    <m/>
  </r>
  <r>
    <m/>
    <m/>
    <x v="195"/>
    <x v="60"/>
    <m/>
    <s v="“Beyin Omurilik Sıvısı Örneklerinde Alkol ve Psikoaktif Madde Düzeylerinin Değerlendirilmesi”"/>
    <m/>
    <m/>
    <m/>
    <m/>
    <m/>
    <m/>
    <m/>
    <m/>
    <m/>
    <m/>
  </r>
  <r>
    <m/>
    <m/>
    <x v="195"/>
    <x v="60"/>
    <m/>
    <s v="“Kistik Fibrozisli Çocuklarda Kistik Fibrozis Transmembran Kondüktans Regülatör Modülatör Tedavisinin Beslenme Durumu ve Hepatobiliyer Sistem Üzerine Etkisi”"/>
    <m/>
    <m/>
    <m/>
    <m/>
    <m/>
    <m/>
    <m/>
    <m/>
    <m/>
    <m/>
  </r>
  <r>
    <m/>
    <m/>
    <x v="195"/>
    <x v="60"/>
    <m/>
    <s v="“Multisistem İnflamatuvar Sendrom (MIS-C)’da, Sistemik Siklik Dinükleotitler (CDN’ler) ve İnterferon Genlerini Uyarıcı (STING) Yolu Aktivasyonu: Hiperinflamasyona İmmünopatolojik Bakış”"/>
    <m/>
    <m/>
    <m/>
    <m/>
    <m/>
    <m/>
    <m/>
    <m/>
    <m/>
    <m/>
  </r>
  <r>
    <m/>
    <m/>
    <x v="195"/>
    <x v="60"/>
    <m/>
    <s v="“Alt Ekstremitede Pliometrik Egzersiz Şiddetinin Belirlenmesi”"/>
    <m/>
    <m/>
    <m/>
    <m/>
    <m/>
    <m/>
    <m/>
    <m/>
    <m/>
    <m/>
  </r>
  <r>
    <m/>
    <m/>
    <x v="195"/>
    <x v="60"/>
    <m/>
    <s v="“Çocuklarda Pnömokok Taşıyıcılığı: Kültürün Ötesinde Moleküler Doğruluk”"/>
    <m/>
    <m/>
    <m/>
    <m/>
    <m/>
    <m/>
    <m/>
    <m/>
    <m/>
    <m/>
  </r>
  <r>
    <m/>
    <m/>
    <x v="195"/>
    <x v="60"/>
    <m/>
    <s v="“Uzun Süreli Glukokortikoid Kullanımına Bağlı Adrenal Yetmezlikte İlaç Kesim Sürecinin İncelenmesi”"/>
    <m/>
    <m/>
    <m/>
    <m/>
    <m/>
    <m/>
    <m/>
    <m/>
    <m/>
    <m/>
  </r>
  <r>
    <m/>
    <m/>
    <x v="195"/>
    <x v="60"/>
    <m/>
    <s v="“Subkutan İmmunoglobulin Replasman Tedavisi Almış Olan Primer İmmün Yetmezlik Hastalarının Özelliklerinin Değerlendirilmesi”"/>
    <m/>
    <m/>
    <m/>
    <m/>
    <m/>
    <m/>
    <m/>
    <m/>
    <m/>
    <m/>
  </r>
  <r>
    <m/>
    <m/>
    <x v="195"/>
    <x v="6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95"/>
    <x v="60"/>
    <m/>
    <s v="“Geri Dönüşümsüz Pulpitislerde Makrofaj Polarizasyonunun İncelenmesi”"/>
    <m/>
    <m/>
    <m/>
    <m/>
    <m/>
    <m/>
    <m/>
    <m/>
    <m/>
    <m/>
  </r>
  <r>
    <m/>
    <m/>
    <x v="195"/>
    <x v="60"/>
    <m/>
    <s v="“El Kavrama Kuvvetinin Ölçümünde Squegg'in Geriatrik Popülasyondaki Tanısal Geçerliliği”"/>
    <m/>
    <m/>
    <m/>
    <m/>
    <m/>
    <m/>
    <m/>
    <m/>
    <m/>
    <m/>
  </r>
  <r>
    <m/>
    <m/>
    <x v="195"/>
    <x v="60"/>
    <m/>
    <s v="“MELD 3.0 ve GEMA skorlarının Siroz Hastalarında Mortalite Öngörüsünde Etkinliğinin Araştırılması”"/>
    <m/>
    <m/>
    <m/>
    <m/>
    <m/>
    <m/>
    <m/>
    <m/>
    <m/>
    <m/>
  </r>
  <r>
    <m/>
    <m/>
    <x v="195"/>
    <x v="60"/>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6" cacheId="5" dataOnRows="0" dataCaption="Değerler"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1:E198" firstHeaderRow="1" firstDataRow="1" firstDataCol="1"/>
  <pivotFields count="16">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descending" defaultSubtotal="1">
      <items count="198">
        <item t="data" sd="1" x="56"/>
        <item t="data" sd="1" x="86"/>
        <item t="data" sd="1" x="85"/>
        <item t="data" sd="1" x="77"/>
        <item t="data" sd="1" x="6"/>
        <item t="data" sd="1" x="44"/>
        <item t="data" sd="1" x="80"/>
        <item t="data" sd="1" x="91"/>
        <item t="data" sd="1" x="98"/>
        <item t="data" sd="1" x="20"/>
        <item t="data" sd="1" x="57"/>
        <item t="data" sd="1" x="75"/>
        <item t="data" sd="1" x="66"/>
        <item t="data" sd="1" x="42"/>
        <item t="data" sd="1" x="63"/>
        <item t="data" sd="1" x="2"/>
        <item t="data" sd="1" x="73"/>
        <item t="data" sd="1" x="32"/>
        <item t="data" sd="1" x="60"/>
        <item t="data" sd="1" x="72"/>
        <item t="data" sd="1" x="74"/>
        <item t="data" sd="1" x="25"/>
        <item t="data" sd="1" x="69"/>
        <item t="data" sd="1" x="45"/>
        <item t="data" sd="1" x="7"/>
        <item t="data" sd="1" x="33"/>
        <item t="data" sd="1" x="107"/>
        <item t="data" sd="1" x="93"/>
        <item t="data" sd="1" x="96"/>
        <item t="data" sd="1" x="17"/>
        <item t="data" sd="1" x="84"/>
        <item t="data" sd="1" x="59"/>
        <item t="data" sd="1" x="34"/>
        <item t="data" sd="1" x="104"/>
        <item t="data" sd="1" x="99"/>
        <item t="data" sd="1" x="52"/>
        <item t="data" sd="1" x="79"/>
        <item t="data" sd="1" x="109"/>
        <item t="data" sd="1" x="105"/>
        <item t="data" sd="1" x="18"/>
        <item t="data" sd="1" x="23"/>
        <item t="data" sd="1" x="62"/>
        <item t="data" sd="1" x="94"/>
        <item t="data" sd="1" x="88"/>
        <item t="data" sd="1" x="83"/>
        <item t="data" sd="1" x="55"/>
        <item t="data" sd="1" x="13"/>
        <item t="data" sd="1" x="0"/>
        <item t="data" sd="1" x="82"/>
        <item t="data" sd="1" x="28"/>
        <item t="data" sd="1" x="8"/>
        <item t="data" sd="1" x="31"/>
        <item t="data" sd="1" x="37"/>
        <item t="data" sd="1" x="14"/>
        <item t="data" sd="1" x="90"/>
        <item t="data" sd="1" x="103"/>
        <item t="data" sd="1" x="89"/>
        <item t="data" sd="1" x="76"/>
        <item t="data" sd="1" x="41"/>
        <item t="data" sd="1" x="16"/>
        <item t="data" sd="1" x="3"/>
        <item t="data" sd="1" x="35"/>
        <item t="data" sd="1" x="54"/>
        <item t="data" sd="1" x="87"/>
        <item t="data" sd="1" x="46"/>
        <item t="data" sd="1" x="108"/>
        <item t="data" sd="1" x="36"/>
        <item t="data" sd="1" x="100"/>
        <item t="data" sd="1" x="27"/>
        <item t="data" sd="1" x="21"/>
        <item t="data" sd="1" x="1"/>
        <item t="data" sd="1" x="53"/>
        <item t="data" sd="1" x="15"/>
        <item t="data" sd="1" x="71"/>
        <item t="data" sd="1" x="78"/>
        <item t="data" sd="1" x="50"/>
        <item t="data" sd="1" x="92"/>
        <item t="data" sd="1" x="24"/>
        <item t="data" sd="1" x="106"/>
        <item t="data" sd="1" x="51"/>
        <item t="data" sd="1" x="26"/>
        <item t="data" sd="1" x="43"/>
        <item t="data" sd="1" x="48"/>
        <item t="data" sd="1" x="5"/>
        <item t="data" sd="1" x="29"/>
        <item t="data" sd="1" x="11"/>
        <item t="data" sd="1" x="110"/>
        <item t="data" sd="1" x="68"/>
        <item t="data" sd="1" x="19"/>
        <item t="data" sd="1" x="12"/>
        <item t="data" sd="1" x="40"/>
        <item t="data" sd="1" x="10"/>
        <item t="data" sd="1" x="58"/>
        <item t="data" sd="1" x="4"/>
        <item t="data" sd="1" x="64"/>
        <item t="data" sd="1" x="38"/>
        <item t="data" sd="1" x="95"/>
        <item t="data" sd="1" x="70"/>
        <item t="data" sd="1" x="49"/>
        <item t="data" sd="1" x="81"/>
        <item t="data" sd="1" x="101"/>
        <item t="data" sd="1" x="22"/>
        <item t="data" sd="1" x="61"/>
        <item t="data" sd="1" x="39"/>
        <item t="data" sd="1" x="67"/>
        <item t="data" sd="1" x="47"/>
        <item t="data" sd="1" x="65"/>
        <item t="data" sd="1" x="102"/>
        <item t="data" sd="1" x="9"/>
        <item t="data" sd="1" x="30"/>
        <item t="data" sd="1" x="97"/>
        <item t="data" sd="1" x="195"/>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m="1" x="196"/>
        <item t="data" sd="1" x="180"/>
        <item t="data" sd="1" x="181"/>
        <item t="data" sd="1" x="182"/>
        <item t="data" sd="1" x="183"/>
        <item t="data" sd="1" x="184"/>
        <item t="data" sd="1" x="185"/>
        <item t="data" sd="1" x="186"/>
        <item t="data" sd="1" x="187"/>
        <item t="data" sd="1" x="188"/>
        <item t="data" sd="1" x="189"/>
        <item t="data" sd="1" x="190"/>
        <item t="data" sd="1" x="191"/>
        <item t="data" sd="1" x="179"/>
        <item t="data" sd="1" x="192"/>
        <item t="data" sd="1" x="193"/>
        <item t="data" sd="1" x="194"/>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197">
    <i t="data" r="0" i="0">
      <x v="83"/>
    </i>
    <i t="data" r="0" i="0">
      <x v="82"/>
    </i>
    <i t="data" r="0" i="0">
      <x v="109"/>
    </i>
    <i t="data" r="0" i="0">
      <x v="40"/>
    </i>
    <i t="data" r="0" i="0">
      <x v="39"/>
    </i>
    <i t="data" r="0" i="0">
      <x v="35"/>
    </i>
    <i t="data" r="0" i="0">
      <x v="98"/>
    </i>
    <i t="data" r="0" i="0">
      <x v="28"/>
    </i>
    <i t="data" r="0" i="0">
      <x v="53"/>
    </i>
    <i t="data" r="0" i="0">
      <x v="105"/>
    </i>
    <i t="data" r="0" i="0">
      <x v="14"/>
    </i>
    <i t="data" r="0" i="0">
      <x v="72"/>
    </i>
    <i t="data" r="0" i="0">
      <x v="22"/>
    </i>
    <i t="data" r="0" i="0">
      <x v="30"/>
    </i>
    <i t="data" r="0" i="0">
      <x v="20"/>
    </i>
    <i t="data" r="0" i="0">
      <x v="32"/>
    </i>
    <i t="data" r="0" i="0">
      <x v="139"/>
    </i>
    <i t="data" r="0" i="0">
      <x v="5"/>
    </i>
    <i t="data" r="0" i="0">
      <x v="172"/>
    </i>
    <i t="data" r="0" i="0">
      <x v="193"/>
    </i>
    <i t="data" r="0" i="0">
      <x v="19"/>
    </i>
    <i t="data" r="0" i="0">
      <x v="102"/>
    </i>
    <i t="data" r="0" i="0">
      <x v="54"/>
    </i>
    <i t="data" r="0" i="0">
      <x v="15"/>
    </i>
    <i t="data" r="0" i="0">
      <x v="63"/>
    </i>
    <i t="data" r="0" i="0">
      <x v="64"/>
    </i>
    <i t="data" r="0" i="0">
      <x v="44"/>
    </i>
    <i t="data" r="0" i="0">
      <x v="88"/>
    </i>
    <i t="data" r="0" i="0">
      <x v="147"/>
    </i>
    <i t="data" r="0" i="0">
      <x v="126"/>
    </i>
    <i t="data" r="0" i="0">
      <x v="101"/>
    </i>
    <i t="data" r="0" i="0">
      <x v="9"/>
    </i>
    <i t="data" r="0" i="0">
      <x v="143"/>
    </i>
    <i t="data" r="0" i="0">
      <x v="33"/>
    </i>
    <i t="data" r="0" i="0">
      <x v="167"/>
    </i>
    <i t="data" r="0" i="0">
      <x v="13"/>
    </i>
    <i t="data" r="0" i="0">
      <x v="114"/>
    </i>
    <i t="data" r="0" i="0">
      <x v="45"/>
    </i>
    <i t="data" r="0" i="0">
      <x v="136"/>
    </i>
    <i t="data" r="0" i="0">
      <x v="46"/>
    </i>
    <i t="data" r="0" i="0">
      <x v="145"/>
    </i>
    <i t="data" r="0" i="0">
      <x v="48"/>
    </i>
    <i t="data" r="0" i="0">
      <x v="159"/>
    </i>
    <i t="data" r="0" i="0">
      <x v="49"/>
    </i>
    <i t="data" r="0" i="0">
      <x v="169"/>
    </i>
    <i t="data" r="0" i="0">
      <x v="3"/>
    </i>
    <i t="data" r="0" i="0">
      <x v="178"/>
    </i>
    <i t="data" r="0" i="0">
      <x v="56"/>
    </i>
    <i t="data" r="0" i="0">
      <x v="122"/>
    </i>
    <i t="data" r="0" i="0">
      <x v="57"/>
    </i>
    <i t="data" r="0" i="0">
      <x v="132"/>
    </i>
    <i t="data" r="0" i="0">
      <x v="62"/>
    </i>
    <i t="data" r="0" i="0">
      <x v="138"/>
    </i>
    <i t="data" r="0" i="0">
      <x v="17"/>
    </i>
    <i t="data" r="0" i="0">
      <x v="144"/>
    </i>
    <i t="data" r="0" i="0">
      <x v="68"/>
    </i>
    <i t="data" r="0" i="0">
      <x v="146"/>
    </i>
    <i t="data" r="0" i="0">
      <x v="71"/>
    </i>
    <i t="data" r="0" i="0">
      <x v="157"/>
    </i>
    <i t="data" r="0" i="0">
      <x v="76"/>
    </i>
    <i t="data" r="0" i="0">
      <x v="162"/>
    </i>
    <i t="data" r="0" i="0">
      <x v="1"/>
    </i>
    <i t="data" r="0" i="0">
      <x v="168"/>
    </i>
    <i t="data" r="0" i="0">
      <x v="87"/>
    </i>
    <i t="data" r="0" i="0">
      <x v="175"/>
    </i>
    <i t="data" r="0" i="0">
      <x v="21"/>
    </i>
    <i t="data" r="0" i="0">
      <x v="7"/>
    </i>
    <i t="data" r="0" i="0">
      <x v="131"/>
    </i>
    <i t="data" r="0" i="0">
      <x v="163"/>
    </i>
    <i t="data" r="0" i="0">
      <x v="59"/>
    </i>
    <i t="data" r="0" i="0">
      <x v="41"/>
    </i>
    <i t="data" r="0" i="0">
      <x v="123"/>
    </i>
    <i t="data" r="0" i="0">
      <x v="69"/>
    </i>
    <i t="data" r="0" i="0">
      <x v="26"/>
    </i>
    <i t="data" r="0" i="0">
      <x v="70"/>
    </i>
    <i t="data" r="0" i="0">
      <x v="155"/>
    </i>
    <i t="data" r="0" i="0">
      <x v="42"/>
    </i>
    <i t="data" r="0" i="0">
      <x v="171"/>
    </i>
    <i t="data" r="0" i="0">
      <x v="18"/>
    </i>
    <i t="data" r="0" i="0">
      <x v="127"/>
    </i>
    <i t="data" r="0" i="0">
      <x v="73"/>
    </i>
    <i t="data" r="0" i="0">
      <x v="135"/>
    </i>
    <i t="data" r="0" i="0">
      <x v="74"/>
    </i>
    <i t="data" r="0" i="0">
      <x v="55"/>
    </i>
    <i t="data" r="0" i="0">
      <x v="75"/>
    </i>
    <i t="data" r="0" i="0">
      <x v="151"/>
    </i>
    <i t="data" r="0" i="0">
      <x v="43"/>
    </i>
    <i t="data" r="0" i="0">
      <x v="61"/>
    </i>
    <i t="data" r="0" i="0">
      <x v="77"/>
    </i>
    <i t="data" r="0" i="0">
      <x v="16"/>
    </i>
    <i t="data" r="0" i="0">
      <x v="78"/>
    </i>
    <i t="data" r="0" i="0">
      <x v="66"/>
    </i>
    <i t="data" r="0" i="0">
      <x v="79"/>
    </i>
    <i t="data" r="0" i="0">
      <x v="125"/>
    </i>
    <i t="data" r="0" i="0">
      <x v="80"/>
    </i>
    <i t="data" r="0" i="0">
      <x v="129"/>
    </i>
    <i t="data" r="0" i="0">
      <x v="81"/>
    </i>
    <i t="data" r="0" i="0">
      <x v="133"/>
    </i>
    <i t="data" r="0" i="0">
      <x v="4"/>
    </i>
    <i t="data" r="0" i="0">
      <x v="137"/>
    </i>
    <i t="data" r="0" i="0">
      <x v="31"/>
    </i>
    <i t="data" r="0" i="0">
      <x v="141"/>
    </i>
    <i t="data" r="0" i="0">
      <x v="84"/>
    </i>
    <i t="data" r="0" i="0">
      <x v="38"/>
    </i>
    <i t="data" r="0" i="0">
      <x v="85"/>
    </i>
    <i t="data" r="0" i="0">
      <x v="149"/>
    </i>
    <i t="data" r="0" i="0">
      <x v="86"/>
    </i>
    <i t="data" r="0" i="0">
      <x v="153"/>
    </i>
    <i t="data" r="0" i="0">
      <x v="29"/>
    </i>
    <i t="data" r="0" i="0">
      <x v="60"/>
    </i>
    <i t="data" r="0" i="0">
      <x v="179"/>
    </i>
    <i t="data" r="0" i="0">
      <x v="161"/>
    </i>
    <i t="data" r="0" i="0">
      <x v="181"/>
    </i>
    <i t="data" r="0" i="0">
      <x v="165"/>
    </i>
    <i t="data" r="0" i="0">
      <x v="183"/>
    </i>
    <i t="data" r="0" i="0">
      <x v="65"/>
    </i>
    <i t="data" r="0" i="0">
      <x v="185"/>
    </i>
    <i t="data" r="0" i="0">
      <x v="173"/>
    </i>
    <i t="data" r="0" i="0">
      <x v="187"/>
    </i>
    <i t="data" r="0" i="0">
      <x v="177"/>
    </i>
    <i t="data" r="0" i="0">
      <x v="189"/>
    </i>
    <i t="data" r="0" i="0">
      <x v="124"/>
    </i>
    <i t="data" r="0" i="0">
      <x v="191"/>
    </i>
    <i t="data" r="0" i="0">
      <x v="51"/>
    </i>
    <i t="data" r="0" i="0">
      <x v="8"/>
    </i>
    <i t="data" r="0" i="0">
      <x v="128"/>
    </i>
    <i t="data" r="0" i="0">
      <x v="195"/>
    </i>
    <i t="data" r="0" i="0">
      <x v="130"/>
    </i>
    <i t="data" r="0" i="0">
      <x v="0"/>
    </i>
    <i t="data" r="0" i="0">
      <x v="52"/>
    </i>
    <i t="data" r="0" i="0">
      <x v="6"/>
    </i>
    <i t="data" r="0" i="0">
      <x v="134"/>
    </i>
    <i t="data" r="0" i="0">
      <x v="99"/>
    </i>
    <i t="data" r="0" i="0">
      <x v="2"/>
    </i>
    <i t="data" r="0" i="0">
      <x v="100"/>
    </i>
    <i t="data" r="0" i="0">
      <x v="36"/>
    </i>
    <i t="data" r="0" i="0">
      <x v="47"/>
    </i>
    <i t="data" r="0" i="0">
      <x v="140"/>
    </i>
    <i t="data" r="0" i="0">
      <x v="34"/>
    </i>
    <i t="data" r="0" i="0">
      <x v="142"/>
    </i>
    <i t="data" r="0" i="0">
      <x v="103"/>
    </i>
    <i t="data" r="0" i="0">
      <x v="37"/>
    </i>
    <i t="data" r="0" i="0">
      <x v="104"/>
    </i>
    <i t="data" r="0" i="0">
      <x v="58"/>
    </i>
    <i t="data" r="0" i="0">
      <x v="24"/>
    </i>
    <i t="data" r="0" i="0">
      <x v="148"/>
    </i>
    <i t="data" r="0" i="0">
      <x v="106"/>
    </i>
    <i t="data" r="0" i="0">
      <x v="150"/>
    </i>
    <i t="data" r="0" i="0">
      <x v="107"/>
    </i>
    <i t="data" r="0" i="0">
      <x v="152"/>
    </i>
    <i t="data" r="0" i="0">
      <x v="108"/>
    </i>
    <i t="data" r="0" i="0">
      <x v="154"/>
    </i>
    <i t="data" r="0" i="0">
      <x v="25"/>
    </i>
    <i t="data" r="0" i="0">
      <x v="156"/>
    </i>
    <i t="data" r="0" i="0">
      <x v="110"/>
    </i>
    <i t="data" r="0" i="0">
      <x v="158"/>
    </i>
    <i t="data" r="0" i="0">
      <x v="112"/>
    </i>
    <i t="data" r="0" i="0">
      <x v="160"/>
    </i>
    <i t="data" r="0" i="0">
      <x v="113"/>
    </i>
    <i t="data" r="0" i="0">
      <x v="11"/>
    </i>
    <i t="data" r="0" i="0">
      <x v="10"/>
    </i>
    <i t="data" r="0" i="0">
      <x v="164"/>
    </i>
    <i t="data" r="0" i="0">
      <x v="115"/>
    </i>
    <i t="data" r="0" i="0">
      <x v="166"/>
    </i>
    <i t="data" r="0" i="0">
      <x v="116"/>
    </i>
    <i t="data" r="0" i="0">
      <x v="12"/>
    </i>
    <i t="data" r="0" i="0">
      <x v="117"/>
    </i>
    <i t="data" r="0" i="0">
      <x v="170"/>
    </i>
    <i t="data" r="0" i="0">
      <x v="118"/>
    </i>
    <i t="data" r="0" i="0">
      <x v="27"/>
    </i>
    <i t="data" r="0" i="0">
      <x v="119"/>
    </i>
    <i t="data" r="0" i="0">
      <x v="174"/>
    </i>
    <i t="data" r="0" i="0">
      <x v="120"/>
    </i>
    <i t="data" r="0" i="0">
      <x v="176"/>
    </i>
    <i t="data" r="0" i="0">
      <x v="121"/>
    </i>
    <i t="data" r="0" i="0">
      <x v="67"/>
    </i>
    <i t="data" r="0" i="0">
      <x v="50"/>
    </i>
    <i t="data" r="0" i="0">
      <x v="23"/>
    </i>
    <i t="data" r="0" i="0">
      <x v="182"/>
    </i>
    <i t="data" r="0" i="0">
      <x v="89"/>
    </i>
    <i t="data" r="0" i="0">
      <x v="184"/>
    </i>
    <i t="data" r="0" i="0">
      <x v="90"/>
    </i>
    <i t="data" r="0" i="0">
      <x v="186"/>
    </i>
    <i t="data" r="0" i="0">
      <x v="91"/>
    </i>
    <i t="data" r="0" i="0">
      <x v="188"/>
    </i>
    <i t="data" r="0" i="0">
      <x v="92"/>
    </i>
    <i t="data" r="0" i="0">
      <x v="190"/>
    </i>
    <i t="data" r="0" i="0">
      <x v="93"/>
    </i>
    <i t="data" r="0" i="0">
      <x v="192"/>
    </i>
    <i t="data" r="0" i="0">
      <x v="94"/>
    </i>
    <i t="data" r="0" i="0">
      <x v="194"/>
    </i>
    <i t="data" r="0" i="0">
      <x v="95"/>
    </i>
    <i t="data" r="0" i="0">
      <x v="196"/>
    </i>
    <i t="data" r="0" i="0">
      <x v="96"/>
    </i>
    <i t="data" r="0" i="0">
      <x v="97"/>
    </i>
    <i t="data" r="0" i="0">
      <x v="111"/>
    </i>
    <i t="grand" r="0" i="0">
      <x v="0"/>
    </i>
  </rowItems>
  <colItems count="1">
    <i t="data" r="0" i="0"/>
  </colItems>
  <dataFields count="1">
    <dataField name="Say SORUMLUSU" fld="2" subtotal="count" showDataAs="normal" baseField="0" baseItem="0"/>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 dataOnRows="0" dataCaption="Değerler"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B63" firstHeaderRow="1" firstDataRow="1" firstDataCol="1"/>
  <pivotFields count="16">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descending" defaultSubtotal="1">
      <items count="62">
        <item t="data" sd="1" x="17"/>
        <item t="data" sd="1" x="38"/>
        <item t="data" sd="1" x="21"/>
        <item t="data" sd="1" x="13"/>
        <item t="data" sd="1" x="36"/>
        <item t="data" sd="1" x="46"/>
        <item t="data" sd="1" x="30"/>
        <item t="data" sd="1" x="18"/>
        <item t="data" sd="1" x="7"/>
        <item t="data" sd="1" x="26"/>
        <item t="data" sd="1" x="6"/>
        <item t="data" sd="1" x="45"/>
        <item t="data" sd="1" x="39"/>
        <item t="data" sd="1" x="4"/>
        <item t="data" sd="1" x="27"/>
        <item t="data" sd="1" x="14"/>
        <item t="data" sd="1" x="12"/>
        <item t="data" sd="1" x="15"/>
        <item t="data" sd="1" x="25"/>
        <item t="data" sd="1" x="42"/>
        <item t="data" sd="1" x="9"/>
        <item t="data" sd="1" x="5"/>
        <item t="data" sd="1" x="19"/>
        <item t="data" sd="1" x="20"/>
        <item t="data" sd="1" x="32"/>
        <item t="data" sd="1" x="23"/>
        <item t="data" sd="1" x="3"/>
        <item t="data" sd="1" x="1"/>
        <item t="data" sd="1" x="29"/>
        <item t="data" sd="1" x="22"/>
        <item t="data" sd="1" x="24"/>
        <item t="data" sd="1" x="31"/>
        <item t="data" sd="1" x="44"/>
        <item t="data" sd="1" x="40"/>
        <item t="data" sd="1" x="34"/>
        <item t="data" sd="1" x="2"/>
        <item t="data" sd="1" x="35"/>
        <item t="data" sd="1" x="28"/>
        <item t="data" sd="1" x="0"/>
        <item t="data" sd="1" x="16"/>
        <item t="data" sd="1" x="41"/>
        <item t="data" sd="1" x="37"/>
        <item t="data" sd="1" x="11"/>
        <item t="data" sd="1" x="43"/>
        <item t="data" sd="1" x="8"/>
        <item t="data" sd="1" x="10"/>
        <item t="data" sd="1" x="33"/>
        <item t="data" sd="1" x="60"/>
        <item t="data" sd="1" x="47"/>
        <item t="data" sd="1" x="48"/>
        <item t="data" sd="1" x="49"/>
        <item t="data" sd="1" x="50"/>
        <item t="data" sd="1" x="51"/>
        <item t="data" sd="1" x="52"/>
        <item t="data" sd="1" x="53"/>
        <item t="data" sd="1" x="54"/>
        <item t="data" sd="1" x="55"/>
        <item t="data" sd="1" x="56"/>
        <item t="data" sd="1" x="57"/>
        <item t="data" sd="1" x="58"/>
        <item t="data" sd="1" x="59"/>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3"/>
  </rowFields>
  <rowItems count="62">
    <i t="data" r="0" i="0">
      <x v="7"/>
    </i>
    <i t="data" r="0" i="0">
      <x v="21"/>
    </i>
    <i t="data" r="0" i="0">
      <x v="22"/>
    </i>
    <i t="data" r="0" i="0">
      <x v="35"/>
    </i>
    <i t="data" r="0" i="0">
      <x v="31"/>
    </i>
    <i t="data" r="0" i="0">
      <x v="16"/>
    </i>
    <i t="data" r="0" i="0">
      <x v="24"/>
    </i>
    <i t="data" r="0" i="0">
      <x v="28"/>
    </i>
    <i t="data" r="0" i="0">
      <x v="25"/>
    </i>
    <i t="data" r="0" i="0">
      <x v="9"/>
    </i>
    <i t="data" r="0" i="0">
      <x v="8"/>
    </i>
    <i t="data" r="0" i="0">
      <x v="2"/>
    </i>
    <i t="data" r="0" i="0">
      <x v="17"/>
    </i>
    <i t="data" r="0" i="0">
      <x v="30"/>
    </i>
    <i t="data" r="0" i="0">
      <x v="23"/>
    </i>
    <i t="data" r="0" i="0">
      <x v="6"/>
    </i>
    <i t="data" r="0" i="0">
      <x v="29"/>
    </i>
    <i t="data" r="0" i="0">
      <x v="0"/>
    </i>
    <i t="data" r="0" i="0">
      <x v="3"/>
    </i>
    <i t="data" r="0" i="0">
      <x v="39"/>
    </i>
    <i t="data" r="0" i="0">
      <x v="14"/>
    </i>
    <i t="data" r="0" i="0">
      <x v="34"/>
    </i>
    <i t="data" r="0" i="0">
      <x v="33"/>
    </i>
    <i t="data" r="0" i="0">
      <x v="46"/>
    </i>
    <i t="data" r="0" i="0">
      <x v="50"/>
    </i>
    <i t="data" r="0" i="0">
      <x v="15"/>
    </i>
    <i t="data" r="0" i="0">
      <x v="42"/>
    </i>
    <i t="data" r="0" i="0">
      <x v="40"/>
    </i>
    <i t="data" r="0" i="0">
      <x v="20"/>
    </i>
    <i t="data" r="0" i="0">
      <x v="18"/>
    </i>
    <i t="data" r="0" i="0">
      <x v="1"/>
    </i>
    <i t="data" r="0" i="0">
      <x v="10"/>
    </i>
    <i t="data" r="0" i="0">
      <x v="36"/>
    </i>
    <i t="data" r="0" i="0">
      <x v="53"/>
    </i>
    <i t="data" r="0" i="0">
      <x v="51"/>
    </i>
    <i t="data" r="0" i="0">
      <x v="32"/>
    </i>
    <i t="data" r="0" i="0">
      <x v="19"/>
    </i>
    <i t="data" r="0" i="0">
      <x v="57"/>
    </i>
    <i t="data" r="0" i="0">
      <x v="49"/>
    </i>
    <i t="data" r="0" i="0">
      <x v="12"/>
    </i>
    <i t="data" r="0" i="0">
      <x v="38"/>
    </i>
    <i t="data" r="0" i="0">
      <x v="55"/>
    </i>
    <i t="data" r="0" i="0">
      <x v="11"/>
    </i>
    <i t="data" r="0" i="0">
      <x v="59"/>
    </i>
    <i t="data" r="0" i="0">
      <x v="26"/>
    </i>
    <i t="data" r="0" i="0">
      <x v="48"/>
    </i>
    <i t="data" r="0" i="0">
      <x v="13"/>
    </i>
    <i t="data" r="0" i="0">
      <x v="27"/>
    </i>
    <i t="data" r="0" i="0">
      <x v="60"/>
    </i>
    <i t="data" r="0" i="0">
      <x v="52"/>
    </i>
    <i t="data" r="0" i="0">
      <x v="41"/>
    </i>
    <i t="data" r="0" i="0">
      <x v="54"/>
    </i>
    <i t="data" r="0" i="0">
      <x v="4"/>
    </i>
    <i t="data" r="0" i="0">
      <x v="56"/>
    </i>
    <i t="data" r="0" i="0">
      <x v="43"/>
    </i>
    <i t="data" r="0" i="0">
      <x v="58"/>
    </i>
    <i t="data" r="0" i="0">
      <x v="44"/>
    </i>
    <i t="data" r="0" i="0">
      <x v="5"/>
    </i>
    <i t="data" r="0" i="0">
      <x v="45"/>
    </i>
    <i t="data" r="0" i="0">
      <x v="37"/>
    </i>
    <i t="data" r="0" i="0">
      <x v="47"/>
    </i>
    <i t="grand" r="0" i="0">
      <x v="0"/>
    </i>
  </rowItems>
  <colItems count="1">
    <i t="data" r="0" i="0"/>
  </colItems>
  <dataFields count="1">
    <dataField name="Say BİRİMİ" fld="3"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s>
</file>

<file path=xl/worksheets/sheet1.xml><?xml version="1.0" encoding="utf-8"?>
<worksheet xmlns="http://schemas.openxmlformats.org/spreadsheetml/2006/main">
  <sheetPr>
    <tabColor rgb="FF00B050"/>
    <outlinePr summaryBelow="1" summaryRight="1"/>
    <pageSetUpPr fitToPage="1"/>
  </sheetPr>
  <dimension ref="A1:S1414"/>
  <sheetViews>
    <sheetView showZeros="0" tabSelected="1" zoomScale="80" zoomScaleNormal="80" workbookViewId="0">
      <pane xSplit="2" ySplit="1" topLeftCell="E63" activePane="bottomRight" state="frozenSplit"/>
      <selection pane="topRight" activeCell="E1" sqref="E1"/>
      <selection pane="bottomLeft" activeCell="A8" sqref="A8"/>
      <selection pane="bottomRight" activeCell="L236" sqref="L236"/>
    </sheetView>
  </sheetViews>
  <sheetFormatPr baseColWidth="8" defaultRowHeight="20.25"/>
  <cols>
    <col width="6.28515625" bestFit="1" customWidth="1" style="3" min="1" max="1"/>
    <col width="18.85546875" bestFit="1" customWidth="1" style="3" min="2" max="2"/>
    <col width="48.7109375" bestFit="1" customWidth="1" style="3" min="3" max="3"/>
    <col width="60.7109375" bestFit="1" customWidth="1" style="3" min="4" max="4"/>
    <col width="60.7109375" customWidth="1" style="3" min="5" max="5"/>
    <col width="50.7109375" customWidth="1" style="4" min="6" max="6"/>
    <col width="18.140625" bestFit="1" customWidth="1" style="10" min="7" max="7"/>
    <col width="25.7109375" bestFit="1" customWidth="1" style="218" min="8" max="8"/>
    <col width="18.28515625" bestFit="1" customWidth="1" style="10" min="9" max="9"/>
    <col width="39.85546875" bestFit="1" customWidth="1" style="2" min="10" max="10"/>
    <col width="39.85546875" bestFit="1" customWidth="1" style="218" min="11" max="11"/>
    <col width="22" customWidth="1" style="10" min="12" max="13"/>
    <col width="21.140625" bestFit="1" customWidth="1" style="218" min="14" max="15"/>
    <col width="20.5703125" bestFit="1" customWidth="1" style="69" min="16" max="16"/>
    <col width="9.140625" customWidth="1" style="218" min="17" max="17"/>
    <col width="17.42578125" customWidth="1" style="95" min="18" max="18"/>
    <col width="9.140625" customWidth="1" style="218" min="19" max="16384"/>
  </cols>
  <sheetData>
    <row r="1" customFormat="1" s="3">
      <c r="A1" s="48" t="inlineStr">
        <is>
          <t>S.NO</t>
        </is>
      </c>
      <c r="B1" s="48" t="inlineStr">
        <is>
          <t>SBA NUMARASI</t>
        </is>
      </c>
      <c r="C1" s="48" t="inlineStr">
        <is>
          <t>SORUMLUSU</t>
        </is>
      </c>
      <c r="D1" s="48" t="inlineStr">
        <is>
          <t>BİRİMİ</t>
        </is>
      </c>
      <c r="E1" s="48" t="inlineStr">
        <is>
          <t>YERİ</t>
        </is>
      </c>
      <c r="F1" s="48" t="inlineStr">
        <is>
          <t>ADI</t>
        </is>
      </c>
      <c r="G1" s="48" t="inlineStr">
        <is>
          <t>NİTELİĞİ</t>
        </is>
      </c>
      <c r="H1" s="49" t="inlineStr">
        <is>
          <t>BAŞVURU TARİHİ</t>
        </is>
      </c>
      <c r="I1" s="49" t="inlineStr">
        <is>
          <t>KURUL TARİHİ</t>
        </is>
      </c>
      <c r="J1" s="48" t="inlineStr">
        <is>
          <t>RAPORTÖR 1</t>
        </is>
      </c>
      <c r="K1" s="48" t="inlineStr">
        <is>
          <t>RAPORTÖR 2</t>
        </is>
      </c>
      <c r="L1" s="64" t="inlineStr">
        <is>
          <t>KURUL KARARI 1</t>
        </is>
      </c>
      <c r="M1" s="65" t="inlineStr">
        <is>
          <t>KURUL KARARI 2</t>
        </is>
      </c>
      <c r="N1" s="65" t="inlineStr">
        <is>
          <t>KURUL KARARI 3</t>
        </is>
      </c>
      <c r="O1" s="70" t="inlineStr">
        <is>
          <t>KURUL KARARI 4</t>
        </is>
      </c>
      <c r="P1" s="65" t="inlineStr">
        <is>
          <t>GÜNCEL DURUM</t>
        </is>
      </c>
      <c r="R1" s="95" t="n"/>
    </row>
    <row r="2" ht="63" customHeight="1" s="221">
      <c r="A2" s="5" t="inlineStr">
        <is>
          <t>1.</t>
        </is>
      </c>
      <c r="B2" s="6" t="inlineStr">
        <is>
          <t>SBA 26/001</t>
        </is>
      </c>
      <c r="C2" s="8" t="inlineStr">
        <is>
          <t>Dr. Vet. Hek. Özgür Doğuş EROL DUYAR</t>
        </is>
      </c>
      <c r="D2" s="8" t="inlineStr">
        <is>
          <t>Sağlık Bilimleri Enstitüsü</t>
        </is>
      </c>
      <c r="E2" s="7" t="inlineStr">
        <is>
          <t>Üniversitemiz Sağlık Bilimleri Enstitüsü doktora sonrası araştırmacısı olan Dr. Özgür Doğuş EROL DUYAR’ın sorumlu araştırmacı olduğu, Doç. Dr. Fatima S. F. AERTS KAYA ve Prof. Dr. Y. Çetin KOCAEFE ile birlikte çalışacakları,</t>
        </is>
      </c>
      <c r="F2" s="7" t="inlineStr">
        <is>
          <t>“Griscelli Sendromu Tip 2 Gen Tedavisinin İn Vivo Fonksiyonel Değerlendirilmesi”</t>
        </is>
      </c>
      <c r="G2" s="13" t="inlineStr">
        <is>
          <t>Bireysel Araştırma</t>
        </is>
      </c>
      <c r="H2" s="54" t="n"/>
      <c r="I2" s="52" t="n">
        <v>46028</v>
      </c>
      <c r="J2" s="8" t="inlineStr">
        <is>
          <t>Prof. Dr. Ayşe Nurten AKARSU</t>
        </is>
      </c>
      <c r="K2" s="8" t="inlineStr">
        <is>
          <t>Doç. Dr. Kübra AYKAÇ</t>
        </is>
      </c>
      <c r="L2" s="66" t="inlineStr">
        <is>
          <t>ONAY</t>
        </is>
      </c>
      <c r="M2" s="9" t="n"/>
      <c r="N2" s="9" t="n"/>
      <c r="O2" s="66" t="n"/>
      <c r="P2" s="9">
        <f>IF(O2&lt;&gt;"",O2, IF(N2&lt;&gt;"",N2, IF(M2&lt;&gt;"",M2, L2)))</f>
        <v/>
      </c>
      <c r="R2" s="95">
        <f>IF(AND(P2=0, B2&lt;&gt;""), B2, "")</f>
        <v/>
      </c>
      <c r="S2" s="218">
        <f>IF(AND(P2="", B2&lt;&gt;""), B2, "")</f>
        <v/>
      </c>
    </row>
    <row r="3" ht="94.5" customHeight="1" s="221">
      <c r="A3" s="5" t="inlineStr">
        <is>
          <t>2.</t>
        </is>
      </c>
      <c r="B3" s="6" t="inlineStr">
        <is>
          <t>SBA 26/002</t>
        </is>
      </c>
      <c r="C3" s="8" t="inlineStr">
        <is>
          <t>Prof. Dr. Esra BİRBEN</t>
        </is>
      </c>
      <c r="D3" s="8" t="inlineStr">
        <is>
          <t>Moleküler Biyoloji Anabilim Dalı</t>
        </is>
      </c>
      <c r="E3" s="7" t="inlineStr">
        <is>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is>
      </c>
      <c r="F3" s="7" t="inlineStr">
        <is>
          <t>“IgE Aracılı ve IgE Aracılı Olmayan Besin Alerjilerinde Kodlamayan RNAların Rolünün ve Bağırsak Mikrobiyatası ile İlişkisinin Belirlenmesi”</t>
        </is>
      </c>
      <c r="G3" s="13" t="inlineStr">
        <is>
          <t>Bireysel Araştırma</t>
        </is>
      </c>
      <c r="H3" s="54" t="n"/>
      <c r="I3" s="52" t="n">
        <v>46028</v>
      </c>
      <c r="J3" s="8" t="inlineStr">
        <is>
          <t>Doç. Dr. Kübra AYKAÇ</t>
        </is>
      </c>
      <c r="K3" s="8" t="inlineStr">
        <is>
          <t>Prof. Dr. Gözde GİRGİN</t>
        </is>
      </c>
      <c r="L3" s="66" t="inlineStr">
        <is>
          <t>ONAY</t>
        </is>
      </c>
      <c r="M3" s="9" t="n"/>
      <c r="N3" s="9" t="n"/>
      <c r="O3" s="66" t="n"/>
      <c r="P3" s="9">
        <f>IF(O3&lt;&gt;"",O3, IF(N3&lt;&gt;"",N3, IF(M3&lt;&gt;"",M3, L3)))</f>
        <v/>
      </c>
      <c r="R3" s="95">
        <f>IF(AND(P3=0, B3&lt;&gt;""), B3, "")</f>
        <v/>
      </c>
    </row>
    <row r="4" ht="94.5" customHeight="1" s="221">
      <c r="A4" s="5" t="inlineStr">
        <is>
          <t>3.</t>
        </is>
      </c>
      <c r="B4" s="6" t="inlineStr">
        <is>
          <t>SBA 26/003</t>
        </is>
      </c>
      <c r="C4" s="8" t="inlineStr">
        <is>
          <t>Doç. Dr. Gamze DURHAN</t>
        </is>
      </c>
      <c r="D4" s="8" t="inlineStr">
        <is>
          <t>Radyoloji Anabilim Dalı</t>
        </is>
      </c>
      <c r="E4" s="7" t="inlineStr">
        <is>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is>
      </c>
      <c r="F4" s="7" t="inlineStr">
        <is>
          <t>“Akciğer Grafisinde Kardiyomegali Değerlendirmesinde Yapay Zeka: Bulguların Toraks BT Bulgulan ile Karşılaştırılması”</t>
        </is>
      </c>
      <c r="G4" s="13" t="inlineStr">
        <is>
          <t>Bireysel Araştırma</t>
        </is>
      </c>
      <c r="H4" s="54" t="n"/>
      <c r="I4" s="52" t="n">
        <v>46028</v>
      </c>
      <c r="J4" s="8" t="inlineStr">
        <is>
          <t>Dr. Öğr. Üyesi Müge DEMİR</t>
        </is>
      </c>
      <c r="K4" s="8" t="inlineStr">
        <is>
          <t>Doç. Dr. Ekim GÜMELER</t>
        </is>
      </c>
      <c r="L4" s="9" t="inlineStr">
        <is>
          <t>ONAY</t>
        </is>
      </c>
      <c r="M4" s="67" t="n"/>
      <c r="N4" s="67" t="n"/>
      <c r="O4" s="68" t="n"/>
      <c r="P4" s="9">
        <f>IF(O4&lt;&gt;"",O4, IF(N4&lt;&gt;"",N4, IF(M4&lt;&gt;"",M4, L4)))</f>
        <v/>
      </c>
      <c r="R4" s="95">
        <f>IF(AND(P4=0, B4&lt;&gt;""), B4, "")</f>
        <v/>
      </c>
    </row>
    <row r="5" ht="78.75" customHeight="1" s="221">
      <c r="A5" s="5" t="inlineStr">
        <is>
          <t>4.</t>
        </is>
      </c>
      <c r="B5" s="6" t="inlineStr">
        <is>
          <t>SBA 26/004</t>
        </is>
      </c>
      <c r="C5" s="8" t="inlineStr">
        <is>
          <t>Prof. Dr. Bayram ŞAHİN</t>
        </is>
      </c>
      <c r="D5" s="53" t="inlineStr">
        <is>
          <t>Lokman Hekim Üniversitesi
Sağlık Hizmetleri Meslek Yüksekokulu</t>
        </is>
      </c>
      <c r="E5" s="7" t="inlineStr">
        <is>
          <t>Lokman Hekim Üniversitesi Sağlık Hizmetleri Meslek Yüksekokulu öğretim üyelerinden Prof. Dr. Bayram ŞAHİN'in sorumlu araştırmacı olduğu; Prof. Dr. Müberra AKDOĞAN, Uzm. Dr. Aykut Burak BAYAV ile birlikte çalışacakları ve Gülcan AYDIN’ın doktora tezi olan,</t>
        </is>
      </c>
      <c r="F5" s="7" t="inlineStr">
        <is>
          <t>“Katarakt Cerrahisinin Uygunluğunun Değerlendirilmesi”</t>
        </is>
      </c>
      <c r="G5" s="13" t="inlineStr">
        <is>
          <t>Doktora Tezi</t>
        </is>
      </c>
      <c r="H5" s="54" t="n"/>
      <c r="I5" s="52" t="n">
        <v>46028</v>
      </c>
      <c r="J5" s="8" t="inlineStr">
        <is>
          <t>Doç. Dr. Tolga ÇAKMAK</t>
        </is>
      </c>
      <c r="K5" s="8" t="inlineStr">
        <is>
          <t>Doç. Dr. Burcu ERSÖZ ALAN</t>
        </is>
      </c>
      <c r="L5" s="9" t="inlineStr">
        <is>
          <t>DÜZELTME</t>
        </is>
      </c>
      <c r="M5" s="9" t="inlineStr">
        <is>
          <t>ONAY</t>
        </is>
      </c>
      <c r="N5" s="9" t="n"/>
      <c r="O5" s="66" t="n"/>
      <c r="P5" s="9">
        <f>IF(O5&lt;&gt;"",O5, IF(N5&lt;&gt;"",N5, IF(M5&lt;&gt;"",M5, L5)))</f>
        <v/>
      </c>
      <c r="R5" s="95">
        <f>IF(AND(P5=0, B5&lt;&gt;""), B5, "")</f>
        <v/>
      </c>
    </row>
    <row r="6" ht="47.25" customHeight="1" s="221">
      <c r="A6" s="5" t="inlineStr">
        <is>
          <t>5.</t>
        </is>
      </c>
      <c r="B6" s="6" t="inlineStr">
        <is>
          <t>SBA 26/005</t>
        </is>
      </c>
      <c r="C6" s="8" t="inlineStr">
        <is>
          <t>Prof. Dr. Ömür ÇELİKBIÇAK</t>
        </is>
      </c>
      <c r="D6" s="8" t="inlineStr">
        <is>
          <t>Fizikokimya Anabilim Dalı</t>
        </is>
      </c>
      <c r="E6" s="7" t="inlineStr">
        <is>
          <t>Üniversitemiz Fen Fakültesi Fizikokimya Anabilim Dalı öğretim üyelerinden Prof. Dr. Ömür ÇELİKBIÇAK’ın sorumlu araştırmacı olduğu, Neslihan ZENCİRCİ’nin doktora tezi olan,</t>
        </is>
      </c>
      <c r="F6" s="7" t="inlineStr">
        <is>
          <t>“Sentetik Peptit Temelli Yeni Nesil Biyosidal Malzemelerin Geliştirilmesi”</t>
        </is>
      </c>
      <c r="G6" s="13" t="inlineStr">
        <is>
          <t>Doktora Tezi</t>
        </is>
      </c>
      <c r="H6" s="54" t="n"/>
      <c r="I6" s="52" t="n">
        <v>46028</v>
      </c>
      <c r="J6" s="8" t="inlineStr">
        <is>
          <t>Prof. Dr. Yavuz AYHAN</t>
        </is>
      </c>
      <c r="K6" s="8" t="inlineStr">
        <is>
          <t>Prof. Dr. Melih Önder BABAOĞLU</t>
        </is>
      </c>
      <c r="L6" s="9" t="inlineStr">
        <is>
          <t>DÜZELTME</t>
        </is>
      </c>
      <c r="M6" s="9" t="inlineStr">
        <is>
          <t>ONAY</t>
        </is>
      </c>
      <c r="N6" s="9" t="n"/>
      <c r="O6" s="66" t="n"/>
      <c r="P6" s="9">
        <f>IF(O6&lt;&gt;"",O6, IF(N6&lt;&gt;"",N6, IF(M6&lt;&gt;"",M6, L6)))</f>
        <v/>
      </c>
      <c r="R6" s="95">
        <f>IF(AND(P6=0, B6&lt;&gt;""), B6, "")</f>
        <v/>
      </c>
    </row>
    <row r="7" ht="63" customHeight="1" s="221">
      <c r="A7" s="5" t="inlineStr">
        <is>
          <t>6.</t>
        </is>
      </c>
      <c r="B7" s="6" t="inlineStr">
        <is>
          <t>SBA 26/006</t>
        </is>
      </c>
      <c r="C7" s="8" t="inlineStr">
        <is>
          <t>Prof. Dr. Meltem Gülhan HALİL</t>
        </is>
      </c>
      <c r="D7" s="8" t="inlineStr">
        <is>
          <t>İç Hastalıkları Anabilim Dalı</t>
        </is>
      </c>
      <c r="E7" s="7" t="inlineStr">
        <is>
          <t>Üniversitemiz Tıp Fakültesi İç Hastalıkları Anabilim Dalı öğretim üyelerinden Prof. Dr. Meltem Gülhan HALİL’in sorumlu araştırmacı olduğu, Prof. Dr. Salih Kutay DEMİRKAN, Arş. Gör. Dr. Mihriban GÜNGÖR ile birlikte çalışacakları,</t>
        </is>
      </c>
      <c r="F7" s="7" t="inlineStr">
        <is>
          <t>“Hastanede Oral ve Enteral Nütrisyon Ürünlerinin Erişilebilirliği ve Reçeleme Pratikleri: Retrospektif Gözlemsel Çalışma”</t>
        </is>
      </c>
      <c r="G7" s="13" t="inlineStr">
        <is>
          <t>Bireysel Araştırma</t>
        </is>
      </c>
      <c r="H7" s="54" t="n"/>
      <c r="I7" s="52" t="n">
        <v>46028</v>
      </c>
      <c r="J7" s="8" t="inlineStr">
        <is>
          <t>Prof. Dr. Gözde GİRGİN</t>
        </is>
      </c>
      <c r="K7" s="8" t="inlineStr">
        <is>
          <t>Prof. Dr. Ayşe KİN İŞLER</t>
        </is>
      </c>
      <c r="L7" s="9" t="inlineStr">
        <is>
          <t>ONAY</t>
        </is>
      </c>
      <c r="M7" s="9" t="n"/>
      <c r="N7" s="9" t="n"/>
      <c r="O7" s="66" t="n"/>
      <c r="P7" s="9">
        <f>IF(O7&lt;&gt;"",O7, IF(N7&lt;&gt;"",N7, IF(M7&lt;&gt;"",M7, L7)))</f>
        <v/>
      </c>
      <c r="R7" s="95">
        <f>IF(AND(P7=0, B7&lt;&gt;""), B7, "")</f>
        <v/>
      </c>
    </row>
    <row r="8" ht="47.25" customHeight="1" s="221">
      <c r="A8" s="5" t="inlineStr">
        <is>
          <t>7.</t>
        </is>
      </c>
      <c r="B8" s="6" t="inlineStr">
        <is>
          <t>SBA 26/007</t>
        </is>
      </c>
      <c r="C8" s="8" t="inlineStr">
        <is>
          <t>Doç. Dr. Ayhan EYMİRLİ</t>
        </is>
      </c>
      <c r="D8" s="8" t="inlineStr">
        <is>
          <t>Endodonti Anabilim Dalı</t>
        </is>
      </c>
      <c r="E8" s="7" t="inlineStr">
        <is>
          <t>Üniversitemiz Diş Hekimliği Fakültesi Endodonti Anabilim Dalı öğretim üyelerinden Doç. Dr. Ayhan EYMİRLİ’nin sorumlu araştırmacı olduğu, Dt. Zeynep Buket DAĞ’ın uzmanlık tezi olan,</t>
        </is>
      </c>
      <c r="F8" s="7" t="inlineStr">
        <is>
          <t>“Gümüş Nanopartikül İçeren İrrigasyon ve Aktivasyon Tekniklerinin Dentin Mikrosertliği ve Tübül Penetrasyonu Üzerine Etkisi”</t>
        </is>
      </c>
      <c r="G8" s="13" t="inlineStr">
        <is>
          <t>Uzmanlık Tezi</t>
        </is>
      </c>
      <c r="H8" s="54" t="n"/>
      <c r="I8" s="52" t="n">
        <v>46028</v>
      </c>
      <c r="J8" s="8" t="inlineStr">
        <is>
          <t>Prof. Dr. M. Özgür UYANIK</t>
        </is>
      </c>
      <c r="K8" s="8" t="inlineStr">
        <is>
          <t>Prof. Dr. Ayşe KİN İŞLER</t>
        </is>
      </c>
      <c r="L8" s="9" t="inlineStr">
        <is>
          <t>ONAY</t>
        </is>
      </c>
      <c r="M8" s="9" t="n"/>
      <c r="N8" s="9" t="n"/>
      <c r="O8" s="66" t="n"/>
      <c r="P8" s="9">
        <f>IF(O8&lt;&gt;"",O8, IF(N8&lt;&gt;"",N8, IF(M8&lt;&gt;"",M8, L8)))</f>
        <v/>
      </c>
      <c r="R8" s="95">
        <f>IF(AND(P8=0, B8&lt;&gt;""), B8, "")</f>
        <v/>
      </c>
    </row>
    <row r="9" ht="63" customHeight="1" s="221">
      <c r="A9" s="5" t="inlineStr">
        <is>
          <t>8.</t>
        </is>
      </c>
      <c r="B9" s="6" t="inlineStr">
        <is>
          <t>SBA 26/008</t>
        </is>
      </c>
      <c r="C9" s="8" t="inlineStr">
        <is>
          <t>Doç. Dr. Nursel ÇALIK BAŞARAN</t>
        </is>
      </c>
      <c r="D9" s="8" t="inlineStr">
        <is>
          <t>İç Hastalıkları Anabilim Dalı</t>
        </is>
      </c>
      <c r="E9" s="7" t="inlineStr">
        <is>
          <t>Üniversitemiz Tıp Fakültesi İç Hastalıkları Anabilim Dalı öğretim üyelerinden Doç. Dr. Nursel Çalık BAŞARAN’ın sorumlu araştırmacı olduğu,  Arş. Gör. Dr. Ahmet Burak ARSLAN’ın uzmanlık tezi olan,</t>
        </is>
      </c>
      <c r="F9" s="7" t="inlineStr">
        <is>
          <t>“Hacettepe Üniversitesi Tıp Fakültesi Hastanesinde Görev Yapan Asistan Hekimlerin Doğal Afet Farkındalığı ve Afetlere Hazırlık Düzeylerinin Değerlendirilmesi ”</t>
        </is>
      </c>
      <c r="G9" s="13" t="inlineStr">
        <is>
          <t>Uzmanlık Tezi</t>
        </is>
      </c>
      <c r="H9" s="54" t="n"/>
      <c r="I9" s="52" t="n">
        <v>46028</v>
      </c>
      <c r="J9" s="8" t="inlineStr">
        <is>
          <t>Doç. Dr. Tolga ÇAKMAK</t>
        </is>
      </c>
      <c r="K9" s="8" t="inlineStr">
        <is>
          <t>Prof. Dr. Nazmiye Ebru ORTAÇ ERSOY</t>
        </is>
      </c>
      <c r="L9" s="9" t="inlineStr">
        <is>
          <t>ONAY</t>
        </is>
      </c>
      <c r="M9" s="9" t="n"/>
      <c r="N9" s="9" t="n"/>
      <c r="O9" s="66" t="n"/>
      <c r="P9" s="9">
        <f>IF(O9&lt;&gt;"",O9, IF(N9&lt;&gt;"",N9, IF(M9&lt;&gt;"",M9, L9)))</f>
        <v/>
      </c>
      <c r="R9" s="95">
        <f>IF(AND(P9=0, B9&lt;&gt;""), B9, "")</f>
        <v/>
      </c>
    </row>
    <row r="10" ht="110.25" customHeight="1" s="221">
      <c r="A10" s="5" t="inlineStr">
        <is>
          <t>9.</t>
        </is>
      </c>
      <c r="B10" s="6" t="inlineStr">
        <is>
          <t>SBA 26/009</t>
        </is>
      </c>
      <c r="C10" s="8" t="inlineStr">
        <is>
          <t>Öğr. Gör. Dr. Buket KILIÇ</t>
        </is>
      </c>
      <c r="D10" s="8" t="inlineStr">
        <is>
          <t>Çocuk ve Ergen Ruh Sağlığı ve Hastalıkları Anabilim Dalı</t>
        </is>
      </c>
      <c r="E10" s="7" t="inlineStr">
        <is>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is>
      </c>
      <c r="F10" s="7" t="inlineStr">
        <is>
          <t>“Ergenlerde Akran Zorbalığının Özerklik, Kimlik Özellikleri ve Bağlanma ile İlişkisi”</t>
        </is>
      </c>
      <c r="G10" s="13" t="inlineStr">
        <is>
          <t>Bireysel Araştırma</t>
        </is>
      </c>
      <c r="H10" s="54" t="n"/>
      <c r="I10" s="52" t="n">
        <v>46028</v>
      </c>
      <c r="J10" s="8" t="inlineStr">
        <is>
          <t>Doç. Dr. Burcu ERSÖZ ALAN</t>
        </is>
      </c>
      <c r="K10" s="8" t="inlineStr">
        <is>
          <t>Doç. Dr. Kübra AYKAÇ</t>
        </is>
      </c>
      <c r="L10" s="9" t="inlineStr">
        <is>
          <t>ONAY</t>
        </is>
      </c>
      <c r="M10" s="9" t="n"/>
      <c r="N10" s="9" t="n"/>
      <c r="O10" s="66" t="n"/>
      <c r="P10" s="9">
        <f>IF(O10&lt;&gt;"",O10, IF(N10&lt;&gt;"",N10, IF(M10&lt;&gt;"",M10, L10)))</f>
        <v/>
      </c>
      <c r="R10" s="95">
        <f>IF(AND(P10=0, B10&lt;&gt;""), B10, "")</f>
        <v/>
      </c>
    </row>
    <row r="11" ht="94.5" customHeight="1" s="221">
      <c r="A11" s="5" t="inlineStr">
        <is>
          <t>10.</t>
        </is>
      </c>
      <c r="B11" s="6" t="inlineStr">
        <is>
          <t>SBA 26/010</t>
        </is>
      </c>
      <c r="C11" s="8" t="inlineStr">
        <is>
          <t>Prof. Dr. Yakut AKYÖN YILMAZ</t>
        </is>
      </c>
      <c r="D11" s="8" t="inlineStr">
        <is>
          <t>Tıbbi Mikrobiyoloji Anabilim Dalı</t>
        </is>
      </c>
      <c r="E11" s="7" t="inlineStr">
        <is>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is>
      </c>
      <c r="F11" s="7" t="inlineStr">
        <is>
          <t>“Apikal Periyodontitis Etiyopatogenezinde İnflamatuar Sitokin Polimorfizmleri -Mikrobiyom İlişkisinin Araştırılması”</t>
        </is>
      </c>
      <c r="G11" s="13" t="inlineStr">
        <is>
          <t>Doktora Tezi</t>
        </is>
      </c>
      <c r="H11" s="54" t="n"/>
      <c r="I11" s="52" t="n">
        <v>46028</v>
      </c>
      <c r="J11" s="8" t="inlineStr">
        <is>
          <t>Prof. Dr. M. Özgür UYANIK</t>
        </is>
      </c>
      <c r="K11" s="8" t="inlineStr">
        <is>
          <t>Prof. Dr. Ayşe Nurten AKARSU</t>
        </is>
      </c>
      <c r="L11" s="9" t="inlineStr">
        <is>
          <t>DÜZELTME</t>
        </is>
      </c>
      <c r="M11" s="9" t="inlineStr">
        <is>
          <t>ONAY</t>
        </is>
      </c>
      <c r="N11" s="9" t="n"/>
      <c r="O11" s="66" t="n"/>
      <c r="P11" s="9">
        <f>IF(O11&lt;&gt;"",O11, IF(N11&lt;&gt;"",N11, IF(M11&lt;&gt;"",M11, L11)))</f>
        <v/>
      </c>
      <c r="R11" s="95">
        <f>IF(AND(P11=0, B11&lt;&gt;""), B11, "")</f>
        <v/>
      </c>
    </row>
    <row r="12" ht="78.75" customHeight="1" s="221">
      <c r="A12" s="5" t="inlineStr">
        <is>
          <t>11.</t>
        </is>
      </c>
      <c r="B12" s="6" t="inlineStr">
        <is>
          <t>SBA 26/011</t>
        </is>
      </c>
      <c r="C12" s="8" t="inlineStr">
        <is>
          <t>Prof. Dr. Ömer KARADAĞ</t>
        </is>
      </c>
      <c r="D12" s="8" t="inlineStr">
        <is>
          <t>İç Hastalıkları Anabilim Dalı</t>
        </is>
      </c>
      <c r="E12" s="7" t="inlineStr">
        <is>
          <t>Üniversitemiz Tıp Fakültesi İç Hastalıkları Anabilim Dalı öğretim üyelerinden Prof. Dr. Ömer KARADAĞ’ın sorumlu araştırmacı olduğu, Arş. Gör. Dr. Büşra FIRLATAN YAZGAN ile birlikte çalışacakları,</t>
        </is>
      </c>
      <c r="F12" s="7" t="inlineStr">
        <is>
          <t>“Poliarteritis Nodoza (PAN) Hastalarında Organ Tutulum Paternlerinin Latent Sınıf ve Faktör Analizi ile Değerlendirilmesi (Evaluation of Organ Involvement Patterns in Patients With Polyarteritis Nodosa Using Latent Classand Factor Analysis)</t>
        </is>
      </c>
      <c r="G12" s="13" t="inlineStr">
        <is>
          <t>Bireysel Araştırma</t>
        </is>
      </c>
      <c r="H12" s="54" t="n"/>
      <c r="I12" s="52" t="n">
        <v>46028</v>
      </c>
      <c r="J12" s="8" t="inlineStr">
        <is>
          <t>Prof. Dr. Nazmiye Ebru ORTAÇ ERSOY</t>
        </is>
      </c>
      <c r="K12" s="8" t="inlineStr">
        <is>
          <t>Prof. Dr. Yavuz AYHAN</t>
        </is>
      </c>
      <c r="L12" s="9" t="inlineStr">
        <is>
          <t>ONAY</t>
        </is>
      </c>
      <c r="M12" s="9" t="n"/>
      <c r="N12" s="9" t="n"/>
      <c r="O12" s="66" t="n"/>
      <c r="P12" s="9">
        <f>IF(O12&lt;&gt;"",O12, IF(N12&lt;&gt;"",N12, IF(M12&lt;&gt;"",M12, L12)))</f>
        <v/>
      </c>
      <c r="R12" s="95">
        <f>IF(AND(P12=0, B12&lt;&gt;""), B12, "")</f>
        <v/>
      </c>
    </row>
    <row r="13" ht="78.75" customHeight="1" s="221">
      <c r="A13" s="5" t="inlineStr">
        <is>
          <t>12.</t>
        </is>
      </c>
      <c r="B13" s="6" t="inlineStr">
        <is>
          <t>SBA 26/012</t>
        </is>
      </c>
      <c r="C13" s="8" t="inlineStr">
        <is>
          <t>Prof. Dr. N. Dilara ZEYBEK</t>
        </is>
      </c>
      <c r="D13" s="8" t="inlineStr">
        <is>
          <t>Histoloji ve Embriyoloji Anabilim Dalı</t>
        </is>
      </c>
      <c r="E13" s="7" t="inlineStr">
        <is>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is>
      </c>
      <c r="F13" s="7" t="inlineStr">
        <is>
          <t>“Meme Kanseri Hücrelerinde Cx43 ve YAP Arasındaki İlişkinin Araştırılması”</t>
        </is>
      </c>
      <c r="G13" s="13" t="inlineStr">
        <is>
          <t>Uzmanlık Tezi</t>
        </is>
      </c>
      <c r="H13" s="54" t="n"/>
      <c r="I13" s="52" t="n">
        <v>46028</v>
      </c>
      <c r="J13" s="8" t="inlineStr">
        <is>
          <t>Doç. Dr. Ekim GÜMELER</t>
        </is>
      </c>
      <c r="K13" s="8" t="inlineStr">
        <is>
          <t>Prof. Dr. Melih Önder BABAOĞLU</t>
        </is>
      </c>
      <c r="L13" s="9" t="inlineStr">
        <is>
          <t>KAPSAM DIŞI</t>
        </is>
      </c>
      <c r="M13" s="9" t="n"/>
      <c r="N13" s="9" t="n"/>
      <c r="O13" s="66" t="n"/>
      <c r="P13" s="9">
        <f>IF(O13&lt;&gt;"",O13, IF(N13&lt;&gt;"",N13, IF(M13&lt;&gt;"",M13, L13)))</f>
        <v/>
      </c>
      <c r="R13" s="95">
        <f>IF(AND(P13=0, B13&lt;&gt;""), B13, "")</f>
        <v/>
      </c>
    </row>
    <row r="14" ht="63" customHeight="1" s="221">
      <c r="A14" s="5" t="inlineStr">
        <is>
          <t>13.</t>
        </is>
      </c>
      <c r="B14" s="6" t="inlineStr">
        <is>
          <t>SBA 26/013</t>
        </is>
      </c>
      <c r="C14" s="8" t="inlineStr">
        <is>
          <t>Prof. Dr. Orhan ODABAŞI</t>
        </is>
      </c>
      <c r="D14" s="8" t="inlineStr">
        <is>
          <t>Tıp Eğitimi ve Bilişimi Anabilim Dalı</t>
        </is>
      </c>
      <c r="E14" s="7" t="inlineStr">
        <is>
          <t>Üniversitemiz Tıp Fakültesi Tıp Eğitimi ve Bilişimi Anabilim Dalı öğretim üyelerinden Prof. Dr. Orhan ODABAŞI’nın sorumlu araştırmacı olduğu, Uzm. Dr. Emel ALTINTAŞ’ın yüksek lisans tezi olan,</t>
        </is>
      </c>
      <c r="F14" s="7" t="inlineStr">
        <is>
          <t>“Acil Tıp Uzmanlık Eğitiminde Ölümcül Göğüs Ağrısı Tanılarında Seprit Konkordans Test Oluşturmak için Büyük Dil Modellerinden ChatGPT ve Claude'nin Kullanılması”</t>
        </is>
      </c>
      <c r="G14" s="13" t="inlineStr">
        <is>
          <t>Yüksek Lisans Tezi</t>
        </is>
      </c>
      <c r="H14" s="54" t="n"/>
      <c r="I14" s="52" t="n">
        <v>46028</v>
      </c>
      <c r="J14" s="8" t="inlineStr">
        <is>
          <t>Dr. Öğr. Üyesi Müge DEMİR</t>
        </is>
      </c>
      <c r="K14" s="8" t="inlineStr">
        <is>
          <t>Doç. Dr. Tolga ÇAKMAK</t>
        </is>
      </c>
      <c r="L14" s="9" t="inlineStr">
        <is>
          <t>DÜZELTME</t>
        </is>
      </c>
      <c r="M14" s="9" t="inlineStr">
        <is>
          <t>ONAY</t>
        </is>
      </c>
      <c r="N14" s="9" t="n"/>
      <c r="O14" s="66" t="n"/>
      <c r="P14" s="9">
        <f>IF(O14&lt;&gt;"",O14, IF(N14&lt;&gt;"",N14, IF(M14&lt;&gt;"",M14, L14)))</f>
        <v/>
      </c>
      <c r="R14" s="95">
        <f>IF(AND(P14=0, B14&lt;&gt;""), B14, "")</f>
        <v/>
      </c>
    </row>
    <row r="15" ht="78.75" customHeight="1" s="221">
      <c r="A15" s="5" t="inlineStr">
        <is>
          <t>14.</t>
        </is>
      </c>
      <c r="B15" s="6" t="inlineStr">
        <is>
          <t>SBA 26/014</t>
        </is>
      </c>
      <c r="C15" s="8" t="inlineStr">
        <is>
          <t>Dr. Öğr. Üyesi Yiğitcan KARANFİL</t>
        </is>
      </c>
      <c r="D15" s="8" t="inlineStr">
        <is>
          <t>Spor Hekimliği Anabilim Dalı</t>
        </is>
      </c>
      <c r="E15" s="7" t="inlineStr">
        <is>
          <t>Üniversitemiz Tıp Fakültesi Spor Hekimliği Anabilim Dalı öğretim üyelerinden Dr. Öğr. Üyesi Yiğitcan KARANFİL'in sorumlu araştırmacı olduğu, Dr. Öğr. Üyesi Burkay UTKU, Arş. Gör. Batuhan Erhan AKTAS, Uzm. Dr. Yiğitcan MENDERES ile birlikte çalışacakları</t>
        </is>
      </c>
      <c r="F15" s="7" t="inlineStr">
        <is>
          <t>“Kadın Hentbolcularda Ultrasonografik Ölçümler ile Omuz Hareket Açıklığı ve Omuz Kuvvetinin Değerlendirilmesi”</t>
        </is>
      </c>
      <c r="G15" s="13" t="inlineStr">
        <is>
          <t>Bireysel Araştırma</t>
        </is>
      </c>
      <c r="H15" s="54" t="n"/>
      <c r="I15" s="52" t="n">
        <v>46028</v>
      </c>
      <c r="J15" s="8" t="inlineStr">
        <is>
          <t>Prof. Dr. Ayşe KİN İŞLER</t>
        </is>
      </c>
      <c r="K15" s="8" t="inlineStr">
        <is>
          <t>Doç. Dr. Kübra AYKAÇ</t>
        </is>
      </c>
      <c r="L15" s="9" t="inlineStr">
        <is>
          <t>ONAY</t>
        </is>
      </c>
      <c r="M15" s="9" t="n"/>
      <c r="N15" s="9" t="n"/>
      <c r="O15" s="66" t="n"/>
      <c r="P15" s="9">
        <f>IF(O15&lt;&gt;"",O15, IF(N15&lt;&gt;"",N15, IF(M15&lt;&gt;"",M15, L15)))</f>
        <v/>
      </c>
      <c r="R15" s="95">
        <f>IF(AND(P15=0, B15&lt;&gt;""), B15, "")</f>
        <v/>
      </c>
    </row>
    <row r="16" ht="94.5" customHeight="1" s="221">
      <c r="A16" s="5" t="inlineStr">
        <is>
          <t>15.</t>
        </is>
      </c>
      <c r="B16" s="6" t="inlineStr">
        <is>
          <t>SBA 26/015</t>
        </is>
      </c>
      <c r="C16" s="8" t="inlineStr">
        <is>
          <t>Prof. Dr. Ali Fuat KALYONCU</t>
        </is>
      </c>
      <c r="D16" s="8" t="inlineStr">
        <is>
          <t>Göğüs Hastalıkları Anabilim Dalı</t>
        </is>
      </c>
      <c r="E16" s="7" t="inlineStr">
        <is>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is>
      </c>
      <c r="F16" s="7" t="inlineStr">
        <is>
          <t>“Sülfonamid Türeyi İlaçlara Bağlı Aşırı Duyarlılık Reaksiyonlarında Klinik Sonuçlar”</t>
        </is>
      </c>
      <c r="G16" s="13" t="inlineStr">
        <is>
          <t>Bireysel Araştırma</t>
        </is>
      </c>
      <c r="H16" s="54" t="n"/>
      <c r="I16" s="52" t="n">
        <v>46028</v>
      </c>
      <c r="J16" s="8" t="inlineStr">
        <is>
          <t>Prof. Dr. Melih Önder BABAOĞLU</t>
        </is>
      </c>
      <c r="K16" s="8" t="inlineStr">
        <is>
          <t>Prof. Dr. Gözde GİRGİN</t>
        </is>
      </c>
      <c r="L16" s="9" t="inlineStr">
        <is>
          <t>RET</t>
        </is>
      </c>
      <c r="M16" s="9" t="n"/>
      <c r="N16" s="9" t="n"/>
      <c r="O16" s="66" t="n"/>
      <c r="P16" s="9">
        <f>IF(O16&lt;&gt;"",O16, IF(N16&lt;&gt;"",N16, IF(M16&lt;&gt;"",M16, L16)))</f>
        <v/>
      </c>
      <c r="R16" s="95">
        <f>IF(AND(P16=0, B16&lt;&gt;""), B16, "")</f>
        <v/>
      </c>
    </row>
    <row r="17" ht="94.5" customHeight="1" s="221">
      <c r="A17" s="5" t="inlineStr">
        <is>
          <t>16.</t>
        </is>
      </c>
      <c r="B17" s="6" t="inlineStr">
        <is>
          <t>SBA 26/016</t>
        </is>
      </c>
      <c r="C17" s="8" t="inlineStr">
        <is>
          <t>Prof. Dr. Gül KARAKAYA</t>
        </is>
      </c>
      <c r="D17" s="8" t="inlineStr">
        <is>
          <t>Göğüs Hastalıkları Anabilim Dalı</t>
        </is>
      </c>
      <c r="E17" s="7" t="inlineStr">
        <is>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is>
      </c>
      <c r="F17" s="7" t="inlineStr">
        <is>
          <t>“Herediter Anjioödem Hastalarının Hastalık Farkındalığı ve Karşılanmamış İhtiyaçların Değerlendirilmesi ”</t>
        </is>
      </c>
      <c r="G17" s="13" t="inlineStr">
        <is>
          <t>Bireysel Araştırma</t>
        </is>
      </c>
      <c r="H17" s="54" t="n"/>
      <c r="I17" s="52" t="n">
        <v>46028</v>
      </c>
      <c r="J17" s="8" t="inlineStr">
        <is>
          <t>Prof. Dr. Nazmiye Ebru ORTAÇ ERSOY</t>
        </is>
      </c>
      <c r="K17" s="8" t="inlineStr">
        <is>
          <t>Prof. Dr. Yavuz AYHAN</t>
        </is>
      </c>
      <c r="L17" s="9" t="inlineStr">
        <is>
          <t>ONAY</t>
        </is>
      </c>
      <c r="M17" s="9" t="n"/>
      <c r="N17" s="9" t="n"/>
      <c r="O17" s="66" t="n"/>
      <c r="P17" s="9">
        <f>IF(O17&lt;&gt;"",O17, IF(N17&lt;&gt;"",N17, IF(M17&lt;&gt;"",M17, L17)))</f>
        <v/>
      </c>
      <c r="R17" s="95">
        <f>IF(AND(P17=0, B17&lt;&gt;""), B17, "")</f>
        <v/>
      </c>
    </row>
    <row r="18" ht="63" customHeight="1" s="221">
      <c r="A18" s="5" t="inlineStr">
        <is>
          <t>17.</t>
        </is>
      </c>
      <c r="B18" s="6" t="inlineStr">
        <is>
          <t>SBA 26/017</t>
        </is>
      </c>
      <c r="C18" s="8" t="inlineStr">
        <is>
          <t>Prof. Dr. Banu KILIÇASLAN</t>
        </is>
      </c>
      <c r="D18" s="8" t="inlineStr">
        <is>
          <t>Anesteziyoloji ve Reanimasyon Anabilim Dalı</t>
        </is>
      </c>
      <c r="E18" s="7" t="inlineStr">
        <is>
          <t>Üniversitemiz Tıp Fakültesi Anesteziyoloji ve Reanimasyon Anabilim Dalı öğretim üyelerinden Prof. Dr. Banu KILIÇASLAN’ın sorumlu araştırmacı olduğu, Arş. Gör. Dr. Celal AVAN’ın uzmanlık tezi olan,</t>
        </is>
      </c>
      <c r="F18" s="7" t="inlineStr">
        <is>
          <t>“Türkiye'deki Anestezi ve Kadın Doğum Doktorlarının Doğum Analjezisi Konusundaki Bakış Açısı Farklılıklarının Değerlendirilmesi”</t>
        </is>
      </c>
      <c r="G18" s="13" t="inlineStr">
        <is>
          <t>Uzmanlık Tezi</t>
        </is>
      </c>
      <c r="H18" s="54" t="n"/>
      <c r="I18" s="52" t="n">
        <v>46028</v>
      </c>
      <c r="J18" s="8" t="inlineStr">
        <is>
          <t>Doç. Dr. Tolga ÇAKMAK</t>
        </is>
      </c>
      <c r="K18" s="8" t="inlineStr">
        <is>
          <t>Doç. Dr. Burcu ERSÖZ ALAN</t>
        </is>
      </c>
      <c r="L18" s="9" t="inlineStr">
        <is>
          <t>DÜZELTME</t>
        </is>
      </c>
      <c r="M18" s="9" t="inlineStr">
        <is>
          <t>ONAY</t>
        </is>
      </c>
      <c r="N18" s="9" t="n"/>
      <c r="O18" s="66" t="n"/>
      <c r="P18" s="9">
        <f>IF(O18&lt;&gt;"",O18, IF(N18&lt;&gt;"",N18, IF(M18&lt;&gt;"",M18, L18)))</f>
        <v/>
      </c>
      <c r="R18" s="95">
        <f>IF(AND(P18=0, B18&lt;&gt;""), B18, "")</f>
        <v/>
      </c>
    </row>
    <row r="19" ht="63" customHeight="1" s="221">
      <c r="A19" s="5" t="inlineStr">
        <is>
          <t>18.</t>
        </is>
      </c>
      <c r="B19" s="6" t="inlineStr">
        <is>
          <t>SBA 26/018</t>
        </is>
      </c>
      <c r="C19" s="8" t="inlineStr">
        <is>
          <t>Doç. Dr. Ulaş KUMBASAR</t>
        </is>
      </c>
      <c r="D19" s="8" t="inlineStr">
        <is>
          <t>Göğüs Cerrahisi Anabilim Dalı</t>
        </is>
      </c>
      <c r="E19" s="7" t="inlineStr">
        <is>
          <t>Üniversitemiz Tıp Fakültesi Göğüs Cerrahisi Anabilim Dalı öğretim üyelerinden Doç. Dr. Ulaş KUMBASAR’ın sorumlu araştırmacı olduğu, Dr. Öğr. Gör. Yiğit YILMAZ, Arş. Gör. Dr. Zeynep TOKMAK ile birlikte çalışacakları,</t>
        </is>
      </c>
      <c r="F19" s="7" t="inlineStr">
        <is>
          <t>“Kolorektal Karsinomlarda Pulmoner Metastaz Paterninin Retrospektif Analizi: Primer Tümör Lokalizasyonunun Rolü”</t>
        </is>
      </c>
      <c r="G19" s="13" t="inlineStr">
        <is>
          <t>Bireysel Araştırma</t>
        </is>
      </c>
      <c r="H19" s="54" t="n"/>
      <c r="I19" s="52" t="n">
        <v>46028</v>
      </c>
      <c r="J19" s="8" t="inlineStr">
        <is>
          <t>Prof. Dr. Ayşe Nurten AKARSU</t>
        </is>
      </c>
      <c r="K19" s="8" t="inlineStr">
        <is>
          <t>Doç. Dr. Kübra AYKAÇ</t>
        </is>
      </c>
      <c r="L19" s="9" t="inlineStr">
        <is>
          <t>ONAY</t>
        </is>
      </c>
      <c r="M19" s="9" t="n"/>
      <c r="N19" s="9" t="n"/>
      <c r="O19" s="66" t="n"/>
      <c r="P19" s="9">
        <f>IF(O19&lt;&gt;"",O19, IF(N19&lt;&gt;"",N19, IF(M19&lt;&gt;"",M19, L19)))</f>
        <v/>
      </c>
      <c r="R19" s="95">
        <f>IF(AND(P19=0, B19&lt;&gt;""), B19, "")</f>
        <v/>
      </c>
    </row>
    <row r="20" ht="76.5" customHeight="1" s="221">
      <c r="A20" s="5" t="inlineStr">
        <is>
          <t>19.</t>
        </is>
      </c>
      <c r="B20" s="6" t="inlineStr">
        <is>
          <t>SBA 26/019</t>
        </is>
      </c>
      <c r="C20" s="8" t="inlineStr">
        <is>
          <t>Dr. Öğr. Üyesi Figen BEZCİ AYGÜN</t>
        </is>
      </c>
      <c r="D20" s="8" t="inlineStr">
        <is>
          <t>Göz Hastalıkları Anabilim Dalı</t>
        </is>
      </c>
      <c r="E20" s="7" t="inlineStr">
        <is>
          <t>Üniversitemiz Tıp Fakültesi Göz Hastalıkları Anabilim Dalı öğretim üyelerinden Dr. Öğr. Üyesi Figen BEZCİ AYGÜN'ün sorumlu araştırmacı olduğu, Prof. Dr. Sibel KADAYIFÇILAR ve Araş. Gör. Dr. Kezban Azra KARGALI KATI ile birlikte çalışacakları,</t>
        </is>
      </c>
      <c r="F20" s="7" t="inlineStr">
        <is>
          <t>“Perifoveal Eksüdatif Vasküler Anomali Kompleksi ve Benzeri Lezyonun Klinik Özellikleri, Görüntüleme Bulguları ve Tedavi Sonuçları”</t>
        </is>
      </c>
      <c r="G20" s="13" t="inlineStr">
        <is>
          <t>Bireysel Araştırma</t>
        </is>
      </c>
      <c r="H20" s="54" t="n"/>
      <c r="I20" s="52" t="n">
        <v>46028</v>
      </c>
      <c r="J20" s="8" t="inlineStr">
        <is>
          <t>Doç. Dr. Ekim GÜMELER</t>
        </is>
      </c>
      <c r="K20" s="8" t="inlineStr">
        <is>
          <t>Prof. Dr. Nazmiye Ebru ORTAÇ ERSOY</t>
        </is>
      </c>
      <c r="L20" s="9" t="inlineStr">
        <is>
          <t>ONAY</t>
        </is>
      </c>
      <c r="M20" s="9" t="n"/>
      <c r="N20" s="9" t="n"/>
      <c r="O20" s="66" t="n"/>
      <c r="P20" s="9">
        <f>IF(O20&lt;&gt;"",O20, IF(N20&lt;&gt;"",N20, IF(M20&lt;&gt;"",M20, L20)))</f>
        <v/>
      </c>
      <c r="R20" s="95">
        <f>IF(AND(P20=0, B20&lt;&gt;""), B20, "")</f>
        <v/>
      </c>
    </row>
    <row r="21" ht="80.25" customHeight="1" s="221">
      <c r="A21" s="5" t="inlineStr">
        <is>
          <t>20.</t>
        </is>
      </c>
      <c r="B21" s="6" t="inlineStr">
        <is>
          <t>SBA 26/020</t>
        </is>
      </c>
      <c r="C21" s="8" t="inlineStr">
        <is>
          <t>Dr. Öğr. Üyesi Figen BEZCİ AYGÜN</t>
        </is>
      </c>
      <c r="D21" s="8" t="inlineStr">
        <is>
          <t>Göz Hastalıkları Anabilim Dalı</t>
        </is>
      </c>
      <c r="E21" s="7" t="inlineStr">
        <is>
          <t>Üniversitemiz Tıp Fakültesi Göz Hastalıkları Anabilim Dalı öğretim üyelerinden Dr. Öğr. Üyesi Figen BEZCİ AYGÜN'ün sorumlu araştırmacı olduğu, Prof. Dr. Sibel KADAYIFÇILAR ve Arş. Gör. Dr. Kezban Azra KARGALI KATI ile birlikte çalışacakları,</t>
        </is>
      </c>
      <c r="F21" s="7" t="inlineStr">
        <is>
          <t>“Anjioid Strialı Hastaların Demografik, Klinik Özelliklerinin Prognozla İlişkisinin Değerlendirilmesi ve Uzun Dönem Sonuçları”</t>
        </is>
      </c>
      <c r="G21" s="13" t="inlineStr">
        <is>
          <t>Bireysel Araştırma</t>
        </is>
      </c>
      <c r="H21" s="54" t="n"/>
      <c r="I21" s="52" t="n">
        <v>46028</v>
      </c>
      <c r="J21" s="8" t="inlineStr">
        <is>
          <t>Dr. Öğr. Üyesi Müge DEMİR</t>
        </is>
      </c>
      <c r="K21" s="8" t="inlineStr">
        <is>
          <t>Prof. Dr. Yavuz AYHAN</t>
        </is>
      </c>
      <c r="L21" s="9" t="inlineStr">
        <is>
          <t>ONAY</t>
        </is>
      </c>
      <c r="M21" s="9" t="n"/>
      <c r="N21" s="9" t="n"/>
      <c r="O21" s="66" t="n"/>
      <c r="P21" s="9">
        <f>IF(O21&lt;&gt;"",O21, IF(N21&lt;&gt;"",N21, IF(M21&lt;&gt;"",M21, L21)))</f>
        <v/>
      </c>
      <c r="R21" s="95">
        <f>IF(AND(P21=0, B21&lt;&gt;""), B21, "")</f>
        <v/>
      </c>
    </row>
    <row r="22" ht="63" customHeight="1" s="221">
      <c r="A22" s="5" t="inlineStr">
        <is>
          <t>21.</t>
        </is>
      </c>
      <c r="B22" s="6" t="inlineStr">
        <is>
          <t>SBA 26/021</t>
        </is>
      </c>
      <c r="C22" s="8" t="inlineStr">
        <is>
          <t>Prof. Dr. Oğuz IŞIK</t>
        </is>
      </c>
      <c r="D22" s="8" t="inlineStr">
        <is>
          <t>Sağlık Yönetimi Anabilim Dalı</t>
        </is>
      </c>
      <c r="E22" s="7" t="inlineStr">
        <is>
          <t>Üniversitemiz İktisadi İdari Bilimler Fakültesi Sağlık Yönetimi Anabilim Dalı öğretim üyelerinden Prof. Dr. Oğuz IŞIK’ın sorumlu araştırmacı olduğu, Kübra TEKAYAK’ın doktora tezi olan,</t>
        </is>
      </c>
      <c r="F22" s="7" t="inlineStr">
        <is>
          <t>“Sağlık Hizmetlerinde Aşırı Kullanım Algısı: Nedenleri, Sonuçları ve Hekime Güven ile İlişkisinin Hasta Perspektifinden Değerlendirilmesi”</t>
        </is>
      </c>
      <c r="G22" s="13" t="inlineStr">
        <is>
          <t>Doktora Tezi</t>
        </is>
      </c>
      <c r="H22" s="54" t="n"/>
      <c r="I22" s="52" t="n">
        <v>46028</v>
      </c>
      <c r="J22" s="8" t="inlineStr">
        <is>
          <t>Prof. Dr. Ayşe KİN İŞLER</t>
        </is>
      </c>
      <c r="K22" s="8" t="inlineStr">
        <is>
          <t>Prof. Dr. Melih Önder BABAOĞLU</t>
        </is>
      </c>
      <c r="L22" s="9" t="inlineStr">
        <is>
          <t>DÜZELTME</t>
        </is>
      </c>
      <c r="M22" s="9" t="inlineStr">
        <is>
          <t>GÖRÜŞ</t>
        </is>
      </c>
      <c r="N22" s="9" t="inlineStr">
        <is>
          <t>ONAY</t>
        </is>
      </c>
      <c r="O22" s="66" t="n"/>
      <c r="P22" s="9">
        <f>IF(O22&lt;&gt;"",O22, IF(N22&lt;&gt;"",N22, IF(M22&lt;&gt;"",M22, L22)))</f>
        <v/>
      </c>
      <c r="R22" s="95">
        <f>IF(AND(P22=0, B22&lt;&gt;""), B22, "")</f>
        <v/>
      </c>
    </row>
    <row r="23" ht="63" customHeight="1" s="221">
      <c r="A23" s="5" t="inlineStr">
        <is>
          <t>22.</t>
        </is>
      </c>
      <c r="B23" s="6" t="inlineStr">
        <is>
          <t>SBA 26/022</t>
        </is>
      </c>
      <c r="C23" s="8" t="inlineStr">
        <is>
          <t>Doç. Dr. Dilek ÜNAL</t>
        </is>
      </c>
      <c r="D23" s="8" t="inlineStr">
        <is>
          <t>Çocuk ve Ergen Ruh Sağlığı ve Hastalıkları Anabilim Dalı</t>
        </is>
      </c>
      <c r="E23" s="7" t="inlineStr">
        <is>
          <t>Üniversitemiz Tıp Fakültesi Çocuk ve Ergen Ruh Sağlığı ve Hastalıkları Anabilim Dalı öğretim üyelerinden Doç. Dr. Dilek ÜNAL’ın sorumlu araştırmacı olduğu, Arş. Gör. Dr. Beray BAHAR'ın uzmanlık tezi olan,</t>
        </is>
      </c>
      <c r="F23" s="7" t="inlineStr">
        <is>
          <t>“Ekran Bağımlılığı ile İnflamasyon İlişkisi”</t>
        </is>
      </c>
      <c r="G23" s="13" t="inlineStr">
        <is>
          <t>Uzmanlık Tezi</t>
        </is>
      </c>
      <c r="H23" s="54" t="n"/>
      <c r="I23" s="52" t="n">
        <v>46028</v>
      </c>
      <c r="J23" s="8" t="inlineStr">
        <is>
          <t>Doç. Dr. Burcu ERSÖZ ALAN</t>
        </is>
      </c>
      <c r="K23" s="8" t="inlineStr">
        <is>
          <t>Prof. Dr. Gözde GİRGİN</t>
        </is>
      </c>
      <c r="L23" s="9" t="inlineStr">
        <is>
          <t>DÜZELTME</t>
        </is>
      </c>
      <c r="M23" s="9" t="inlineStr">
        <is>
          <t>ONAY</t>
        </is>
      </c>
      <c r="N23" s="9" t="n"/>
      <c r="O23" s="66" t="n"/>
      <c r="P23" s="9">
        <f>IF(O23&lt;&gt;"",O23, IF(N23&lt;&gt;"",N23, IF(M23&lt;&gt;"",M23, L23)))</f>
        <v/>
      </c>
      <c r="R23" s="95">
        <f>IF(AND(P23=0, B23&lt;&gt;""), B23, "")</f>
        <v/>
      </c>
    </row>
    <row r="24" ht="78.75" customHeight="1" s="221">
      <c r="A24" s="5" t="inlineStr">
        <is>
          <t>23.</t>
        </is>
      </c>
      <c r="B24" s="6" t="inlineStr">
        <is>
          <t>SBA 26/023</t>
        </is>
      </c>
      <c r="C24" s="8" t="inlineStr">
        <is>
          <t>Prof. Dr. Emre TOSUN</t>
        </is>
      </c>
      <c r="D24" s="8" t="inlineStr">
        <is>
          <t>Ağız, Diş ve Çene Cerrahisi Anabilim Dalı</t>
        </is>
      </c>
      <c r="E24" s="7" t="inlineStr">
        <is>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is>
      </c>
      <c r="F24" s="7" t="inlineStr">
        <is>
          <t>“Maksiller Sinüs Lift Cerrahisinin Komşu Dişlerin Pulpa Vitalitesi Üzerine Etkisinin Elektriksel ve Termal Testlerle Değerlendirilmesi”</t>
        </is>
      </c>
      <c r="G24" s="13" t="inlineStr">
        <is>
          <t>Bireysel Araştırma</t>
        </is>
      </c>
      <c r="H24" s="54" t="n"/>
      <c r="I24" s="52" t="n">
        <v>46028</v>
      </c>
      <c r="J24" s="8" t="inlineStr">
        <is>
          <t>Prof. Dr. M. Özgür UYANIK</t>
        </is>
      </c>
      <c r="K24" s="8" t="inlineStr">
        <is>
          <t>Doç. Dr. Ekim GÜMELER</t>
        </is>
      </c>
      <c r="L24" s="9" t="inlineStr">
        <is>
          <t>KAEK</t>
        </is>
      </c>
      <c r="M24" s="9" t="inlineStr">
        <is>
          <t>GÖRÜŞ</t>
        </is>
      </c>
      <c r="N24" s="9" t="n"/>
      <c r="O24" s="66" t="n"/>
      <c r="P24" s="9">
        <f>IF(O24&lt;&gt;"",O24, IF(N24&lt;&gt;"",N24, IF(M24&lt;&gt;"",M24, L24)))</f>
        <v/>
      </c>
      <c r="R24" s="95">
        <f>IF(AND(P24=0, B24&lt;&gt;""), B24, "")</f>
        <v/>
      </c>
    </row>
    <row r="25" ht="94.5" customHeight="1" s="221">
      <c r="A25" s="5" t="inlineStr">
        <is>
          <t>24.</t>
        </is>
      </c>
      <c r="B25" s="6" t="inlineStr">
        <is>
          <t>SBA 26/024</t>
        </is>
      </c>
      <c r="C25" s="8" t="inlineStr">
        <is>
          <t>Prof. Dr. Seza ÖZEN</t>
        </is>
      </c>
      <c r="D25" s="8" t="inlineStr">
        <is>
          <t>Çocuk Sağlığı ve Hastalıkları Anabilim Dalı</t>
        </is>
      </c>
      <c r="E25" s="7" t="inlineStr">
        <is>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is>
      </c>
      <c r="F25" s="7" t="inlineStr">
        <is>
          <t>“Kawasaki Hastalığının Viral Enfeksiyonlar ve Hava Kirliliği ile İlişkisi”</t>
        </is>
      </c>
      <c r="G25" s="13" t="inlineStr">
        <is>
          <t>Bireysel Araştırma</t>
        </is>
      </c>
      <c r="H25" s="54" t="n"/>
      <c r="I25" s="52" t="n">
        <v>46028</v>
      </c>
      <c r="J25" s="8" t="inlineStr">
        <is>
          <t>Doç. Dr. Burcu ERSÖZ ALAN</t>
        </is>
      </c>
      <c r="K25" s="8" t="inlineStr">
        <is>
          <t>Prof. Dr. Yavuz AYHAN</t>
        </is>
      </c>
      <c r="L25" s="9" t="inlineStr">
        <is>
          <t>DÜZELTME</t>
        </is>
      </c>
      <c r="M25" s="9" t="inlineStr">
        <is>
          <t>GÖRÜŞ</t>
        </is>
      </c>
      <c r="N25" s="9" t="inlineStr">
        <is>
          <t>ONAY</t>
        </is>
      </c>
      <c r="O25" s="66" t="n"/>
      <c r="P25" s="9">
        <f>IF(O25&lt;&gt;"",O25, IF(N25&lt;&gt;"",N25, IF(M25&lt;&gt;"",M25, L25)))</f>
        <v/>
      </c>
      <c r="R25" s="95">
        <f>IF(AND(P25=0, B25&lt;&gt;""), B25, "")</f>
        <v/>
      </c>
    </row>
    <row r="26" ht="63" customHeight="1" s="221">
      <c r="A26" s="5" t="inlineStr">
        <is>
          <t>25.</t>
        </is>
      </c>
      <c r="B26" s="6" t="inlineStr">
        <is>
          <t>SBA 26/025</t>
        </is>
      </c>
      <c r="C26" s="8" t="inlineStr">
        <is>
          <t>Dr. Öğr. Üyesi Gonca ÖZTEN</t>
        </is>
      </c>
      <c r="D26" s="8" t="inlineStr">
        <is>
          <t>Kadın Hastalıkları ve Doğum Anabilim Dalı</t>
        </is>
      </c>
      <c r="E26" s="7" t="inlineStr">
        <is>
          <t>Üniversitemiz Tıp Fakültesi Kadın Hastalıkları ve Doğum Anabilim Dalı öğretim üyelerinden Dr. Öğr. Üyesi Gonca ÖZTEN DERE’nin sorumlu araştırmacı olduğu, Dr. Haticegül TUNCER ile birlikte çalışacakları,</t>
        </is>
      </c>
      <c r="F26" s="7" t="inlineStr">
        <is>
          <t>“Düşük Antimüllerian Hormon Düzeyine Sahip Kadınlarda Gerçekleşen Gebelik Kayıplarının Retrospektif Olarak Araştırılması”</t>
        </is>
      </c>
      <c r="G26" s="13" t="inlineStr">
        <is>
          <t>Bireysel Araştırma</t>
        </is>
      </c>
      <c r="H26" s="54" t="n"/>
      <c r="I26" s="52" t="n">
        <v>46028</v>
      </c>
      <c r="J26" s="8" t="inlineStr">
        <is>
          <t>Doç. Dr. Ekim GÜMELER</t>
        </is>
      </c>
      <c r="K26" s="8" t="inlineStr">
        <is>
          <t>Doç. Dr. Kübra AYKAÇ</t>
        </is>
      </c>
      <c r="L26" s="9" t="inlineStr">
        <is>
          <t>ONAY</t>
        </is>
      </c>
      <c r="M26" s="9" t="n"/>
      <c r="N26" s="9" t="n"/>
      <c r="O26" s="66" t="n"/>
      <c r="P26" s="9">
        <f>IF(O26&lt;&gt;"",O26, IF(N26&lt;&gt;"",N26, IF(M26&lt;&gt;"",M26, L26)))</f>
        <v/>
      </c>
      <c r="R26" s="95">
        <f>IF(AND(P26=0, B26&lt;&gt;""), B26, "")</f>
        <v/>
      </c>
    </row>
    <row r="27" ht="63" customHeight="1" s="221">
      <c r="A27" s="5" t="inlineStr">
        <is>
          <t>26.</t>
        </is>
      </c>
      <c r="B27" s="6" t="inlineStr">
        <is>
          <t>SBA 26/026</t>
        </is>
      </c>
      <c r="C27" s="8" t="inlineStr">
        <is>
          <t>Prof. Dr. Hikmet YORGUN</t>
        </is>
      </c>
      <c r="D27" s="8" t="inlineStr">
        <is>
          <t>Kardiyoloji Anabilim Dalı</t>
        </is>
      </c>
      <c r="E27" s="7" t="inlineStr">
        <is>
          <t>Üniversitemiz Tıp Fakültesi Kardiyoloji Anabilim Dalı öğretim üyelerinden Prof. Dr. Hikmet YORGUN’un sorumlu araştırmacı olduğu, Prof. Dr. Kudret AYTEMİR, Doç. Dr. Cem ÇÖTELİ ve Arş. Gör. Dr. Hüseyin Alper BULUT ile birlikte çalışacakları,</t>
        </is>
      </c>
      <c r="F27" s="7" t="inlineStr">
        <is>
          <t>“Reenterant Sol Atriyal Taşikardi İndüklenen Atriyal Fibrilasyon Hastalarında Fonksiyonel Harita Özelliklerinin Prognoza Etkisi”</t>
        </is>
      </c>
      <c r="G27" s="13" t="inlineStr">
        <is>
          <t>Bireysel Araştırma</t>
        </is>
      </c>
      <c r="H27" s="54" t="n"/>
      <c r="I27" s="52" t="n">
        <v>46028</v>
      </c>
      <c r="J27" s="8" t="inlineStr">
        <is>
          <t>Dr. Öğr. Üyesi Müge DEMİR</t>
        </is>
      </c>
      <c r="K27" s="8" t="inlineStr">
        <is>
          <t>Prof. Dr. M. Özgür UYANIK</t>
        </is>
      </c>
      <c r="L27" s="9" t="inlineStr">
        <is>
          <t>ONAY</t>
        </is>
      </c>
      <c r="M27" s="9" t="n"/>
      <c r="N27" s="9" t="n"/>
      <c r="O27" s="66" t="n"/>
      <c r="P27" s="9">
        <f>IF(O27&lt;&gt;"",O27, IF(N27&lt;&gt;"",N27, IF(M27&lt;&gt;"",M27, L27)))</f>
        <v/>
      </c>
      <c r="R27" s="95">
        <f>IF(AND(P27=0, B27&lt;&gt;""), B27, "")</f>
        <v/>
      </c>
    </row>
    <row r="28" ht="63" customHeight="1" s="221">
      <c r="A28" s="5" t="inlineStr">
        <is>
          <t>27.</t>
        </is>
      </c>
      <c r="B28" s="6" t="inlineStr">
        <is>
          <t>SBA 26/027</t>
        </is>
      </c>
      <c r="C28" s="8" t="inlineStr">
        <is>
          <t>Dr. Öğr. Üyesi Yiğitcan KARANFİL</t>
        </is>
      </c>
      <c r="D28" s="8" t="inlineStr">
        <is>
          <t>Spor Hekimliği Anabilim Dalı</t>
        </is>
      </c>
      <c r="E28" s="7" t="inlineStr">
        <is>
          <t>Üniversitemiz Tıp Fakültesi Spor Hekimliği Anabilim Dalı öğretim üyelerinden Dr. Öğr. Üyesi Yiğitcan KARANFİL'in sorumlu araştırmacı olduğu, Arş. Gör. Dr. Batuhan Erhan AKTAŞ ile birlikte çalışacakları,</t>
        </is>
      </c>
      <c r="F28" s="7" t="inlineStr">
        <is>
          <t>“Eskrim Sporcularında Diz ve Omuz Eklemi Ultrasonografik Parametrelerinin Değerlendirilmesi"</t>
        </is>
      </c>
      <c r="G28" s="13" t="inlineStr">
        <is>
          <t>Bireysel Araştırma</t>
        </is>
      </c>
      <c r="H28" s="54" t="n"/>
      <c r="I28" s="52" t="n">
        <v>46028</v>
      </c>
      <c r="J28" s="8" t="inlineStr">
        <is>
          <t>Prof. Dr. Ayşe KİN İŞLER</t>
        </is>
      </c>
      <c r="K28" s="8" t="inlineStr">
        <is>
          <t>Doç. Dr. Tolga ÇAKMAK</t>
        </is>
      </c>
      <c r="L28" s="9" t="inlineStr">
        <is>
          <t>ONAY</t>
        </is>
      </c>
      <c r="M28" s="9" t="n"/>
      <c r="N28" s="9" t="n"/>
      <c r="O28" s="66" t="n"/>
      <c r="P28" s="9">
        <f>IF(O28&lt;&gt;"",O28, IF(N28&lt;&gt;"",N28, IF(M28&lt;&gt;"",M28, L28)))</f>
        <v/>
      </c>
      <c r="R28" s="95">
        <f>IF(AND(P28=0, B28&lt;&gt;""), B28, "")</f>
        <v/>
      </c>
    </row>
    <row r="29" ht="47.25" customHeight="1" s="221">
      <c r="A29" s="5" t="inlineStr">
        <is>
          <t>28.</t>
        </is>
      </c>
      <c r="B29" s="6" t="inlineStr">
        <is>
          <t>SBA 26/028</t>
        </is>
      </c>
      <c r="C29" s="8" t="inlineStr">
        <is>
          <t>Doç. Dr. Levent KILIÇ</t>
        </is>
      </c>
      <c r="D29" s="8" t="inlineStr">
        <is>
          <t>İç Hastalıkları Anabilim Dalı</t>
        </is>
      </c>
      <c r="E29" s="7" t="inlineStr">
        <is>
          <t>Üniversitemiz Tıp Fakültesi İç Hastalıkları Anabilim Dalı öğretim üyelerinden Doç. Dr. Levent KILIÇ’ın sorumlu araştırmacı olduğu, Arş. Gör. Dr. Buğu BULAT ile birlikte çalışacakları,</t>
        </is>
      </c>
      <c r="F29" s="7" t="inlineStr">
        <is>
          <t>“Aksiyel Spondiloartritli Hastalarda Fiziksel Aktiviteyi Değerlendirmek İçin Türkçeleştirilen mSQUASH Anketinin Validasyonu”</t>
        </is>
      </c>
      <c r="G29" s="13" t="inlineStr">
        <is>
          <t>Bireysel Araştırma</t>
        </is>
      </c>
      <c r="H29" s="54" t="n"/>
      <c r="I29" s="52" t="n">
        <v>46028</v>
      </c>
      <c r="J29" s="8" t="inlineStr">
        <is>
          <t>Doç. Dr. Ekim GÜMELER</t>
        </is>
      </c>
      <c r="K29" s="8" t="inlineStr">
        <is>
          <t>Prof. Dr. Gözde GİRGİN</t>
        </is>
      </c>
      <c r="L29" s="9" t="inlineStr">
        <is>
          <t>ONAY</t>
        </is>
      </c>
      <c r="M29" s="9" t="n"/>
      <c r="N29" s="9" t="n"/>
      <c r="O29" s="66" t="n"/>
      <c r="P29" s="9">
        <f>IF(O29&lt;&gt;"",O29, IF(N29&lt;&gt;"",N29, IF(M29&lt;&gt;"",M29, L29)))</f>
        <v/>
      </c>
      <c r="R29" s="95">
        <f>IF(AND(P29=0, B29&lt;&gt;""), B29, "")</f>
        <v/>
      </c>
    </row>
    <row r="30" ht="63" customHeight="1" s="221">
      <c r="A30" s="5" t="inlineStr">
        <is>
          <t>29.</t>
        </is>
      </c>
      <c r="B30" s="6" t="inlineStr">
        <is>
          <t>SBA 26/029</t>
        </is>
      </c>
      <c r="C30" s="8" t="inlineStr">
        <is>
          <t>Prof. Dr. Kudret AYTEMİR</t>
        </is>
      </c>
      <c r="D30" s="8" t="inlineStr">
        <is>
          <t>Kardiyoloji Anabilim Dalı</t>
        </is>
      </c>
      <c r="E30" s="7" t="inlineStr">
        <is>
          <t>Üniversitemiz Tıp Fakültesi Kardiyoloji Anabilim Dalı öğretim üyelerinden Prof. Dr. Kudret AYTEMİR’in sorumlu araştırmacı olduğu, Prof. Dr. Hikmet YORGUN, Doç. Dr. Cem ÇÖTELİ ve Arş. Gör. Dr. Selahattin ÇÖP ile birlikte çalışacakları,</t>
        </is>
      </c>
      <c r="F30" s="7" t="inlineStr">
        <is>
          <t>“Atrial Fibrilasyon Ablasyonu Uygulanan Hastalarda Yüzey EKG P Dalga Parametreleri ile Sol Atrial Skar Arasındaki İlişkinin Değerlendirilmesi”</t>
        </is>
      </c>
      <c r="G30" s="13" t="inlineStr">
        <is>
          <t>Bireysel Araştırma</t>
        </is>
      </c>
      <c r="H30" s="54" t="n">
        <v>46017</v>
      </c>
      <c r="I30" s="52" t="n">
        <v>46028</v>
      </c>
      <c r="J30" s="8" t="inlineStr">
        <is>
          <t>Prof. Dr. Melih Önder BABAOĞLU</t>
        </is>
      </c>
      <c r="K30" s="8" t="inlineStr">
        <is>
          <t>Prof. Dr. Nazmiye Ebru ORTAÇ ERSOY</t>
        </is>
      </c>
      <c r="L30" s="9" t="inlineStr">
        <is>
          <t>ONAY</t>
        </is>
      </c>
      <c r="M30" s="9" t="n"/>
      <c r="N30" s="9" t="n"/>
      <c r="O30" s="66" t="n"/>
      <c r="P30" s="9">
        <f>IF(O30&lt;&gt;"",O30, IF(N30&lt;&gt;"",N30, IF(M30&lt;&gt;"",M30, L30)))</f>
        <v/>
      </c>
      <c r="R30" s="95">
        <f>IF(AND(P30=0, B30&lt;&gt;""), B30, "")</f>
        <v/>
      </c>
    </row>
    <row r="31" ht="93.75" customHeight="1" s="221">
      <c r="A31" s="5" t="inlineStr">
        <is>
          <t>30.</t>
        </is>
      </c>
      <c r="B31" s="6" t="inlineStr">
        <is>
          <t>SBA 26/030</t>
        </is>
      </c>
      <c r="C31" s="8" t="inlineStr">
        <is>
          <t>Prof. Dr. Ali Fuat KALYONCU</t>
        </is>
      </c>
      <c r="D31" s="8" t="inlineStr">
        <is>
          <t>Göğüs Hastalıkları Anabilim Dalı</t>
        </is>
      </c>
      <c r="E31" s="7" t="inlineStr">
        <is>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is>
      </c>
      <c r="F31" s="7" t="inlineStr">
        <is>
          <t>“Nonsteroid Anti-inflamatuar İlaçlar ile Tetiklenen Hava Yolu Hastalığı Tanısı Olan Hastalarda Çoklu İlaç Alerjilerinin Değerlendirilmesi”</t>
        </is>
      </c>
      <c r="G31" s="13" t="inlineStr">
        <is>
          <t>Bireysel Araştırma</t>
        </is>
      </c>
      <c r="H31" s="54" t="n">
        <v>46017</v>
      </c>
      <c r="I31" s="52" t="n">
        <v>46028</v>
      </c>
      <c r="J31" s="8" t="inlineStr">
        <is>
          <t>Prof. Dr. Melih Önder BABAOĞLU</t>
        </is>
      </c>
      <c r="K31" s="8" t="inlineStr">
        <is>
          <t>Doç. Dr. Kübra AYKAÇ</t>
        </is>
      </c>
      <c r="L31" s="9" t="inlineStr">
        <is>
          <t>DÜZELTME</t>
        </is>
      </c>
      <c r="M31" s="9" t="inlineStr">
        <is>
          <t>ONAY</t>
        </is>
      </c>
      <c r="N31" s="9" t="n"/>
      <c r="O31" s="66" t="n"/>
      <c r="P31" s="9">
        <f>IF(O31&lt;&gt;"",O31, IF(N31&lt;&gt;"",N31, IF(M31&lt;&gt;"",M31, L31)))</f>
        <v/>
      </c>
      <c r="R31" s="95">
        <f>IF(AND(P31=0, B31&lt;&gt;""), B31, "")</f>
        <v/>
      </c>
    </row>
    <row r="32" ht="94.5" customHeight="1" s="221">
      <c r="A32" s="5" t="inlineStr">
        <is>
          <t>31.</t>
        </is>
      </c>
      <c r="B32" s="6" t="inlineStr">
        <is>
          <t>SBA 26/031</t>
        </is>
      </c>
      <c r="C32" s="8" t="inlineStr">
        <is>
          <t>Prof. Dr. Ali Fuat KALYONCU</t>
        </is>
      </c>
      <c r="D32" s="8" t="inlineStr">
        <is>
          <t>Göğüs Hastalıkları Anabilim Dalı</t>
        </is>
      </c>
      <c r="E32" s="7" t="inlineStr">
        <is>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is>
      </c>
      <c r="F32" s="7" t="inlineStr">
        <is>
          <t>“Tip 2 Biyolojik Ajan Endikasyonlarını Karşılamayan Hastalarda Biyolojik Tedavi Yanıtlarının ve Klinik Özelliklerin Değerlendirilmesi”</t>
        </is>
      </c>
      <c r="G32" s="13" t="inlineStr">
        <is>
          <t>Bireysel Araştırma</t>
        </is>
      </c>
      <c r="H32" s="54" t="n">
        <v>46017</v>
      </c>
      <c r="I32" s="52" t="n">
        <v>46028</v>
      </c>
      <c r="J32" s="8" t="inlineStr">
        <is>
          <t>Prof. Dr. Melih Önder BABAOĞLU</t>
        </is>
      </c>
      <c r="K32" s="8" t="inlineStr">
        <is>
          <t>Prof. Dr. Nazmiye Ebru ORTAÇ ERSOY</t>
        </is>
      </c>
      <c r="L32" s="9" t="inlineStr">
        <is>
          <t>DÜZELTME</t>
        </is>
      </c>
      <c r="M32" s="9" t="n"/>
      <c r="N32" s="9" t="n"/>
      <c r="O32" s="66" t="n"/>
      <c r="P32" s="9">
        <f>IF(O32&lt;&gt;"",O32, IF(N32&lt;&gt;"",N32, IF(M32&lt;&gt;"",M32, L32)))</f>
        <v/>
      </c>
      <c r="R32" s="95">
        <f>IF(AND(P32=0, B32&lt;&gt;""), B32, "")</f>
        <v/>
      </c>
    </row>
    <row r="33" ht="94.5" customHeight="1" s="221">
      <c r="A33" s="5" t="inlineStr">
        <is>
          <t>32.</t>
        </is>
      </c>
      <c r="B33" s="6" t="inlineStr">
        <is>
          <t>SBA 26/032</t>
        </is>
      </c>
      <c r="C33" s="8" t="inlineStr">
        <is>
          <t>Prof. Dr. Ebru DAMADOĞLU</t>
        </is>
      </c>
      <c r="D33" s="8" t="inlineStr">
        <is>
          <t>Göğüs Hastalıkları Anabilim Dalı</t>
        </is>
      </c>
      <c r="E33" s="7" t="inlineStr">
        <is>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is>
      </c>
      <c r="F33" s="7" t="inlineStr">
        <is>
          <t>“Kronik Ürtikerde Sistemik Semptomlarla Giden Alevlenmeler: MCAS Olabilir Mi?”</t>
        </is>
      </c>
      <c r="G33" s="13" t="inlineStr">
        <is>
          <t>Bireysel Araştırma</t>
        </is>
      </c>
      <c r="H33" s="54" t="n">
        <v>46017</v>
      </c>
      <c r="I33" s="52" t="n">
        <v>46028</v>
      </c>
      <c r="J33" s="8" t="inlineStr">
        <is>
          <t>Prof. Dr. Nazmiye Ebru ORTAÇ ERSOY</t>
        </is>
      </c>
      <c r="K33" s="8" t="inlineStr">
        <is>
          <t>Prof. Dr. Gözde GİRGİN</t>
        </is>
      </c>
      <c r="L33" s="9" t="inlineStr">
        <is>
          <t>ONAY</t>
        </is>
      </c>
      <c r="M33" s="9" t="n"/>
      <c r="N33" s="9" t="n"/>
      <c r="O33" s="66" t="n"/>
      <c r="P33" s="9">
        <f>IF(O33&lt;&gt;"",O33, IF(N33&lt;&gt;"",N33, IF(M33&lt;&gt;"",M33, L33)))</f>
        <v/>
      </c>
      <c r="R33" s="95">
        <f>IF(AND(P33=0, B33&lt;&gt;""), B33, "")</f>
        <v/>
      </c>
    </row>
    <row r="34" ht="63" customHeight="1" s="221">
      <c r="A34" s="5" t="inlineStr">
        <is>
          <t>33.</t>
        </is>
      </c>
      <c r="B34" s="6" t="inlineStr">
        <is>
          <t>SBA 26/033</t>
        </is>
      </c>
      <c r="C34" s="8" t="inlineStr">
        <is>
          <t>Prof. Dr. Meltem Gülhan HALİL</t>
        </is>
      </c>
      <c r="D34" s="8" t="inlineStr">
        <is>
          <t>İç Hastalıkları Anabilim Dalı</t>
        </is>
      </c>
      <c r="E34" s="7" t="inlineStr">
        <is>
          <t>Üniversitemiz Tıp Fakültesi İç Hastalıklrı Anabilim Dalı öğretim üyelerinden Prof. Dr. Meltem Gülhan HALİL'in sorumlu araştırmacı olduğu, Arş. Gör. Dr. Özge ÖZGÜN ile birlikte çalışacakları ve Arş. Gör. Dr. Emrach CHOUSEIN'in uzmanlık tezi olan,</t>
        </is>
      </c>
      <c r="F34" s="7" t="inlineStr">
        <is>
          <t>“Dehidratasyonun Geritritk Klinik Göstergelerle İlişkisi:65 Yaş Üzeri Bireylerde Retrospektif Kesitsel Analiz”</t>
        </is>
      </c>
      <c r="G34" s="13" t="inlineStr">
        <is>
          <t>Uzmanlık Tezi</t>
        </is>
      </c>
      <c r="H34" s="54" t="n">
        <v>46017</v>
      </c>
      <c r="I34" s="52" t="n">
        <v>46028</v>
      </c>
      <c r="J34" s="8" t="inlineStr">
        <is>
          <t>Doç. Dr. Tolga ÇAKMAK</t>
        </is>
      </c>
      <c r="K34" s="8" t="inlineStr">
        <is>
          <t>Prof. Dr. Yavuz AYHAN</t>
        </is>
      </c>
      <c r="L34" s="9" t="inlineStr">
        <is>
          <t>ONAY</t>
        </is>
      </c>
      <c r="M34" s="9" t="n"/>
      <c r="N34" s="9" t="n"/>
      <c r="O34" s="66" t="n"/>
      <c r="P34" s="9">
        <f>IF(O34&lt;&gt;"",O34, IF(N34&lt;&gt;"",N34, IF(M34&lt;&gt;"",M34, L34)))</f>
        <v/>
      </c>
      <c r="R34" s="95">
        <f>IF(AND(P34=0, B34&lt;&gt;""), B34, "")</f>
        <v/>
      </c>
    </row>
    <row r="35" ht="63" customHeight="1" s="221">
      <c r="A35" s="5" t="inlineStr">
        <is>
          <t>34.</t>
        </is>
      </c>
      <c r="B35" s="6" t="inlineStr">
        <is>
          <t>SBA 26/034</t>
        </is>
      </c>
      <c r="C35" s="8" t="inlineStr">
        <is>
          <t>Öğr. Gör. Dr. Bahattin PASLI</t>
        </is>
      </c>
      <c r="D35" s="8" t="inlineStr">
        <is>
          <t>Anatomi Anabilim Dalı</t>
        </is>
      </c>
      <c r="E35" s="7" t="inlineStr">
        <is>
          <t>Üniversitemiz Tıp Fakültesi Anatomi Anabilim Dalı öğretim görevlilerinden Öğr. Gör. Dr. Bahattin PASLI'nın sorumlu araştırmacı olduğu, Uzm. Dr. Mehmet ÜLKİR ile birlikte çalışacakları,</t>
        </is>
      </c>
      <c r="F35" s="7" t="inlineStr">
        <is>
          <t>“Proksimal Femur Morfometrisinin Ortopedik İmplant ve Protez Tasarımındaki Önemi”</t>
        </is>
      </c>
      <c r="G35" s="13" t="inlineStr">
        <is>
          <t>Bireysel Araştırma</t>
        </is>
      </c>
      <c r="H35" s="54" t="n">
        <v>46017</v>
      </c>
      <c r="I35" s="52" t="n">
        <v>46028</v>
      </c>
      <c r="J35" s="8" t="inlineStr">
        <is>
          <t>Prof. Dr. M. Özgür UYANIK</t>
        </is>
      </c>
      <c r="K35" s="8" t="inlineStr">
        <is>
          <t>Prof. Dr. Ayşe KİN İŞLER</t>
        </is>
      </c>
      <c r="L35" s="9" t="inlineStr">
        <is>
          <t>ONAY</t>
        </is>
      </c>
      <c r="M35" s="9" t="n"/>
      <c r="N35" s="9" t="n"/>
      <c r="O35" s="66" t="n"/>
      <c r="P35" s="9">
        <f>IF(O35&lt;&gt;"",O35, IF(N35&lt;&gt;"",N35, IF(M35&lt;&gt;"",M35, L35)))</f>
        <v/>
      </c>
      <c r="R35" s="95">
        <f>IF(AND(P35=0, B35&lt;&gt;""), B35, "")</f>
        <v/>
      </c>
    </row>
    <row r="36" ht="78.75" customHeight="1" s="221">
      <c r="A36" s="5" t="inlineStr">
        <is>
          <t>35.</t>
        </is>
      </c>
      <c r="B36" s="6" t="inlineStr">
        <is>
          <t>SBA 26/035</t>
        </is>
      </c>
      <c r="C36" s="8" t="inlineStr">
        <is>
          <t>Öğr. Gör. Dr. Bahattin PASLI</t>
        </is>
      </c>
      <c r="D36" s="8" t="inlineStr">
        <is>
          <t>Anatomi Anabilim Dalı</t>
        </is>
      </c>
      <c r="E36" s="7" t="inlineStr">
        <is>
          <t>Üniversitemiz Tıp Fakültesi Anatomi Anabilim Dalı öğretim görevlilerinden Öğr. Gör. Dr. Bahattin PASLI'nın sorumlu araştırmacı olduğu, Öğr. Gör. Dr. Helin YÜCEDAĞ GÜNDOĞDU ve Uzm. Dr. Mehmet ÜLKİR ile birlikte çalışacakları,</t>
        </is>
      </c>
      <c r="F36" s="7" t="inlineStr">
        <is>
          <t>“Beden Bağışı Başvurularında Sosyodemografik ve Zamansal Eğilimler: Hacettepe Üniversitesi Deneyimi”</t>
        </is>
      </c>
      <c r="G36" s="13" t="inlineStr">
        <is>
          <t>Bireysel Araştırma</t>
        </is>
      </c>
      <c r="H36" s="54" t="n">
        <v>46017</v>
      </c>
      <c r="I36" s="52" t="n">
        <v>46028</v>
      </c>
      <c r="J36" s="8" t="inlineStr">
        <is>
          <t>Dr. Öğr. Üyesi Müge DEMİR</t>
        </is>
      </c>
      <c r="K36" s="8" t="inlineStr">
        <is>
          <t>Prof. Dr. Ayşe KİN İŞLER</t>
        </is>
      </c>
      <c r="L36" s="9" t="inlineStr">
        <is>
          <t>ONAY</t>
        </is>
      </c>
      <c r="M36" s="9" t="n"/>
      <c r="N36" s="9" t="n"/>
      <c r="O36" s="66" t="n"/>
      <c r="P36" s="9">
        <f>IF(O36&lt;&gt;"",O36, IF(N36&lt;&gt;"",N36, IF(M36&lt;&gt;"",M36, L36)))</f>
        <v/>
      </c>
      <c r="R36" s="95">
        <f>IF(AND(P36=0, B36&lt;&gt;""), B36, "")</f>
        <v/>
      </c>
    </row>
    <row r="37" ht="78.75" customHeight="1" s="221">
      <c r="A37" s="5" t="inlineStr">
        <is>
          <t>36.</t>
        </is>
      </c>
      <c r="B37" s="6" t="inlineStr">
        <is>
          <t>SBA 26/036</t>
        </is>
      </c>
      <c r="C37" s="8" t="inlineStr">
        <is>
          <t>Prof. Dr. Müzeyyen Pınar ÖZGEN KIRATLI</t>
        </is>
      </c>
      <c r="D37" s="8" t="inlineStr">
        <is>
          <t>Nükleer Tıp Anabilim Dalı</t>
        </is>
      </c>
      <c r="E37" s="7" t="inlineStr">
        <is>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is>
      </c>
      <c r="F37" s="7" t="inlineStr">
        <is>
          <t>“Kronik Tromboembolik Pulmoner Hipertansiyonun Tanısında ve Tedavi Yanıtı Değerlendirmesinde Akciğer Ventilasyon/Perfüzyon Sintigrafisinin Prognostik Gücü”</t>
        </is>
      </c>
      <c r="G37" s="13" t="inlineStr">
        <is>
          <t>Bireysel Araştırma</t>
        </is>
      </c>
      <c r="H37" s="54" t="n">
        <v>46017</v>
      </c>
      <c r="I37" s="52" t="n">
        <v>46028</v>
      </c>
      <c r="J37" s="8" t="inlineStr">
        <is>
          <t>Dr. Öğr. Üyesi Müge DEMİR</t>
        </is>
      </c>
      <c r="K37" s="8" t="inlineStr">
        <is>
          <t>Doç. Dr. Ekim GÜMELER</t>
        </is>
      </c>
      <c r="L37" s="9" t="inlineStr">
        <is>
          <t>ONAY</t>
        </is>
      </c>
      <c r="M37" s="9" t="n"/>
      <c r="N37" s="9" t="n"/>
      <c r="O37" s="66" t="n"/>
      <c r="P37" s="9">
        <f>IF(O37&lt;&gt;"",O37, IF(N37&lt;&gt;"",N37, IF(M37&lt;&gt;"",M37, L37)))</f>
        <v/>
      </c>
      <c r="R37" s="95">
        <f>IF(AND(P37=0, B37&lt;&gt;""), B37, "")</f>
        <v/>
      </c>
    </row>
    <row r="38" ht="63" customHeight="1" s="221">
      <c r="A38" s="5" t="inlineStr">
        <is>
          <t>37.</t>
        </is>
      </c>
      <c r="B38" s="6" t="inlineStr">
        <is>
          <t>SBA 26/037</t>
        </is>
      </c>
      <c r="C38" s="8" t="inlineStr">
        <is>
          <t>Prof. Dr. Yasemin ÖZSÜREKCİ</t>
        </is>
      </c>
      <c r="D38" s="8" t="inlineStr">
        <is>
          <t>Çocuk Sağlığı ve Hastalıkları Anabilim Dalı</t>
        </is>
      </c>
      <c r="E38" s="7" t="inlineStr">
        <is>
          <t>Üniversitemiz Tıp Fakültesi Çocuk Sağlığı ve Hastalıkları Anabilim Dalı öğretim üyelerinden Prof. Dr. Yasemin ÖZSÜREKCİ’nin sorumlu araştırmacı olduğu, Enes Muzaffer KANDUR ve Gülsena KANDUR ile birlikte çalışacakları</t>
        </is>
      </c>
      <c r="F38" s="7" t="inlineStr">
        <is>
          <t>“Tıp ve Mühendislik Öğrencilerinin Yapay Zekaya Karşı Tutumu”</t>
        </is>
      </c>
      <c r="G38" s="13" t="inlineStr">
        <is>
          <t>Bireysel Araştırma</t>
        </is>
      </c>
      <c r="H38" s="54" t="n">
        <v>46017</v>
      </c>
      <c r="I38" s="52" t="n">
        <v>46028</v>
      </c>
      <c r="J38" s="8" t="inlineStr">
        <is>
          <t>Doç. Dr. Kübra AYKAÇ</t>
        </is>
      </c>
      <c r="K38" s="8" t="inlineStr">
        <is>
          <t>Doç. Dr. Burcu ERSÖZ ALAN</t>
        </is>
      </c>
      <c r="L38" s="9" t="inlineStr">
        <is>
          <t>ONAY</t>
        </is>
      </c>
      <c r="M38" s="9" t="n"/>
      <c r="N38" s="9" t="n"/>
      <c r="O38" s="66" t="n"/>
      <c r="P38" s="9">
        <f>IF(O38&lt;&gt;"",O38, IF(N38&lt;&gt;"",N38, IF(M38&lt;&gt;"",M38, L38)))</f>
        <v/>
      </c>
      <c r="R38" s="95">
        <f>IF(AND(P38=0, B38&lt;&gt;""), B38, "")</f>
        <v/>
      </c>
    </row>
    <row r="39" ht="63" customHeight="1" s="221">
      <c r="A39" s="5" t="inlineStr">
        <is>
          <t>38.</t>
        </is>
      </c>
      <c r="B39" s="6" t="inlineStr">
        <is>
          <t>SBA 26/038</t>
        </is>
      </c>
      <c r="C39" s="8" t="inlineStr">
        <is>
          <t>Öğr. Gör. Dr. Burçay TELLİOĞLU</t>
        </is>
      </c>
      <c r="D39" s="8" t="inlineStr">
        <is>
          <t>Kulak Burun Boğaz Anabilim Dalı</t>
        </is>
      </c>
      <c r="E39" s="7" t="inlineStr">
        <is>
          <t>Üniversitemiz Tıp Fakültesi Kulak Burun Boğaz Anabilim Dalı öğretim üyelerinden Öğr. Gör. Dr. Burçay TELLİOĞLU’nun sorumlu araştırmacı olduğu, Prof. Dr. Serdar ÖZER ve Arş. Gör. Dr. Cem Mustafa Kemal HATAY ile birlikte çalışacakları,</t>
        </is>
      </c>
      <c r="F39" s="7" t="inlineStr">
        <is>
          <t>“Antrakoanal Polip Cerrahisinde Orta Mea Antrostomisi ve Caldwell-Luc Yaklaşımlarının Cerrahi Sonuçlar Açısından Karşılaştırılması”</t>
        </is>
      </c>
      <c r="G39" s="13" t="inlineStr">
        <is>
          <t>Bireysel Araştırma</t>
        </is>
      </c>
      <c r="H39" s="54" t="n">
        <v>46017</v>
      </c>
      <c r="I39" s="52" t="n">
        <v>46028</v>
      </c>
      <c r="J39" s="8" t="inlineStr">
        <is>
          <t>Prof. Dr. Ayşe Nurten AKARSU</t>
        </is>
      </c>
      <c r="K39" s="8" t="inlineStr">
        <is>
          <t>Doç. Dr. Ekim GÜMELER</t>
        </is>
      </c>
      <c r="L39" s="9" t="inlineStr">
        <is>
          <t>DÜZELTME</t>
        </is>
      </c>
      <c r="M39" s="9" t="inlineStr">
        <is>
          <t>GÖRÜŞ</t>
        </is>
      </c>
      <c r="N39" s="9" t="inlineStr">
        <is>
          <t>ONAY</t>
        </is>
      </c>
      <c r="O39" s="66" t="n"/>
      <c r="P39" s="9">
        <f>IF(O39&lt;&gt;"",O39, IF(N39&lt;&gt;"",N39, IF(M39&lt;&gt;"",M39, L39)))</f>
        <v/>
      </c>
      <c r="R39" s="95">
        <f>IF(AND(P39=0, B39&lt;&gt;""), B39, "")</f>
        <v/>
      </c>
    </row>
    <row r="40" ht="47.25" customHeight="1" s="221">
      <c r="A40" s="5" t="inlineStr">
        <is>
          <t>39.</t>
        </is>
      </c>
      <c r="B40" s="6" t="inlineStr">
        <is>
          <t>SBA 26/039</t>
        </is>
      </c>
      <c r="C40" s="8" t="inlineStr">
        <is>
          <t>Doç. Dr. Hande GÖRÜCÜ COŞKUNER</t>
        </is>
      </c>
      <c r="D40" s="8" t="inlineStr">
        <is>
          <t>Ortodonti Anabilim Dalı</t>
        </is>
      </c>
      <c r="E40" s="7" t="inlineStr">
        <is>
          <t>Üniversitemiz Diş Hekimliği Fakültesi Ortodonti Anabilim Dalı öğretim üyelerinden Doç. Dr. Hande GÖRÜCÜ COŞKUNER'in sorumlu araştırmacı olduğu,</t>
        </is>
      </c>
      <c r="F40" s="7" t="inlineStr">
        <is>
          <t>“Ortodontik Tedavi Sürecinde Yapay Zekâ ve Sosyal Medya Kullanım Alışkanlıklarının Değerlendirilmesi”</t>
        </is>
      </c>
      <c r="G40" s="13" t="inlineStr">
        <is>
          <t>Bireysel Araştırma</t>
        </is>
      </c>
      <c r="H40" s="54" t="n">
        <v>46017</v>
      </c>
      <c r="I40" s="52" t="n">
        <v>46028</v>
      </c>
      <c r="J40" s="8" t="inlineStr">
        <is>
          <t>Prof. Dr. M. Özgür UYANIK</t>
        </is>
      </c>
      <c r="K40" s="8" t="inlineStr">
        <is>
          <t>Doç. Dr. Tolga ÇAKMAK</t>
        </is>
      </c>
      <c r="L40" s="9" t="inlineStr">
        <is>
          <t>RET</t>
        </is>
      </c>
      <c r="M40" s="9" t="inlineStr">
        <is>
          <t>ONAY</t>
        </is>
      </c>
      <c r="N40" s="9" t="n"/>
      <c r="O40" s="66" t="n"/>
      <c r="P40" s="9">
        <f>IF(O40&lt;&gt;"",O40, IF(N40&lt;&gt;"",N40, IF(M40&lt;&gt;"",M40, L40)))</f>
        <v/>
      </c>
      <c r="R40" s="95">
        <f>IF(AND(P40=0, B40&lt;&gt;""), B40, "")</f>
        <v/>
      </c>
    </row>
    <row r="41" ht="96.75" customHeight="1" s="221">
      <c r="A41" s="5" t="inlineStr">
        <is>
          <t>40.</t>
        </is>
      </c>
      <c r="B41" s="6" t="inlineStr">
        <is>
          <t>SBA 26/040</t>
        </is>
      </c>
      <c r="C41" s="8" t="inlineStr">
        <is>
          <t>Doç. Dr. Saliha ESENBOĞA</t>
        </is>
      </c>
      <c r="D41" s="8" t="inlineStr">
        <is>
          <t>Çocuk Sağlığı ve Hastalıkları Anabilim Dalı</t>
        </is>
      </c>
      <c r="E41" s="7" t="inlineStr">
        <is>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is>
      </c>
      <c r="F41" s="7" t="inlineStr">
        <is>
          <t>“Kronik Granülomatöz Hastalık Tanısı ile İzlenen Hastalarda Gastrointestinal ve Hepatik Bulguların Değerlendirilmesi”</t>
        </is>
      </c>
      <c r="G41" s="13" t="inlineStr">
        <is>
          <t>Bireysel Araştırma</t>
        </is>
      </c>
      <c r="H41" s="54" t="n">
        <v>46017</v>
      </c>
      <c r="I41" s="52" t="n">
        <v>46028</v>
      </c>
      <c r="J41" s="8" t="inlineStr">
        <is>
          <t>Prof. Dr. Gözde GİRGİN</t>
        </is>
      </c>
      <c r="K41" s="8" t="inlineStr">
        <is>
          <t>Doç. Dr. Burcu ERSÖZ ALAN</t>
        </is>
      </c>
      <c r="L41" s="9" t="inlineStr">
        <is>
          <t>ONAY</t>
        </is>
      </c>
      <c r="M41" s="9" t="n"/>
      <c r="N41" s="9" t="n"/>
      <c r="O41" s="66" t="n"/>
      <c r="P41" s="9">
        <f>IF(O41&lt;&gt;"",O41, IF(N41&lt;&gt;"",N41, IF(M41&lt;&gt;"",M41, L41)))</f>
        <v/>
      </c>
      <c r="R41" s="95">
        <f>IF(AND(P41=0, B41&lt;&gt;""), B41, "")</f>
        <v/>
      </c>
    </row>
    <row r="42" ht="78.75" customHeight="1" s="221">
      <c r="A42" s="5" t="inlineStr">
        <is>
          <t>41.</t>
        </is>
      </c>
      <c r="B42" s="6" t="inlineStr">
        <is>
          <t>SBA 26/041</t>
        </is>
      </c>
      <c r="C42" s="8" t="inlineStr">
        <is>
          <t>Dr. Öğr. Üyesi Ahmet KIVRAK</t>
        </is>
      </c>
      <c r="D42" s="8" t="inlineStr">
        <is>
          <t>Kardiyoloji Anabilim Dalı</t>
        </is>
      </c>
      <c r="E42" s="7" t="inlineStr">
        <is>
          <t>Üniversitemiz Tıp Fakültesi Kardiyoloji Anabilim Dalı öğretim üyelerinden Dr. Öğr. Üyesi Ahmet KIVRAK’ın sorumlu araştırmacı olduğu, Doç. Dr. Ahmet Hakan ATEŞ ile birlikte çalışacakları ve Arş. Gör. Dr. Begüm TUNÇ ATEŞSAÇAN’ın uzmanlık tezi olan,</t>
        </is>
      </c>
      <c r="F42" s="7" t="inlineStr">
        <is>
          <t>“Periferik Arter Hastalarında Femoropopliteal Endovasküler Girişim Başarısını Belirleyen Faktörlerin Değerlendirilmesi”</t>
        </is>
      </c>
      <c r="G42" s="13" t="inlineStr">
        <is>
          <t>Uzmanlık Tezi</t>
        </is>
      </c>
      <c r="H42" s="54" t="n">
        <v>46017</v>
      </c>
      <c r="I42" s="52" t="n">
        <v>46028</v>
      </c>
      <c r="J42" s="8" t="inlineStr">
        <is>
          <t>Prof. Dr. Yavuz AYHAN</t>
        </is>
      </c>
      <c r="K42" s="8" t="inlineStr">
        <is>
          <t>Prof. Dr. M. Özgür UYANIK</t>
        </is>
      </c>
      <c r="L42" s="9" t="inlineStr">
        <is>
          <t>ONAY</t>
        </is>
      </c>
      <c r="M42" s="9" t="n"/>
      <c r="N42" s="9" t="n"/>
      <c r="O42" s="66" t="n"/>
      <c r="P42" s="9">
        <f>IF(O42&lt;&gt;"",O42, IF(N42&lt;&gt;"",N42, IF(M42&lt;&gt;"",M42, L42)))</f>
        <v/>
      </c>
      <c r="R42" s="95">
        <f>IF(AND(P42=0, B42&lt;&gt;""), B42, "")</f>
        <v/>
      </c>
    </row>
    <row r="43" ht="63" customHeight="1" s="221">
      <c r="A43" s="5" t="inlineStr">
        <is>
          <t>42.</t>
        </is>
      </c>
      <c r="B43" s="6" t="inlineStr">
        <is>
          <t>SBA 26/042</t>
        </is>
      </c>
      <c r="C43" s="8" t="inlineStr">
        <is>
          <t>Dr. Öğr. Üyesi Ahmet KIVRAK</t>
        </is>
      </c>
      <c r="D43" s="8" t="inlineStr">
        <is>
          <t>Kardiyoloji Anabilim Dalı</t>
        </is>
      </c>
      <c r="E43" s="7" t="inlineStr">
        <is>
          <t>Üniversitemiz Tıp Fakültesi Kardiyoloji Anabilim Dalı öğretim üyelerinden Dr. Öğr. Üyesi Ahmet KIVRAK’ın sorumlu araştırmacı olduğu, Doç. Dr. Ahmet Hakan ATEŞ ve Arş. Gör. Dr. Can SEZER ile birlikte çalışacakları,</t>
        </is>
      </c>
      <c r="F43" s="7" t="inlineStr">
        <is>
          <t>“Şiddetli Koroner Kalsifikasyona Yönelik Girişimlerde Intravasküler Litotripsinin Kullanımının Klinik Sonlanıma Etkisi”</t>
        </is>
      </c>
      <c r="G43" s="13" t="inlineStr">
        <is>
          <t>Bireysel Araştırma</t>
        </is>
      </c>
      <c r="H43" s="54" t="n">
        <v>46017</v>
      </c>
      <c r="I43" s="52" t="n">
        <v>46028</v>
      </c>
      <c r="J43" s="8" t="inlineStr">
        <is>
          <t>Prof. Dr. Melih Önder BABAOĞLU</t>
        </is>
      </c>
      <c r="K43" s="8" t="inlineStr">
        <is>
          <t>Doç. Dr. Kübra AYKAÇ</t>
        </is>
      </c>
      <c r="L43" s="9" t="inlineStr">
        <is>
          <t>DÜZELTME</t>
        </is>
      </c>
      <c r="M43" s="9" t="inlineStr">
        <is>
          <t>GÖRÜŞ</t>
        </is>
      </c>
      <c r="N43" s="9" t="inlineStr">
        <is>
          <t>ONAY</t>
        </is>
      </c>
      <c r="O43" s="66" t="n"/>
      <c r="P43" s="9">
        <f>IF(O43&lt;&gt;"",O43, IF(N43&lt;&gt;"",N43, IF(M43&lt;&gt;"",M43, L43)))</f>
        <v/>
      </c>
      <c r="R43" s="95">
        <f>IF(AND(P43=0, B43&lt;&gt;""), B43, "")</f>
        <v/>
      </c>
    </row>
    <row r="44" ht="63" customHeight="1" s="221">
      <c r="A44" s="5" t="inlineStr">
        <is>
          <t>43.</t>
        </is>
      </c>
      <c r="B44" s="6" t="inlineStr">
        <is>
          <t>SBA 26/043</t>
        </is>
      </c>
      <c r="C44" s="8" t="inlineStr">
        <is>
          <t>Dr. Öğr. Üyesi Ahmet KIVRAK</t>
        </is>
      </c>
      <c r="D44" s="8" t="inlineStr">
        <is>
          <t>Kardiyoloji Anabilim Dalı</t>
        </is>
      </c>
      <c r="E44" s="7" t="inlineStr">
        <is>
          <t>Üniversitemiz Tıp Fakültesi Kardiyoloji Anabilim Dalı öğretim üyelerinden Dr. Öğr. Üyesi Ahmet KIVRAK’ın sorumlu araştırmacı olduğu, Doç. Dr. Ahmet Hakan ATEŞ ve Arş. Gör. Dr. Can SEZER ile birlikte çalışacakları,</t>
        </is>
      </c>
      <c r="F44" s="7" t="inlineStr">
        <is>
          <t>“Sol Atriyal Apendiks Kapama İşlemlerinde Amulet Cihazının Kullanımının Perikardiyal Efüzyon ile İlişkisinin İncelenmesi”</t>
        </is>
      </c>
      <c r="G44" s="13" t="inlineStr">
        <is>
          <t>Bireysel Araştırma</t>
        </is>
      </c>
      <c r="H44" s="54" t="n">
        <v>46017</v>
      </c>
      <c r="I44" s="52" t="n">
        <v>46028</v>
      </c>
      <c r="J44" s="8" t="inlineStr">
        <is>
          <t>Dr. Öğr. Üyesi Müge DEMİR</t>
        </is>
      </c>
      <c r="K44" s="8" t="inlineStr">
        <is>
          <t>Prof. Dr. Ayşe Nurten AKARSU</t>
        </is>
      </c>
      <c r="L44" s="9" t="inlineStr">
        <is>
          <t>ONAY</t>
        </is>
      </c>
      <c r="M44" s="9" t="n"/>
      <c r="N44" s="9" t="n"/>
      <c r="O44" s="66" t="n"/>
      <c r="P44" s="9">
        <f>IF(O44&lt;&gt;"",O44, IF(N44&lt;&gt;"",N44, IF(M44&lt;&gt;"",M44, L44)))</f>
        <v/>
      </c>
      <c r="R44" s="95">
        <f>IF(AND(P44=0, B44&lt;&gt;""), B44, "")</f>
        <v/>
      </c>
    </row>
    <row r="45" ht="98.25" customHeight="1" s="221">
      <c r="A45" s="5" t="inlineStr">
        <is>
          <t>44.</t>
        </is>
      </c>
      <c r="B45" s="6" t="inlineStr">
        <is>
          <t>SBA 26/044</t>
        </is>
      </c>
      <c r="C45" s="8" t="inlineStr">
        <is>
          <t>Prof. Dr. Bülent ALTUN</t>
        </is>
      </c>
      <c r="D45" s="8" t="inlineStr">
        <is>
          <t>İç Hastalıkları Anabilim Dalı</t>
        </is>
      </c>
      <c r="E45" s="7" t="inlineStr">
        <is>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is>
      </c>
      <c r="F45" s="7" t="inlineStr">
        <is>
          <t>“Diyabetik Böbrek Hastalığında Albuminürik ve Non-Albuminürik Fenotiplerin Karşılaştırmalı Üriner Metabolomik Analizi”</t>
        </is>
      </c>
      <c r="G45" s="13" t="inlineStr">
        <is>
          <t>Bireysel Araştırma</t>
        </is>
      </c>
      <c r="H45" s="54" t="n">
        <v>46017</v>
      </c>
      <c r="I45" s="52" t="n">
        <v>46028</v>
      </c>
      <c r="J45" s="8" t="inlineStr">
        <is>
          <t>Prof. Dr. Ayşe Nurten AKARSU</t>
        </is>
      </c>
      <c r="K45" s="8" t="inlineStr">
        <is>
          <t>Doç. Dr. Burcu ERSÖZ ALAN</t>
        </is>
      </c>
      <c r="L45" s="9" t="inlineStr">
        <is>
          <t>ONAY</t>
        </is>
      </c>
      <c r="M45" s="9" t="n"/>
      <c r="N45" s="9" t="n"/>
      <c r="O45" s="66" t="n"/>
      <c r="P45" s="9">
        <f>IF(O45&lt;&gt;"",O45, IF(N45&lt;&gt;"",N45, IF(M45&lt;&gt;"",M45, L45)))</f>
        <v/>
      </c>
      <c r="R45" s="95">
        <f>IF(AND(P45=0, B45&lt;&gt;""), B45, "")</f>
        <v/>
      </c>
    </row>
    <row r="46" ht="47.25" customHeight="1" s="221">
      <c r="A46" s="5" t="inlineStr">
        <is>
          <t>45.</t>
        </is>
      </c>
      <c r="B46" s="6" t="inlineStr">
        <is>
          <t>SBA 26/045</t>
        </is>
      </c>
      <c r="C46" s="8" t="inlineStr">
        <is>
          <t>Prof. Dr. Dilek ASLAN</t>
        </is>
      </c>
      <c r="D46" s="8" t="inlineStr">
        <is>
          <t>Halk Sağlığı Anabilim Dalı</t>
        </is>
      </c>
      <c r="E46" s="7" t="inlineStr">
        <is>
          <t>Üniversitemiz Tıp Fakültesi Halk Sağlığı Anabilim öğretim üyelerinden Prof. Dr. Dilek ASLAN’ın sorumlu araştırmacı olduğu, Dr. Nur Sima SEKBAN’ın doktora tezi olan,</t>
        </is>
      </c>
      <c r="F46" s="7" t="inlineStr">
        <is>
          <t>“Aile Hekimliği Polikliniklerine Başvuran 18 Yaş ve Üzeri Hipertansiyon Hastalarının Hastalık Yönetim Süreçlerine Uyumları ve İlişkili Faktörler”</t>
        </is>
      </c>
      <c r="G46" s="13" t="inlineStr">
        <is>
          <t>Doktora Tezi</t>
        </is>
      </c>
      <c r="H46" s="54" t="n">
        <v>46017</v>
      </c>
      <c r="I46" s="52" t="n">
        <v>46028</v>
      </c>
      <c r="J46" s="8" t="inlineStr">
        <is>
          <t>Prof. Dr. Ayşe KİN İŞLER</t>
        </is>
      </c>
      <c r="K46" s="8" t="inlineStr">
        <is>
          <t>Dr. Öğr. Üyesi Müge DEMİR</t>
        </is>
      </c>
      <c r="L46" s="9" t="inlineStr">
        <is>
          <t>ONAY</t>
        </is>
      </c>
      <c r="M46" s="9" t="n"/>
      <c r="N46" s="9" t="n"/>
      <c r="O46" s="66" t="n"/>
      <c r="P46" s="9">
        <f>IF(O46&lt;&gt;"",O46, IF(N46&lt;&gt;"",N46, IF(M46&lt;&gt;"",M46, L46)))</f>
        <v/>
      </c>
      <c r="R46" s="95">
        <f>IF(AND(P46=0, B46&lt;&gt;""), B46, "")</f>
        <v/>
      </c>
    </row>
    <row r="47" ht="63" customHeight="1" s="221">
      <c r="A47" s="5" t="inlineStr">
        <is>
          <t>46.</t>
        </is>
      </c>
      <c r="B47" s="6" t="inlineStr">
        <is>
          <t>SBA 26/046</t>
        </is>
      </c>
      <c r="C47" s="8" t="inlineStr">
        <is>
          <t>Prof. Dr. Ali DÜZOVA</t>
        </is>
      </c>
      <c r="D47" s="8" t="inlineStr">
        <is>
          <t>Çocuk Sağlığı ve Hastalıkları Anabilim Dalı</t>
        </is>
      </c>
      <c r="E47" s="7" t="inlineStr">
        <is>
          <t>Üniversitemiz Tıp Fakültesi Çocuk Sağlığı ve Hastalıkları Anabilim Dalı öğretim üyelerinden Prof. Dr. Ali DÜZOVA’nın sorumlu araştırmacı olduğu, Hem. Vahide GERÇEKEROL ile birlikte çalışacakları,</t>
        </is>
      </c>
      <c r="F47" s="7" t="inlineStr">
        <is>
          <t>''Çocuk Böbrek Nakli Alıcılarının Ailelerinin Bakım Yükünün Belirlenmesi: Tek Merkez Örneği''</t>
        </is>
      </c>
      <c r="G47" s="13" t="inlineStr">
        <is>
          <t>Bireysel Araştırma</t>
        </is>
      </c>
      <c r="H47" s="54" t="n">
        <v>46017</v>
      </c>
      <c r="I47" s="52" t="n">
        <v>46028</v>
      </c>
      <c r="J47" s="8" t="inlineStr">
        <is>
          <t>Doç. Dr. Burcu ERSÖZ ALAN</t>
        </is>
      </c>
      <c r="K47" s="8" t="inlineStr">
        <is>
          <t>Doç. Dr. Tolga ÇAKMAK</t>
        </is>
      </c>
      <c r="L47" s="9" t="inlineStr">
        <is>
          <t>ONAY</t>
        </is>
      </c>
      <c r="M47" s="9" t="n"/>
      <c r="N47" s="9" t="n"/>
      <c r="O47" s="66" t="n"/>
      <c r="P47" s="9">
        <f>IF(O47&lt;&gt;"",O47, IF(N47&lt;&gt;"",N47, IF(M47&lt;&gt;"",M47, L47)))</f>
        <v/>
      </c>
      <c r="R47" s="95">
        <f>IF(AND(P47=0, B47&lt;&gt;""), B47, "")</f>
        <v/>
      </c>
    </row>
    <row r="48" ht="126" customHeight="1" s="221">
      <c r="A48" s="5" t="inlineStr">
        <is>
          <t>47.</t>
        </is>
      </c>
      <c r="B48" s="6" t="inlineStr">
        <is>
          <t>SBA 26/047</t>
        </is>
      </c>
      <c r="C48" s="8" t="inlineStr">
        <is>
          <t>Prof. Dr. Petek KORKUSUZ</t>
        </is>
      </c>
      <c r="D48" s="8" t="inlineStr">
        <is>
          <t>Histoloji ve Embriyoloji Anabilim Dalı</t>
        </is>
      </c>
      <c r="E48" s="7" t="inlineStr">
        <is>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is>
      </c>
      <c r="F48" s="7" t="inlineStr">
        <is>
          <t>“Pediatrik IgA Nefropatisi için Üriner EV Temelli Biyobelirteçler ile iUPKH Kaynaklı Kişiselleştirilmiş Organoid Platformlarının Geliştirilmesi”</t>
        </is>
      </c>
      <c r="G48" s="13" t="inlineStr">
        <is>
          <t>Bireysel Araştırma</t>
        </is>
      </c>
      <c r="H48" s="54" t="n">
        <v>46017</v>
      </c>
      <c r="I48" s="52" t="n">
        <v>46028</v>
      </c>
      <c r="J48" s="8" t="inlineStr">
        <is>
          <t>Prof. Dr. Ayşe Nurten AKARSU</t>
        </is>
      </c>
      <c r="K48" s="8" t="inlineStr">
        <is>
          <t>Prof. Dr. Yavuz AYHAN</t>
        </is>
      </c>
      <c r="L48" s="9" t="inlineStr">
        <is>
          <t>DÜZELTME</t>
        </is>
      </c>
      <c r="M48" s="9" t="inlineStr">
        <is>
          <t>ONAY</t>
        </is>
      </c>
      <c r="N48" s="9" t="n"/>
      <c r="O48" s="66" t="n"/>
      <c r="P48" s="9">
        <f>IF(O48&lt;&gt;"",O48, IF(N48&lt;&gt;"",N48, IF(M48&lt;&gt;"",M48, L48)))</f>
        <v/>
      </c>
      <c r="R48" s="95">
        <f>IF(AND(P48=0, B48&lt;&gt;""), B48, "")</f>
        <v/>
      </c>
    </row>
    <row r="49" ht="63" customHeight="1" s="221">
      <c r="A49" s="5" t="inlineStr">
        <is>
          <t>48.</t>
        </is>
      </c>
      <c r="B49" s="6" t="inlineStr">
        <is>
          <t>SBA 26/048</t>
        </is>
      </c>
      <c r="C49" s="8" t="inlineStr">
        <is>
          <t>Prof. Dr. Sibel ERSOY EVANS</t>
        </is>
      </c>
      <c r="D49" s="8" t="inlineStr">
        <is>
          <t>Deri ve Zührevi Hastalıklar Anabilim Dalı</t>
        </is>
      </c>
      <c r="E49" s="7" t="inlineStr">
        <is>
          <t>Üniversitemiz Tıp Fakültesi Deri ve Zührevi Hastalıklar Anabilim Dalı öğretim üyelerinden Prof. Dr. Sibel ERSOY EVANS’ın sorumlu araştırmacı olduğu, Arş. Gör. Dr. Lütfi Can ŞEN ile birlikte çalışacakları,</t>
        </is>
      </c>
      <c r="F49" s="7" t="inlineStr">
        <is>
          <t>“Türk Erişkin ve Adölesan Popülasyonunda Trunkal Aknenin Demografik, Klinik Özelliklerinin Değerlendirilmesi ve Trunkal Aknenin Yaşam Kalitesi Üzerine Etkisinin Araştırılması”</t>
        </is>
      </c>
      <c r="G49" s="13" t="inlineStr">
        <is>
          <t>Bireysel Araştırma</t>
        </is>
      </c>
      <c r="H49" s="54" t="n">
        <v>46017</v>
      </c>
      <c r="I49" s="52" t="n">
        <v>46028</v>
      </c>
      <c r="J49" s="8" t="inlineStr">
        <is>
          <t>Doç. Dr. Kübra AYKAÇ</t>
        </is>
      </c>
      <c r="K49" s="8" t="inlineStr">
        <is>
          <t>Doç. Dr. Ekim GÜMELER</t>
        </is>
      </c>
      <c r="L49" s="9" t="inlineStr">
        <is>
          <t>DÜZELTME</t>
        </is>
      </c>
      <c r="M49" s="9" t="inlineStr">
        <is>
          <t>GÖRÜŞ</t>
        </is>
      </c>
      <c r="N49" s="9" t="inlineStr">
        <is>
          <t>ONAY</t>
        </is>
      </c>
      <c r="O49" s="66" t="n"/>
      <c r="P49" s="9">
        <f>IF(O49&lt;&gt;"",O49, IF(N49&lt;&gt;"",N49, IF(M49&lt;&gt;"",M49, L49)))</f>
        <v/>
      </c>
      <c r="R49" s="95">
        <f>IF(AND(P49=0, B49&lt;&gt;""), B49, "")</f>
        <v/>
      </c>
    </row>
    <row r="50" ht="78.75" customHeight="1" s="221">
      <c r="A50" s="5" t="inlineStr">
        <is>
          <t>49.</t>
        </is>
      </c>
      <c r="B50" s="6" t="inlineStr">
        <is>
          <t>SBA 26/049</t>
        </is>
      </c>
      <c r="C50" s="8" t="inlineStr">
        <is>
          <t>Prof. Dr. Oya ÖZDEMİR</t>
        </is>
      </c>
      <c r="D50" s="8" t="inlineStr">
        <is>
          <t>Fiziksel Tıp ve Rehabilitasyon Anabilim Dalı</t>
        </is>
      </c>
      <c r="E50" s="7" t="inlineStr">
        <is>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is>
      </c>
      <c r="F50" s="7" t="inlineStr">
        <is>
          <t>“Lipödemli Hastalarda Fiziksel Performansın, Alt Ekstremite Fonksiyonunun, Vücut Kompozisyonunun Fibromiyalji Sendromu ve Hipermobilite Sıklığının Değerlendirilmesi”</t>
        </is>
      </c>
      <c r="G50" s="13" t="inlineStr">
        <is>
          <t>Uzmanlık Tezi</t>
        </is>
      </c>
      <c r="H50" s="54" t="n">
        <v>46020</v>
      </c>
      <c r="I50" s="52" t="n">
        <v>46028</v>
      </c>
      <c r="J50" s="8" t="inlineStr">
        <is>
          <t>Prof. Dr. Gözde GİRGİN</t>
        </is>
      </c>
      <c r="K50" s="8" t="inlineStr">
        <is>
          <t>Prof. Dr. M. Özgür UYANIK</t>
        </is>
      </c>
      <c r="L50" s="9" t="inlineStr">
        <is>
          <t>ONAY</t>
        </is>
      </c>
      <c r="M50" s="9" t="n"/>
      <c r="N50" s="9" t="n"/>
      <c r="O50" s="66" t="n"/>
      <c r="P50" s="9">
        <f>IF(O50&lt;&gt;"",O50, IF(N50&lt;&gt;"",N50, IF(M50&lt;&gt;"",M50, L50)))</f>
        <v/>
      </c>
      <c r="R50" s="95">
        <f>IF(AND(P50=0, B50&lt;&gt;""), B50, "")</f>
        <v/>
      </c>
    </row>
    <row r="51" ht="63" customHeight="1" s="221">
      <c r="A51" s="5" t="inlineStr">
        <is>
          <t>50.</t>
        </is>
      </c>
      <c r="B51" s="6" t="inlineStr">
        <is>
          <t>SBA 26/050</t>
        </is>
      </c>
      <c r="C51" s="8" t="inlineStr">
        <is>
          <t>Prof. Dr. Bahar GÜÇİZ DOĞAN</t>
        </is>
      </c>
      <c r="D51" s="8" t="inlineStr">
        <is>
          <t>Sağlık Araştırmaları Anabilim Dalı</t>
        </is>
      </c>
      <c r="E51" s="7" t="inlineStr">
        <is>
          <t>Üniversitemiz Halk Sağlığı Enstitüsü Sağlık Araştırmaları Anabilim Dalı öğretim üyelerinden Prof. Dr. Bahar GÜÇİZ DOĞAN’ın sorumlu araştırmacı olduğu, Dt. Yaprak Öyküm KESİM ile birlikte çalışacakları,</t>
        </is>
      </c>
      <c r="F51" s="7" t="inlineStr">
        <is>
          <t>“Yetişkin Erkek Tutuklu ve Hükümlülerdeki Çeşitli Bireysel Özelliklere Göre Ağız Diş Sağlığının Durumu: Tanımlayıcı Çalışma”</t>
        </is>
      </c>
      <c r="G51" s="13" t="inlineStr">
        <is>
          <t>Bireysel Araştırma</t>
        </is>
      </c>
      <c r="H51" s="54" t="n">
        <v>46020</v>
      </c>
      <c r="I51" s="52" t="n">
        <v>46028</v>
      </c>
      <c r="J51" s="8" t="inlineStr">
        <is>
          <t>Prof. Dr. M. Özgür UYANIK</t>
        </is>
      </c>
      <c r="K51" s="8" t="inlineStr">
        <is>
          <t>Dr. Öğr. Üyesi Müge DEMİR</t>
        </is>
      </c>
      <c r="L51" s="9" t="inlineStr">
        <is>
          <t>DÜZELTME</t>
        </is>
      </c>
      <c r="M51" s="9" t="inlineStr">
        <is>
          <t>ONAY</t>
        </is>
      </c>
      <c r="N51" s="9" t="n"/>
      <c r="O51" s="66" t="n"/>
      <c r="P51" s="9">
        <f>IF(O51&lt;&gt;"",O51, IF(N51&lt;&gt;"",N51, IF(M51&lt;&gt;"",M51, L51)))</f>
        <v/>
      </c>
      <c r="R51" s="95">
        <f>IF(AND(P51=0, B51&lt;&gt;""), B51, "")</f>
        <v/>
      </c>
    </row>
    <row r="52" ht="78.75" customHeight="1" s="221">
      <c r="A52" s="5" t="inlineStr">
        <is>
          <t>51.</t>
        </is>
      </c>
      <c r="B52" s="6" t="inlineStr">
        <is>
          <t>SBA 26/051</t>
        </is>
      </c>
      <c r="C52" s="8" t="inlineStr">
        <is>
          <t>Doç. Dr. Erdem FADILOĞLU</t>
        </is>
      </c>
      <c r="D52" s="8" t="inlineStr">
        <is>
          <t>Kadın Hastalıkları ve Doğum Anabilim Dalı</t>
        </is>
      </c>
      <c r="E52" s="7" t="inlineStr">
        <is>
          <t>Üniversitemiz Tıp Fakültesi Kadın Hastalıkları ve Doğum Anabilim Dalı öğretim üyelerinden Doç. Dr. Erdem FADILOĞLU’nun sorumlu araştırmacı olduğu, Prof. Dr. Emirhan NEMUTLU ile birlikte çalışacakları ve Arş. Gör. Dr. Makbule Buse ÇAKMAK’ın uzmanlık tezi olan,</t>
        </is>
      </c>
      <c r="F52" s="7" t="inlineStr">
        <is>
          <t>“Preterm Eylem Tehdidi Nedeniyle Antenatal Kortikosteroid Uygulanan Gebelerde Maternal İdrar Metabolomik Profilinin Belirlenmesi ve Gestasyonel Yaş Uyumlu Sağlıklı Gebelerle Karşılaştırılması”</t>
        </is>
      </c>
      <c r="G52" s="13" t="inlineStr">
        <is>
          <t>Uzmanlık Tezi</t>
        </is>
      </c>
      <c r="H52" s="54" t="n">
        <v>46021</v>
      </c>
      <c r="I52" s="52" t="n">
        <v>46028</v>
      </c>
      <c r="J52" s="8" t="inlineStr">
        <is>
          <t>Prof. Dr. Melih Önder BABAOĞLU</t>
        </is>
      </c>
      <c r="K52" s="8" t="inlineStr">
        <is>
          <t>Prof. Dr. Yavuz AYHAN</t>
        </is>
      </c>
      <c r="L52" s="9" t="inlineStr">
        <is>
          <t>DÜZELTME</t>
        </is>
      </c>
      <c r="M52" s="9" t="inlineStr">
        <is>
          <t>ONAY</t>
        </is>
      </c>
      <c r="N52" s="9" t="n"/>
      <c r="O52" s="66" t="n"/>
      <c r="P52" s="9">
        <f>IF(O52&lt;&gt;"",O52, IF(N52&lt;&gt;"",N52, IF(M52&lt;&gt;"",M52, L52)))</f>
        <v/>
      </c>
      <c r="R52" s="95">
        <f>IF(AND(P52=0, B52&lt;&gt;""), B52, "")</f>
        <v/>
      </c>
    </row>
    <row r="53" ht="63" customHeight="1" s="221">
      <c r="A53" s="5" t="inlineStr">
        <is>
          <t>52.</t>
        </is>
      </c>
      <c r="B53" s="6" t="inlineStr">
        <is>
          <t>SBA 26/052</t>
        </is>
      </c>
      <c r="C53" s="8" t="inlineStr">
        <is>
          <t>Prof. Dr. Mehmet Akif TOPÇUOĞLU</t>
        </is>
      </c>
      <c r="D53" s="8" t="inlineStr">
        <is>
          <t>Nöroloji Anabilim Dalı</t>
        </is>
      </c>
      <c r="E53" s="7" t="inlineStr">
        <is>
          <t>Üniversitemiz Tıp Fakültesi Nöroloji Anabilim Dalı öğretim üyelerinden Prof. Dr. Mehmet Akif TOPÇUOĞLU’nun sorumlu araştırmacı olduğu, Öğr. Gör. Dr. Ezgi YILMAZ, ile birlikte çalışacakları,</t>
        </is>
      </c>
      <c r="F53" s="7" t="inlineStr">
        <is>
          <t>“Türkiye'de İnme Seyir ve Sonuç Metrikleri [STORM-Türkiye]”</t>
        </is>
      </c>
      <c r="G53" s="13" t="inlineStr">
        <is>
          <t>Bireysel Araştırma</t>
        </is>
      </c>
      <c r="H53" s="54" t="n">
        <v>46021</v>
      </c>
      <c r="I53" s="52" t="n">
        <v>46028</v>
      </c>
      <c r="J53" s="8" t="inlineStr">
        <is>
          <t>Prof. Dr. Ayşe Nurten AKARSU</t>
        </is>
      </c>
      <c r="K53" s="8" t="inlineStr">
        <is>
          <t>Prof. Dr. Ayşe KİN İŞLER</t>
        </is>
      </c>
      <c r="L53" s="9" t="inlineStr">
        <is>
          <t>ONAY</t>
        </is>
      </c>
      <c r="M53" s="9" t="n"/>
      <c r="N53" s="9" t="n"/>
      <c r="O53" s="66" t="n"/>
      <c r="P53" s="9">
        <f>IF(O53&lt;&gt;"",O53, IF(N53&lt;&gt;"",N53, IF(M53&lt;&gt;"",M53, L53)))</f>
        <v/>
      </c>
      <c r="R53" s="95">
        <f>IF(AND(P53=0, B53&lt;&gt;""), B53, "")</f>
        <v/>
      </c>
    </row>
    <row r="54" ht="94.5" customHeight="1" s="221">
      <c r="A54" s="5" t="inlineStr">
        <is>
          <t>53.</t>
        </is>
      </c>
      <c r="B54" s="6" t="inlineStr">
        <is>
          <t>SBA 26/053</t>
        </is>
      </c>
      <c r="C54" s="8" t="inlineStr">
        <is>
          <t>Doç. Dr. Başak YALICI ARMAĞAN</t>
        </is>
      </c>
      <c r="D54" s="8" t="inlineStr">
        <is>
          <t>Deri ve Zührevi Hastalıklar Anabilim Dalı</t>
        </is>
      </c>
      <c r="E54" s="7" t="inlineStr">
        <is>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is>
      </c>
      <c r="F54" s="7" t="inlineStr">
        <is>
          <t>“Androgenetik Alopesi Hastalarında Topikal Minoksidil Kullanımının Göz Bulguları ile Plazma VEGF ve Plazma Minoksidil Düzeyleri Üzerine Etkisinin Vaka-Kontrol Analizi”</t>
        </is>
      </c>
      <c r="G54" s="13" t="inlineStr">
        <is>
          <t>Uzmanlık Tezi</t>
        </is>
      </c>
      <c r="H54" s="54" t="n">
        <v>46021</v>
      </c>
      <c r="I54" s="52" t="n">
        <v>46028</v>
      </c>
      <c r="J54" s="8" t="inlineStr">
        <is>
          <t>Dr. Öğr. Üyesi Müge DEMİR</t>
        </is>
      </c>
      <c r="K54" s="8" t="inlineStr">
        <is>
          <t>Prof. Dr. Nazmiye Ebru ORTAÇ ERSOY</t>
        </is>
      </c>
      <c r="L54" s="9" t="inlineStr">
        <is>
          <t>KAEK</t>
        </is>
      </c>
      <c r="M54" s="9" t="n"/>
      <c r="N54" s="9" t="n"/>
      <c r="O54" s="66" t="n"/>
      <c r="P54" s="9">
        <f>IF(O54&lt;&gt;"",O54, IF(N54&lt;&gt;"",N54, IF(M54&lt;&gt;"",M54, L54)))</f>
        <v/>
      </c>
      <c r="R54" s="95">
        <f>IF(AND(P54=0, B54&lt;&gt;""), B54, "")</f>
        <v/>
      </c>
    </row>
    <row r="55" ht="78.75" customHeight="1" s="221">
      <c r="A55" s="5" t="inlineStr">
        <is>
          <t>54.</t>
        </is>
      </c>
      <c r="B55" s="6" t="inlineStr">
        <is>
          <t>SBA 26/054</t>
        </is>
      </c>
      <c r="C55" s="8" t="inlineStr">
        <is>
          <t>Doç. Dr. Neslihan AKDOĞAN</t>
        </is>
      </c>
      <c r="D55" s="8" t="inlineStr">
        <is>
          <t>Deri ve Zührevi Hastalıklar Anabilim Dalı</t>
        </is>
      </c>
      <c r="E55" s="7" t="inlineStr">
        <is>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is>
      </c>
      <c r="F55" s="7" t="inlineStr">
        <is>
          <t>“Geriatrik Hastalardaki Kronik Pruritus ile Sarkopeni ve Frailty Arasındaki İlişkinin Değerlendirilmesi”</t>
        </is>
      </c>
      <c r="G55" s="13" t="inlineStr">
        <is>
          <t>Uzmanlık Tezi</t>
        </is>
      </c>
      <c r="H55" s="54" t="n">
        <v>46021</v>
      </c>
      <c r="I55" s="52" t="n">
        <v>46028</v>
      </c>
      <c r="J55" s="8" t="inlineStr">
        <is>
          <t>Prof. Dr. Gözde GİRGİN</t>
        </is>
      </c>
      <c r="K55" s="8" t="inlineStr">
        <is>
          <t>Prof. Dr. Nazmiye Ebru ORTAÇ ERSOY</t>
        </is>
      </c>
      <c r="L55" s="9" t="inlineStr">
        <is>
          <t>ONAY</t>
        </is>
      </c>
      <c r="M55" s="9" t="n"/>
      <c r="N55" s="9" t="n"/>
      <c r="O55" s="66" t="n"/>
      <c r="P55" s="9">
        <f>IF(O55&lt;&gt;"",O55, IF(N55&lt;&gt;"",N55, IF(M55&lt;&gt;"",M55, L55)))</f>
        <v/>
      </c>
      <c r="R55" s="95">
        <f>IF(AND(P55=0, B55&lt;&gt;""), B55, "")</f>
        <v/>
      </c>
    </row>
    <row r="56" ht="78.75" customHeight="1" s="221">
      <c r="A56" s="5" t="inlineStr">
        <is>
          <t>55.</t>
        </is>
      </c>
      <c r="B56" s="6" t="inlineStr">
        <is>
          <t>SBA 26/055</t>
        </is>
      </c>
      <c r="C56" s="8" t="inlineStr">
        <is>
          <t>Prof. Dr. Deniz ÇAĞDAŞ AYVAZ</t>
        </is>
      </c>
      <c r="D56" s="8" t="inlineStr">
        <is>
          <t>Çocuk Sağlığı ve Hastalıkları Anabilim Dalı</t>
        </is>
      </c>
      <c r="E56" s="7" t="inlineStr">
        <is>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is>
      </c>
      <c r="F56" s="7" t="inlineStr">
        <is>
          <t>“.Epstein-Barr Virüs DNA Pozitifliği Saptanan Primer İmmün Yetmezlik Tanılı Hastaların İmmunofenotipik ve Genetik Özelliklerinin Araştırılması”</t>
        </is>
      </c>
      <c r="G56" s="13" t="inlineStr">
        <is>
          <t>Bireysel Araştırma</t>
        </is>
      </c>
      <c r="H56" s="54" t="n">
        <v>46021</v>
      </c>
      <c r="I56" s="52" t="n">
        <v>46028</v>
      </c>
      <c r="J56" s="8" t="inlineStr">
        <is>
          <t>Prof. Dr. Ayşe Nurten AKARSU</t>
        </is>
      </c>
      <c r="K56" s="8" t="inlineStr">
        <is>
          <t>Doç. Dr. Tolga ÇAKMAK</t>
        </is>
      </c>
      <c r="L56" s="9" t="inlineStr">
        <is>
          <t>ONAY</t>
        </is>
      </c>
      <c r="M56" s="9" t="n"/>
      <c r="N56" s="9" t="n"/>
      <c r="O56" s="66" t="n"/>
      <c r="P56" s="9">
        <f>IF(O56&lt;&gt;"",O56, IF(N56&lt;&gt;"",N56, IF(M56&lt;&gt;"",M56, L56)))</f>
        <v/>
      </c>
      <c r="R56" s="95">
        <f>IF(AND(P56=0, B56&lt;&gt;""), B56, "")</f>
        <v/>
      </c>
    </row>
    <row r="57" ht="63" customHeight="1" s="221">
      <c r="A57" s="5" t="inlineStr">
        <is>
          <t>56.</t>
        </is>
      </c>
      <c r="B57" s="6" t="inlineStr">
        <is>
          <t>SBA 26/056</t>
        </is>
      </c>
      <c r="C57" s="8" t="inlineStr">
        <is>
          <t>Prof. Dr. Tutku SOYER</t>
        </is>
      </c>
      <c r="D57" s="8" t="inlineStr">
        <is>
          <t>Çocuk Cerrahisi Anabilim Dalı</t>
        </is>
      </c>
      <c r="E57" s="7" t="inlineStr">
        <is>
          <t>Üniversitemiz Tıp Fakültesi Çocuk Cerrahisi Anabilim Dalı öğretim üyelerinden Prof. Dr. Tutku SOYER'in sorumlu araştırmacı olduğu, Prof. Dr. Özlem BOYBEYİ ve Arş. Gör. Dr. Gizem KORKMAZ ile birlikte çalışacakları,</t>
        </is>
      </c>
      <c r="F57" s="7" t="inlineStr">
        <is>
          <t>“Koledok Kisti Nedeniyle Ameliyat Edilen Hastaların Uzun Dönemde Gastrointestinal Sistem ilişkili Hayat Kalitelerinin Değerlendirilmesi”</t>
        </is>
      </c>
      <c r="G57" s="13" t="inlineStr">
        <is>
          <t>Bireysel Araştırma</t>
        </is>
      </c>
      <c r="H57" s="54" t="n">
        <v>46024</v>
      </c>
      <c r="I57" s="52" t="n">
        <v>46042</v>
      </c>
      <c r="J57" s="8" t="inlineStr">
        <is>
          <t>Prof. Dr. Ayşe KİN İŞLER</t>
        </is>
      </c>
      <c r="K57" s="8" t="inlineStr">
        <is>
          <t>Prof. Dr. Gözde GİRGİN</t>
        </is>
      </c>
      <c r="L57" s="9" t="inlineStr">
        <is>
          <t>DÜZELTME</t>
        </is>
      </c>
      <c r="M57" s="9" t="inlineStr">
        <is>
          <t>ONAY</t>
        </is>
      </c>
      <c r="N57" s="9" t="n"/>
      <c r="O57" s="66" t="n"/>
      <c r="P57" s="9">
        <f>IF(O57&lt;&gt;"",O57, IF(N57&lt;&gt;"",N57, IF(M57&lt;&gt;"",M57, L57)))</f>
        <v/>
      </c>
      <c r="R57" s="95">
        <f>IF(AND(P57=0, B57&lt;&gt;""), B57, "")</f>
        <v/>
      </c>
    </row>
    <row r="58" ht="63" customHeight="1" s="221">
      <c r="A58" s="5" t="inlineStr">
        <is>
          <t>57.</t>
        </is>
      </c>
      <c r="B58" s="6" t="inlineStr">
        <is>
          <t>SBA 26/057</t>
        </is>
      </c>
      <c r="C58" s="8" t="inlineStr">
        <is>
          <t>Prof. Dr. Mehmet AYVAZ</t>
        </is>
      </c>
      <c r="D58" s="8" t="inlineStr">
        <is>
          <t>Ortopedi ve Travmatoloji Anabilim Dalı</t>
        </is>
      </c>
      <c r="E58" s="7" t="inlineStr">
        <is>
          <t>Üniversitemiz Tıp Fakültesi Ortopedi ve Travmatoloji Anabilim Dalı öğretim üyelerinden Prof. Dr. Mehmet AYVAZ’ın sorumlu araştırmacı olduğu, Arş. Gör. Dr. Hüseyin Esat BULDUK ile birlikte çalışacakları,</t>
        </is>
      </c>
      <c r="F58" s="7" t="inlineStr">
        <is>
          <t>“Ortopedik Tümör Hastalarında Büyük Dil Modellerinin MRG ve Patoloji Raporlarından Tanı Koyma Yeterliliğinin Değerlendirilmesi”</t>
        </is>
      </c>
      <c r="G58" s="13" t="inlineStr">
        <is>
          <t>Bireysel Araştırma</t>
        </is>
      </c>
      <c r="H58" s="54" t="n">
        <v>46024</v>
      </c>
      <c r="I58" s="52" t="n">
        <v>46042</v>
      </c>
      <c r="J58" s="8" t="inlineStr">
        <is>
          <t>Dr. Öğr. Üyesi Müge DEMİR</t>
        </is>
      </c>
      <c r="K58" s="8" t="inlineStr">
        <is>
          <t>Doç. Dr. Ekim GÜMELER</t>
        </is>
      </c>
      <c r="L58" s="9" t="inlineStr">
        <is>
          <t>DÜZELTME</t>
        </is>
      </c>
      <c r="M58" s="9" t="inlineStr">
        <is>
          <t>ONAY</t>
        </is>
      </c>
      <c r="N58" s="9" t="n"/>
      <c r="O58" s="66" t="n"/>
      <c r="P58" s="9">
        <f>IF(O58&lt;&gt;"",O58, IF(N58&lt;&gt;"",N58, IF(M58&lt;&gt;"",M58, L58)))</f>
        <v/>
      </c>
      <c r="R58" s="95">
        <f>IF(AND(P58=0, B58&lt;&gt;""), B58, "")</f>
        <v/>
      </c>
    </row>
    <row r="59" ht="78.75" customHeight="1" s="221">
      <c r="A59" s="5" t="inlineStr">
        <is>
          <t>58.</t>
        </is>
      </c>
      <c r="B59" s="6" t="inlineStr">
        <is>
          <t>SBA 26/058</t>
        </is>
      </c>
      <c r="C59" s="8" t="inlineStr">
        <is>
          <t>Prof. Dr. Salih Kutay DEMİRKAN</t>
        </is>
      </c>
      <c r="D59" s="8" t="inlineStr">
        <is>
          <t>Klinik Eczacılık Anabilim Dalı</t>
        </is>
      </c>
      <c r="E59" s="7" t="inlineStr">
        <is>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is>
      </c>
      <c r="F59" s="7" t="inlineStr">
        <is>
          <t>“Diyabetik Yaşlı Hastalarda Sarkopeni ile Kullandıkları İlaçlar Arasındaki İlişkinin Değerlendirilmesi”</t>
        </is>
      </c>
      <c r="G59" s="13" t="inlineStr">
        <is>
          <t>Doktora Tezi</t>
        </is>
      </c>
      <c r="H59" s="54" t="n">
        <v>46024</v>
      </c>
      <c r="I59" s="52" t="n">
        <v>46042</v>
      </c>
      <c r="J59" s="8" t="inlineStr">
        <is>
          <t>Prof. Dr. Nazmiye Ebru ORTAÇ ERSOY</t>
        </is>
      </c>
      <c r="K59" s="8" t="inlineStr">
        <is>
          <t>Doç. Dr. Tolga ÇAKMAK</t>
        </is>
      </c>
      <c r="L59" s="9" t="inlineStr">
        <is>
          <t>DÜZELTME</t>
        </is>
      </c>
      <c r="M59" s="9" t="inlineStr">
        <is>
          <t>GERİ ÇEKİLDİ</t>
        </is>
      </c>
      <c r="N59" s="9" t="n"/>
      <c r="O59" s="66" t="n"/>
      <c r="P59" s="9">
        <f>IF(O59&lt;&gt;"",O59, IF(N59&lt;&gt;"",N59, IF(M59&lt;&gt;"",M59, L59)))</f>
        <v/>
      </c>
      <c r="R59" s="95">
        <f>IF(AND(P59=0, B59&lt;&gt;""), B59, "")</f>
        <v/>
      </c>
    </row>
    <row r="60" ht="78.75" customHeight="1" s="221">
      <c r="A60" s="5" t="inlineStr">
        <is>
          <t>59.</t>
        </is>
      </c>
      <c r="B60" s="6" t="inlineStr">
        <is>
          <t>SBA 26/059</t>
        </is>
      </c>
      <c r="C60" s="8" t="inlineStr">
        <is>
          <t>Prof. Dr. Hasan Serkan DOĞAN</t>
        </is>
      </c>
      <c r="D60" s="8" t="inlineStr">
        <is>
          <t>Üroloji Anabilim Dalı</t>
        </is>
      </c>
      <c r="E60" s="7" t="inlineStr">
        <is>
          <t>Üniversitemiz Tıp Fakültesi Üroloji Anabilim Dalı öğretim üyelerinden Prof. Dr. Hasan Serkan DOĞAN’ın sorumlu araştırmacı olduğu, Arş. Gör. Dr. Hayrunnisa HOROZCU, Arş. Gör. Dr. Rabiz HİZARCİ BAL, Arş. Gör. Dr. Tayyip KILIÇSOKAN ile birlikte çalışacakları,</t>
        </is>
      </c>
      <c r="F60" s="7" t="inlineStr">
        <is>
          <t>“Bilateral Primer Vezikoüreteral Reflü (VUR) Tanısı Olan Çocuklarda Yapılan Mathisen Modifikasyonu ile Cohen Cross-Trigonal Reimplantasyon Cerrahi Tekniğinin Sonuçları”</t>
        </is>
      </c>
      <c r="G60" s="13" t="inlineStr">
        <is>
          <t>Bireysel Araştırma</t>
        </is>
      </c>
      <c r="H60" s="54" t="n">
        <v>46024</v>
      </c>
      <c r="I60" s="52" t="n">
        <v>46042</v>
      </c>
      <c r="J60" s="8" t="inlineStr">
        <is>
          <t>Doç. Dr. Kübra AYKAÇ</t>
        </is>
      </c>
      <c r="K60" s="8" t="inlineStr">
        <is>
          <t>Prof. Dr. Yavuz AYHAN</t>
        </is>
      </c>
      <c r="L60" s="9" t="inlineStr">
        <is>
          <t>DÜZELTME</t>
        </is>
      </c>
      <c r="M60" s="9" t="inlineStr">
        <is>
          <t>GERİ ÇEKİLDİ</t>
        </is>
      </c>
      <c r="N60" s="9" t="n"/>
      <c r="O60" s="66" t="n"/>
      <c r="P60" s="9">
        <f>IF(O60&lt;&gt;"",O60, IF(N60&lt;&gt;"",N60, IF(M60&lt;&gt;"",M60, L60)))</f>
        <v/>
      </c>
      <c r="R60" s="95">
        <f>IF(AND(P60=0, B60&lt;&gt;""), B60, "")</f>
        <v/>
      </c>
    </row>
    <row r="61" ht="126" customHeight="1" s="221">
      <c r="A61" s="5" t="inlineStr">
        <is>
          <t>60.</t>
        </is>
      </c>
      <c r="B61" s="6" t="inlineStr">
        <is>
          <t>SBA 26/060</t>
        </is>
      </c>
      <c r="C61" s="8" t="inlineStr">
        <is>
          <t>Prof. Dr. Deniz ÇAĞDAŞ AYVAZ</t>
        </is>
      </c>
      <c r="D61" s="8" t="inlineStr">
        <is>
          <t>Çocuk Sağlığı ve Hastalıkları Anabilim Dalı</t>
        </is>
      </c>
      <c r="E61" s="7" t="inlineStr">
        <is>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is>
      </c>
      <c r="F61" s="7" t="inlineStr">
        <is>
          <t>“Kistik Fibroziste Modülatör Tedavi Cevabının Miyeloid-Kökenli Baskılayıcı Hücre ve İmmünoregülatuvar Parametrelere Etkisi”</t>
        </is>
      </c>
      <c r="G61" s="13" t="inlineStr">
        <is>
          <t>Yüksek Lisans Tezi</t>
        </is>
      </c>
      <c r="H61" s="54" t="n">
        <v>46024</v>
      </c>
      <c r="I61" s="52" t="n">
        <v>46042</v>
      </c>
      <c r="J61" s="8" t="inlineStr">
        <is>
          <t>Prof. Dr. Melih Önder BABAOĞLU</t>
        </is>
      </c>
      <c r="K61" s="8" t="inlineStr">
        <is>
          <t>Doç. Dr. Kübra AYKAÇ</t>
        </is>
      </c>
      <c r="L61" s="9" t="inlineStr">
        <is>
          <t>DÜZELTME</t>
        </is>
      </c>
      <c r="M61" s="9" t="inlineStr">
        <is>
          <t>ONAY</t>
        </is>
      </c>
      <c r="N61" s="9" t="n"/>
      <c r="O61" s="66" t="n"/>
      <c r="P61" s="9">
        <f>IF(O61&lt;&gt;"",O61, IF(N61&lt;&gt;"",N61, IF(M61&lt;&gt;"",M61, L61)))</f>
        <v/>
      </c>
      <c r="R61" s="95">
        <f>IF(AND(P61=0, B61&lt;&gt;""), B61, "")</f>
        <v/>
      </c>
    </row>
    <row r="62" ht="63" customHeight="1" s="221">
      <c r="A62" s="5" t="inlineStr">
        <is>
          <t>61.</t>
        </is>
      </c>
      <c r="B62" s="6" t="inlineStr">
        <is>
          <t>SBA 26/061</t>
        </is>
      </c>
      <c r="C62" s="8" t="inlineStr">
        <is>
          <t>Prof. Dr. Kıvanç AKÇA</t>
        </is>
      </c>
      <c r="D62" s="8" t="inlineStr">
        <is>
          <t>Protetik Diş Tedavisi Anabilim Dalı</t>
        </is>
      </c>
      <c r="E62" s="7" t="inlineStr">
        <is>
          <t>Üniversitemiz Diş Hekimliği Fakültesi Protetik Diş Tedavisi Anabilim Dalı öğretim üyelerinden Prof. Dr. Kıvanç AKÇA'nın sorumlu araştırmacı olduğu, Uzm. Dt. Sinem KARACA ile birlikte çalışacakları,</t>
        </is>
      </c>
      <c r="F62" s="7" t="inlineStr">
        <is>
          <t>“Dijital Tam Protezlerde Yüzey Taraması ve Çene Hareket Takibi ile Tam Dijital İş Akışı: Yeni Bir Teknik"</t>
        </is>
      </c>
      <c r="G62" s="13" t="inlineStr">
        <is>
          <t>Bireysel Araştırma</t>
        </is>
      </c>
      <c r="H62" s="54" t="n">
        <v>46024</v>
      </c>
      <c r="I62" s="52" t="n">
        <v>46042</v>
      </c>
      <c r="J62" s="8" t="inlineStr">
        <is>
          <t>Prof. Dr. M. Özgür UYANIK</t>
        </is>
      </c>
      <c r="K62" s="8" t="inlineStr">
        <is>
          <t>Doç. Dr. Burcu ERSÖZ ALAN</t>
        </is>
      </c>
      <c r="L62" s="9" t="inlineStr">
        <is>
          <t>DÜZELTME</t>
        </is>
      </c>
      <c r="M62" s="9" t="inlineStr">
        <is>
          <t>GÖRÜŞ</t>
        </is>
      </c>
      <c r="N62" s="9" t="n"/>
      <c r="O62" s="66" t="n"/>
      <c r="P62" s="9">
        <f>IF(O62&lt;&gt;"",O62, IF(N62&lt;&gt;"",N62, IF(M62&lt;&gt;"",M62, L62)))</f>
        <v/>
      </c>
      <c r="R62" s="95">
        <f>IF(AND(L62="", B62&lt;&gt;""), B62, "")</f>
        <v/>
      </c>
    </row>
    <row r="63" ht="63.75" customHeight="1" s="221">
      <c r="A63" s="5" t="inlineStr">
        <is>
          <t>62.</t>
        </is>
      </c>
      <c r="B63" s="6" t="inlineStr">
        <is>
          <t>SBA 26/062</t>
        </is>
      </c>
      <c r="C63" s="8" t="inlineStr">
        <is>
          <t>Dr. Öğr. Üyesi Burcu KELLECİ ÇAKIR</t>
        </is>
      </c>
      <c r="D63" s="8" t="inlineStr">
        <is>
          <t>Klinik Eczacılık Anabilim Dalı</t>
        </is>
      </c>
      <c r="E63" s="7" t="inlineStr">
        <is>
          <t>Üniversitemiz Eczacılık Fakültesi Klinik Eczacılık Anabilim Dalı öğretim üyelerinden Dr. Öğr. Üyesi Burcu KELLECİ ÇAKIR’ın sorumlu araştırmacı olduğu, Ece AYDIN ile birlikte çalışacakları,</t>
        </is>
      </c>
      <c r="F63" s="7" t="inlineStr">
        <is>
          <t>“Sürdürülebilir Klinik Nütrisyon Tedavisinde Sağlık Profesyonellerinin Rolü”</t>
        </is>
      </c>
      <c r="G63" s="13" t="inlineStr">
        <is>
          <t>Bireysel Araştırma</t>
        </is>
      </c>
      <c r="H63" s="54" t="n">
        <v>46024</v>
      </c>
      <c r="I63" s="52" t="n">
        <v>46042</v>
      </c>
      <c r="J63" s="8" t="inlineStr">
        <is>
          <t>Prof. Dr. Ayşe KİN İŞLER</t>
        </is>
      </c>
      <c r="K63" s="8" t="inlineStr">
        <is>
          <t>Doç. Dr. Burcu ERSÖZ ALAN</t>
        </is>
      </c>
      <c r="L63" s="9" t="inlineStr">
        <is>
          <t>ONAY</t>
        </is>
      </c>
      <c r="M63" s="9" t="n"/>
      <c r="N63" s="9" t="n"/>
      <c r="O63" s="66" t="n"/>
      <c r="P63" s="9">
        <f>IF(O63&lt;&gt;"",O63, IF(N63&lt;&gt;"",N63, IF(M63&lt;&gt;"",M63, L63)))</f>
        <v/>
      </c>
      <c r="R63" s="95">
        <f>IF(AND(L63="", B63&lt;&gt;""), B63, "")</f>
        <v/>
      </c>
    </row>
    <row r="64" ht="78.75" customHeight="1" s="221">
      <c r="A64" s="5" t="inlineStr">
        <is>
          <t>63.</t>
        </is>
      </c>
      <c r="B64" s="6" t="inlineStr">
        <is>
          <t>SBA 26/063</t>
        </is>
      </c>
      <c r="C64" s="8" t="inlineStr">
        <is>
          <t>Prof. Dr. Fatma Gökçem YILDIZ SARIKAYA</t>
        </is>
      </c>
      <c r="D64" s="8" t="inlineStr">
        <is>
          <t>Nöroloji Anabilim Dalı</t>
        </is>
      </c>
      <c r="E64" s="7" t="inlineStr">
        <is>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is>
      </c>
      <c r="F64" s="7" t="inlineStr">
        <is>
          <t>''Mononöritis Multipleks Değerlendirmesinde Elektrofizyolojik Özelliklerin Yeri''</t>
        </is>
      </c>
      <c r="G64" s="13" t="inlineStr">
        <is>
          <t>Bireysel Araştırma</t>
        </is>
      </c>
      <c r="H64" s="54" t="n">
        <v>46024</v>
      </c>
      <c r="I64" s="52" t="n">
        <v>46042</v>
      </c>
      <c r="J64" s="8" t="inlineStr">
        <is>
          <t>Prof. Dr. Melih Önder BABAOĞLU</t>
        </is>
      </c>
      <c r="K64" s="8" t="inlineStr">
        <is>
          <t>Prof. Dr. Gözde GİRGİN</t>
        </is>
      </c>
      <c r="L64" s="9" t="inlineStr">
        <is>
          <t>ONAY</t>
        </is>
      </c>
      <c r="M64" s="9" t="n"/>
      <c r="N64" s="9" t="n"/>
      <c r="O64" s="66" t="n"/>
      <c r="P64" s="9">
        <f>IF(O64&lt;&gt;"",O64, IF(N64&lt;&gt;"",N64, IF(M64&lt;&gt;"",M64, L64)))</f>
        <v/>
      </c>
      <c r="R64" s="95">
        <f>IF(AND(L64="", B64&lt;&gt;""), B64, "")</f>
        <v/>
      </c>
    </row>
    <row r="65" ht="47.25" customHeight="1" s="221">
      <c r="A65" s="5" t="inlineStr">
        <is>
          <t>64.</t>
        </is>
      </c>
      <c r="B65" s="6" t="inlineStr">
        <is>
          <t>SBA 26/064</t>
        </is>
      </c>
      <c r="C65" s="8" t="inlineStr">
        <is>
          <t>Prof. Dr. Cengiz KILIÇ</t>
        </is>
      </c>
      <c r="D65" s="8" t="inlineStr">
        <is>
          <t>Ruh Sağlığı ve Hastalıkları Anabilim Dalı</t>
        </is>
      </c>
      <c r="E65" s="7" t="inlineStr">
        <is>
          <t>Üniversitemiz Tıp FakültesiRuh Sağlığı ve Hastalıkları Anabilim Dalı öğretim üyelerinden Prof. Dr. Cengiz KILIÇ’ın sorumlu araştırmacı olduğu, Arş. Gör. Dr. Dicle DERİNSU’nun uzmanlık tezi olan,</t>
        </is>
      </c>
      <c r="F65" s="7" t="inlineStr">
        <is>
          <t>“6 Şubat 2023 Depremi Erişkin Depremzedelerinde Yakin Kaybı Sonucu Uzamış Yas; Koruyucu Faktörler ve Risk Faktörleri”</t>
        </is>
      </c>
      <c r="G65" s="13" t="inlineStr">
        <is>
          <t>Uzmanlık Tezi</t>
        </is>
      </c>
      <c r="H65" s="54" t="n">
        <v>46024</v>
      </c>
      <c r="I65" s="52" t="n">
        <v>46042</v>
      </c>
      <c r="J65" s="8" t="inlineStr">
        <is>
          <t>Prof. Dr. Yavuz AYHAN</t>
        </is>
      </c>
      <c r="K65" s="8" t="inlineStr">
        <is>
          <t>Prof. Dr. Nazmiye Ebru ORTAÇ ERSOY</t>
        </is>
      </c>
      <c r="L65" s="9" t="inlineStr">
        <is>
          <t>DÜZELTME</t>
        </is>
      </c>
      <c r="M65" s="9" t="inlineStr">
        <is>
          <t>DÜZELTME</t>
        </is>
      </c>
      <c r="N65" s="9" t="n"/>
      <c r="O65" s="66" t="n"/>
      <c r="P65" s="9">
        <f>IF(O65&lt;&gt;"",O65, IF(N65&lt;&gt;"",N65, IF(M65&lt;&gt;"",M65, L65)))</f>
        <v/>
      </c>
      <c r="R65" s="95">
        <f>IF(AND(L65="", B65&lt;&gt;""), B65, "")</f>
        <v/>
      </c>
    </row>
    <row r="66" ht="63" customHeight="1" s="221">
      <c r="A66" s="5" t="inlineStr">
        <is>
          <t>65.</t>
        </is>
      </c>
      <c r="B66" s="6" t="inlineStr">
        <is>
          <t>SBA 26/065</t>
        </is>
      </c>
      <c r="C66" s="8" t="inlineStr">
        <is>
          <t>Prof. Dr. Cengiz KILIÇ</t>
        </is>
      </c>
      <c r="D66" s="8" t="inlineStr">
        <is>
          <t>Ruh Sağlığı ve Hastalıkları Anabilim Dalı</t>
        </is>
      </c>
      <c r="E66" s="7" t="inlineStr">
        <is>
          <t>Üniversitemiz Tıp Fakültesi Ruh Sağlığı ve Hastalıkları Anabilim Dalı öğretim üyelerinden Prof. Dr. Cengiz KILIÇ’ın sorumlu araştırmacı olduğu, Arş. Gör. Dr. Esra BALİ MUTLU'nun uzmanlık tezi olan,</t>
        </is>
      </c>
      <c r="F66" s="7" t="inlineStr">
        <is>
          <t>“6 Şubat 2023 Kahramanmaraş Depremini Yaşamış Kişilerde Travma Sonrası Stres Bozukluğu ve Depresyonun Bir arada Görülmesini Yordayan Faktörler”</t>
        </is>
      </c>
      <c r="G66" s="13" t="inlineStr">
        <is>
          <t>Uzmanlık Tezi</t>
        </is>
      </c>
      <c r="H66" s="54" t="n">
        <v>46024</v>
      </c>
      <c r="I66" s="52" t="n">
        <v>46042</v>
      </c>
      <c r="J66" s="8" t="inlineStr">
        <is>
          <t>Prof. Dr. Yavuz AYHAN</t>
        </is>
      </c>
      <c r="K66" s="8" t="inlineStr">
        <is>
          <t>Prof. Dr. Nazmiye Ebru ORTAÇ ERSOY</t>
        </is>
      </c>
      <c r="L66" s="9" t="inlineStr">
        <is>
          <t>DÜZELTME</t>
        </is>
      </c>
      <c r="M66" s="9" t="inlineStr">
        <is>
          <t>GERİ ÇEKİLDİ</t>
        </is>
      </c>
      <c r="N66" s="9" t="n"/>
      <c r="O66" s="66" t="n"/>
      <c r="P66" s="9">
        <f>IF(O66&lt;&gt;"",O66, IF(N66&lt;&gt;"",N66, IF(M66&lt;&gt;"",M66, L66)))</f>
        <v/>
      </c>
      <c r="R66" s="95">
        <f>IF(AND(L66="", B66&lt;&gt;""), B66, "")</f>
        <v/>
      </c>
    </row>
    <row r="67" ht="81" customHeight="1" s="221">
      <c r="A67" s="5" t="inlineStr">
        <is>
          <t>66.</t>
        </is>
      </c>
      <c r="B67" s="6" t="inlineStr">
        <is>
          <t>SBA 26/066</t>
        </is>
      </c>
      <c r="C67" s="8" t="inlineStr">
        <is>
          <t>Dr. Öğr. Üyesi Serkan UYSAL</t>
        </is>
      </c>
      <c r="D67" s="8" t="inlineStr">
        <is>
          <t>Göğüs Cerrahisi Anabilim Dalı</t>
        </is>
      </c>
      <c r="E67" s="7" t="inlineStr">
        <is>
          <t>Üniversitemiz Tıp Fakültesi Göğüs Cerrahisi Anabilim Dalı öğretim üyelerinden Dr. Öğr. Üyesi Serkan UYSAL’ın sorumlu araştırmacı olduğu, Arş. Gör. Dr. Ayşe ALİ HASAN, Prof. Dr. Mustafa YILMAZ, Doç. Dr.  İlker ERTUĞRUL ile birlikte çalışacakları,</t>
        </is>
      </c>
      <c r="F67" s="7" t="inlineStr">
        <is>
          <t>“Kalıtsal Aritmi sendromlu Çocuk Hastalarda Bilateral Kardiyak Sempatik Denervasyon: Tek Merkez Deneyimi''</t>
        </is>
      </c>
      <c r="G67" s="13" t="inlineStr">
        <is>
          <t>Bireysel Araştırma</t>
        </is>
      </c>
      <c r="H67" s="54" t="n">
        <v>46027</v>
      </c>
      <c r="I67" s="52" t="n">
        <v>46042</v>
      </c>
      <c r="J67" s="8" t="inlineStr">
        <is>
          <t>Doç. Dr. Ekim GÜMELER</t>
        </is>
      </c>
      <c r="K67" s="8" t="inlineStr">
        <is>
          <t>Prof. Dr. Melih Önder BABAOĞLU</t>
        </is>
      </c>
      <c r="L67" s="9" t="inlineStr">
        <is>
          <t>ONAY</t>
        </is>
      </c>
      <c r="M67" s="9" t="n"/>
      <c r="N67" s="9" t="n"/>
      <c r="O67" s="66" t="n"/>
      <c r="P67" s="9">
        <f>IF(O67&lt;&gt;"",O67, IF(N67&lt;&gt;"",N67, IF(M67&lt;&gt;"",M67, L67)))</f>
        <v/>
      </c>
      <c r="R67" s="95">
        <f>IF(AND(L67="", B67&lt;&gt;""), B67, "")</f>
        <v/>
      </c>
    </row>
    <row r="68" ht="80.25" customHeight="1" s="221">
      <c r="A68" s="5" t="inlineStr">
        <is>
          <t>67.</t>
        </is>
      </c>
      <c r="B68" s="6" t="inlineStr">
        <is>
          <t>SBA 26/067</t>
        </is>
      </c>
      <c r="C68" s="8" t="inlineStr">
        <is>
          <t>Arş. Gör. Dr. Aycan UYSAL</t>
        </is>
      </c>
      <c r="D68" s="8" t="inlineStr">
        <is>
          <t>Radyoloji Anabilim Dalı</t>
        </is>
      </c>
      <c r="E68" s="7" t="inlineStr">
        <is>
          <t>Üniversitemiz Tıp Fakültesi Radyoloji Anabilim Dalı öğretim elemanlarından Arş. Gör. Dr. Aycan UYSAL'ın sorumlu araştırmacı olduğu, Arş. Gör. Dr. Mert GÖL, Doç. Dr. Emre ÜNAL ve Prof. Dr. Türkmen Turan ÇİFTÇİ ile birlikte çalışacakları,</t>
        </is>
      </c>
      <c r="F68" s="7" t="inlineStr">
        <is>
          <t>“Kolon Obstrüksiyonu, Postoperatif Fistül ve Anastomoz Kaçaklarında Cerrahiye Köprü veya Alternatif Olarak Kolorektal Stentleme İşlemi”</t>
        </is>
      </c>
      <c r="G68" s="13" t="inlineStr">
        <is>
          <t>Bireysel Araştırma</t>
        </is>
      </c>
      <c r="H68" s="54" t="n">
        <v>46027</v>
      </c>
      <c r="I68" s="52" t="n">
        <v>46042</v>
      </c>
      <c r="J68" s="8" t="inlineStr">
        <is>
          <t>Doç. Dr. Ekim GÜMELER</t>
        </is>
      </c>
      <c r="K68" s="8" t="inlineStr">
        <is>
          <t>Dr. Öğr. Üyesi Müge DEMİR</t>
        </is>
      </c>
      <c r="L68" s="9" t="inlineStr">
        <is>
          <t>DÜZELTME</t>
        </is>
      </c>
      <c r="M68" s="9" t="inlineStr">
        <is>
          <t>ONAY</t>
        </is>
      </c>
      <c r="N68" s="9" t="n"/>
      <c r="O68" s="66" t="n"/>
      <c r="P68" s="9">
        <f>IF(O68&lt;&gt;"",O68, IF(N68&lt;&gt;"",N68, IF(M68&lt;&gt;"",M68, L68)))</f>
        <v/>
      </c>
      <c r="R68" s="95">
        <f>IF(AND(L68="", B68&lt;&gt;""), B68, "")</f>
        <v/>
      </c>
    </row>
    <row r="69" ht="126" customHeight="1" s="221">
      <c r="A69" s="5" t="inlineStr">
        <is>
          <t>68.</t>
        </is>
      </c>
      <c r="B69" s="6" t="inlineStr">
        <is>
          <t>SBA 26/068</t>
        </is>
      </c>
      <c r="C69" s="8" t="inlineStr">
        <is>
          <t>Doç. Dr. Ekim GÜMELER</t>
        </is>
      </c>
      <c r="D69" s="8" t="inlineStr">
        <is>
          <t>Radyoloji Anabilim Dalı</t>
        </is>
      </c>
      <c r="E69" s="7" t="inlineStr">
        <is>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is>
      </c>
      <c r="F69" s="7" t="inlineStr">
        <is>
          <t>“İnsanlarda Oküler Glenfatik Sistemin ve Optik Sinirin Manyetik Rezonans Görüntüleme ile Değerlendirilmesi”</t>
        </is>
      </c>
      <c r="G69" s="13" t="inlineStr">
        <is>
          <t>Uzmanlık Tezi</t>
        </is>
      </c>
      <c r="H69" s="54" t="n">
        <v>46027</v>
      </c>
      <c r="I69" s="52" t="n">
        <v>46042</v>
      </c>
      <c r="J69" s="8" t="inlineStr">
        <is>
          <t>Dr. Öğr. Üyesi Müge DEMİR</t>
        </is>
      </c>
      <c r="K69" s="8" t="inlineStr">
        <is>
          <t>Doç. Dr. Kübra AYKAÇ</t>
        </is>
      </c>
      <c r="L69" s="9" t="inlineStr">
        <is>
          <t>ONAY</t>
        </is>
      </c>
      <c r="M69" s="9" t="n"/>
      <c r="N69" s="9" t="n"/>
      <c r="O69" s="66" t="n"/>
      <c r="P69" s="9">
        <f>IF(O69&lt;&gt;"",O69, IF(N69&lt;&gt;"",N69, IF(M69&lt;&gt;"",M69, L69)))</f>
        <v/>
      </c>
      <c r="R69" s="95">
        <f>IF(AND(L69="", B69&lt;&gt;""), B69, "")</f>
        <v/>
      </c>
    </row>
    <row r="70" ht="63" customHeight="1" s="221">
      <c r="A70" s="5" t="inlineStr">
        <is>
          <t>69.</t>
        </is>
      </c>
      <c r="B70" s="6" t="inlineStr">
        <is>
          <t>SBA 26/069</t>
        </is>
      </c>
      <c r="C70" s="8" t="inlineStr">
        <is>
          <t>Dr. Öğr. Üyesi Burcu KELLECİ ÇAKIR</t>
        </is>
      </c>
      <c r="D70" s="8" t="inlineStr">
        <is>
          <t>Klinik Eczacılık Anabilim Dalı</t>
        </is>
      </c>
      <c r="E70" s="7" t="inlineStr">
        <is>
          <t>Üniversitemiz Eczacılık Fakültesi Klinik Eczacılık Anabilim Dalı öğretim üyelerinden Dr. Öğr. Üyesi Burcu KELLECİ ÇAKIR’ın sorumlu araştırmacı olduğu, Doç. Dr. Cafer BALCI ile birlikte çalışacakları,</t>
        </is>
      </c>
      <c r="F70" s="7" t="inlineStr">
        <is>
          <t>“Yaşlı Hastalarda Metabolik Disfonskiyonla İlişkili Steatotik Karaciğer Hastalığı için Güncel Tanı Kriterlerine Göre Protokol Geliştirilmesi”</t>
        </is>
      </c>
      <c r="G70" s="13" t="inlineStr">
        <is>
          <t>Bireysel Araştırma</t>
        </is>
      </c>
      <c r="H70" s="54" t="n">
        <v>46027</v>
      </c>
      <c r="I70" s="52" t="n">
        <v>46042</v>
      </c>
      <c r="J70" s="8" t="inlineStr">
        <is>
          <t>Prof. Dr. Gözde GİRGİN</t>
        </is>
      </c>
      <c r="K70" s="8" t="inlineStr">
        <is>
          <t>Prof. Dr. Yavuz AYHAN</t>
        </is>
      </c>
      <c r="L70" s="9" t="inlineStr">
        <is>
          <t>ONAY</t>
        </is>
      </c>
      <c r="M70" s="9" t="n"/>
      <c r="N70" s="9" t="n"/>
      <c r="O70" s="66" t="n"/>
      <c r="P70" s="9">
        <f>IF(O70&lt;&gt;"",O70, IF(N70&lt;&gt;"",N70, IF(M70&lt;&gt;"",M70, L70)))</f>
        <v/>
      </c>
      <c r="R70" s="95">
        <f>IF(AND(L70="", B70&lt;&gt;""), B70, "")</f>
        <v/>
      </c>
    </row>
    <row r="71" ht="63" customHeight="1" s="221">
      <c r="A71" s="5" t="inlineStr">
        <is>
          <t>70.</t>
        </is>
      </c>
      <c r="B71" s="6" t="inlineStr">
        <is>
          <t>SBA 26/070</t>
        </is>
      </c>
      <c r="C71" s="8" t="inlineStr">
        <is>
          <t>Prof. Dr. Ömer UĞUR</t>
        </is>
      </c>
      <c r="D71" s="8" t="inlineStr">
        <is>
          <t>Nükleer Tıp Anabilim Dalı</t>
        </is>
      </c>
      <c r="E71" s="7" t="inlineStr">
        <is>
          <t>Üniversitemiz Tıp Fakültesi Nükleer Tıp Anabilim Dalı öğretim üyelerinden Prof. Dr. Ömer UĞUR'un sorumlu araştırmacı olduğu, Prof. Dr. Murat TUNCEL ve Prof. Dr. Eser ERGÜN ile birlikte çalışacakları,</t>
        </is>
      </c>
      <c r="F71" s="7" t="inlineStr">
        <is>
          <t>“PET Rekonstrüksiyon Algoritmalarının Karşılaştırmalı Değerlendirilmesi: OSEM, BPL, DDG”</t>
        </is>
      </c>
      <c r="G71" s="13" t="inlineStr">
        <is>
          <t>Bireysel Araştırma</t>
        </is>
      </c>
      <c r="H71" s="54" t="n">
        <v>46027</v>
      </c>
      <c r="I71" s="52" t="n">
        <v>46042</v>
      </c>
      <c r="J71" s="8" t="inlineStr">
        <is>
          <t>Doç. Dr. Ekim GÜMELER</t>
        </is>
      </c>
      <c r="K71" s="8" t="inlineStr">
        <is>
          <t>Prof. Dr. Yavuz AYHAN</t>
        </is>
      </c>
      <c r="L71" s="9" t="inlineStr">
        <is>
          <t>ONAY</t>
        </is>
      </c>
      <c r="M71" s="9" t="n"/>
      <c r="N71" s="9" t="n"/>
      <c r="O71" s="66" t="n"/>
      <c r="P71" s="9">
        <f>IF(O71&lt;&gt;"",O71, IF(N71&lt;&gt;"",N71, IF(M71&lt;&gt;"",M71, L71)))</f>
        <v/>
      </c>
      <c r="R71" s="95">
        <f>IF(AND(L71="", B71&lt;&gt;""), B71, "")</f>
        <v/>
      </c>
    </row>
    <row r="72" ht="78.75" customHeight="1" s="221">
      <c r="A72" s="5" t="inlineStr">
        <is>
          <t>71.</t>
        </is>
      </c>
      <c r="B72" s="6" t="inlineStr">
        <is>
          <t>SBA 26/071</t>
        </is>
      </c>
      <c r="C72" s="8" t="inlineStr">
        <is>
          <t>Dr. Natalia RAKİSLOVA</t>
        </is>
      </c>
      <c r="D72" s="8" t="inlineStr">
        <is>
          <t>Barcelona Institute for Global Health</t>
        </is>
      </c>
      <c r="E72" s="7" t="inlineStr">
        <is>
          <t>Barcelona Institute for Global Health (ISGlobal) araştırmacılarından Dr. Natalia RAKİSLOVA’nın sorumlu araştırmacı olduğu, Prof. Dr. Alp USUBÜTÜN ile birlikte çalışacakları,</t>
        </is>
      </c>
      <c r="F72" s="7" t="inlineStr">
        <is>
          <t>Klinikopatolojik Özellikleri Entegre Eden Moleküler Sınıflandırma ve Analiz: HPV Bağımsız Vulvar Skuamöz Hücreli Karsinom için Moleküler-Klinikopatolojik Bir Prognostik İmzanın Geliştirilmesi ve Uluslararası Geçerliliğinin Doğrulanması”</t>
        </is>
      </c>
      <c r="G72" s="13" t="inlineStr">
        <is>
          <t>Bireysel Araştırma</t>
        </is>
      </c>
      <c r="H72" s="54" t="n">
        <v>46029</v>
      </c>
      <c r="I72" s="52" t="n">
        <v>46042</v>
      </c>
      <c r="J72" s="8" t="inlineStr">
        <is>
          <t>Prof. Dr. Ayşe Nurten AKARSU</t>
        </is>
      </c>
      <c r="K72" s="8" t="inlineStr">
        <is>
          <t>Dr. Öğr. Üyesi Müge DEMİR</t>
        </is>
      </c>
      <c r="L72" s="9" t="inlineStr">
        <is>
          <t>DÜZELTME</t>
        </is>
      </c>
      <c r="M72" s="9" t="n"/>
      <c r="N72" s="9" t="n"/>
      <c r="O72" s="66" t="n"/>
      <c r="P72" s="9">
        <f>IF(O72&lt;&gt;"",O72, IF(N72&lt;&gt;"",N72, IF(M72&lt;&gt;"",M72, L72)))</f>
        <v/>
      </c>
      <c r="R72" s="95">
        <f>IF(AND(L72="", B72&lt;&gt;""), B72, "")</f>
        <v/>
      </c>
    </row>
    <row r="73" ht="63" customHeight="1" s="221">
      <c r="A73" s="5" t="inlineStr">
        <is>
          <t>72.</t>
        </is>
      </c>
      <c r="B73" s="6" t="inlineStr">
        <is>
          <t>SBA 26/072</t>
        </is>
      </c>
      <c r="C73" s="8" t="inlineStr">
        <is>
          <t>Doç. Dr. İlker ERTUĞRUL</t>
        </is>
      </c>
      <c r="D73" s="8" t="inlineStr">
        <is>
          <t>Çocuk Sağlığı ve Hastalıkları Anabilim Dalı</t>
        </is>
      </c>
      <c r="E73" s="7" t="inlineStr">
        <is>
          <t>Üniversitemiz Tıp Fakültesi Çocuk Sağlığı ve Hastalıkları Anabilim Dalı öğretim üyelerinden Doç. Dr. İlker ERTUĞRUL'un sorumlu araştırmacı olduğu, Arş. Gör. Dr. Betül Seda GÜZELHAN ile birlikte çalışacakları,</t>
        </is>
      </c>
      <c r="F73" s="7" t="inlineStr">
        <is>
          <t>"Pediatrik İdiopatik Ventriküler Fibrilasyon Olgularında Katekolaminerjik Polimorfik Ventriküler Taşikardiye Yol Açan Genetik Varyantların Sıklığı ve Moleküler Otopsi Uygulamasının Tanısal Katkısı"</t>
        </is>
      </c>
      <c r="G73" s="13" t="inlineStr">
        <is>
          <t>Bireysel Araştırma</t>
        </is>
      </c>
      <c r="H73" s="54" t="n">
        <v>46029</v>
      </c>
      <c r="I73" s="52" t="n">
        <v>46042</v>
      </c>
      <c r="J73" s="8" t="inlineStr">
        <is>
          <t>Prof. Dr. Melih Önder BABAOĞLU</t>
        </is>
      </c>
      <c r="K73" s="8" t="inlineStr">
        <is>
          <t>Prof. Dr. M. Özgür UYANIK</t>
        </is>
      </c>
      <c r="L73" s="9" t="inlineStr">
        <is>
          <t>DÜZELTME</t>
        </is>
      </c>
      <c r="M73" s="9" t="n"/>
      <c r="N73" s="9" t="n"/>
      <c r="O73" s="66" t="n"/>
      <c r="P73" s="9">
        <f>IF(O73&lt;&gt;"",O73, IF(N73&lt;&gt;"",N73, IF(M73&lt;&gt;"",M73, L73)))</f>
        <v/>
      </c>
      <c r="R73" s="95">
        <f>IF(AND(L73="", B73&lt;&gt;""), B73, "")</f>
        <v/>
      </c>
    </row>
    <row r="74" ht="78.75" customHeight="1" s="221">
      <c r="A74" s="5" t="inlineStr">
        <is>
          <t>73.</t>
        </is>
      </c>
      <c r="B74" s="6" t="inlineStr">
        <is>
          <t>SBA 26/073</t>
        </is>
      </c>
      <c r="C74" s="8" t="inlineStr">
        <is>
          <t>Prof. Dr. Salih Kutay DEMİRKAN</t>
        </is>
      </c>
      <c r="D74" s="8" t="inlineStr">
        <is>
          <t>Klinik Eczacılık Anabilim Dalı</t>
        </is>
      </c>
      <c r="E74" s="7" t="inlineStr">
        <is>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is>
      </c>
      <c r="F74" s="7" t="inlineStr">
        <is>
          <t>“Klinik Nütrisyon Öğrenci Kongresine Katılan Öğrencilerin Beklentileri ve Kazanımları”</t>
        </is>
      </c>
      <c r="G74" s="13" t="inlineStr">
        <is>
          <t>Bireysel Araştırma</t>
        </is>
      </c>
      <c r="H74" s="54" t="n">
        <v>46029</v>
      </c>
      <c r="I74" s="52" t="n">
        <v>46042</v>
      </c>
      <c r="J74" s="8" t="inlineStr">
        <is>
          <t>Prof. Dr. Gözde GİRGİN</t>
        </is>
      </c>
      <c r="K74" s="8" t="inlineStr">
        <is>
          <t>Prof. Dr. Ayşe KİN İŞLER</t>
        </is>
      </c>
      <c r="L74" s="9" t="inlineStr">
        <is>
          <t>DÜZELTME</t>
        </is>
      </c>
      <c r="M74" s="9" t="inlineStr">
        <is>
          <t>GÖRÜŞ</t>
        </is>
      </c>
      <c r="N74" s="9" t="n"/>
      <c r="O74" s="66" t="n"/>
      <c r="P74" s="9">
        <f>IF(O74&lt;&gt;"",O74, IF(N74&lt;&gt;"",N74, IF(M74&lt;&gt;"",M74, L74)))</f>
        <v/>
      </c>
      <c r="R74" s="95">
        <f>IF(AND(L74="", B74&lt;&gt;""), B74, "")</f>
        <v/>
      </c>
    </row>
    <row r="75" ht="47.25" customHeight="1" s="221">
      <c r="A75" s="5" t="inlineStr">
        <is>
          <t>74.</t>
        </is>
      </c>
      <c r="B75" s="6" t="inlineStr">
        <is>
          <t>SBA 26/074</t>
        </is>
      </c>
      <c r="C75" s="8" t="inlineStr">
        <is>
          <t>Prof. Dr. Sıddika Songül YALÇIN</t>
        </is>
      </c>
      <c r="D75" s="8" t="inlineStr">
        <is>
          <t>Sosyal Pediatri Anabilim Dalı</t>
        </is>
      </c>
      <c r="E75" s="7" t="inlineStr">
        <is>
          <t>Üniversitemiz Çocuk Sağlığı Enstitüsü Sosyal Pediatri Anabilim Dalı öğretim üyelerinden Prof. Dr. Sıddika Songül YALÇIN’ın sorumlu araştırmacı olduğu, Uzm. Dr. Murat GÜLŞEN’in doktora tezi olan,</t>
        </is>
      </c>
      <c r="F75" s="7" t="inlineStr">
        <is>
          <t>“Nadir Hastalığı Olan Çocuklar Özelinde Ebeveynlerinin Tutumu, Sağlık Okuryazarlığı ve Ekran Kullanımı”</t>
        </is>
      </c>
      <c r="G75" s="13" t="inlineStr">
        <is>
          <t>Doktora Tezi</t>
        </is>
      </c>
      <c r="H75" s="54" t="n">
        <v>46030</v>
      </c>
      <c r="I75" s="52" t="n">
        <v>46042</v>
      </c>
      <c r="J75" s="8" t="inlineStr">
        <is>
          <t>Doç. Dr. Tolga ÇAKMAK</t>
        </is>
      </c>
      <c r="K75" s="8" t="inlineStr">
        <is>
          <t>Doç. Dr. Burcu ERSÖZ ALAN</t>
        </is>
      </c>
      <c r="L75" s="9" t="inlineStr">
        <is>
          <t>ONAY</t>
        </is>
      </c>
      <c r="M75" s="9" t="n"/>
      <c r="N75" s="9" t="n"/>
      <c r="O75" s="66" t="n"/>
      <c r="P75" s="9">
        <f>IF(O75&lt;&gt;"",O75, IF(N75&lt;&gt;"",N75, IF(M75&lt;&gt;"",M75, L75)))</f>
        <v/>
      </c>
      <c r="R75" s="95">
        <f>IF(AND(L75="", B75&lt;&gt;""), B75, "")</f>
        <v/>
      </c>
    </row>
    <row r="76" ht="78.75" customHeight="1" s="221">
      <c r="A76" s="5" t="inlineStr">
        <is>
          <t>75.</t>
        </is>
      </c>
      <c r="B76" s="6" t="inlineStr">
        <is>
          <t>SBA 26/075</t>
        </is>
      </c>
      <c r="C76" s="8" t="inlineStr">
        <is>
          <t>Dr. Öğr. Üyesi Gökçen AKÇİÇEK</t>
        </is>
      </c>
      <c r="D76" s="8" t="inlineStr">
        <is>
          <t>Ağız, Diş ve Çene Radyolojisi Anabilim Dalı</t>
        </is>
      </c>
      <c r="E76" s="7" t="inlineStr">
        <is>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is>
      </c>
      <c r="F76" s="7" t="inlineStr">
        <is>
          <t>“Mandibular Lingula Morfolojisi ile Mandibular Kanal Varyasyonları, Mental ve Mandibular Foramen Boyutları Arasındaki Korelasyonun Konik Işınlı Bilgisayar Tomografi ile İncelenmesi”</t>
        </is>
      </c>
      <c r="G76" s="13" t="inlineStr">
        <is>
          <t>Uzmanlık Tezi</t>
        </is>
      </c>
      <c r="H76" s="54" t="n">
        <v>46030</v>
      </c>
      <c r="I76" s="52" t="n">
        <v>46042</v>
      </c>
      <c r="J76" s="8" t="inlineStr">
        <is>
          <t>Prof. Dr. M. Özgür UYANIK</t>
        </is>
      </c>
      <c r="K76" s="8" t="inlineStr">
        <is>
          <t>Doç. Dr. Ekim GÜMELER</t>
        </is>
      </c>
      <c r="L76" s="9" t="inlineStr">
        <is>
          <t>ONAY</t>
        </is>
      </c>
      <c r="M76" s="9" t="n"/>
      <c r="N76" s="9" t="n"/>
      <c r="O76" s="66" t="n"/>
      <c r="P76" s="9">
        <f>IF(O76&lt;&gt;"",O76, IF(N76&lt;&gt;"",N76, IF(M76&lt;&gt;"",M76, L76)))</f>
        <v/>
      </c>
      <c r="R76" s="95">
        <f>IF(AND(L76="", B76&lt;&gt;""), B76, "")</f>
        <v/>
      </c>
    </row>
    <row r="77" ht="63" customHeight="1" s="221">
      <c r="A77" s="5" t="inlineStr">
        <is>
          <t>76.</t>
        </is>
      </c>
      <c r="B77" s="6" t="inlineStr">
        <is>
          <t>SBA 26/076</t>
        </is>
      </c>
      <c r="C77" s="8" t="inlineStr">
        <is>
          <t>Doç. Dr. Ezgi ATİK</t>
        </is>
      </c>
      <c r="D77" s="8" t="inlineStr">
        <is>
          <t>Ortodonti Anabilim Dalı</t>
        </is>
      </c>
      <c r="E77" s="7" t="inlineStr">
        <is>
          <t>Üniversitemiz Diş Hekimliği Fakültesi Ortodonti Anabilim Dalı öğretim üyelerinden Doç. Dr. Dt. Ezgi ATİK’in sorumlu araştırmacı olduğu, Dr. Öğr. Üyesi Irmak OCAK ve Arş. Gör. Dt. Kübra Hilal TÜRKOĞLU BOYNUYOĞUN ile birlikte çalışacakları,</t>
        </is>
      </c>
      <c r="F77" s="7" t="inlineStr">
        <is>
          <t>“Şeffaf Plak Tedavilerinde Mor Işık Altında Yapılan Debonding İşleminin Diş Minesine Etkilerinin 3 Boyutlu Olarak İncelenmesi: İn-vitro Çalışma”</t>
        </is>
      </c>
      <c r="G77" s="13" t="inlineStr">
        <is>
          <t>Bireysel Araştırma</t>
        </is>
      </c>
      <c r="H77" s="54" t="n">
        <v>46031</v>
      </c>
      <c r="I77" s="52" t="n">
        <v>46042</v>
      </c>
      <c r="J77" s="8" t="inlineStr">
        <is>
          <t>Prof. Dr. M. Özgür UYANIK</t>
        </is>
      </c>
      <c r="K77" s="8" t="inlineStr">
        <is>
          <t>Doç. Dr. Kübra AYKAÇ</t>
        </is>
      </c>
      <c r="L77" s="9" t="inlineStr">
        <is>
          <t>ONAY</t>
        </is>
      </c>
      <c r="M77" s="9" t="n"/>
      <c r="N77" s="9" t="n"/>
      <c r="O77" s="66" t="n"/>
      <c r="P77" s="9">
        <f>IF(O77&lt;&gt;"",O77, IF(N77&lt;&gt;"",N77, IF(M77&lt;&gt;"",M77, L77)))</f>
        <v/>
      </c>
      <c r="R77" s="95">
        <f>IF(AND(L77="", B77&lt;&gt;""), B77, "")</f>
        <v/>
      </c>
    </row>
    <row r="78" ht="63" customHeight="1" s="221">
      <c r="A78" s="5" t="inlineStr">
        <is>
          <t>77.</t>
        </is>
      </c>
      <c r="B78" s="6" t="inlineStr">
        <is>
          <t>SBA 26/077</t>
        </is>
      </c>
      <c r="C78" s="8" t="inlineStr">
        <is>
          <t>Prof. Dr. Özlem BOYBEYİ</t>
        </is>
      </c>
      <c r="D78" s="8" t="inlineStr">
        <is>
          <t>Çocuk Cerrahisi Anabilim Dalı</t>
        </is>
      </c>
      <c r="E78" s="7" t="inlineStr">
        <is>
          <t>Üniversitemiz Tıp Fakültesi Çocuk Cerrahisi Anabilim Dalı öğretim üyelerinden Prof. Dr. Özlem BOYBEYİ’nin sorumlu araştırmacı olduğu, Prof. Dr. Tutku SOYER ve Arş. Gör. Dr. Mustafa Ünal SAYILIR ile birlikte çalışacakları,</t>
        </is>
      </c>
      <c r="F78" s="7" t="inlineStr">
        <is>
          <t>“Çocuklarda Yabancı Cisim Yutmalarına Klinik Yaklaşım”</t>
        </is>
      </c>
      <c r="G78" s="13" t="inlineStr">
        <is>
          <t>Bireysel Araştırma</t>
        </is>
      </c>
      <c r="H78" s="54" t="n">
        <v>46031</v>
      </c>
      <c r="I78" s="52" t="n">
        <v>46042</v>
      </c>
      <c r="J78" s="8" t="inlineStr">
        <is>
          <t>Doç. Dr. Kübra AYKAÇ</t>
        </is>
      </c>
      <c r="K78" s="8" t="inlineStr">
        <is>
          <t>Doç. Dr. Burcu ERSÖZ ALAN</t>
        </is>
      </c>
      <c r="L78" s="9" t="inlineStr">
        <is>
          <t>DÜZELTME</t>
        </is>
      </c>
      <c r="M78" s="9" t="inlineStr">
        <is>
          <t>ONAY</t>
        </is>
      </c>
      <c r="N78" s="9" t="n"/>
      <c r="O78" s="66" t="n"/>
      <c r="P78" s="9">
        <f>IF(O78&lt;&gt;"",O78, IF(N78&lt;&gt;"",N78, IF(M78&lt;&gt;"",M78, L78)))</f>
        <v/>
      </c>
      <c r="R78" s="95">
        <f>IF(AND(L78="", B78&lt;&gt;""), B78, "")</f>
        <v/>
      </c>
    </row>
    <row r="79" ht="78.75" customHeight="1" s="221">
      <c r="A79" s="5" t="inlineStr">
        <is>
          <t>78.</t>
        </is>
      </c>
      <c r="B79" s="6" t="inlineStr">
        <is>
          <t>SBA 26/078</t>
        </is>
      </c>
      <c r="C79" s="8" t="inlineStr">
        <is>
          <t>Prof. Dr. Yasemin ÖZSÜREKCİ</t>
        </is>
      </c>
      <c r="D79" s="8" t="inlineStr">
        <is>
          <t>Çocuk Sağlığı ve Hastalıkları Anabilim Dalı</t>
        </is>
      </c>
      <c r="E79" s="7" t="inlineStr">
        <is>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is>
      </c>
      <c r="F79" s="7" t="inlineStr">
        <is>
          <t>“Mevsimsel Koronavirüs Enfeksiyonlarının 0–18 Yaş Arası Hastalarda Morbidite ve Mortalite Üzerine Etkisinin Değerlendirilmesi”</t>
        </is>
      </c>
      <c r="G79" s="13" t="inlineStr">
        <is>
          <t>Uzmanlık Tezi</t>
        </is>
      </c>
      <c r="H79" s="54" t="n">
        <v>46031</v>
      </c>
      <c r="I79" s="52" t="n">
        <v>46042</v>
      </c>
      <c r="J79" s="8" t="inlineStr">
        <is>
          <t>Doç. Dr. Burcu ERSÖZ ALAN</t>
        </is>
      </c>
      <c r="K79" s="8" t="inlineStr">
        <is>
          <t>Doç. Dr. Tolga ÇAKMAK</t>
        </is>
      </c>
      <c r="L79" s="9" t="inlineStr">
        <is>
          <t>ONAY</t>
        </is>
      </c>
      <c r="M79" s="9" t="n"/>
      <c r="N79" s="9" t="n"/>
      <c r="O79" s="66" t="n"/>
      <c r="P79" s="9">
        <f>IF(O79&lt;&gt;"",O79, IF(N79&lt;&gt;"",N79, IF(M79&lt;&gt;"",M79, L79)))</f>
        <v/>
      </c>
      <c r="R79" s="95">
        <f>IF(AND(L79="", B79&lt;&gt;""), B79, "")</f>
        <v/>
      </c>
    </row>
    <row r="80" ht="94.5" customHeight="1" s="221">
      <c r="A80" s="5" t="inlineStr">
        <is>
          <t>79.</t>
        </is>
      </c>
      <c r="B80" s="6" t="inlineStr">
        <is>
          <t>SBA 26/079</t>
        </is>
      </c>
      <c r="C80" s="8" t="inlineStr">
        <is>
          <t>Prof. Dr. Ülkü ÜNDEĞER BUCURGAT</t>
        </is>
      </c>
      <c r="D80" s="8" t="inlineStr">
        <is>
          <t>Farmasötik Toksikoloji Anabilim Dalı</t>
        </is>
      </c>
      <c r="E80" s="7" t="inlineStr">
        <is>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is>
      </c>
      <c r="F80" s="7" t="inlineStr">
        <is>
          <t>“Kaynakçılarda Demir Metabolizmasının Gözden Geçirilmesi ve Sistemik Aşırı Demir Fazlalığı Olan ve Olmayan Aktif Kaynakçılarda Genotoksisitenin Comet Yöntemi ile Değerlendirilmesi”</t>
        </is>
      </c>
      <c r="G80" s="13" t="inlineStr">
        <is>
          <t>Doktora Tezi</t>
        </is>
      </c>
      <c r="H80" s="54" t="n">
        <v>46031</v>
      </c>
      <c r="I80" s="52" t="n">
        <v>46042</v>
      </c>
      <c r="J80" s="8" t="inlineStr">
        <is>
          <t>Doç. Dr. Tolga ÇAKMAK</t>
        </is>
      </c>
      <c r="K80" s="8" t="inlineStr">
        <is>
          <t>Prof. Dr. Gözde GİRGİN</t>
        </is>
      </c>
      <c r="L80" s="9" t="inlineStr">
        <is>
          <t>DÜZELTME</t>
        </is>
      </c>
      <c r="M80" s="9" t="inlineStr">
        <is>
          <t>ONAY</t>
        </is>
      </c>
      <c r="N80" s="9" t="n"/>
      <c r="O80" s="66" t="n"/>
      <c r="P80" s="9">
        <f>IF(O80&lt;&gt;"",O80, IF(N80&lt;&gt;"",N80, IF(M80&lt;&gt;"",M80, L80)))</f>
        <v/>
      </c>
      <c r="R80" s="95">
        <f>IF(AND(L80="", B80&lt;&gt;""), B80, "")</f>
        <v/>
      </c>
    </row>
    <row r="81" ht="78.75" customHeight="1" s="221">
      <c r="A81" s="5" t="inlineStr">
        <is>
          <t>80.</t>
        </is>
      </c>
      <c r="B81" s="6" t="inlineStr">
        <is>
          <t>SBA 26/080</t>
        </is>
      </c>
      <c r="C81" s="8" t="inlineStr">
        <is>
          <t>Doç. Dr. Erdal SAĞ</t>
        </is>
      </c>
      <c r="D81" s="8" t="inlineStr">
        <is>
          <t>Çocuk Sağlığı ve Hastalıkları Anabilim Dalı</t>
        </is>
      </c>
      <c r="E81" s="7" t="inlineStr">
        <is>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is>
      </c>
      <c r="F81" s="7" t="inlineStr">
        <is>
          <t>“Juvenil İdiopatik Artritte Erken Dönem Sitokin ve Kemokin Profillerinin Klinik Seyir ile Uzun Dönem İlişkisi”</t>
        </is>
      </c>
      <c r="G81" s="13" t="inlineStr">
        <is>
          <t>Uzmanlık Tezi</t>
        </is>
      </c>
      <c r="H81" s="54" t="n">
        <v>46034</v>
      </c>
      <c r="I81" s="52" t="n">
        <v>46042</v>
      </c>
      <c r="J81" s="8" t="inlineStr">
        <is>
          <t>Prof. Dr. Melih Önder BABAOĞLU</t>
        </is>
      </c>
      <c r="K81" s="8" t="inlineStr">
        <is>
          <t>Doç. Dr. Kübra AYKAÇ</t>
        </is>
      </c>
      <c r="L81" s="9" t="inlineStr">
        <is>
          <t>DÜZELTME</t>
        </is>
      </c>
      <c r="M81" s="9" t="inlineStr">
        <is>
          <t>ONAY</t>
        </is>
      </c>
      <c r="N81" s="9" t="n"/>
      <c r="O81" s="66" t="n"/>
      <c r="P81" s="9">
        <f>IF(O81&lt;&gt;"",O81, IF(N81&lt;&gt;"",N81, IF(M81&lt;&gt;"",M81, L81)))</f>
        <v/>
      </c>
      <c r="R81" s="95">
        <f>IF(AND(L81="", B81&lt;&gt;""), B81, "")</f>
        <v/>
      </c>
    </row>
    <row r="82" ht="63" customHeight="1" s="221">
      <c r="A82" s="5" t="inlineStr">
        <is>
          <t>81.</t>
        </is>
      </c>
      <c r="B82" s="6" t="inlineStr">
        <is>
          <t>SBA 26/081</t>
        </is>
      </c>
      <c r="C82" s="8" t="inlineStr">
        <is>
          <t>Prof. Dr. Taner YILMAZ</t>
        </is>
      </c>
      <c r="D82" s="8" t="inlineStr">
        <is>
          <t>Kulak Burun Boğaz Anabilim Dalı</t>
        </is>
      </c>
      <c r="E82" s="7" t="inlineStr">
        <is>
          <t>Üniversitemiz Tıp Fakültesi Kulak Burun Boğaz Anabilim Dalı öğretim üyelerinden Prof. Dr. Taner YILMAZ’ın sorumlu araştırmacı olduğu, Dr. Öğr. Üyesi Oğuzhan KATAR ile birlikte çalışacakları,</t>
        </is>
      </c>
      <c r="F82" s="7" t="inlineStr">
        <is>
          <t>“Medializasyon Laringoplasti ve Aritenoid Addüksiyonu İşlemi Yapılan Tek Taraflı Ses Teli Felci Hastalarında Vücut Kitle İndeksinin Ameliyat Sonrası Dispne Üzerine Etkisinin Araştırılması"</t>
        </is>
      </c>
      <c r="G82" s="13" t="inlineStr">
        <is>
          <t>Bireysel Araştırma</t>
        </is>
      </c>
      <c r="H82" s="54" t="n">
        <v>46034</v>
      </c>
      <c r="I82" s="52" t="n">
        <v>46042</v>
      </c>
      <c r="J82" s="8" t="inlineStr">
        <is>
          <t>Dr. Öğr. Üyesi Müge DEMİR</t>
        </is>
      </c>
      <c r="K82" s="8" t="inlineStr">
        <is>
          <t>Prof. Dr. Ayşe KİN İŞLER</t>
        </is>
      </c>
      <c r="L82" s="9" t="inlineStr">
        <is>
          <t>ONAY</t>
        </is>
      </c>
      <c r="M82" s="9" t="n"/>
      <c r="N82" s="9" t="n"/>
      <c r="O82" s="66" t="n"/>
      <c r="P82" s="9">
        <f>IF(O82&lt;&gt;"",O82, IF(N82&lt;&gt;"",N82, IF(M82&lt;&gt;"",M82, L82)))</f>
        <v/>
      </c>
      <c r="R82" s="95">
        <f>IF(AND(L82="", B82&lt;&gt;""), B82, "")</f>
        <v/>
      </c>
    </row>
    <row r="83" ht="78.75" customHeight="1" s="221">
      <c r="A83" s="5" t="inlineStr">
        <is>
          <t>82.</t>
        </is>
      </c>
      <c r="B83" s="6" t="inlineStr">
        <is>
          <t>SBA 26/082</t>
        </is>
      </c>
      <c r="C83" s="8" t="inlineStr">
        <is>
          <t>Prof. Dr. Neşe DERİCİOĞLU</t>
        </is>
      </c>
      <c r="D83" s="8" t="inlineStr">
        <is>
          <t>Nöroloji Anabilim Dalı</t>
        </is>
      </c>
      <c r="E83" s="7" t="inlineStr">
        <is>
          <t>Üniversitemiz Tıp Fakültesi Nöroloji Anabilim Dalı öğretim üyelerinden Prof. Dr. Neşe DERİCİOĞLU’nun sorumlu araştırmacı olduğu, Doç. Dr. Rahşan GÖÇMEN, Dr. Öğr. Üyesi Ezgi Yetim ARSAVA ve Arş. Gör. Dr. Zhala NAZARLI ile birlikte çalışacakları,</t>
        </is>
      </c>
      <c r="F83" s="7" t="inlineStr">
        <is>
          <t>“İdiyopatik Jeneralize Epilepsi Hastalarında Beyin Atrofisi: Zamanla Artar Mı ve Nöro-Psikiyatrik Testlerle İlişkili mi?”</t>
        </is>
      </c>
      <c r="G83" s="13" t="inlineStr">
        <is>
          <t>Bireysel Araştırma</t>
        </is>
      </c>
      <c r="H83" s="54" t="n">
        <v>46034</v>
      </c>
      <c r="I83" s="52" t="n">
        <v>46042</v>
      </c>
      <c r="J83" s="8" t="inlineStr">
        <is>
          <t>Prof. Dr. Yavuz AYHAN</t>
        </is>
      </c>
      <c r="K83" s="8" t="inlineStr">
        <is>
          <t>Prof. Dr. Nazmiye Ebru ORTAÇ ERSOY</t>
        </is>
      </c>
      <c r="L83" s="9" t="inlineStr">
        <is>
          <t>DÜZELTME</t>
        </is>
      </c>
      <c r="M83" s="9" t="inlineStr">
        <is>
          <t>ONAY</t>
        </is>
      </c>
      <c r="N83" s="9" t="n"/>
      <c r="O83" s="66" t="n"/>
      <c r="P83" s="9">
        <f>IF(O83&lt;&gt;"",O83, IF(N83&lt;&gt;"",N83, IF(M83&lt;&gt;"",M83, L83)))</f>
        <v/>
      </c>
      <c r="R83" s="95">
        <f>IF(AND(L83="", B83&lt;&gt;""), B83, "")</f>
        <v/>
      </c>
    </row>
    <row r="84" ht="63" customHeight="1" s="221">
      <c r="A84" s="5" t="inlineStr">
        <is>
          <t>83.</t>
        </is>
      </c>
      <c r="B84" s="6" t="inlineStr">
        <is>
          <t>SBA 26/083</t>
        </is>
      </c>
      <c r="C84" s="8" t="inlineStr">
        <is>
          <t>Doç. Dr. Mert EŞME</t>
        </is>
      </c>
      <c r="D84" s="8" t="inlineStr">
        <is>
          <t>İç Hastalıkları Anabilim Dalı</t>
        </is>
      </c>
      <c r="E84" s="7" t="inlineStr">
        <is>
          <t>Üniversitemiz Tıp Fakültesi İç Hastalıkları Anabilim Dalı öğretim üyelerinden Doç. Dr. Mert EŞME’nin sorumlu araştırmacı olduğu, Arş. Gör. Dr. Meryem ASLAN, Arş. Gör. Dr. Elif GECEGELEN ile birlikte çalışacakları,</t>
        </is>
      </c>
      <c r="F84" s="7" t="inlineStr">
        <is>
          <t>“Demans Bilgilendirme Eğitiminin Klinik Bakım Süreçleriyle İlişkisi”</t>
        </is>
      </c>
      <c r="G84" s="13" t="inlineStr">
        <is>
          <t>Bireysel Araştırma</t>
        </is>
      </c>
      <c r="H84" s="54" t="n">
        <v>46034</v>
      </c>
      <c r="I84" s="52" t="n">
        <v>46042</v>
      </c>
      <c r="J84" s="8" t="inlineStr">
        <is>
          <t>Doç. Dr. Tolga ÇAKMAK</t>
        </is>
      </c>
      <c r="K84" s="8" t="inlineStr">
        <is>
          <t>Prof. Dr. Ayşe KİN İŞLER</t>
        </is>
      </c>
      <c r="L84" s="9" t="inlineStr">
        <is>
          <t>GÖRÜŞ</t>
        </is>
      </c>
      <c r="M84" s="9" t="inlineStr">
        <is>
          <t>ONAY</t>
        </is>
      </c>
      <c r="N84" s="9" t="n"/>
      <c r="O84" s="66" t="n"/>
      <c r="P84" s="9">
        <f>IF(O84&lt;&gt;"",O84, IF(N84&lt;&gt;"",N84, IF(M84&lt;&gt;"",M84, L84)))</f>
        <v/>
      </c>
      <c r="R84" s="95">
        <f>IF(AND(L84="", B84&lt;&gt;""), B84, "")</f>
        <v/>
      </c>
    </row>
    <row r="85" ht="63" customHeight="1" s="221">
      <c r="A85" s="5" t="inlineStr">
        <is>
          <t>84.</t>
        </is>
      </c>
      <c r="B85" s="6" t="inlineStr">
        <is>
          <t>SBA 26/084</t>
        </is>
      </c>
      <c r="C85" s="8" t="inlineStr">
        <is>
          <t>Prof. Dr. Meltem Gülhan HALİL</t>
        </is>
      </c>
      <c r="D85" s="8" t="inlineStr">
        <is>
          <t>İç Hastalıkları Anabilim Dalı</t>
        </is>
      </c>
      <c r="E85" s="7" t="inlineStr">
        <is>
          <t>Üniversitemiz Tıp Fakültesi İç Hastalıkları Anabilim Dalı öğretim üyelerinde Prof. Dr. Meltem Gülhan HALİL’in sorumlu araştırmacı olduğu, Arş. Gör. Dr. Elif GECEGELEN, Arş Gör. Dr. Meryem ASLAN ile birlikte çalışacakları,</t>
        </is>
      </c>
      <c r="F85" s="7" t="inlineStr">
        <is>
          <t>“Geriatrik Serviste Yatan Hastalarda Glisemik Değişkenlik ile Beslenme Yaklaşımları, Geriatrik Sendromlar ve Basınç Yaralanmaları Arasındaki İlişkinin Prospektif Gözlemsel İncelenmesi”</t>
        </is>
      </c>
      <c r="G85" s="13" t="inlineStr">
        <is>
          <t>Bireysel Araştırma</t>
        </is>
      </c>
      <c r="H85" s="54" t="n">
        <v>46034</v>
      </c>
      <c r="I85" s="52" t="n">
        <v>46042</v>
      </c>
      <c r="J85" s="8" t="inlineStr">
        <is>
          <t>Prof. Dr. Nazmiye Ebru ORTAÇ ERSOY</t>
        </is>
      </c>
      <c r="K85" s="8" t="inlineStr">
        <is>
          <t>Prof. Dr. Ayşe KİN İŞLER</t>
        </is>
      </c>
      <c r="L85" s="9" t="inlineStr">
        <is>
          <t>GÖRÜŞ</t>
        </is>
      </c>
      <c r="M85" s="9" t="inlineStr">
        <is>
          <t>DÜZELTME</t>
        </is>
      </c>
      <c r="N85" s="9" t="n"/>
      <c r="O85" s="66" t="n"/>
      <c r="P85" s="9">
        <f>IF(O85&lt;&gt;"",O85, IF(N85&lt;&gt;"",N85, IF(M85&lt;&gt;"",M85, L85)))</f>
        <v/>
      </c>
      <c r="R85" s="95">
        <f>IF(AND(L85="", B85&lt;&gt;""), B85, "")</f>
        <v/>
      </c>
    </row>
    <row r="86" ht="63" customHeight="1" s="221">
      <c r="A86" s="5" t="inlineStr">
        <is>
          <t>85.</t>
        </is>
      </c>
      <c r="B86" s="6" t="inlineStr">
        <is>
          <t>SBA 26/085</t>
        </is>
      </c>
      <c r="C86" s="8" t="inlineStr">
        <is>
          <t>Prof. Dr. Salih AKSU</t>
        </is>
      </c>
      <c r="D86" s="8" t="inlineStr">
        <is>
          <t>İç Hastalıkları Anabilim Dalı</t>
        </is>
      </c>
      <c r="E86" s="7" t="inlineStr">
        <is>
          <t>Üniversitemiz Tıp Fakültesi İç Hastalıkları Anabilim Dalı öğretim üyelerinden Prof. Dr. Salih AKSU’nun sorumlu araştırmacı olduğu, Arş. Gör. Dr. Fatma Tuğba ÇATAN ERDEKLİ ile birlikte çalışacakları,</t>
        </is>
      </c>
      <c r="F86" s="7" t="inlineStr">
        <is>
          <t>“Antikoagulan Kullanan Yetişkin Hematoloji Hastalarında Yaşam Kalitesinin Değerlendirilmesi”</t>
        </is>
      </c>
      <c r="G86" s="13" t="inlineStr">
        <is>
          <t>Bireysel Araştırma</t>
        </is>
      </c>
      <c r="H86" s="54" t="n">
        <v>46036</v>
      </c>
      <c r="I86" s="52" t="n">
        <v>46042</v>
      </c>
      <c r="J86" s="8" t="inlineStr">
        <is>
          <t>Prof. Dr. Melih Önder BABAOĞLU</t>
        </is>
      </c>
      <c r="K86" s="8" t="inlineStr">
        <is>
          <t>Doç. Dr. Burcu ERSÖZ ALAN</t>
        </is>
      </c>
      <c r="L86" s="9" t="inlineStr">
        <is>
          <t>ONAY</t>
        </is>
      </c>
      <c r="M86" s="9" t="n"/>
      <c r="N86" s="9" t="n"/>
      <c r="O86" s="66" t="n"/>
      <c r="P86" s="9">
        <f>IF(O86&lt;&gt;"",O86, IF(N86&lt;&gt;"",N86, IF(M86&lt;&gt;"",M86, L86)))</f>
        <v/>
      </c>
      <c r="R86" s="95">
        <f>IF(AND(L86="", B86&lt;&gt;""), B86, "")</f>
        <v/>
      </c>
    </row>
    <row r="87" ht="78.75" customHeight="1" s="221">
      <c r="A87" s="5" t="inlineStr">
        <is>
          <t>86.</t>
        </is>
      </c>
      <c r="B87" s="6" t="inlineStr">
        <is>
          <t>SBA 26/086</t>
        </is>
      </c>
      <c r="C87" s="8" t="inlineStr">
        <is>
          <t>Prof. Dr. Güliz Nigar GÜNCÜ</t>
        </is>
      </c>
      <c r="D87" s="8" t="inlineStr">
        <is>
          <t>Periodontoloji Anabilim Dalı</t>
        </is>
      </c>
      <c r="E87" s="7" t="inlineStr">
        <is>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is>
      </c>
      <c r="F87" s="7" t="inlineStr">
        <is>
          <t>“Anterior Bölge İmplant Üstü Köprülerde Farklı Protez Tasarımlarının ve Arayüz Temizlik Araçlarının Biyofilm Temizlenebilirliği Üzerine Etkisinin Değerlendirilmesi: Bir İn Vitro Çalışma”</t>
        </is>
      </c>
      <c r="G87" s="13" t="inlineStr">
        <is>
          <t>Uzmanlık Tezi</t>
        </is>
      </c>
      <c r="H87" s="54" t="n">
        <v>46036</v>
      </c>
      <c r="I87" s="52" t="n">
        <v>46042</v>
      </c>
      <c r="J87" s="8" t="inlineStr">
        <is>
          <t>Prof. Dr. M. Özgür UYANIK</t>
        </is>
      </c>
      <c r="K87" s="8" t="inlineStr">
        <is>
          <t>Prof. Dr. Gözde GİRGİN</t>
        </is>
      </c>
      <c r="L87" s="9" t="inlineStr">
        <is>
          <t>DÜZELTME</t>
        </is>
      </c>
      <c r="M87" s="9" t="inlineStr">
        <is>
          <t>ONAY</t>
        </is>
      </c>
      <c r="N87" s="9" t="n"/>
      <c r="O87" s="66" t="n"/>
      <c r="P87" s="9">
        <f>IF(O87&lt;&gt;"",O87, IF(N87&lt;&gt;"",N87, IF(M87&lt;&gt;"",M87, L87)))</f>
        <v/>
      </c>
      <c r="R87" s="95">
        <f>IF(AND(L87="", B87&lt;&gt;""), B87, "")</f>
        <v/>
      </c>
    </row>
    <row r="88" ht="78.75" customHeight="1" s="221">
      <c r="A88" s="5" t="inlineStr">
        <is>
          <t>87.</t>
        </is>
      </c>
      <c r="B88" s="6" t="inlineStr">
        <is>
          <t>SBA 26/087</t>
        </is>
      </c>
      <c r="C88" s="8" t="inlineStr">
        <is>
          <t>Prof. Dr. Sıddika Songül YALÇIN</t>
        </is>
      </c>
      <c r="D88" s="8" t="inlineStr">
        <is>
          <t>Çocuk Sağlığı ve Hastalıkları Anabilim Dalı</t>
        </is>
      </c>
      <c r="E88" s="7" t="inlineStr">
        <is>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is>
      </c>
      <c r="F88" s="7" t="inlineStr">
        <is>
          <t>“Türkiye’de Ebeveynlerin Geliştiren Bakım Konusundaki Bilgi, Tutum ve Uygulamalarının Değerlendirilmesi Araştırması”</t>
        </is>
      </c>
      <c r="G88" s="13" t="inlineStr">
        <is>
          <t>Bireysel Araştırma</t>
        </is>
      </c>
      <c r="H88" s="54" t="n">
        <v>46036</v>
      </c>
      <c r="I88" s="52" t="n">
        <v>46042</v>
      </c>
      <c r="J88" s="8" t="inlineStr">
        <is>
          <t>Prof. Dr. Ayşe KİN İŞLER</t>
        </is>
      </c>
      <c r="K88" s="8" t="inlineStr">
        <is>
          <t>Doç. Dr. Ekim GÜMELER</t>
        </is>
      </c>
      <c r="L88" s="9" t="inlineStr">
        <is>
          <t>ONAY</t>
        </is>
      </c>
      <c r="M88" s="9" t="n"/>
      <c r="N88" s="9" t="n"/>
      <c r="O88" s="66" t="n"/>
      <c r="P88" s="9">
        <f>IF(O88&lt;&gt;"",O88, IF(N88&lt;&gt;"",N88, IF(M88&lt;&gt;"",M88, L88)))</f>
        <v/>
      </c>
      <c r="R88" s="95">
        <f>IF(AND(L88="", B88&lt;&gt;""), B88, "")</f>
        <v/>
      </c>
    </row>
    <row r="89" ht="63" customHeight="1" s="221">
      <c r="A89" s="5" t="inlineStr">
        <is>
          <t>88.</t>
        </is>
      </c>
      <c r="B89" s="6" t="inlineStr">
        <is>
          <t>SBA 26/088</t>
        </is>
      </c>
      <c r="C89" s="8" t="inlineStr">
        <is>
          <t>Doç. Dr. İrem KOÇ</t>
        </is>
      </c>
      <c r="D89" s="8" t="inlineStr">
        <is>
          <t>Göz Hastalıkları Anabilim Dalı</t>
        </is>
      </c>
      <c r="E89" s="7" t="inlineStr">
        <is>
          <t>Üniversitemiz Tıp Fakültesi Göz Hastalıkları Anabilim Dalı öğretim üyelerinden Doç. Dr. İrem KOÇ'un sorumlu araştırmacı olduğu, Prof. Dr. Hayyam KIRATLI ve Arş. Gör. Dr. Kezban Azra KARGALI ile birlikte çalışacakları,</t>
        </is>
      </c>
      <c r="F89" s="7" t="inlineStr">
        <is>
          <t>“Vitreoretinal Cerrahi Geçiren Koroidal Malign Melanom Hastalarında Klinik Özellikler ve Sonuçların Değerlendirilmesi”</t>
        </is>
      </c>
      <c r="G89" s="13" t="inlineStr">
        <is>
          <t>Bireysel Araştırma</t>
        </is>
      </c>
      <c r="H89" s="54" t="n">
        <v>46036</v>
      </c>
      <c r="I89" s="52" t="n">
        <v>46042</v>
      </c>
      <c r="J89" s="8" t="inlineStr">
        <is>
          <t>Prof. Dr. Yavuz AYHAN</t>
        </is>
      </c>
      <c r="K89" s="8" t="inlineStr">
        <is>
          <t>Prof. Dr. Melih Önder BABAOĞLU</t>
        </is>
      </c>
      <c r="L89" s="9" t="inlineStr">
        <is>
          <t>ONAY</t>
        </is>
      </c>
      <c r="M89" s="9" t="n"/>
      <c r="N89" s="9" t="n"/>
      <c r="O89" s="66" t="n"/>
      <c r="P89" s="9">
        <f>IF(O89&lt;&gt;"",O89, IF(N89&lt;&gt;"",N89, IF(M89&lt;&gt;"",M89, L89)))</f>
        <v/>
      </c>
      <c r="R89" s="95">
        <f>IF(AND(L89="", B89&lt;&gt;""), B89, "")</f>
        <v/>
      </c>
    </row>
    <row r="90" ht="63" customHeight="1" s="221">
      <c r="A90" s="5" t="inlineStr">
        <is>
          <t>89.</t>
        </is>
      </c>
      <c r="B90" s="6" t="inlineStr">
        <is>
          <t>SBA 26/089</t>
        </is>
      </c>
      <c r="C90" s="8" t="inlineStr">
        <is>
          <t>Doç. Dr. İrem KOÇ</t>
        </is>
      </c>
      <c r="D90" s="8" t="inlineStr">
        <is>
          <t>Göz Hastalıkları Anabilim Dalı</t>
        </is>
      </c>
      <c r="E90" s="7" t="inlineStr">
        <is>
          <t>Üniversitemiz Tıp Fakültesi Göz Hastalıkları Anabilim Dalı öğretim üyelerinden Doç. Dr. İrem KOÇ'un sorumlu araştırmacı olduğu, Prof. Dr. Hayyam KIRATLI ve Arş. Gör. Dr. Kezban Azra KARGALI ile birlikte çalışacakları,</t>
        </is>
      </c>
      <c r="F90" s="7" t="inlineStr">
        <is>
          <t>“Posterior Üveal Nevüslerde Oftalmolojik Muayene Bulguları ile Multimodal Görüntüleme Bulguları Arasındaki Korelasyonun Değerlendirilmesi”</t>
        </is>
      </c>
      <c r="G90" s="13" t="inlineStr">
        <is>
          <t>Bireysel Araştırma</t>
        </is>
      </c>
      <c r="H90" s="54" t="n">
        <v>46036</v>
      </c>
      <c r="I90" s="52" t="n">
        <v>46042</v>
      </c>
      <c r="J90" s="8" t="inlineStr">
        <is>
          <t>Doç. Dr. Ekim GÜMELER</t>
        </is>
      </c>
      <c r="K90" s="8" t="inlineStr">
        <is>
          <t>Prof. Dr. Nazmiye Ebru ORTAÇ ERSOY</t>
        </is>
      </c>
      <c r="L90" s="9" t="inlineStr">
        <is>
          <t>ONAY</t>
        </is>
      </c>
      <c r="M90" s="9" t="n"/>
      <c r="N90" s="9" t="n"/>
      <c r="O90" s="66" t="n"/>
      <c r="P90" s="9">
        <f>IF(O90&lt;&gt;"",O90, IF(N90&lt;&gt;"",N90, IF(M90&lt;&gt;"",M90, L90)))</f>
        <v/>
      </c>
      <c r="R90" s="95">
        <f>IF(AND(L90="", B90&lt;&gt;""), B90, "")</f>
        <v/>
      </c>
    </row>
    <row r="91" ht="78.75" customHeight="1" s="221">
      <c r="A91" s="5" t="inlineStr">
        <is>
          <t>90.</t>
        </is>
      </c>
      <c r="B91" s="6" t="inlineStr">
        <is>
          <t>SBA 26/090</t>
        </is>
      </c>
      <c r="C91" s="8" t="inlineStr">
        <is>
          <t>Prof. Dr. Deniz ÇAĞDAŞ AYVAZ</t>
        </is>
      </c>
      <c r="D91" s="8" t="inlineStr">
        <is>
          <t>Çocuk Sağlığı ve Hastalıkları Anabilim Dalı</t>
        </is>
      </c>
      <c r="E91" s="7" t="inlineStr">
        <is>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is>
      </c>
      <c r="F91" s="7" t="inlineStr">
        <is>
          <t>“İnvajinasyon ve Bağırsak Obstrüksiyonu Tanısı Alan Primer İmmün Yetmezlikli Hastaların Klinik ve Laboratuvar Özelliklerinin Değerlendirilmesi”</t>
        </is>
      </c>
      <c r="G91" s="13" t="inlineStr">
        <is>
          <t>Bireysel Araştırma</t>
        </is>
      </c>
      <c r="H91" s="54" t="n">
        <v>46036</v>
      </c>
      <c r="I91" s="52" t="n">
        <v>46042</v>
      </c>
      <c r="J91" s="8" t="inlineStr">
        <is>
          <t>Doç. Dr. Kübra AYKAÇ</t>
        </is>
      </c>
      <c r="K91" s="8" t="inlineStr">
        <is>
          <t>Doç. Dr. Tolga ÇAKMAK</t>
        </is>
      </c>
      <c r="L91" s="9" t="inlineStr">
        <is>
          <t>DÜZELTME</t>
        </is>
      </c>
      <c r="M91" s="9" t="inlineStr">
        <is>
          <t>ONAY</t>
        </is>
      </c>
      <c r="N91" s="9" t="n"/>
      <c r="O91" s="66" t="n"/>
      <c r="P91" s="9">
        <f>IF(O91&lt;&gt;"",O91, IF(N91&lt;&gt;"",N91, IF(M91&lt;&gt;"",M91, L91)))</f>
        <v/>
      </c>
      <c r="R91" s="95">
        <f>IF(AND(L91="", B91&lt;&gt;""), B91, "")</f>
        <v/>
      </c>
    </row>
    <row r="92" ht="63" customHeight="1" s="221">
      <c r="A92" s="5" t="inlineStr">
        <is>
          <t>91.</t>
        </is>
      </c>
      <c r="B92" s="6" t="inlineStr">
        <is>
          <t>SBA 26/091</t>
        </is>
      </c>
      <c r="C92" s="8" t="inlineStr">
        <is>
          <t>Doç. Dr. Hacı Hasan YETER</t>
        </is>
      </c>
      <c r="D92" s="8" t="inlineStr">
        <is>
          <t>İç Hastalıkları Anabilim Dalı</t>
        </is>
      </c>
      <c r="E92" s="7" t="inlineStr">
        <is>
          <t>Üniversitemiz Tıp Fakültesi İç Hastalıkları Anabilim Dalı öğretim üyelerinden Doç. Dr. Hacı Hasan YETER’in sorumlu araştırmacı olduğu, Arş. Gör. Dr. Yağmur KINACI GÜMÜŞÇUBUK ile birlikte çalışacakları,</t>
        </is>
      </c>
      <c r="F92" s="7" t="inlineStr">
        <is>
          <t>“Böbrek Nakli Alıcılarında İşe Dönüş Durumu ile Yaşam Kalitesi ve Komorbidite İlişkisi”</t>
        </is>
      </c>
      <c r="G92" s="13" t="inlineStr">
        <is>
          <t>Bireysel Araştırma</t>
        </is>
      </c>
      <c r="H92" s="54" t="n">
        <v>46036</v>
      </c>
      <c r="I92" s="52" t="n">
        <v>46042</v>
      </c>
      <c r="J92" s="8" t="inlineStr">
        <is>
          <t>Doç. Dr. Burcu ERSÖZ ALAN</t>
        </is>
      </c>
      <c r="K92" s="8" t="inlineStr">
        <is>
          <t>Prof. Dr. M. Özgür UYANIK</t>
        </is>
      </c>
      <c r="L92" s="9" t="inlineStr">
        <is>
          <t>ONAY</t>
        </is>
      </c>
      <c r="M92" s="9" t="n"/>
      <c r="N92" s="9" t="n"/>
      <c r="O92" s="66" t="n"/>
      <c r="P92" s="9">
        <f>IF(O92&lt;&gt;"",O92, IF(N92&lt;&gt;"",N92, IF(M92&lt;&gt;"",M92, L92)))</f>
        <v/>
      </c>
      <c r="R92" s="95">
        <f>IF(AND(L92="", B92&lt;&gt;""), B92, "")</f>
        <v/>
      </c>
    </row>
    <row r="93" ht="63" customHeight="1" s="221">
      <c r="A93" s="5" t="inlineStr">
        <is>
          <t>92.</t>
        </is>
      </c>
      <c r="B93" s="6" t="inlineStr">
        <is>
          <t>SBA 26/092</t>
        </is>
      </c>
      <c r="C93" s="8" t="inlineStr">
        <is>
          <t>Dr. Öğr. Üyesi Figen BEZCİ AYGÜN</t>
        </is>
      </c>
      <c r="D93" s="8" t="inlineStr">
        <is>
          <t>Göz Hastalıkları Anabilim Dalı</t>
        </is>
      </c>
      <c r="E93" s="7" t="inlineStr">
        <is>
          <t>Üniversitemiz Tıp Fakültesi Göz Hastalıkları Anabilim Dalı öğretim üyelerinden Dr. Öğr. Üyesi Figen BEZCİ AYGÜN'ün sorumlu araştırmacı olduğu, Prof. Dr. Sibel KADAYIFÇILAR ve Arş. Gör. Dr. Kezban Azra KARGALI ile birlikte çalışacakları,</t>
        </is>
      </c>
      <c r="F93" s="7" t="inlineStr">
        <is>
          <t>“Retinal İskemik Perivasküler Lezyonların Kardiyovasküler ve Serebrovasküler Hastalıklarla İlişkisi ve Biyobelirteç Potansiyelinin İncelenmesi”</t>
        </is>
      </c>
      <c r="G93" s="13" t="inlineStr">
        <is>
          <t>Bireysel Araştırma</t>
        </is>
      </c>
      <c r="H93" s="54" t="n">
        <v>46036</v>
      </c>
      <c r="I93" s="52" t="n">
        <v>46042</v>
      </c>
      <c r="J93" s="8" t="inlineStr">
        <is>
          <t>Prof. Dr. Yavuz AYHAN</t>
        </is>
      </c>
      <c r="K93" s="8" t="inlineStr">
        <is>
          <t>Prof. Dr. Ayşe KİN İŞLER</t>
        </is>
      </c>
      <c r="L93" s="9" t="inlineStr">
        <is>
          <t>ONAY</t>
        </is>
      </c>
      <c r="M93" s="9" t="n"/>
      <c r="N93" s="9" t="n"/>
      <c r="O93" s="66" t="n"/>
      <c r="P93" s="9">
        <f>IF(O93&lt;&gt;"",O93, IF(N93&lt;&gt;"",N93, IF(M93&lt;&gt;"",M93, L93)))</f>
        <v/>
      </c>
      <c r="R93" s="95">
        <f>IF(AND(L93="", B93&lt;&gt;""), B93, "")</f>
        <v/>
      </c>
    </row>
    <row r="94" ht="63" customHeight="1" s="221">
      <c r="A94" s="5" t="inlineStr">
        <is>
          <t>93.</t>
        </is>
      </c>
      <c r="B94" s="6" t="inlineStr">
        <is>
          <t>SBA 26/093</t>
        </is>
      </c>
      <c r="C94" s="8" t="inlineStr">
        <is>
          <t>Doç. Dr. Kübra AYKAÇ</t>
        </is>
      </c>
      <c r="D94" s="8" t="inlineStr">
        <is>
          <t>Çocuk Sağlığı ve Hastalıkları Anabilim Dalı</t>
        </is>
      </c>
      <c r="E94" s="7" t="inlineStr">
        <is>
          <t>Üniversitemiz Tıp Fakültesi Çocuk Sağlığı ve Hastalıkları Anabilim Dalı öğretim üyelerinden Doç. Dr. Kübra AYKAÇ’ın sorumlu araştırmacı olduğu ve Arş. Gör. Dr. Günel YUSIFOVA’nın uzmanlık tezi olan,</t>
        </is>
      </c>
      <c r="F94" s="7" t="inlineStr">
        <is>
          <t>“Epstein–Barr Virüs (EBV) Enfeksiyonu Tanısı Alan Çocuk Hastaların Retrospektif Olarak Klinik ve Laboratuvar Verilerinin Değerlendirilmesi”</t>
        </is>
      </c>
      <c r="G94" s="13" t="inlineStr">
        <is>
          <t>Uzmanlık Tezi</t>
        </is>
      </c>
      <c r="H94" s="54" t="n">
        <v>46036</v>
      </c>
      <c r="I94" s="52" t="n">
        <v>46042</v>
      </c>
      <c r="J94" s="8" t="inlineStr">
        <is>
          <t>Prof. Dr. Melih Önder BABAOĞLU</t>
        </is>
      </c>
      <c r="K94" s="8" t="inlineStr">
        <is>
          <t>Prof. Dr. M. Özgür UYANIK</t>
        </is>
      </c>
      <c r="L94" s="9" t="inlineStr">
        <is>
          <t>ONAY</t>
        </is>
      </c>
      <c r="M94" s="9" t="n"/>
      <c r="N94" s="9" t="n"/>
      <c r="O94" s="66" t="n"/>
      <c r="P94" s="9">
        <f>IF(O94&lt;&gt;"",O94, IF(N94&lt;&gt;"",N94, IF(M94&lt;&gt;"",M94, L94)))</f>
        <v/>
      </c>
      <c r="R94" s="95">
        <f>IF(AND(L94="", B94&lt;&gt;""), B94, "")</f>
        <v/>
      </c>
    </row>
    <row r="95" ht="78.75" customHeight="1" s="221">
      <c r="A95" s="5" t="inlineStr">
        <is>
          <t>94.</t>
        </is>
      </c>
      <c r="B95" s="6" t="inlineStr">
        <is>
          <t>SBA 26/094</t>
        </is>
      </c>
      <c r="C95" s="8" t="inlineStr">
        <is>
          <t>Doç. Dr. Emel ISIYEL</t>
        </is>
      </c>
      <c r="D95" s="8" t="inlineStr">
        <is>
          <t>Çocuk Sağlığı ve Hastalıkları Anabilim Dalı</t>
        </is>
      </c>
      <c r="E95" s="7" t="inlineStr">
        <is>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is>
      </c>
      <c r="F95" s="7" t="inlineStr">
        <is>
          <t>“Genel Pediatri Servislerine Yatan Hastalarda Malnütrisyonun Sıklığının Belirlenmesi ve Malnütrisyonu Olan Hastalarda Kas Kütlesi ile Cilt Altı Yağ Dokusu Kalınlığının Ultrasonografik Olarak Değerlendirilmesi”</t>
        </is>
      </c>
      <c r="G95" s="13" t="inlineStr">
        <is>
          <t>Uzmanlık Tezi</t>
        </is>
      </c>
      <c r="H95" s="54" t="n">
        <v>46036</v>
      </c>
      <c r="I95" s="52" t="n">
        <v>46042</v>
      </c>
      <c r="J95" s="8" t="inlineStr">
        <is>
          <t>Dr. Öğr. Üyesi Müge DEMİR</t>
        </is>
      </c>
      <c r="K95" s="8" t="inlineStr">
        <is>
          <t>Doç. Dr. Kübra AYKAÇ</t>
        </is>
      </c>
      <c r="L95" s="9" t="inlineStr">
        <is>
          <t>DÜZELTME</t>
        </is>
      </c>
      <c r="M95" s="9" t="inlineStr">
        <is>
          <t>ONAY</t>
        </is>
      </c>
      <c r="N95" s="9" t="n"/>
      <c r="O95" s="66" t="n"/>
      <c r="P95" s="9">
        <f>IF(O95&lt;&gt;"",O95, IF(N95&lt;&gt;"",N95, IF(M95&lt;&gt;"",M95, L95)))</f>
        <v/>
      </c>
      <c r="R95" s="95">
        <f>IF(AND(L95="", B95&lt;&gt;""), B95, "")</f>
        <v/>
      </c>
    </row>
    <row r="96" ht="78.75" customHeight="1" s="221">
      <c r="A96" s="5" t="inlineStr">
        <is>
          <t>95.</t>
        </is>
      </c>
      <c r="B96" s="6" t="inlineStr">
        <is>
          <t>SBA 26/095</t>
        </is>
      </c>
      <c r="C96" s="8" t="inlineStr">
        <is>
          <t>Prof. Dr. Ayşe Tomris ERBAŞ</t>
        </is>
      </c>
      <c r="D96" s="8" t="inlineStr">
        <is>
          <t>İç Hastalıkları Anabilim Dalı</t>
        </is>
      </c>
      <c r="E96" s="7" t="inlineStr">
        <is>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is>
      </c>
      <c r="F96" s="7" t="inlineStr">
        <is>
          <t>"Prolaktinoma ve Akromegali Hastalarında Tiroid Hastalıklarının Karşılaştırmalı Değerlendirilmesi”</t>
        </is>
      </c>
      <c r="G96" s="13" t="inlineStr">
        <is>
          <t>Bireysel Araştırma</t>
        </is>
      </c>
      <c r="H96" s="54" t="n">
        <v>46036</v>
      </c>
      <c r="I96" s="52" t="n">
        <v>46042</v>
      </c>
      <c r="J96" s="8" t="inlineStr">
        <is>
          <t>Doç. Dr. Tolga ÇAKMAK</t>
        </is>
      </c>
      <c r="K96" s="8" t="inlineStr">
        <is>
          <t>Doç. Dr. Burcu ERSÖZ ALAN</t>
        </is>
      </c>
      <c r="L96" s="9" t="inlineStr">
        <is>
          <t>ONAY</t>
        </is>
      </c>
      <c r="M96" s="9" t="n"/>
      <c r="N96" s="9" t="n"/>
      <c r="O96" s="66" t="n"/>
      <c r="P96" s="9">
        <f>IF(O96&lt;&gt;"",O96, IF(N96&lt;&gt;"",N96, IF(M96&lt;&gt;"",M96, L96)))</f>
        <v/>
      </c>
      <c r="R96" s="95">
        <f>IF(AND(L96="", B96&lt;&gt;""), B96, "")</f>
        <v/>
      </c>
    </row>
    <row r="97" ht="47.25" customHeight="1" s="221">
      <c r="A97" s="5" t="inlineStr">
        <is>
          <t>96.</t>
        </is>
      </c>
      <c r="B97" s="6" t="inlineStr">
        <is>
          <t>SBA 26/096</t>
        </is>
      </c>
      <c r="C97" s="8" t="inlineStr">
        <is>
          <t>Doç. Dr. Aslıhan AYKARA</t>
        </is>
      </c>
      <c r="D97" s="8" t="inlineStr">
        <is>
          <t>Sosyal Hizmet Anabilim Dalı</t>
        </is>
      </c>
      <c r="E97" s="7" t="inlineStr">
        <is>
          <t>Üniversitemiz İktisadi ve İdari Bilimler Fakültesi Sosyal Hizmet Anabilim Dalı öğretim üyelerinden Doç. Dr. Aslıhan AYKARA’nın sorumlu araştırmacı olduğu, Derya AKKURT'un doktora tezi olan,</t>
        </is>
      </c>
      <c r="F97" s="7" t="inlineStr">
        <is>
          <t>“Post-Neoliberal Bir Gündem Olarak Bakım Krizi: Engelli Bakım Politika ve Hizmetlerinin Toplumsal Yeniden Üretim Açısından Değerlendirilmesi”</t>
        </is>
      </c>
      <c r="G97" s="13" t="inlineStr">
        <is>
          <t>Doktora Tezi</t>
        </is>
      </c>
      <c r="H97" s="54" t="n">
        <v>46037</v>
      </c>
      <c r="I97" s="52" t="n">
        <v>46042</v>
      </c>
      <c r="J97" s="8" t="inlineStr">
        <is>
          <t>Dr. Öğr. Üyesi Müge DEMİR</t>
        </is>
      </c>
      <c r="K97" s="8" t="inlineStr">
        <is>
          <t>Doç. Dr. Tolga ÇAKMAK</t>
        </is>
      </c>
      <c r="L97" s="9" t="inlineStr">
        <is>
          <t>ONAY</t>
        </is>
      </c>
      <c r="M97" s="9" t="n"/>
      <c r="N97" s="9" t="n"/>
      <c r="O97" s="66" t="n"/>
      <c r="P97" s="9">
        <f>IF(O97&lt;&gt;"",O97, IF(N97&lt;&gt;"",N97, IF(M97&lt;&gt;"",M97, L97)))</f>
        <v/>
      </c>
      <c r="R97" s="95">
        <f>IF(AND(L97="", B97&lt;&gt;""), B97, "")</f>
        <v/>
      </c>
    </row>
    <row r="98" ht="47.25" customHeight="1" s="221">
      <c r="A98" s="5" t="inlineStr">
        <is>
          <t>97.</t>
        </is>
      </c>
      <c r="B98" s="6" t="inlineStr">
        <is>
          <t>SBA 26/097</t>
        </is>
      </c>
      <c r="C98" s="8" t="inlineStr">
        <is>
          <t>Prof. Dr. Meltem Gülhan HALİL</t>
        </is>
      </c>
      <c r="D98" s="8" t="inlineStr">
        <is>
          <t>İç Hastalıkları Anabilim Dalı</t>
        </is>
      </c>
      <c r="E98" s="7" t="inlineStr">
        <is>
          <t>Üniversitemiz Tıp Fakültesi İç Hastalıları Anabilim Dalı öğretim üyelerinden Prof. Dr. Meltem Gülhan HALİL’in sorumlu araştırmacı olduğu,</t>
        </is>
      </c>
      <c r="F98" s="7" t="inlineStr">
        <is>
          <t>“Geriatrik Hastalarda Yutma Yaşam Kalitesi Anketi ile Sarkopeni Arasındaki İlişki”</t>
        </is>
      </c>
      <c r="G98" s="13" t="inlineStr">
        <is>
          <t>Bireysel Araştırma</t>
        </is>
      </c>
      <c r="H98" s="54" t="n">
        <v>46037</v>
      </c>
      <c r="I98" s="52" t="n">
        <v>46042</v>
      </c>
      <c r="J98" s="8" t="inlineStr">
        <is>
          <t>Prof. Dr. Nazmiye Ebru ORTAÇ ERSOY</t>
        </is>
      </c>
      <c r="K98" s="8" t="inlineStr">
        <is>
          <t>Prof. Dr. Gözde GİRGİN</t>
        </is>
      </c>
      <c r="L98" s="9" t="inlineStr">
        <is>
          <t>ONAY</t>
        </is>
      </c>
      <c r="M98" s="9" t="n"/>
      <c r="N98" s="9" t="n"/>
      <c r="O98" s="66" t="n"/>
      <c r="P98" s="9">
        <f>IF(O98&lt;&gt;"",O98, IF(N98&lt;&gt;"",N98, IF(M98&lt;&gt;"",M98, L98)))</f>
        <v/>
      </c>
      <c r="R98" s="95">
        <f>IF(AND(L98="", B98&lt;&gt;""), B98, "")</f>
        <v/>
      </c>
    </row>
    <row r="99" ht="47.25" customHeight="1" s="221">
      <c r="A99" s="5" t="inlineStr">
        <is>
          <t>98.</t>
        </is>
      </c>
      <c r="B99" s="6" t="inlineStr">
        <is>
          <t>SBA 26/098</t>
        </is>
      </c>
      <c r="C99" s="8" t="inlineStr">
        <is>
          <t>Prof. Dr. Meltem Gülhan HALİL</t>
        </is>
      </c>
      <c r="D99" s="8" t="inlineStr">
        <is>
          <t>İç Hastalıkları Anabilim Dalı</t>
        </is>
      </c>
      <c r="E99" s="7" t="inlineStr">
        <is>
          <t>Üniversitemiz Tıp Fakültesi İç Hastalıları Anabilim Dalı öğretim üyelerinden Prof. Dr. Meltem Gülhan HALİL’in sorumlu araştırmacı olduğu,</t>
        </is>
      </c>
      <c r="F99" s="7" t="inlineStr">
        <is>
          <t>“Yaşlı Erişkinlerde Laringofarengeal Reflü Belirtileri ile Geriatrik Sendromlar Arasındaki İlişki”</t>
        </is>
      </c>
      <c r="G99" s="13" t="inlineStr">
        <is>
          <t>Bireysel Araştırma</t>
        </is>
      </c>
      <c r="H99" s="54" t="n">
        <v>46037</v>
      </c>
      <c r="I99" s="52" t="n">
        <v>46042</v>
      </c>
      <c r="J99" s="8" t="inlineStr">
        <is>
          <t>Prof. Dr. Nazmiye Ebru ORTAÇ ERSOY</t>
        </is>
      </c>
      <c r="K99" s="8" t="inlineStr">
        <is>
          <t>Prof. Dr. Gözde GİRGİN</t>
        </is>
      </c>
      <c r="L99" s="9" t="inlineStr">
        <is>
          <t>ONAY</t>
        </is>
      </c>
      <c r="M99" s="9" t="n"/>
      <c r="N99" s="9" t="n"/>
      <c r="O99" s="66" t="n"/>
      <c r="P99" s="9">
        <f>IF(O99&lt;&gt;"",O99, IF(N99&lt;&gt;"",N99, IF(M99&lt;&gt;"",M99, L99)))</f>
        <v/>
      </c>
      <c r="R99" s="95">
        <f>IF(AND(L99="", B99&lt;&gt;""), B99, "")</f>
        <v/>
      </c>
    </row>
    <row r="100" ht="63" customHeight="1" s="221">
      <c r="A100" s="5" t="inlineStr">
        <is>
          <t>99.</t>
        </is>
      </c>
      <c r="B100" s="6" t="inlineStr">
        <is>
          <t>SBA 26/099</t>
        </is>
      </c>
      <c r="C100" s="8" t="inlineStr">
        <is>
          <t>Doç. Dr. Aslıhan AYKARA</t>
        </is>
      </c>
      <c r="D100" s="8" t="inlineStr">
        <is>
          <t>Sosyal Hizmet Anabilim Dalı</t>
        </is>
      </c>
      <c r="E100" s="7" t="inlineStr">
        <is>
          <t>Üniversitemiz İktisadi ve İdari Bilimler Fakültesi Sosyal Hizmet Anabilim Dalı öğretim üyelerinden Doç. Dr. Aslıhan AYKARA’nın sorumlu araştırmacı olduğu, Dilara KESER GÜNENÇ’in doktora tezi olan,</t>
        </is>
      </c>
      <c r="F100" s="7" t="inlineStr">
        <is>
          <t>“Feminist Sosyal Hizmet Perspektifinden Engelli Kadınların Yaşantıları ve Aktivizm Deneyimleri”</t>
        </is>
      </c>
      <c r="G100" s="13" t="inlineStr">
        <is>
          <t>Doktora Tezi</t>
        </is>
      </c>
      <c r="H100" s="54" t="n">
        <v>46037</v>
      </c>
      <c r="I100" s="52" t="n">
        <v>46042</v>
      </c>
      <c r="J100" s="8" t="inlineStr">
        <is>
          <t>Dr. Öğr. Üyesi Müge DEMİR</t>
        </is>
      </c>
      <c r="K100" s="8" t="inlineStr">
        <is>
          <t>Doç. Dr. Ekim GÜMELER</t>
        </is>
      </c>
      <c r="L100" s="9" t="inlineStr">
        <is>
          <t>ONAY</t>
        </is>
      </c>
      <c r="M100" s="9" t="n"/>
      <c r="N100" s="9" t="n"/>
      <c r="O100" s="66" t="n"/>
      <c r="P100" s="9">
        <f>IF(O100&lt;&gt;"",O100, IF(N100&lt;&gt;"",N100, IF(M100&lt;&gt;"",M100, L100)))</f>
        <v/>
      </c>
      <c r="R100" s="95">
        <f>IF(AND(L100="", B100&lt;&gt;""), B100, "")</f>
        <v/>
      </c>
    </row>
    <row r="101" ht="78.75" customHeight="1" s="221">
      <c r="A101" s="5" t="inlineStr">
        <is>
          <t>100.</t>
        </is>
      </c>
      <c r="B101" s="6" t="inlineStr">
        <is>
          <t>SBA 26/100</t>
        </is>
      </c>
      <c r="C101" s="8" t="inlineStr">
        <is>
          <t>Prof. Dr. Sıddika Songül YALÇIN</t>
        </is>
      </c>
      <c r="D101" s="8" t="inlineStr">
        <is>
          <t>Çocuk Sağlığı ve Hastalıkları Anabilim Dalı</t>
        </is>
      </c>
      <c r="E101" s="7" t="inlineStr">
        <is>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is>
      </c>
      <c r="F101" s="7" t="inlineStr">
        <is>
          <t>“2023 Kahramanmaraş (Turkey–Syria) Depremlerinde Emzirme ve Beslenme Desteğinin Değerlendirilmesi ve Uygulanması"</t>
        </is>
      </c>
      <c r="G101" s="13" t="inlineStr">
        <is>
          <t>Bireysel Araştırma</t>
        </is>
      </c>
      <c r="H101" s="54" t="n">
        <v>46037</v>
      </c>
      <c r="I101" s="52" t="n">
        <v>46042</v>
      </c>
      <c r="J101" s="8" t="inlineStr">
        <is>
          <t>Prof. Dr. Ayşe Nurten AKARSU</t>
        </is>
      </c>
      <c r="K101" s="8" t="inlineStr">
        <is>
          <t>Dr. Öğr. Üyesi Müge DEMİR</t>
        </is>
      </c>
      <c r="L101" s="9" t="inlineStr">
        <is>
          <t>ONAY</t>
        </is>
      </c>
      <c r="M101" s="9" t="n"/>
      <c r="N101" s="9" t="n"/>
      <c r="O101" s="66" t="n"/>
      <c r="P101" s="9">
        <f>IF(O101&lt;&gt;"",O101, IF(N101&lt;&gt;"",N101, IF(M101&lt;&gt;"",M101, L101)))</f>
        <v/>
      </c>
      <c r="R101" s="95">
        <f>IF(AND(L101="", B101&lt;&gt;""), B101, "")</f>
        <v/>
      </c>
    </row>
    <row r="102" ht="79.5" customHeight="1" s="221">
      <c r="A102" s="5" t="inlineStr">
        <is>
          <t>101.</t>
        </is>
      </c>
      <c r="B102" s="6" t="inlineStr">
        <is>
          <t>SBA 26/101</t>
        </is>
      </c>
      <c r="C102" s="8" t="inlineStr">
        <is>
          <t>Prof. Dr. Hakan Hıfzı TÜZ</t>
        </is>
      </c>
      <c r="D102" s="8" t="inlineStr">
        <is>
          <t>Ağız, Diş ve Çene Cerrahisi Anabilim Dalı</t>
        </is>
      </c>
      <c r="E102" s="7" t="inlineStr">
        <is>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is>
      </c>
      <c r="F102" s="7" t="inlineStr">
        <is>
          <t>“Fabrikasyon ve Kişiye Özel Plak Fiksasyonlarının Ortognatik Cerrahi Sonrası Yumuşak Doku Değişikliklerine Etkisinin Üç Boyutlu Karşılaştırması”</t>
        </is>
      </c>
      <c r="G102" s="13" t="inlineStr">
        <is>
          <t>Uzmanlık Tezi</t>
        </is>
      </c>
      <c r="H102" s="54" t="n">
        <v>46044</v>
      </c>
      <c r="I102" s="52" t="n">
        <v>46057</v>
      </c>
      <c r="J102" s="8" t="inlineStr">
        <is>
          <t>Prof. Dr. M. Özgür UYANIK</t>
        </is>
      </c>
      <c r="K102" s="8" t="inlineStr">
        <is>
          <t>Prof. Dr. Gözde GİRGİN</t>
        </is>
      </c>
      <c r="L102" s="9" t="inlineStr">
        <is>
          <t>ONAY</t>
        </is>
      </c>
      <c r="M102" s="9" t="n"/>
      <c r="N102" s="9" t="n"/>
      <c r="O102" s="66" t="n"/>
      <c r="P102" s="9">
        <f>IF(O102&lt;&gt;"",O102, IF(N102&lt;&gt;"",N102, IF(M102&lt;&gt;"",M102, L102)))</f>
        <v/>
      </c>
      <c r="R102" s="95">
        <f>IF(AND(L102="", B102&lt;&gt;""), B102, "")</f>
        <v/>
      </c>
    </row>
    <row r="103" ht="94.5" customHeight="1" s="221">
      <c r="A103" s="5" t="inlineStr">
        <is>
          <t>102.</t>
        </is>
      </c>
      <c r="B103" s="6" t="inlineStr">
        <is>
          <t>SBA 26/102</t>
        </is>
      </c>
      <c r="C103" s="8" t="inlineStr">
        <is>
          <t>Dr. Öğr. Üyesi Burkay UTKU</t>
        </is>
      </c>
      <c r="D103" s="8" t="inlineStr">
        <is>
          <t>Spor Hekimliği Anabilim Dalı</t>
        </is>
      </c>
      <c r="E103" s="7" t="inlineStr">
        <is>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is>
      </c>
      <c r="F103" s="7" t="inlineStr">
        <is>
          <t>“Bale Dansçıları ve Modern Dansçılarda Kas-İskelet Sistemi Yaralanma Deneyimleri ve Risk Faktörlerinin Niteliksel Olarak Değerlendirilmesi”</t>
        </is>
      </c>
      <c r="G103" s="13" t="inlineStr">
        <is>
          <t>Bireysel Araştırma</t>
        </is>
      </c>
      <c r="H103" s="54" t="n">
        <v>46044</v>
      </c>
      <c r="I103" s="52" t="n">
        <v>46057</v>
      </c>
      <c r="J103" s="8" t="inlineStr">
        <is>
          <t>Prof. Dr. Nazmiye Ebru ORTAÇ ERSOY</t>
        </is>
      </c>
      <c r="K103" s="8" t="inlineStr">
        <is>
          <t>Prof. Dr. Melih Önder BABAOĞLU</t>
        </is>
      </c>
      <c r="L103" s="9" t="inlineStr">
        <is>
          <t>DÜZELTME</t>
        </is>
      </c>
      <c r="M103" s="9" t="n"/>
      <c r="N103" s="9" t="n"/>
      <c r="O103" s="66" t="n"/>
      <c r="P103" s="9">
        <f>IF(O103&lt;&gt;"",O103, IF(N103&lt;&gt;"",N103, IF(M103&lt;&gt;"",M103, L103)))</f>
        <v/>
      </c>
      <c r="R103" s="95">
        <f>IF(AND(L103="", B103&lt;&gt;""), B103, "")</f>
        <v/>
      </c>
    </row>
    <row r="104" ht="63" customHeight="1" s="221">
      <c r="A104" s="5" t="inlineStr">
        <is>
          <t>103.</t>
        </is>
      </c>
      <c r="B104" s="6" t="inlineStr">
        <is>
          <t>SBA 26/103</t>
        </is>
      </c>
      <c r="C104" s="8" t="inlineStr">
        <is>
          <t>Doç. Dr. Burcu ERSÖZ ALAN</t>
        </is>
      </c>
      <c r="D104" s="8" t="inlineStr">
        <is>
          <t>Çocuk ve Ergen Ruh Sağlığı ve Hastalıkları Anabilim Dalı</t>
        </is>
      </c>
      <c r="E104" s="7" t="inlineStr">
        <is>
          <t>Üniversitemiz Tıp Fakültesi Çocuk ve Ergen Ruh Sağlığı ve Hastalıkları Anabilim Dalı öğretim üyelerinden Doç. Dr. Burcu ERSÖZ ALAN’ın sorumlu araştırmacı olduğu, Arş. Gör. Dr. Sema ERASLAN’ın uzmanlık tezi olan,</t>
        </is>
      </c>
      <c r="F104" s="7" t="inlineStr">
        <is>
          <t>“Yeme Bozukluğu Tanılı Ergenlerde Sosyal Medya Kullanımının Beden Algısı ve Psikopatolojik Belirtiler Üzerine Etkileri”</t>
        </is>
      </c>
      <c r="G104" s="13" t="inlineStr">
        <is>
          <t>Uzmanlık Tezi</t>
        </is>
      </c>
      <c r="H104" s="54" t="n">
        <v>46044</v>
      </c>
      <c r="I104" s="52" t="n">
        <v>46057</v>
      </c>
      <c r="J104" s="8" t="inlineStr">
        <is>
          <t>Dr. Öğr. Üyesi Müge DEMİR</t>
        </is>
      </c>
      <c r="K104" s="8" t="inlineStr">
        <is>
          <t>Doç. Dr. Kübra AYKAÇ</t>
        </is>
      </c>
      <c r="L104" s="9" t="inlineStr">
        <is>
          <t>ONAY</t>
        </is>
      </c>
      <c r="M104" s="9" t="n"/>
      <c r="N104" s="9" t="n"/>
      <c r="O104" s="66" t="n"/>
      <c r="P104" s="9">
        <f>IF(O104&lt;&gt;"",O104, IF(N104&lt;&gt;"",N104, IF(M104&lt;&gt;"",M104, L104)))</f>
        <v/>
      </c>
      <c r="R104" s="95">
        <f>IF(AND(L104="", B104&lt;&gt;""), B104, "")</f>
        <v/>
      </c>
    </row>
    <row r="105" ht="97.5" customHeight="1" s="221">
      <c r="A105" s="5" t="inlineStr">
        <is>
          <t>104.</t>
        </is>
      </c>
      <c r="B105" s="6" t="inlineStr">
        <is>
          <t>SBA 26/104</t>
        </is>
      </c>
      <c r="C105" s="8" t="inlineStr">
        <is>
          <t>Prof. Dr. Selçuk DAĞDELEN</t>
        </is>
      </c>
      <c r="D105" s="8" t="inlineStr">
        <is>
          <t>İç Hastalıkları Anabilim Dalı</t>
        </is>
      </c>
      <c r="E105" s="7" t="inlineStr">
        <is>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is>
      </c>
      <c r="F105" s="7" t="inlineStr">
        <is>
          <t>“Tiroid Orbitopatide İmmünsüpresif Tedaviye Klinik Yanıtı Öngören Faktörlerin Değerlendirilmesi”</t>
        </is>
      </c>
      <c r="G105" s="13" t="inlineStr">
        <is>
          <t>Bireysel Araştırma</t>
        </is>
      </c>
      <c r="H105" s="54" t="n">
        <v>46044</v>
      </c>
      <c r="I105" s="52" t="n">
        <v>46057</v>
      </c>
      <c r="J105" s="8" t="inlineStr">
        <is>
          <t>Prof. Dr. Melih Önder BABAOĞLU</t>
        </is>
      </c>
      <c r="K105" s="8" t="inlineStr">
        <is>
          <t>Prof. Dr. Gözde GİRGİN</t>
        </is>
      </c>
      <c r="L105" s="9" t="inlineStr">
        <is>
          <t>ONAY</t>
        </is>
      </c>
      <c r="M105" s="9" t="n"/>
      <c r="N105" s="9" t="n"/>
      <c r="O105" s="66" t="n"/>
      <c r="P105" s="9">
        <f>IF(O105&lt;&gt;"",O105, IF(N105&lt;&gt;"",N105, IF(M105&lt;&gt;"",M105, L105)))</f>
        <v/>
      </c>
      <c r="R105" s="95">
        <f>IF(AND(L105="", B105&lt;&gt;""), B105, "")</f>
        <v/>
      </c>
    </row>
    <row r="106" ht="78.75" customHeight="1" s="221">
      <c r="A106" s="5" t="inlineStr">
        <is>
          <t>105.</t>
        </is>
      </c>
      <c r="B106" s="6" t="inlineStr">
        <is>
          <t>SBA 26/105</t>
        </is>
      </c>
      <c r="C106" s="8" t="inlineStr">
        <is>
          <t>Öğr. Gör. Dr. Aytekin İDİKUT</t>
        </is>
      </c>
      <c r="D106" s="8" t="inlineStr">
        <is>
          <t>Göğüs Hastalıkları Anabilim Dalı</t>
        </is>
      </c>
      <c r="E106" s="7" t="inlineStr">
        <is>
          <t>Üniversitemiz Tıp Fakültesi Göğüs Hastalıkları Anabilim Dalı öğretim elemanlarından Öğr. Gör. Dr. Aytekin İDİKUT'un sorumlu araştırmacı olduğu, Arş. Gör. Dr. Yusuf YALÇIN, Öğr. Gör. Dr. Aslı ALKAN ve Doç. Dr. Oğuz KARCIOĞLU ile birlikte çalışacakları,</t>
        </is>
      </c>
      <c r="F106" s="7" t="inlineStr">
        <is>
          <t>“Kistik Fibrozis Hastalarında CFTR Modülatör Tedavisi Öncesi ve Sonrasında Diyabet ve Hepatobiliyer Tutulumun Değerlendirilmesi”</t>
        </is>
      </c>
      <c r="G106" s="13" t="inlineStr">
        <is>
          <t>Bireysel Araştırma</t>
        </is>
      </c>
      <c r="H106" s="54" t="n">
        <v>46044</v>
      </c>
      <c r="I106" s="52" t="n">
        <v>46057</v>
      </c>
      <c r="J106" s="8" t="inlineStr">
        <is>
          <t>Prof. Dr. Melih Önder BABAOĞLU</t>
        </is>
      </c>
      <c r="K106" s="8" t="inlineStr">
        <is>
          <t>Prof. Dr. Ayşe Nurten AKARSU</t>
        </is>
      </c>
      <c r="L106" s="9" t="inlineStr">
        <is>
          <t>ONAY</t>
        </is>
      </c>
      <c r="M106" s="9" t="n"/>
      <c r="N106" s="9" t="n"/>
      <c r="O106" s="66" t="n"/>
      <c r="P106" s="9">
        <f>IF(O106&lt;&gt;"",O106, IF(N106&lt;&gt;"",N106, IF(M106&lt;&gt;"",M106, L106)))</f>
        <v/>
      </c>
      <c r="R106" s="95">
        <f>IF(AND(L106="", B106&lt;&gt;""), B106, "")</f>
        <v/>
      </c>
    </row>
    <row r="107" ht="63" customHeight="1" s="221">
      <c r="A107" s="5" t="inlineStr">
        <is>
          <t>106.</t>
        </is>
      </c>
      <c r="B107" s="6" t="inlineStr">
        <is>
          <t>SBA 26/106</t>
        </is>
      </c>
      <c r="C107" s="8" t="inlineStr">
        <is>
          <t>Dr. Öğr. Üyesi Murat ÇAĞAN</t>
        </is>
      </c>
      <c r="D107" s="8" t="inlineStr">
        <is>
          <t>Kadın Hastalıkları ve Doğum Anabilim Dalı</t>
        </is>
      </c>
      <c r="E107" s="7" t="inlineStr">
        <is>
          <t>Üniversitemiz Tıp Fakültesi Kadın Hastalıkları ve Doğum Anabilim Dalı öğretim üyelerinden Dr. Öğr. Üyesi Murat ÇAĞAN'ın sorumlu araştırmacı olduğu, Arş. Gör. Dr. Edip Alptuğ KIR ile birlikte çalışacakları,</t>
        </is>
      </c>
      <c r="F107" s="7" t="inlineStr">
        <is>
          <t>“Gebelikte Uterin Myomların Maternal ve Perinatal Sonuçlara Etkisi: Tek Merkezli Retrospektif Analiz”</t>
        </is>
      </c>
      <c r="G107" s="13" t="inlineStr">
        <is>
          <t>Bireysel Araştırma</t>
        </is>
      </c>
      <c r="H107" s="54" t="n">
        <v>46044</v>
      </c>
      <c r="I107" s="52" t="n">
        <v>46057</v>
      </c>
      <c r="J107" s="8" t="inlineStr">
        <is>
          <t>Doç. Dr. Burcu ERSÖZ ALAN</t>
        </is>
      </c>
      <c r="K107" s="8" t="inlineStr">
        <is>
          <t>Prof. Dr. Nazmiye Ebru ORTAÇ ERSOY</t>
        </is>
      </c>
      <c r="L107" s="9" t="inlineStr">
        <is>
          <t>ONAY</t>
        </is>
      </c>
      <c r="M107" s="9" t="n"/>
      <c r="N107" s="9" t="n"/>
      <c r="O107" s="66" t="n"/>
      <c r="P107" s="9">
        <f>IF(O107&lt;&gt;"",O107, IF(N107&lt;&gt;"",N107, IF(M107&lt;&gt;"",M107, L107)))</f>
        <v/>
      </c>
      <c r="R107" s="95">
        <f>IF(AND(L107="", B107&lt;&gt;""), B107, "")</f>
        <v/>
      </c>
    </row>
    <row r="108" ht="110.25" customHeight="1" s="221">
      <c r="A108" s="5" t="inlineStr">
        <is>
          <t>107.</t>
        </is>
      </c>
      <c r="B108" s="6" t="inlineStr">
        <is>
          <t>SBA 26/107</t>
        </is>
      </c>
      <c r="C108" s="8" t="inlineStr">
        <is>
          <t>Doç. Dr. Utku AKGÖR</t>
        </is>
      </c>
      <c r="D108" s="8" t="inlineStr">
        <is>
          <t>Kadın Hastalıkları ve Doğum Anabilim Dalı</t>
        </is>
      </c>
      <c r="E108" s="7" t="inlineStr">
        <is>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is>
      </c>
      <c r="F108" s="7" t="inlineStr">
        <is>
          <t>“Over Kanserinde Mikroplastikler ve Metabolomik Etkileri”</t>
        </is>
      </c>
      <c r="G108" s="13" t="inlineStr">
        <is>
          <t>Bireysel Araştırma</t>
        </is>
      </c>
      <c r="H108" s="54" t="n">
        <v>46044</v>
      </c>
      <c r="I108" s="52" t="n">
        <v>46057</v>
      </c>
      <c r="J108" s="8" t="inlineStr">
        <is>
          <t>Prof. Dr. Ayşe Nurten AKARSU</t>
        </is>
      </c>
      <c r="K108" s="8" t="inlineStr">
        <is>
          <t>Doç. Dr. Kübra AYKAÇ</t>
        </is>
      </c>
      <c r="L108" s="9" t="inlineStr">
        <is>
          <t>DÜZELTME</t>
        </is>
      </c>
      <c r="M108" s="9" t="inlineStr">
        <is>
          <t>ONAY</t>
        </is>
      </c>
      <c r="N108" s="9" t="n"/>
      <c r="O108" s="66" t="n"/>
      <c r="P108" s="9">
        <f>IF(O108&lt;&gt;"",O108, IF(N108&lt;&gt;"",N108, IF(M108&lt;&gt;"",M108, L108)))</f>
        <v/>
      </c>
      <c r="R108" s="95">
        <f>IF(AND(L108="", B108&lt;&gt;""), B108, "")</f>
        <v/>
      </c>
    </row>
    <row r="109" ht="78.75" customHeight="1" s="221">
      <c r="A109" s="5" t="inlineStr">
        <is>
          <t>108.</t>
        </is>
      </c>
      <c r="B109" s="6" t="inlineStr">
        <is>
          <t>SBA 26/108</t>
        </is>
      </c>
      <c r="C109" s="8" t="inlineStr">
        <is>
          <t>Arş. Gör. Dt. Dilara KARA</t>
        </is>
      </c>
      <c r="D109" s="8" t="inlineStr">
        <is>
          <t>Ağız, Diş ve Çene Radyolojisi Anabilim Dalı</t>
        </is>
      </c>
      <c r="E109" s="7" t="inlineStr">
        <is>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is>
      </c>
      <c r="F109" s="7" t="inlineStr">
        <is>
          <t>“Diş Hekimliği Branşlarında Konik Işınlı Bilgisayarlı Tomografi İstem Eğilimleri ve Etkileyen Faktörler: Retrospektif Kesitsel Bir Çalışma”</t>
        </is>
      </c>
      <c r="G109" s="13" t="inlineStr">
        <is>
          <t>Bireysel Araştırma</t>
        </is>
      </c>
      <c r="H109" s="54" t="n">
        <v>46044</v>
      </c>
      <c r="I109" s="52" t="n">
        <v>46057</v>
      </c>
      <c r="J109" s="8" t="inlineStr">
        <is>
          <t>Prof. Dr. M. Özgür UYANIK</t>
        </is>
      </c>
      <c r="K109" s="8" t="inlineStr">
        <is>
          <t>Doç. Dr. Burcu ERSÖZ ALAN</t>
        </is>
      </c>
      <c r="L109" s="9" t="inlineStr">
        <is>
          <t>ONAY</t>
        </is>
      </c>
      <c r="M109" s="9" t="n"/>
      <c r="N109" s="9" t="n"/>
      <c r="O109" s="66" t="n"/>
      <c r="P109" s="9">
        <f>IF(O109&lt;&gt;"",O109, IF(N109&lt;&gt;"",N109, IF(M109&lt;&gt;"",M109, L109)))</f>
        <v/>
      </c>
      <c r="R109" s="95">
        <f>IF(AND(L109="", B109&lt;&gt;""), B109, "")</f>
        <v/>
      </c>
    </row>
    <row r="110" ht="78.75" customHeight="1" s="221">
      <c r="A110" s="5" t="inlineStr">
        <is>
          <t>109.</t>
        </is>
      </c>
      <c r="B110" s="6" t="inlineStr">
        <is>
          <t>SBA 26/109</t>
        </is>
      </c>
      <c r="C110" s="8" t="inlineStr">
        <is>
          <t>Arş. Gör. Dr. Sebiha Şükran GÜNDEŞLİ</t>
        </is>
      </c>
      <c r="D110" s="8" t="inlineStr">
        <is>
          <t>Çocuk Sağlığı ve Hastalıkları Anabilim Dalı</t>
        </is>
      </c>
      <c r="E110" s="7" t="inlineStr">
        <is>
          <t>Üniversitemiz Tıp Fakültesi Çocuk Sağlığı ve Hastalıkları Anabilim Dalı yan dal araştırma görevlilerinden Arş. Gör. Dr. Sebiha Şükran GÜNDEŞLİ'nin sorumlu araştırmacı olduğu, Prof. Dr. Özlem TEKŞAM, Doç. Dr. Leman AKCAN YILDIZ ile birlikte çalışacakları,</t>
        </is>
      </c>
      <c r="F110" s="7" t="inlineStr">
        <is>
          <t>“Çocuk Acil Serviste Akut Karın Ağrısı ile Değerlendirilen Hastalarda İleri Görüntüleme Seçimini Etkileyen Faktörlerin Değerlendirilmesi"</t>
        </is>
      </c>
      <c r="G110" s="13" t="inlineStr">
        <is>
          <t>Bireysel Araştırma</t>
        </is>
      </c>
      <c r="H110" s="54" t="n">
        <v>46044</v>
      </c>
      <c r="I110" s="52" t="n">
        <v>46057</v>
      </c>
      <c r="J110" s="8" t="inlineStr">
        <is>
          <t>Doç. Dr. Kübra AYKAÇ</t>
        </is>
      </c>
      <c r="K110" s="8" t="inlineStr">
        <is>
          <t>Prof. Dr. Gözde GİRGİN</t>
        </is>
      </c>
      <c r="L110" s="9" t="inlineStr">
        <is>
          <t>ONAY</t>
        </is>
      </c>
      <c r="M110" s="9" t="n"/>
      <c r="N110" s="9" t="n"/>
      <c r="O110" s="66" t="n"/>
      <c r="P110" s="9">
        <f>IF(O110&lt;&gt;"",O110, IF(N110&lt;&gt;"",N110, IF(M110&lt;&gt;"",M110, L110)))</f>
        <v/>
      </c>
      <c r="R110" s="95">
        <f>IF(AND(L110="", B110&lt;&gt;""), B110, "")</f>
        <v/>
      </c>
    </row>
    <row r="111" ht="81.75" customHeight="1" s="221">
      <c r="A111" s="5" t="inlineStr">
        <is>
          <t>110.</t>
        </is>
      </c>
      <c r="B111" s="6" t="inlineStr">
        <is>
          <t>SBA 26/110</t>
        </is>
      </c>
      <c r="C111" s="8" t="inlineStr">
        <is>
          <t>Prof. Dr. Salih Kutay DEMİRKAN</t>
        </is>
      </c>
      <c r="D111" s="8" t="inlineStr">
        <is>
          <t>Klinik Eczacılık Anabilim Dalı</t>
        </is>
      </c>
      <c r="E111" s="7" t="inlineStr">
        <is>
          <t>Üniversitemiz Eczacılık Fakültesi Klinik Eczacılık Anabilim Dalı öğretim üyelerinden Prof. Dr. Salih Kutay DEMİRKAN’ın sorumlu araştırmacı olduğu, Prof. Dr. Selçuk DAĞDELEN ve Arş. Gör. Özgenur GERİDÖNMEZ ile birlikte çalışacakları,</t>
        </is>
      </c>
      <c r="F111" s="7" t="inlineStr">
        <is>
          <t>“Diyabet İlaçlarının Kilo Kaybı Amaçlı Kullanımına İlişkin Eczane Eczacılarının Bilgi, Tutum ve Davranışlarının Değerlendirilmesi"</t>
        </is>
      </c>
      <c r="G111" s="13" t="inlineStr">
        <is>
          <t>Bireysel Araştırma</t>
        </is>
      </c>
      <c r="H111" s="54" t="n">
        <v>46044</v>
      </c>
      <c r="I111" s="52" t="n">
        <v>46057</v>
      </c>
      <c r="J111" s="8" t="inlineStr">
        <is>
          <t>Prof. Dr. Gözde GİRGİN</t>
        </is>
      </c>
      <c r="K111" s="8" t="inlineStr">
        <is>
          <t>Prof. Dr. M. Özgür UYANIK</t>
        </is>
      </c>
      <c r="L111" s="9" t="inlineStr">
        <is>
          <t>ONAY</t>
        </is>
      </c>
      <c r="M111" s="9" t="n"/>
      <c r="N111" s="9" t="n"/>
      <c r="O111" s="66" t="n"/>
      <c r="P111" s="9">
        <f>IF(O111&lt;&gt;"",O111, IF(N111&lt;&gt;"",N111, IF(M111&lt;&gt;"",M111, L111)))</f>
        <v/>
      </c>
      <c r="R111" s="95">
        <f>IF(AND(L111="", B111&lt;&gt;""), B111, "")</f>
        <v/>
      </c>
    </row>
    <row r="112" ht="94.5" customHeight="1" s="221">
      <c r="A112" s="5" t="inlineStr">
        <is>
          <t>111.</t>
        </is>
      </c>
      <c r="B112" s="6" t="inlineStr">
        <is>
          <t>SBA 26/111</t>
        </is>
      </c>
      <c r="C112" s="8" t="inlineStr">
        <is>
          <t>Prof. Dr. Çağrı Mesut TEMUÇİN</t>
        </is>
      </c>
      <c r="D112" s="8" t="inlineStr">
        <is>
          <t>Nöroloji Anabilim Dalı</t>
        </is>
      </c>
      <c r="E112" s="7" t="inlineStr">
        <is>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is>
      </c>
      <c r="F112" s="7" t="inlineStr">
        <is>
          <t>“Guillain Barre Sendromu ile Uyumlu Elektrofizyolojik Bulguları Olan Pediatrik Hastalarda Kompleman CD59 Eksikliği”</t>
        </is>
      </c>
      <c r="G112" s="13" t="inlineStr">
        <is>
          <t>Bireysel Araştırma</t>
        </is>
      </c>
      <c r="H112" s="54" t="n">
        <v>46044</v>
      </c>
      <c r="I112" s="52" t="n">
        <v>46057</v>
      </c>
      <c r="J112" s="8" t="inlineStr">
        <is>
          <t>Doç. Dr. Kübra AYKAÇ</t>
        </is>
      </c>
      <c r="K112" s="8" t="inlineStr">
        <is>
          <t>Doç. Dr. Burcu ERSÖZ ALAN</t>
        </is>
      </c>
      <c r="L112" s="9" t="inlineStr">
        <is>
          <t>DÜZELTME</t>
        </is>
      </c>
      <c r="M112" s="9" t="n"/>
      <c r="N112" s="9" t="n"/>
      <c r="O112" s="66" t="n"/>
      <c r="P112" s="9">
        <f>IF(O112&lt;&gt;"",O112, IF(N112&lt;&gt;"",N112, IF(M112&lt;&gt;"",M112, L112)))</f>
        <v/>
      </c>
      <c r="R112" s="95">
        <f>IF(AND(L112="", B112&lt;&gt;""), B112, "")</f>
        <v/>
      </c>
    </row>
    <row r="113" ht="63" customHeight="1" s="221">
      <c r="A113" s="5" t="inlineStr">
        <is>
          <t>112.</t>
        </is>
      </c>
      <c r="B113" s="6" t="inlineStr">
        <is>
          <t>SBA 26/112</t>
        </is>
      </c>
      <c r="C113" s="8" t="inlineStr">
        <is>
          <t>Dr. Öğr. Üyesi Irmak OCAK</t>
        </is>
      </c>
      <c r="D113" s="8" t="inlineStr">
        <is>
          <t>Ortodonti Anabilim Dalı</t>
        </is>
      </c>
      <c r="E113" s="7" t="inlineStr">
        <is>
          <t>Üniversitemiz Diş Hekimliği Fakültesi Ortodonti Anabilim Dalı öğretim üyelerinden Dr. Öğr. Üyesi Irmak OCAK'ın sorumlu araştırmacı olduğu, Arş. Gör. Dt. Mehmet Tolga ÇETİN ile birlikte çalışacakları,</t>
        </is>
      </c>
      <c r="F113" s="7" t="inlineStr">
        <is>
          <t>“Mandibular Asimetrisi Bulunan Sınıf II ve Sınıf III Hastalarda Orta Yüz Asimetrilerinin Anteroposterior Sefalometrik Filmler Üzerinden İncelenmesi”</t>
        </is>
      </c>
      <c r="G113" s="13" t="inlineStr">
        <is>
          <t>Bireysel Araştırma</t>
        </is>
      </c>
      <c r="H113" s="54" t="n">
        <v>46044</v>
      </c>
      <c r="I113" s="52" t="n">
        <v>46057</v>
      </c>
      <c r="J113" s="8" t="inlineStr">
        <is>
          <t>Prof. Dr. M. Özgür UYANIK</t>
        </is>
      </c>
      <c r="K113" s="8" t="inlineStr">
        <is>
          <t>Prof. Dr. Nazmiye Ebru ORTAÇ ERSOY</t>
        </is>
      </c>
      <c r="L113" s="9" t="inlineStr">
        <is>
          <t>ONAY</t>
        </is>
      </c>
      <c r="M113" s="9" t="n"/>
      <c r="N113" s="9" t="n"/>
      <c r="O113" s="66" t="n"/>
      <c r="P113" s="9">
        <f>IF(O113&lt;&gt;"",O113, IF(N113&lt;&gt;"",N113, IF(M113&lt;&gt;"",M113, L113)))</f>
        <v/>
      </c>
      <c r="R113" s="95">
        <f>IF(AND(L113="", B113&lt;&gt;""), B113, "")</f>
        <v/>
      </c>
    </row>
    <row r="114" ht="78.75" customHeight="1" s="221">
      <c r="A114" s="5" t="inlineStr">
        <is>
          <t>113.</t>
        </is>
      </c>
      <c r="B114" s="6" t="inlineStr">
        <is>
          <t>SBA 26/113</t>
        </is>
      </c>
      <c r="C114" s="8" t="inlineStr">
        <is>
          <t>Prof. Dr. Ayşe KİN İŞLER</t>
        </is>
      </c>
      <c r="D114" s="8" t="inlineStr">
        <is>
          <t>Hareket ve Antrenman Bilimleri Anabilim Dalı</t>
        </is>
      </c>
      <c r="E114" s="7" t="inlineStr">
        <is>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is>
      </c>
      <c r="F114" s="7" t="inlineStr">
        <is>
          <t>“Bilateral ve Unilateral Ön-Kondisyonlanma Protokollerinin Cimnastikçilerde Performans Asimetrileri Üzerine Etkisi”</t>
        </is>
      </c>
      <c r="G114" s="13" t="inlineStr">
        <is>
          <t>Doktora Tezi</t>
        </is>
      </c>
      <c r="H114" s="54" t="n">
        <v>46044</v>
      </c>
      <c r="I114" s="52" t="n">
        <v>46057</v>
      </c>
      <c r="J114" s="8" t="inlineStr">
        <is>
          <t>Prof. Dr. Ayşe Nurten AKARSU</t>
        </is>
      </c>
      <c r="K114" s="8" t="inlineStr">
        <is>
          <t>Prof. Dr. Nazmiye Ebru ORTAÇ ERSOY</t>
        </is>
      </c>
      <c r="L114" s="9" t="inlineStr">
        <is>
          <t>DÜZELTME</t>
        </is>
      </c>
      <c r="M114" s="9" t="inlineStr">
        <is>
          <t>ONAY</t>
        </is>
      </c>
      <c r="N114" s="9" t="n"/>
      <c r="O114" s="66" t="n"/>
      <c r="P114" s="9">
        <f>IF(O114&lt;&gt;"",O114, IF(N114&lt;&gt;"",N114, IF(M114&lt;&gt;"",M114, L114)))</f>
        <v/>
      </c>
      <c r="R114" s="95">
        <f>IF(AND(L114="", B114&lt;&gt;""), B114, "")</f>
        <v/>
      </c>
    </row>
    <row r="115" ht="110.25" customHeight="1" s="221">
      <c r="A115" s="5" t="inlineStr">
        <is>
          <t>114.</t>
        </is>
      </c>
      <c r="B115" s="6" t="inlineStr">
        <is>
          <t>SBA 26/114</t>
        </is>
      </c>
      <c r="C115" s="8" t="inlineStr">
        <is>
          <t>Prof. Dr. Ebru DAMADOĞLU</t>
        </is>
      </c>
      <c r="D115" s="8" t="inlineStr">
        <is>
          <t>Göğüs Hastalıkları Anabilim Dalı</t>
        </is>
      </c>
      <c r="E115" s="7" t="inlineStr">
        <is>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is>
      </c>
      <c r="F115" s="7" t="inlineStr">
        <is>
          <t>'İlaç Provokasyon Testi Pozitif Olan Hastaların Klinik Özellikleri ve Müdahale Gereksinimleri'</t>
        </is>
      </c>
      <c r="G115" s="13" t="inlineStr">
        <is>
          <t>Bireysel Araştırma</t>
        </is>
      </c>
      <c r="H115" s="54" t="n">
        <v>46044</v>
      </c>
      <c r="I115" s="52" t="n">
        <v>46057</v>
      </c>
      <c r="J115" s="8" t="inlineStr">
        <is>
          <t>Dr. Öğr. Üyesi Müge DEMİR</t>
        </is>
      </c>
      <c r="K115" s="8" t="inlineStr">
        <is>
          <t>Doç. Dr. Burcu ERSÖZ ALAN</t>
        </is>
      </c>
      <c r="L115" s="9" t="inlineStr">
        <is>
          <t>ONAY</t>
        </is>
      </c>
      <c r="M115" s="9" t="n"/>
      <c r="N115" s="9" t="n"/>
      <c r="O115" s="66" t="n"/>
      <c r="P115" s="9">
        <f>IF(O115&lt;&gt;"",O115, IF(N115&lt;&gt;"",N115, IF(M115&lt;&gt;"",M115, L115)))</f>
        <v/>
      </c>
      <c r="R115" s="95">
        <f>IF(AND(L115="", B115&lt;&gt;""), B115, "")</f>
        <v/>
      </c>
    </row>
    <row r="116" ht="63" customHeight="1" s="221">
      <c r="A116" s="5" t="inlineStr">
        <is>
          <t>115.</t>
        </is>
      </c>
      <c r="B116" s="6" t="inlineStr">
        <is>
          <t>SBA 26/115</t>
        </is>
      </c>
      <c r="C116" s="8" t="inlineStr">
        <is>
          <t>Prof. Dr. Alp ÇETİN</t>
        </is>
      </c>
      <c r="D116" s="8" t="inlineStr">
        <is>
          <t>Fiziksel Tıp ve Rehabilitasyon Anabilim Dalı</t>
        </is>
      </c>
      <c r="E116" s="7" t="inlineStr">
        <is>
          <t>Üniversitemiz Tıp Fakültesi Fiziksel Tıp ve Rehabilitasyon Anabilim Dalı öğretim üyelerinden Prof. Dr. Alp ÇETİN"in sorumlu araştırmacı olduğu, Arş. Gör. Dr. Hazal SEVİNÇ’in uzmanlık tezi olan,</t>
        </is>
      </c>
      <c r="F116" s="7" t="inlineStr">
        <is>
          <t>“Fibromiyalji Sendromu Olan ve Olmayan Bireylerde Trapezius ve Rektus Femoris Kaslarının Elastisitesinin Ultrasonografi ile Karşılaştırılması”</t>
        </is>
      </c>
      <c r="G116" s="13" t="inlineStr">
        <is>
          <t>Uzmanlık Tezi</t>
        </is>
      </c>
      <c r="H116" s="54" t="n">
        <v>46044</v>
      </c>
      <c r="I116" s="52" t="n">
        <v>46057</v>
      </c>
      <c r="J116" s="8" t="inlineStr">
        <is>
          <t>Dr. Öğr. Üyesi Müge DEMİR</t>
        </is>
      </c>
      <c r="K116" s="8" t="inlineStr">
        <is>
          <t>Prof. Dr. Melih Önder BABAOĞLU</t>
        </is>
      </c>
      <c r="L116" s="9" t="inlineStr">
        <is>
          <t>DÜZELTME</t>
        </is>
      </c>
      <c r="M116" s="9" t="n"/>
      <c r="N116" s="9" t="n"/>
      <c r="O116" s="66" t="n"/>
      <c r="P116" s="9">
        <f>IF(O116&lt;&gt;"",O116, IF(N116&lt;&gt;"",N116, IF(M116&lt;&gt;"",M116, L116)))</f>
        <v/>
      </c>
      <c r="R116" s="95">
        <f>IF(AND(L116="", B116&lt;&gt;""), B116, "")</f>
        <v/>
      </c>
    </row>
    <row r="117" ht="78.75" customHeight="1" s="221">
      <c r="A117" s="5" t="inlineStr">
        <is>
          <t>116.</t>
        </is>
      </c>
      <c r="B117" s="6" t="inlineStr">
        <is>
          <t>SBA 26/116</t>
        </is>
      </c>
      <c r="C117" s="8" t="inlineStr">
        <is>
          <t>Doç. Dr. Ceren GÜNENÇ BEŞER</t>
        </is>
      </c>
      <c r="D117" s="8" t="inlineStr">
        <is>
          <t>Anatomi Anabilim Dalı</t>
        </is>
      </c>
      <c r="E117" s="7" t="inlineStr">
        <is>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is>
      </c>
      <c r="F117" s="7" t="inlineStr">
        <is>
          <t>“Arteria Mesenterica Superior ve Vena Mesenterica Superior'un Anatomik İlişkisi: Radyolojik Ölçümlerle Cerrahi Risk Açısından Değerlendirme”</t>
        </is>
      </c>
      <c r="G117" s="13" t="inlineStr">
        <is>
          <t>Doktora Tezi</t>
        </is>
      </c>
      <c r="H117" s="54" t="n">
        <v>46044</v>
      </c>
      <c r="I117" s="52" t="n">
        <v>46057</v>
      </c>
      <c r="J117" s="8" t="inlineStr">
        <is>
          <t>Prof. Dr. Ayşe Nurten AKARSU</t>
        </is>
      </c>
      <c r="K117" s="8" t="inlineStr">
        <is>
          <t>Doç. Dr. Burcu ERSÖZ ALAN</t>
        </is>
      </c>
      <c r="L117" s="9" t="inlineStr">
        <is>
          <t>ONAY</t>
        </is>
      </c>
      <c r="M117" s="9" t="n"/>
      <c r="N117" s="9" t="n"/>
      <c r="O117" s="66" t="n"/>
      <c r="P117" s="9">
        <f>IF(O117&lt;&gt;"",O117, IF(N117&lt;&gt;"",N117, IF(M117&lt;&gt;"",M117, L117)))</f>
        <v/>
      </c>
      <c r="R117" s="95">
        <f>IF(AND(L117="", B117&lt;&gt;""), B117, "")</f>
        <v/>
      </c>
    </row>
    <row r="118" ht="63" customHeight="1" s="221">
      <c r="A118" s="5" t="inlineStr">
        <is>
          <t>117.</t>
        </is>
      </c>
      <c r="B118" s="6" t="inlineStr">
        <is>
          <t>SBA 26/117</t>
        </is>
      </c>
      <c r="C118" s="8" t="inlineStr">
        <is>
          <t>Prof. Dr. Hatice Yasemin BALABAN</t>
        </is>
      </c>
      <c r="D118" s="8" t="inlineStr">
        <is>
          <t>İç Hastalıkları Anabilim Dalı</t>
        </is>
      </c>
      <c r="E118" s="7" t="inlineStr">
        <is>
          <t>Üniversitemiz Tıp Fakültesi İç Hastalıkları Anabilim Dalı öğretim üyelerinden Prof. Dr. Hatice Yasemin BALABAN’ın sorumlu araştırmacı olduğu, Arş. Gör. Dr. Burcu GÜRBÜZ ve Arş. Gör. Dr. Deniz ŞİMŞEK ile birlikte çalışacakları,</t>
        </is>
      </c>
      <c r="F118" s="7" t="inlineStr">
        <is>
          <t>“Çölyak Hastalığında Otoimmün Komorbidite Riskinin Öngörülmesi – Seroloji Temelli Stratifikasyon Modeli: İki Uluslu Çalışma”</t>
        </is>
      </c>
      <c r="G118" s="13" t="inlineStr">
        <is>
          <t>Bireysel Araştırma</t>
        </is>
      </c>
      <c r="H118" s="54" t="n">
        <v>46044</v>
      </c>
      <c r="I118" s="52" t="n">
        <v>46057</v>
      </c>
      <c r="J118" s="8" t="inlineStr">
        <is>
          <t>Prof. Dr. Melih Önder BABAOĞLU</t>
        </is>
      </c>
      <c r="K118" s="8" t="inlineStr">
        <is>
          <t>Prof. Dr. Nazmiye Ebru ORTAÇ ERSOY</t>
        </is>
      </c>
      <c r="L118" s="9" t="inlineStr">
        <is>
          <t>DÜZELTME</t>
        </is>
      </c>
      <c r="M118" s="9" t="n"/>
      <c r="N118" s="9" t="n"/>
      <c r="O118" s="66" t="n"/>
      <c r="P118" s="9">
        <f>IF(O118&lt;&gt;"",O118, IF(N118&lt;&gt;"",N118, IF(M118&lt;&gt;"",M118, L118)))</f>
        <v/>
      </c>
      <c r="R118" s="95">
        <f>IF(AND(L118="", B118&lt;&gt;""), B118, "")</f>
        <v/>
      </c>
    </row>
    <row r="119" ht="94.5" customHeight="1" s="221">
      <c r="A119" s="5" t="inlineStr">
        <is>
          <t>118.</t>
        </is>
      </c>
      <c r="B119" s="6" t="inlineStr">
        <is>
          <t>SBA 26/118</t>
        </is>
      </c>
      <c r="C119" s="8" t="inlineStr">
        <is>
          <t>Doç. Dr. Serra ÖRSTEN</t>
        </is>
      </c>
      <c r="D119" s="8" t="inlineStr">
        <is>
          <t>Tıbbi Laboratuvar Teknikleri Programı</t>
        </is>
      </c>
      <c r="E119" s="7" t="inlineStr">
        <is>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is>
      </c>
      <c r="F119" s="7" t="inlineStr">
        <is>
          <t>“Kistik Ekinokokkoz Tanısında miRNA Biyobelirteçleri: Körleme Örnekleme ve Radyolojik Bulgularla Uyum Üzerinden Klinik Entegrasyon Değerlendirilmesi”</t>
        </is>
      </c>
      <c r="G119" s="13" t="inlineStr">
        <is>
          <t>Bireysel Araştırma</t>
        </is>
      </c>
      <c r="H119" s="54" t="n">
        <v>46045</v>
      </c>
      <c r="I119" s="52" t="n">
        <v>46057</v>
      </c>
      <c r="J119" s="8" t="inlineStr">
        <is>
          <t>Prof. Dr. Ayşe Nurten AKARSU</t>
        </is>
      </c>
      <c r="K119" s="8" t="inlineStr">
        <is>
          <t>Dr. Öğr. Üyesi Müge DEMİR</t>
        </is>
      </c>
      <c r="L119" s="9" t="inlineStr">
        <is>
          <t>DÜZELTME</t>
        </is>
      </c>
      <c r="M119" s="9" t="inlineStr">
        <is>
          <t>ONAY</t>
        </is>
      </c>
      <c r="N119" s="9" t="n"/>
      <c r="O119" s="66" t="n"/>
      <c r="P119" s="9">
        <f>IF(O119&lt;&gt;"",O119, IF(N119&lt;&gt;"",N119, IF(M119&lt;&gt;"",M119, L119)))</f>
        <v/>
      </c>
      <c r="R119" s="95">
        <f>IF(AND(L119="", B119&lt;&gt;""), B119, "")</f>
        <v/>
      </c>
    </row>
    <row r="120" ht="63" customHeight="1" s="221">
      <c r="A120" s="5" t="inlineStr">
        <is>
          <t>119.</t>
        </is>
      </c>
      <c r="B120" s="6" t="inlineStr">
        <is>
          <t>SBA 26/119</t>
        </is>
      </c>
      <c r="C120" s="8" t="inlineStr">
        <is>
          <t>Dr. Öğr. Üyesi Hilal AKDEMİR AKTAŞ</t>
        </is>
      </c>
      <c r="D120" s="8" t="inlineStr">
        <is>
          <t>Anatomi Anabilim Dalı</t>
        </is>
      </c>
      <c r="E120" s="7" t="inlineStr">
        <is>
          <t>Üniversitemiz Tıp Fakültesi Anatomi Anabilim Dalı öğretim üyelerinden Dr. Öğr. Üyesi Hilal AKDEMİR AKTAŞ’ın sorumlu araştırmacı olduğu, Dr. Öğr. Üyesi Hasan Barış ILGAZ ile birlikte çalışacakları,</t>
        </is>
      </c>
      <c r="F120" s="7" t="inlineStr">
        <is>
          <t>“Anatomi Eğitiminde Büyük Dil Modelleri: Farklı Sağlık Disiplinlerindeki Öğrencilerin Tutum ve Görüşleri”</t>
        </is>
      </c>
      <c r="G120" s="13" t="inlineStr">
        <is>
          <t>Bireysel Araştırma</t>
        </is>
      </c>
      <c r="H120" s="54" t="n">
        <v>46045</v>
      </c>
      <c r="I120" s="52" t="n">
        <v>46057</v>
      </c>
      <c r="J120" s="8" t="inlineStr">
        <is>
          <t>Prof. Dr. Ayşe Nurten AKARSU</t>
        </is>
      </c>
      <c r="K120" s="8" t="inlineStr">
        <is>
          <t>Prof. Dr. M. Özgür UYANIK</t>
        </is>
      </c>
      <c r="L120" s="9" t="inlineStr">
        <is>
          <t>DÜZELTME</t>
        </is>
      </c>
      <c r="M120" s="9" t="n"/>
      <c r="N120" s="9" t="n"/>
      <c r="O120" s="66" t="n"/>
      <c r="P120" s="9">
        <f>IF(O120&lt;&gt;"",O120, IF(N120&lt;&gt;"",N120, IF(M120&lt;&gt;"",M120, L120)))</f>
        <v/>
      </c>
      <c r="R120" s="95">
        <f>IF(AND(L120="", B120&lt;&gt;""), B120, "")</f>
        <v/>
      </c>
    </row>
    <row r="121" ht="94.5" customHeight="1" s="221">
      <c r="A121" s="5" t="inlineStr">
        <is>
          <t>120.</t>
        </is>
      </c>
      <c r="B121" s="6" t="inlineStr">
        <is>
          <t>SBA 26/120</t>
        </is>
      </c>
      <c r="C121" s="8" t="inlineStr">
        <is>
          <t>Prof. Dr. Rıza Köksal ÖZGÜL</t>
        </is>
      </c>
      <c r="D121" s="8" t="inlineStr">
        <is>
          <t>Pediatrik Temel Bilimler Anabilim Dalı</t>
        </is>
      </c>
      <c r="E121" s="7" t="inlineStr">
        <is>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is>
      </c>
      <c r="F121" s="7" t="inlineStr">
        <is>
          <t>“İndüklenmiş Pluripotent Kök Hücrelerden Astrosit Farklılaştırılması ve Stres Uyaranları ile ECM Değişimlerinin İncelenerek Patolojilerin Modellenmesi”</t>
        </is>
      </c>
      <c r="G121" s="13" t="inlineStr">
        <is>
          <t>Bireysel Araştırma</t>
        </is>
      </c>
      <c r="H121" s="54" t="n">
        <v>46045</v>
      </c>
      <c r="I121" s="52" t="n">
        <v>46057</v>
      </c>
      <c r="J121" s="8" t="inlineStr">
        <is>
          <t>Prof. Dr. Ayşe Nurten AKARSU</t>
        </is>
      </c>
      <c r="K121" s="8" t="inlineStr">
        <is>
          <t>Doç. Dr. Kübra AYKAÇ</t>
        </is>
      </c>
      <c r="L121" s="9" t="inlineStr">
        <is>
          <t>DÜZELTME</t>
        </is>
      </c>
      <c r="M121" s="9" t="inlineStr">
        <is>
          <t>ONAY</t>
        </is>
      </c>
      <c r="N121" s="9" t="n"/>
      <c r="O121" s="66" t="n"/>
      <c r="P121" s="9">
        <f>IF(O121&lt;&gt;"",O121, IF(N121&lt;&gt;"",N121, IF(M121&lt;&gt;"",M121, L121)))</f>
        <v/>
      </c>
      <c r="R121" s="95">
        <f>IF(AND(L121="", B121&lt;&gt;""), B121, "")</f>
        <v/>
      </c>
    </row>
    <row r="122" ht="78.75" customHeight="1" s="221">
      <c r="A122" s="5" t="inlineStr">
        <is>
          <t>121.</t>
        </is>
      </c>
      <c r="B122" s="6" t="inlineStr">
        <is>
          <t>SBA 26/121</t>
        </is>
      </c>
      <c r="C122" s="8" t="inlineStr">
        <is>
          <t>Prof. Dr. Ayşe KİN İŞLER</t>
        </is>
      </c>
      <c r="D122" s="8" t="inlineStr">
        <is>
          <t>Hareket ve Antrenman Bilimleri Anabilim Dalı</t>
        </is>
      </c>
      <c r="E122" s="7" t="inlineStr">
        <is>
          <t>Üniversitemiz Spor Bilimleri Fakültesi Hareket ve Antrenman Bilimleri Anabilim Dalı öğretim üyelerinden Prof. Dr. Ayşe KİN İŞLER'in sorumlu araştırmacı olduğu, Nazlı ÖZGÖR, Taylan AYTAÇ ve Arş. Gör. Dr. Mehmet Gören KÖSE ile birlikte çalışacakları,</t>
        </is>
      </c>
      <c r="F122" s="7" t="inlineStr">
        <is>
          <t>“Genç Cimnastikçilerde Bilateral ve Unilateral Ön-Kondisyonlanma Uygulamalarının Ekstremiteler Arası Asimetriye Etkisi ve Olgunlaşma Düzeyine Göre Değişimi"</t>
        </is>
      </c>
      <c r="G122" s="13" t="inlineStr">
        <is>
          <t>Bireysel Araştırma</t>
        </is>
      </c>
      <c r="H122" s="54" t="n">
        <v>46045</v>
      </c>
      <c r="I122" s="52" t="n">
        <v>46057</v>
      </c>
      <c r="J122" s="8" t="inlineStr">
        <is>
          <t>Prof. Dr. Ayşe Nurten AKARSU</t>
        </is>
      </c>
      <c r="K122" s="8" t="inlineStr">
        <is>
          <t>Prof. Dr. M. Özgür UYANIK</t>
        </is>
      </c>
      <c r="L122" s="9" t="inlineStr">
        <is>
          <t>DÜZELTME</t>
        </is>
      </c>
      <c r="M122" s="9" t="inlineStr">
        <is>
          <t>ONAY</t>
        </is>
      </c>
      <c r="N122" s="9" t="n"/>
      <c r="O122" s="66" t="n"/>
      <c r="P122" s="9">
        <f>IF(O122&lt;&gt;"",O122, IF(N122&lt;&gt;"",N122, IF(M122&lt;&gt;"",M122, L122)))</f>
        <v/>
      </c>
      <c r="R122" s="95">
        <f>IF(AND(L122="", B122&lt;&gt;""), B122, "")</f>
        <v/>
      </c>
    </row>
    <row r="123" ht="65.25" customHeight="1" s="221">
      <c r="A123" s="5" t="inlineStr">
        <is>
          <t>122.</t>
        </is>
      </c>
      <c r="B123" s="6" t="inlineStr">
        <is>
          <t>SBA 26/122</t>
        </is>
      </c>
      <c r="C123" s="8" t="inlineStr">
        <is>
          <t>Dr. Öğr. Üyesi Serkan UYSAL</t>
        </is>
      </c>
      <c r="D123" s="8" t="inlineStr">
        <is>
          <t>Göğüs Cerrahisi Anabilim Dalı</t>
        </is>
      </c>
      <c r="E123" s="7" t="inlineStr">
        <is>
          <t>Üniversitemiz Tıp Fakültesi Göğüs Cerrahisi Anabilim Dalı öğretim üyelerinden Dr. Öğr. Üyesi Serkan UYSAL’ın sorumlu araştırmacı olduğu, Arş. Gör. Dr. Ayşe ALİ HASAN birlikte çalışacakları,</t>
        </is>
      </c>
      <c r="F123" s="7" t="inlineStr">
        <is>
          <t>“Pulmoner Karsinoid Tümörlerde Cerrahi Tedavi, Patolojik Evreleme ve Sağkalım: 2004–2024 Retrospektif Kohort Çalışması”</t>
        </is>
      </c>
      <c r="G123" s="13" t="inlineStr">
        <is>
          <t>Bireysel Araştırma</t>
        </is>
      </c>
      <c r="H123" s="54" t="n">
        <v>46045</v>
      </c>
      <c r="I123" s="52" t="n">
        <v>46057</v>
      </c>
      <c r="J123" s="8" t="inlineStr">
        <is>
          <t>Prof. Dr. Melih Önder BABAOĞLU</t>
        </is>
      </c>
      <c r="K123" s="8" t="inlineStr">
        <is>
          <t>Prof. Dr. Gözde GİRGİN</t>
        </is>
      </c>
      <c r="L123" s="9" t="inlineStr">
        <is>
          <t>DÜZELTME</t>
        </is>
      </c>
      <c r="M123" s="9" t="inlineStr">
        <is>
          <t>ONAY</t>
        </is>
      </c>
      <c r="N123" s="9" t="n"/>
      <c r="O123" s="66" t="n"/>
      <c r="P123" s="9">
        <f>IF(O123&lt;&gt;"",O123, IF(N123&lt;&gt;"",N123, IF(M123&lt;&gt;"",M123, L123)))</f>
        <v/>
      </c>
      <c r="R123" s="95">
        <f>IF(AND(L123="", B123&lt;&gt;""), B123, "")</f>
        <v/>
      </c>
    </row>
    <row r="124" ht="78.75" customHeight="1" s="221">
      <c r="A124" s="5" t="inlineStr">
        <is>
          <t>123.</t>
        </is>
      </c>
      <c r="B124" s="6" t="inlineStr">
        <is>
          <t>SBA 26/123</t>
        </is>
      </c>
      <c r="C124" s="8" t="inlineStr">
        <is>
          <t>Doç. Dr. Süleyman Nahit ŞENDUR</t>
        </is>
      </c>
      <c r="D124" s="8" t="inlineStr">
        <is>
          <t>İç Hastalıkları Anabilim Dalı</t>
        </is>
      </c>
      <c r="E124" s="7" t="inlineStr">
        <is>
          <t>Üniversitemiz Tıp Fakültesi İç Hastalıkları Anabilim Dalı öğretim üyelerinden Doç. Dr. Süleyman Nahit ŞENDUR’un sorumlu araştırmacı olduğu, Doç. Dr. Seda Hanife OĞUZ BAYKAL, Uzm. Dr. Nergis BASMACI, Uzm. Dr. Alperen Onur İŞLER ile birlikte çalışacakları,</t>
        </is>
      </c>
      <c r="F124" s="7" t="inlineStr">
        <is>
          <t>“Diyabetik Ketoasidoz ile Başvuran Hastaların Klinik, Tedavi ve Sonlanımlarının Retrospektif Değerlendirilmesi”</t>
        </is>
      </c>
      <c r="G124" s="13" t="inlineStr">
        <is>
          <t>Bireysel Araştırma</t>
        </is>
      </c>
      <c r="H124" s="54" t="n">
        <v>46045</v>
      </c>
      <c r="I124" s="52" t="n">
        <v>46057</v>
      </c>
      <c r="J124" s="8" t="inlineStr">
        <is>
          <t>Dr. Öğr. Üyesi Müge DEMİR</t>
        </is>
      </c>
      <c r="K124" s="8" t="inlineStr">
        <is>
          <t>Prof. Dr. Nazmiye Ebru ORTAÇ ERSOY</t>
        </is>
      </c>
      <c r="L124" s="9" t="inlineStr">
        <is>
          <t>ONAY</t>
        </is>
      </c>
      <c r="M124" s="9" t="n"/>
      <c r="N124" s="9" t="n"/>
      <c r="O124" s="66" t="n"/>
      <c r="P124" s="9">
        <f>IF(O124&lt;&gt;"",O124, IF(N124&lt;&gt;"",N124, IF(M124&lt;&gt;"",M124, L124)))</f>
        <v/>
      </c>
      <c r="R124" s="95">
        <f>IF(AND(L124="", B124&lt;&gt;""), B124, "")</f>
        <v/>
      </c>
    </row>
    <row r="125" ht="94.5" customHeight="1" s="221">
      <c r="A125" s="5" t="inlineStr">
        <is>
          <t>124.</t>
        </is>
      </c>
      <c r="B125" s="6" t="inlineStr">
        <is>
          <t>SBA 26/124</t>
        </is>
      </c>
      <c r="C125" s="8" t="inlineStr">
        <is>
          <t>Prof. Dr. Yavuz AYHAN</t>
        </is>
      </c>
      <c r="D125" s="8" t="inlineStr">
        <is>
          <t>Ruh Sağlığı ve Hastalıkları Anabilim Dalı</t>
        </is>
      </c>
      <c r="E125" s="7" t="inlineStr">
        <is>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is>
      </c>
      <c r="F125" s="7" t="inlineStr">
        <is>
          <t>"Depresyon ve Parkinson Hastalığında beyinden Gelen Nöronal Ekstraselüler Veziküllerin Tespiti ve Karakterizasyonu"</t>
        </is>
      </c>
      <c r="G125" s="13" t="inlineStr">
        <is>
          <t>Bireysel Araştırma</t>
        </is>
      </c>
      <c r="H125" s="54" t="n">
        <v>46045</v>
      </c>
      <c r="I125" s="52" t="n">
        <v>46057</v>
      </c>
      <c r="J125" s="8" t="inlineStr">
        <is>
          <t>Doç. Dr. Burcu ERSÖZ ALAN</t>
        </is>
      </c>
      <c r="K125" s="8" t="inlineStr">
        <is>
          <t>Prof. Dr. Ayşe Nurten AKARSU</t>
        </is>
      </c>
      <c r="L125" s="9" t="inlineStr">
        <is>
          <t>DÜZELTME</t>
        </is>
      </c>
      <c r="M125" s="9" t="n"/>
      <c r="N125" s="9" t="n"/>
      <c r="O125" s="66" t="n"/>
      <c r="P125" s="9">
        <f>IF(O125&lt;&gt;"",O125, IF(N125&lt;&gt;"",N125, IF(M125&lt;&gt;"",M125, L125)))</f>
        <v/>
      </c>
      <c r="R125" s="95">
        <f>IF(AND(L125="", B125&lt;&gt;""), B125, "")</f>
        <v/>
      </c>
    </row>
    <row r="126" ht="110.25" customHeight="1" s="221">
      <c r="A126" s="5" t="inlineStr">
        <is>
          <t>125.</t>
        </is>
      </c>
      <c r="B126" s="6" t="inlineStr">
        <is>
          <t>SBA 26/125</t>
        </is>
      </c>
      <c r="C126" s="8" t="inlineStr">
        <is>
          <t>Prof. Dr. Ali Fuat KALYONCU</t>
        </is>
      </c>
      <c r="D126" s="8" t="inlineStr">
        <is>
          <t>Göğüs Hastalıkları Anabilim Dalı</t>
        </is>
      </c>
      <c r="E126" s="7" t="inlineStr">
        <is>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is>
      </c>
      <c r="F126" s="7" t="inlineStr">
        <is>
          <t>"Nonsteroid Anti-İnflamatuar İlaçlarla Alevlenen Solunum Yolu Hastalığı Tanılı Kadınlarda Polikistik Over Sendromu Sıklığının Değerlendirilmesi"</t>
        </is>
      </c>
      <c r="G126" s="13" t="inlineStr">
        <is>
          <t>Bireysel Araştırma</t>
        </is>
      </c>
      <c r="H126" s="54" t="n">
        <v>46045</v>
      </c>
      <c r="I126" s="52" t="n">
        <v>46057</v>
      </c>
      <c r="J126" s="8" t="inlineStr">
        <is>
          <t>Prof. Dr. Melih Önder BABAOĞLU</t>
        </is>
      </c>
      <c r="K126" s="8" t="inlineStr">
        <is>
          <t>Doç. Dr. Kübra AYKAÇ</t>
        </is>
      </c>
      <c r="L126" s="9" t="inlineStr">
        <is>
          <t>DÜZELTME</t>
        </is>
      </c>
      <c r="M126" s="9" t="n"/>
      <c r="N126" s="9" t="n"/>
      <c r="O126" s="66" t="n"/>
      <c r="P126" s="9">
        <f>IF(O126&lt;&gt;"",O126, IF(N126&lt;&gt;"",N126, IF(M126&lt;&gt;"",M126, L126)))</f>
        <v/>
      </c>
      <c r="R126" s="95">
        <f>IF(AND(L126="", B126&lt;&gt;""), B126, "")</f>
        <v/>
      </c>
    </row>
    <row r="127" ht="94.5" customHeight="1" s="221">
      <c r="A127" s="5" t="inlineStr">
        <is>
          <t>126.</t>
        </is>
      </c>
      <c r="B127" s="6" t="inlineStr">
        <is>
          <t>SBA 26/126</t>
        </is>
      </c>
      <c r="C127" s="8" t="inlineStr">
        <is>
          <t>Doç. Dr. Ceren ÖZKUL KOÇAK</t>
        </is>
      </c>
      <c r="D127" s="8" t="inlineStr">
        <is>
          <t>Farmasötik Mikrobiyoloji Anabilim Dalı</t>
        </is>
      </c>
      <c r="E127" s="7" t="inlineStr">
        <is>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is>
      </c>
      <c r="F127" s="7" t="inlineStr">
        <is>
          <t>“Kistik Fibrozis Hastalarından İzole Edilen Pseudomonas aeruginosa İzolatlarında Kolistin ve Tobramisinin Sub-inhibitör Düzeydeki Etkilerinin Karşılaştırmalı Transkriptomik ve Metabolomik Analizi”</t>
        </is>
      </c>
      <c r="G127" s="13" t="inlineStr">
        <is>
          <t>Doktora Tezi</t>
        </is>
      </c>
      <c r="H127" s="54" t="n">
        <v>46045</v>
      </c>
      <c r="I127" s="52" t="n">
        <v>46057</v>
      </c>
      <c r="J127" s="8" t="inlineStr">
        <is>
          <t>Doç. Dr. Kübra AYKAÇ</t>
        </is>
      </c>
      <c r="K127" s="8" t="inlineStr">
        <is>
          <t>Prof. Dr. Gözde GİRGİN</t>
        </is>
      </c>
      <c r="L127" s="9" t="inlineStr">
        <is>
          <t>DÜZELTME</t>
        </is>
      </c>
      <c r="M127" s="9" t="inlineStr">
        <is>
          <t>ONAY</t>
        </is>
      </c>
      <c r="N127" s="9" t="n"/>
      <c r="O127" s="66" t="n"/>
      <c r="P127" s="9">
        <f>IF(O127&lt;&gt;"",O127, IF(N127&lt;&gt;"",N127, IF(M127&lt;&gt;"",M127, L127)))</f>
        <v/>
      </c>
      <c r="R127" s="95">
        <f>IF(AND(L127="", B127&lt;&gt;""), B127, "")</f>
        <v/>
      </c>
    </row>
    <row r="128" ht="63" customHeight="1" s="221">
      <c r="A128" s="5" t="inlineStr">
        <is>
          <t>127.</t>
        </is>
      </c>
      <c r="B128" s="6" t="inlineStr">
        <is>
          <t>SBA 26/127</t>
        </is>
      </c>
      <c r="C128" s="8" t="inlineStr">
        <is>
          <t>Prof. Dr. Oğuz IŞIK</t>
        </is>
      </c>
      <c r="D128" s="8" t="inlineStr">
        <is>
          <t>Sağlık Yönetimi Anabilim Dalı</t>
        </is>
      </c>
      <c r="E128" s="7" t="inlineStr">
        <is>
          <t>Üniversitemiz İktisadi ve İdari Bilimler Fakültesi Sağlık Yönetimi Anabilim Dalı öğretim üyelerinden Prof. Dr. Oğuz IŞIK’ın sorumlu araştırmacı olduğu, Arş. Gör. Hamza SIĞIRCI’nın doktora tezi olan,</t>
        </is>
      </c>
      <c r="F128" s="7" t="inlineStr">
        <is>
          <t>“Sağlık Hizmetlerinde Yalın Yönetim: Ağız ve Diş Sağlığı Merkezi Örneği”</t>
        </is>
      </c>
      <c r="G128" s="13" t="inlineStr">
        <is>
          <t>Doktora Tezi</t>
        </is>
      </c>
      <c r="H128" s="54" t="n">
        <v>46045</v>
      </c>
      <c r="I128" s="52" t="n">
        <v>46057</v>
      </c>
      <c r="J128" s="8" t="inlineStr">
        <is>
          <t>Prof. Dr. Ayşe Nurten AKARSU</t>
        </is>
      </c>
      <c r="K128" s="8" t="inlineStr">
        <is>
          <t>Prof. Dr. Gözde GİRGİN</t>
        </is>
      </c>
      <c r="L128" s="9" t="inlineStr">
        <is>
          <t>ONAY</t>
        </is>
      </c>
      <c r="M128" s="9" t="n"/>
      <c r="N128" s="9" t="n"/>
      <c r="O128" s="66" t="n"/>
      <c r="P128" s="9">
        <f>IF(O128&lt;&gt;"",O128, IF(N128&lt;&gt;"",N128, IF(M128&lt;&gt;"",M128, L128)))</f>
        <v/>
      </c>
      <c r="R128" s="95">
        <f>IF(AND(L128="", B128&lt;&gt;""), B128, "")</f>
        <v/>
      </c>
    </row>
    <row r="129" ht="78.75" customHeight="1" s="221">
      <c r="A129" s="5" t="inlineStr">
        <is>
          <t>128.</t>
        </is>
      </c>
      <c r="B129" s="6" t="inlineStr">
        <is>
          <t>SBA 26/128</t>
        </is>
      </c>
      <c r="C129" s="8" t="inlineStr">
        <is>
          <t>Dr. Öğr. Üyesi Ayşe METE YEŞİL</t>
        </is>
      </c>
      <c r="D129" s="8" t="inlineStr">
        <is>
          <t>Çocuk Sağlığı ve Hastalıkları Anabilim Dalı</t>
        </is>
      </c>
      <c r="E129" s="7" t="inlineStr">
        <is>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is>
      </c>
      <c r="F129" s="7" t="inlineStr">
        <is>
          <t>“Çocukluk Çağı Kalp Hastalıklarında Uyku Sorunları ve Gelişimsel Endişeler"</t>
        </is>
      </c>
      <c r="G129" s="13" t="inlineStr">
        <is>
          <t>Uzmanlık Tezi</t>
        </is>
      </c>
      <c r="H129" s="54" t="n">
        <v>46045</v>
      </c>
      <c r="I129" s="52" t="n">
        <v>46057</v>
      </c>
      <c r="J129" s="8" t="inlineStr">
        <is>
          <t>Doç. Dr. Burcu ERSÖZ ALAN</t>
        </is>
      </c>
      <c r="K129" s="8" t="inlineStr">
        <is>
          <t>Dr. Öğr. Üyesi Müge DEMİR</t>
        </is>
      </c>
      <c r="L129" s="9" t="inlineStr">
        <is>
          <t>DÜZELTME</t>
        </is>
      </c>
      <c r="M129" s="9" t="inlineStr">
        <is>
          <t>ONAY</t>
        </is>
      </c>
      <c r="N129" s="9" t="n"/>
      <c r="O129" s="66" t="n"/>
      <c r="P129" s="9">
        <f>IF(O129&lt;&gt;"",O129, IF(N129&lt;&gt;"",N129, IF(M129&lt;&gt;"",M129, L129)))</f>
        <v/>
      </c>
      <c r="R129" s="95">
        <f>IF(AND(L129="", B129&lt;&gt;""), B129, "")</f>
        <v/>
      </c>
    </row>
    <row r="130" ht="78.75" customHeight="1" s="221">
      <c r="A130" s="5" t="inlineStr">
        <is>
          <t>129.</t>
        </is>
      </c>
      <c r="B130" s="6" t="inlineStr">
        <is>
          <t>SBA 26/129</t>
        </is>
      </c>
      <c r="C130" s="8" t="inlineStr">
        <is>
          <t>Prof. Dr. Dilşad FOTO ÖZDEMİR</t>
        </is>
      </c>
      <c r="D130" s="8" t="inlineStr">
        <is>
          <t>Çocuk ve Ergen Ruh Sağlığı ve Hastalıkları Anabilim Dalı</t>
        </is>
      </c>
      <c r="E130" s="7" t="inlineStr">
        <is>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is>
      </c>
      <c r="F130" s="7" t="inlineStr">
        <is>
          <t>“Otizm Spektrum Bozukluğu Olan Çocuklarda Ebeveyn Çocuk İlişki Kalitesi, Ebeveyn Oksitosin Düzeyi ve Ebeveynlerin Bakım Paylaşım Dengesinin Duygu Düzenleme ile İlişkisinin İncelenmesi”</t>
        </is>
      </c>
      <c r="G130" s="13" t="inlineStr">
        <is>
          <t>Uzmanlık Tezi</t>
        </is>
      </c>
      <c r="H130" s="54" t="n">
        <v>46045</v>
      </c>
      <c r="I130" s="52" t="n">
        <v>46057</v>
      </c>
      <c r="J130" s="8" t="inlineStr">
        <is>
          <t>Doç. Dr. Burcu ERSÖZ ALAN</t>
        </is>
      </c>
      <c r="K130" s="8" t="inlineStr">
        <is>
          <t>Prof. Dr. Nazmiye Ebru ORTAÇ ERSOY</t>
        </is>
      </c>
      <c r="L130" s="9" t="inlineStr">
        <is>
          <t>ONAY</t>
        </is>
      </c>
      <c r="M130" s="9" t="n"/>
      <c r="N130" s="9" t="n"/>
      <c r="O130" s="66" t="n"/>
      <c r="P130" s="9">
        <f>IF(O130&lt;&gt;"",O130, IF(N130&lt;&gt;"",N130, IF(M130&lt;&gt;"",M130, L130)))</f>
        <v/>
      </c>
      <c r="R130" s="95">
        <f>IF(AND(L130="", B130&lt;&gt;""), B130, "")</f>
        <v/>
      </c>
    </row>
    <row r="131" ht="79.5" customHeight="1" s="221">
      <c r="A131" s="5" t="inlineStr">
        <is>
          <t>130.</t>
        </is>
      </c>
      <c r="B131" s="6" t="inlineStr">
        <is>
          <t>SBA 26/130</t>
        </is>
      </c>
      <c r="C131" s="8" t="inlineStr">
        <is>
          <t>Prof. Dr. Serdar ÖZER</t>
        </is>
      </c>
      <c r="D131" s="8" t="inlineStr">
        <is>
          <t>Kulak Burun Boğaz Anabilim Dalı</t>
        </is>
      </c>
      <c r="E131" s="7" t="inlineStr">
        <is>
          <t>Üniversitemiz Tıp Fakültesi Kulak Burun Boğaz Anabilim Dalı öğretim üyelerinden Prof. Dr. Serdar ÖZER’in sorumlu araştırmacı olduğu, Öğr. Gör. Dr. Burçay TELLİOĞLU ile birlikte çalışacakları ve Arş. Gör. Dr. Yaşar ATAY’ın uzmanlık tezi olan,</t>
        </is>
      </c>
      <c r="F131" s="7" t="inlineStr">
        <is>
          <t>“Pediatrik Hastalarda Adenoidektomi ve Parasentez Sonrası Otolojik İyileşme ve Yaşam Kalitesi Değişimleri”</t>
        </is>
      </c>
      <c r="G131" s="13" t="inlineStr">
        <is>
          <t>Uzmanlık Tezi</t>
        </is>
      </c>
      <c r="H131" s="54" t="n">
        <v>46045</v>
      </c>
      <c r="I131" s="52" t="n">
        <v>46057</v>
      </c>
      <c r="J131" s="8" t="inlineStr">
        <is>
          <t>Prof. Dr. Melih Önder BABAOĞLU</t>
        </is>
      </c>
      <c r="K131" s="8" t="inlineStr">
        <is>
          <t>Prof. Dr. M. Özgür UYANIK</t>
        </is>
      </c>
      <c r="L131" s="9" t="inlineStr">
        <is>
          <t>ONAY</t>
        </is>
      </c>
      <c r="M131" s="9" t="n"/>
      <c r="N131" s="9" t="n"/>
      <c r="O131" s="66" t="n"/>
      <c r="P131" s="9">
        <f>IF(O131&lt;&gt;"",O131, IF(N131&lt;&gt;"",N131, IF(M131&lt;&gt;"",M131, L131)))</f>
        <v/>
      </c>
      <c r="R131" s="95">
        <f>IF(AND(L131="", B131&lt;&gt;""), B131, "")</f>
        <v/>
      </c>
    </row>
    <row r="132" ht="63" customHeight="1" s="221">
      <c r="A132" s="5" t="inlineStr">
        <is>
          <t>131.</t>
        </is>
      </c>
      <c r="B132" s="6" t="inlineStr">
        <is>
          <t>SBA 26/131</t>
        </is>
      </c>
      <c r="C132" s="8" t="inlineStr">
        <is>
          <t>Prof. Dr. Hatice Yasemin BALABAN</t>
        </is>
      </c>
      <c r="D132" s="8" t="inlineStr">
        <is>
          <t>İç Hastalıkları Anabilim Dalı</t>
        </is>
      </c>
      <c r="E132" s="7" t="inlineStr">
        <is>
          <t>Üniversitemiz Tıp Fakültesi İç Hastalıkları Anabilim Dalı öğretim üyelerinden Prof. Dr. Hatice Yasemin BALABAN’ın sorumlu araştırmacı olduğu, Arş. Gör. Dr. Burcu GÜRBÜZ ve Arş. Gör. Dr. Deniz ŞİMŞEK ile birlikte çalışacakları,</t>
        </is>
      </c>
      <c r="F132" s="7" t="inlineStr">
        <is>
          <t>“Çölyak Hastalığında İşe Devam ve İşe Devamsızlık – Çok Merkezli Bir Çalışma”</t>
        </is>
      </c>
      <c r="G132" s="13" t="inlineStr">
        <is>
          <t>Bireysel Araştırma</t>
        </is>
      </c>
      <c r="H132" s="54" t="n">
        <v>46045</v>
      </c>
      <c r="I132" s="52" t="n">
        <v>46057</v>
      </c>
      <c r="J132" s="8" t="inlineStr">
        <is>
          <t>Prof. Dr. Nazmiye Ebru ORTAÇ ERSOY</t>
        </is>
      </c>
      <c r="K132" s="8" t="inlineStr">
        <is>
          <t>Doç. Dr. Kübra AYKAÇ</t>
        </is>
      </c>
      <c r="L132" s="9" t="inlineStr">
        <is>
          <t>DÜZELTME</t>
        </is>
      </c>
      <c r="M132" s="9" t="n"/>
      <c r="N132" s="9" t="n"/>
      <c r="O132" s="66" t="n"/>
      <c r="P132" s="9">
        <f>IF(O132&lt;&gt;"",O132, IF(N132&lt;&gt;"",N132, IF(M132&lt;&gt;"",M132, L132)))</f>
        <v/>
      </c>
      <c r="R132" s="95">
        <f>IF(AND(L132="", B132&lt;&gt;""), B132, "")</f>
        <v/>
      </c>
    </row>
    <row r="133" ht="64.5" customHeight="1" s="221">
      <c r="A133" s="5" t="inlineStr">
        <is>
          <t>132.</t>
        </is>
      </c>
      <c r="B133" s="6" t="inlineStr">
        <is>
          <t>SBA 26/132</t>
        </is>
      </c>
      <c r="C133" s="8" t="inlineStr">
        <is>
          <t>Prof. Dr. Yahya BÜYÜKAŞIK</t>
        </is>
      </c>
      <c r="D133" s="8" t="inlineStr">
        <is>
          <t>İç Hastalıkları Anabilim Dalı</t>
        </is>
      </c>
      <c r="E133" s="7" t="inlineStr">
        <is>
          <t>Üniversitemiz Tıp Fakültesi İç Hastalıkları Anabilim Dalı öğretim üyelerinden Prof. Dr. Yahya BÜYÜKAŞIK’ın sorumlu araştırmacı olduğu, Arş. Gör. Dr. Dilan KAYAALP'in uzmanlık tezi olan,</t>
        </is>
      </c>
      <c r="F133" s="7" t="inlineStr">
        <is>
          <t>“Kemik İliği Metastazı ile Solid Tümör Tanısı Alan Hastaların Klinik ve Laboratuvar Özelliklerinin Retrospektif Analizi”</t>
        </is>
      </c>
      <c r="G133" s="13" t="inlineStr">
        <is>
          <t>Uzmanlık Tezi</t>
        </is>
      </c>
      <c r="H133" s="54" t="n">
        <v>46045</v>
      </c>
      <c r="I133" s="52" t="n">
        <v>46057</v>
      </c>
      <c r="J133" s="8" t="inlineStr">
        <is>
          <t>Prof. Dr. Nazmiye Ebru ORTAÇ ERSOY</t>
        </is>
      </c>
      <c r="K133" s="8" t="inlineStr">
        <is>
          <t>Doç. Dr. Burcu ERSÖZ ALAN</t>
        </is>
      </c>
      <c r="L133" s="9" t="inlineStr">
        <is>
          <t>ONAY</t>
        </is>
      </c>
      <c r="M133" s="9" t="n"/>
      <c r="N133" s="9" t="n"/>
      <c r="O133" s="66" t="n"/>
      <c r="P133" s="9">
        <f>IF(O133&lt;&gt;"",O133, IF(N133&lt;&gt;"",N133, IF(M133&lt;&gt;"",M133, L133)))</f>
        <v/>
      </c>
      <c r="R133" s="95">
        <f>IF(AND(L133="", B133&lt;&gt;""), B133, "")</f>
        <v/>
      </c>
    </row>
    <row r="134" ht="78.75" customHeight="1" s="221">
      <c r="A134" s="5" t="inlineStr">
        <is>
          <t>133.</t>
        </is>
      </c>
      <c r="B134" s="6" t="inlineStr">
        <is>
          <t>SBA 26/133</t>
        </is>
      </c>
      <c r="C134" s="8" t="inlineStr">
        <is>
          <t>Prof. Dr. Aygin EKİNCİOĞLU</t>
        </is>
      </c>
      <c r="D134" s="8" t="inlineStr">
        <is>
          <t>Klinik Eczacılık Anabilim Dalı</t>
        </is>
      </c>
      <c r="E134" s="7" t="inlineStr">
        <is>
          <t>Üniversitemiz Eczacılık Fakültesi Klinik Eczacılık Anabilim Dalı öğretim üyelerinden Prof. Dr. Aygin EKİNCİOĞLU’nun sorumlu araştırmacı olduğu, Prof. Dr. Ali DÜZOVA, Prof. Dr. Fatih ÖZALTIN ve Dr. Öğr. Üyesi Emine Gülşah ÖZDEMİR ile birlikte çalışacakları,</t>
        </is>
      </c>
      <c r="F134" s="7" t="inlineStr">
        <is>
          <t>“Pediatrik Hastalarda Kortikosteroid Kullanımına Yönelik Ebeveyn/Bakım Veren Görüşlerini Değerlendiren Bir Ölçeğin Geliştirilmesi ve Değerlendirilmesi”</t>
        </is>
      </c>
      <c r="G134" s="13" t="inlineStr">
        <is>
          <t>Bireysel Araştırma</t>
        </is>
      </c>
      <c r="H134" s="54" t="n">
        <v>46045</v>
      </c>
      <c r="I134" s="52" t="n">
        <v>46057</v>
      </c>
      <c r="J134" s="8" t="inlineStr">
        <is>
          <t>Dr. Öğr. Üyesi Müge DEMİR</t>
        </is>
      </c>
      <c r="K134" s="8" t="inlineStr">
        <is>
          <t>Prof. Dr. Gözde GİRGİN</t>
        </is>
      </c>
      <c r="L134" s="9" t="inlineStr">
        <is>
          <t>DÜZELTME</t>
        </is>
      </c>
      <c r="M134" s="9" t="inlineStr">
        <is>
          <t>ONAY</t>
        </is>
      </c>
      <c r="N134" s="9" t="n"/>
      <c r="O134" s="66" t="n"/>
      <c r="P134" s="9">
        <f>IF(O134&lt;&gt;"",O134, IF(N134&lt;&gt;"",N134, IF(M134&lt;&gt;"",M134, L134)))</f>
        <v/>
      </c>
      <c r="R134" s="95">
        <f>IF(AND(L134="", B134&lt;&gt;""), B134, "")</f>
        <v/>
      </c>
    </row>
    <row r="135" ht="94.5" customHeight="1" s="221">
      <c r="A135" s="5" t="inlineStr">
        <is>
          <t>134.</t>
        </is>
      </c>
      <c r="B135" s="6" t="inlineStr">
        <is>
          <t>SBA 26/134</t>
        </is>
      </c>
      <c r="C135" s="8" t="inlineStr">
        <is>
          <t>Doç. Dr. Gamze DURHAN</t>
        </is>
      </c>
      <c r="D135" s="8" t="inlineStr">
        <is>
          <t>Radyoloji Anabilim Dalı</t>
        </is>
      </c>
      <c r="E135" s="7" t="inlineStr">
        <is>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is>
      </c>
      <c r="F135" s="7" t="inlineStr">
        <is>
          <t>“Portabl Akciğer Grafilerinde Endotrakeal Tüp Pozisyonunun Belirlenmesi ve Pnömotoraks Teşhisinde Yapay Zeka: İki Programın Karşılaştırması”</t>
        </is>
      </c>
      <c r="G135" s="13" t="inlineStr">
        <is>
          <t>Bireysel Araştırma</t>
        </is>
      </c>
      <c r="H135" s="54" t="n">
        <v>46045</v>
      </c>
      <c r="I135" s="52" t="n">
        <v>46057</v>
      </c>
      <c r="J135" s="8" t="inlineStr">
        <is>
          <t>Dr. Öğr. Üyesi Müge DEMİR</t>
        </is>
      </c>
      <c r="K135" s="8" t="inlineStr">
        <is>
          <t>Prof. Dr. Melih Önder BABAOĞLU</t>
        </is>
      </c>
      <c r="L135" s="9" t="inlineStr">
        <is>
          <t>ONAY</t>
        </is>
      </c>
      <c r="M135" s="9" t="n"/>
      <c r="N135" s="9" t="n"/>
      <c r="O135" s="66" t="n"/>
      <c r="P135" s="9">
        <f>IF(O135&lt;&gt;"",O135, IF(N135&lt;&gt;"",N135, IF(M135&lt;&gt;"",M135, L135)))</f>
        <v/>
      </c>
      <c r="R135" s="95">
        <f>IF(AND(L135="", B135&lt;&gt;""), B135, "")</f>
        <v/>
      </c>
    </row>
    <row r="136" ht="78.75" customHeight="1" s="221">
      <c r="A136" s="5" t="inlineStr">
        <is>
          <t>135.</t>
        </is>
      </c>
      <c r="B136" s="6" t="inlineStr">
        <is>
          <t>SBA 26/135</t>
        </is>
      </c>
      <c r="C136" s="8" t="inlineStr">
        <is>
          <t>Doç. Dr. Ezgi ATİK</t>
        </is>
      </c>
      <c r="D136" s="8" t="inlineStr">
        <is>
          <t>Ortodonti Anabilim Dalı</t>
        </is>
      </c>
      <c r="E136" s="7" t="inlineStr">
        <is>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is>
      </c>
      <c r="F136" s="7" t="inlineStr">
        <is>
          <t>“Maksiller Darlığı Olan Hastalarda Diş-Kemik Destekli ve Saf Kemik Destekli Maksiller Ekspansiyon Yöntemlerinin Üç Boyutlu Karşılaştırılması”</t>
        </is>
      </c>
      <c r="G136" s="13" t="inlineStr">
        <is>
          <t>Bireysel Araştırma</t>
        </is>
      </c>
      <c r="H136" s="54" t="n">
        <v>46045</v>
      </c>
      <c r="I136" s="52" t="n">
        <v>46057</v>
      </c>
      <c r="J136" s="8" t="inlineStr">
        <is>
          <t>Prof. Dr. M. Özgür UYANIK</t>
        </is>
      </c>
      <c r="K136" s="8" t="inlineStr">
        <is>
          <t>Prof. Dr. Gözde GİRGİN</t>
        </is>
      </c>
      <c r="L136" s="9" t="inlineStr">
        <is>
          <t>DÜZELTME</t>
        </is>
      </c>
      <c r="M136" s="9" t="inlineStr">
        <is>
          <t>ONAY</t>
        </is>
      </c>
      <c r="N136" s="9" t="n"/>
      <c r="O136" s="66" t="n"/>
      <c r="P136" s="9">
        <f>IF(O136&lt;&gt;"",O136, IF(N136&lt;&gt;"",N136, IF(M136&lt;&gt;"",M136, L136)))</f>
        <v/>
      </c>
      <c r="R136" s="95">
        <f>IF(AND(L136="", B136&lt;&gt;""), B136, "")</f>
        <v/>
      </c>
    </row>
    <row r="137" ht="63" customHeight="1" s="221">
      <c r="A137" s="5" t="inlineStr">
        <is>
          <t>136.</t>
        </is>
      </c>
      <c r="B137" s="6" t="inlineStr">
        <is>
          <t>SBA 26/136</t>
        </is>
      </c>
      <c r="C137" s="8" t="inlineStr">
        <is>
          <t>Dr. Öğr. Üyesi Arda ÇETİNKAYA</t>
        </is>
      </c>
      <c r="D137" s="8" t="inlineStr">
        <is>
          <t>Biyoinformatik Anabilim Dalı</t>
        </is>
      </c>
      <c r="E137" s="7" t="inlineStr">
        <is>
          <t>Üniversitemiz Sağlık Bilimleri Enstitüsü Biyoinformatik Anabilim Dalı öğretim üyelerinden Dr. Öğr. Üyesi Arda ÇETİNKAYA’nın sorumlu araştırmacı olduğu, Dilay Deniz AYDOĞDU’nun yüksek lisans tezi olan,</t>
        </is>
      </c>
      <c r="F137" s="7" t="inlineStr">
        <is>
          <t>“Ebeveyn-Çocuk Üçlüsü Tüm Genom Dizileme Verilerinde De Novo Varyantların Güvenilir Tespitinin Araştırılması”</t>
        </is>
      </c>
      <c r="G137" s="13" t="inlineStr">
        <is>
          <t>Yüksek Lisans Tezi</t>
        </is>
      </c>
      <c r="H137" s="54" t="n">
        <v>46045</v>
      </c>
      <c r="I137" s="52" t="n">
        <v>46057</v>
      </c>
      <c r="J137" s="8" t="inlineStr">
        <is>
          <t>Dr. Öğr. Üyesi Müge DEMİR</t>
        </is>
      </c>
      <c r="K137" s="8" t="inlineStr">
        <is>
          <t>Prof. Dr. M. Özgür UYANIK</t>
        </is>
      </c>
      <c r="L137" s="9" t="inlineStr">
        <is>
          <t>ONAY</t>
        </is>
      </c>
      <c r="M137" s="9" t="n"/>
      <c r="N137" s="9" t="n"/>
      <c r="O137" s="66" t="n"/>
      <c r="P137" s="9">
        <f>IF(O137&lt;&gt;"",O137, IF(N137&lt;&gt;"",N137, IF(M137&lt;&gt;"",M137, L137)))</f>
        <v/>
      </c>
      <c r="R137" s="95">
        <f>IF(AND(L137="", B137&lt;&gt;""), B137, "")</f>
        <v/>
      </c>
    </row>
    <row r="138" ht="78.75" customHeight="1" s="221">
      <c r="A138" s="5" t="inlineStr">
        <is>
          <t>137.</t>
        </is>
      </c>
      <c r="B138" s="6" t="inlineStr">
        <is>
          <t>SBA 26/137</t>
        </is>
      </c>
      <c r="C138" s="8" t="inlineStr">
        <is>
          <t>Dr. Öğr. Üyesi Ergin EROĞLU</t>
        </is>
      </c>
      <c r="D138" s="8" t="inlineStr">
        <is>
          <t>Kulak Burun Boğaz Anabilim Dalı</t>
        </is>
      </c>
      <c r="E138" s="7" t="inlineStr">
        <is>
          <t>Üniversitemiz Tıp Fakültesi Kulak Burun Boğaz Anabilim Dalı öğretim üyelerinden Dr. Öğr Üyesi Ergin EROĞLU’nun sorumlu araştırmacı olduğu, Prof. Dr. Levent SENNAROĞLU, Doç. Dr. Ahmet İlkay IŞIKAY ve Arş. Gör. Dr. Aysun PARLAK KOCABAY ile birlikte çalışacakları,</t>
        </is>
      </c>
      <c r="F138" s="7" t="inlineStr">
        <is>
          <t>“İşitsel Beyinsapı İmplantasyonu Sonrası Revizyon Cerrahisi Geçirmiş Olgularda Revizyon Nedenlerinin İncelenmesi”</t>
        </is>
      </c>
      <c r="G138" s="13" t="inlineStr">
        <is>
          <t>Bireysel Araştırma</t>
        </is>
      </c>
      <c r="H138" s="54" t="n">
        <v>46048</v>
      </c>
      <c r="I138" s="52" t="n">
        <v>46057</v>
      </c>
      <c r="J138" s="8" t="inlineStr">
        <is>
          <t>Dr. Öğr. Üyesi Müge DEMİR</t>
        </is>
      </c>
      <c r="K138" s="8" t="inlineStr">
        <is>
          <t>Doç. Dr. Kübra AYKAÇ</t>
        </is>
      </c>
      <c r="L138" s="9" t="inlineStr">
        <is>
          <t>ONAY</t>
        </is>
      </c>
      <c r="M138" s="9" t="n"/>
      <c r="N138" s="9" t="n"/>
      <c r="O138" s="66" t="n"/>
      <c r="P138" s="9">
        <f>IF(O138&lt;&gt;"",O138, IF(N138&lt;&gt;"",N138, IF(M138&lt;&gt;"",M138, L138)))</f>
        <v/>
      </c>
      <c r="R138" s="95">
        <f>IF(AND(L138="", B138&lt;&gt;""), B138, "")</f>
        <v/>
      </c>
    </row>
    <row r="139" ht="110.25" customHeight="1" s="221">
      <c r="A139" s="5" t="inlineStr">
        <is>
          <t>138.</t>
        </is>
      </c>
      <c r="B139" s="6" t="inlineStr">
        <is>
          <t>SBA 26/138</t>
        </is>
      </c>
      <c r="C139" s="8" t="inlineStr">
        <is>
          <t>Prof. Dr. Hülya DEMİR</t>
        </is>
      </c>
      <c r="D139" s="8" t="inlineStr">
        <is>
          <t>Çocuk Sağlığı ve Hastalıkları Anabilim Dalı</t>
        </is>
      </c>
      <c r="E139" s="7" t="inlineStr">
        <is>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is>
      </c>
      <c r="F139" s="7" t="inlineStr">
        <is>
          <t>“Karaciğer Nakli Yapılan Çocukların Değerlendirilmesi, Alıcı ve Vericinin Nakil Komplikasyonlarına Etkisi Olan Parametrelerinin Araştırılması”</t>
        </is>
      </c>
      <c r="G139" s="13" t="inlineStr">
        <is>
          <t>Bireysel Araştırma</t>
        </is>
      </c>
      <c r="H139" s="54" t="n">
        <v>46048</v>
      </c>
      <c r="I139" s="52" t="n">
        <v>46057</v>
      </c>
      <c r="J139" s="8" t="inlineStr">
        <is>
          <t>Prof. Dr. Ayşe Nurten AKARSU</t>
        </is>
      </c>
      <c r="K139" s="8" t="inlineStr">
        <is>
          <t>Doç. Dr. Burcu ERSÖZ ALAN</t>
        </is>
      </c>
      <c r="L139" s="9" t="inlineStr">
        <is>
          <t>ONAY</t>
        </is>
      </c>
      <c r="M139" s="9" t="n"/>
      <c r="N139" s="9" t="n"/>
      <c r="O139" s="66" t="n"/>
      <c r="P139" s="9">
        <f>IF(O139&lt;&gt;"",O139, IF(N139&lt;&gt;"",N139, IF(M139&lt;&gt;"",M139, L139)))</f>
        <v/>
      </c>
      <c r="R139" s="95">
        <f>IF(AND(L139="", B139&lt;&gt;""), B139, "")</f>
        <v/>
      </c>
    </row>
    <row r="140" ht="63" customHeight="1" s="221">
      <c r="A140" s="5" t="inlineStr">
        <is>
          <t>139.</t>
        </is>
      </c>
      <c r="B140" s="6" t="inlineStr">
        <is>
          <t>SBA 26/139</t>
        </is>
      </c>
      <c r="C140" s="8" t="inlineStr">
        <is>
          <t>Doç. Dr. Seda Hanife OĞUZ BAYKAL</t>
        </is>
      </c>
      <c r="D140" s="8" t="inlineStr">
        <is>
          <t>İç Hastalıkları Anabilim Dalı</t>
        </is>
      </c>
      <c r="E140" s="7" t="inlineStr">
        <is>
          <t>Üniversitemiz Tıp Fakültesi İç Hastalıkları Anabilim Dalı öğretim üyelerinden Doç. Dr. Seda Hanife OĞUZ BAYKAL'ın sorumlu araştırmacı olduğu, Prof. Dr. Uğur ÜNLÜTÜRK ve Uzm. Dr. Alperen Onur İŞLER ile birlikte çalışacakları,</t>
        </is>
      </c>
      <c r="F140" s="7" t="inlineStr">
        <is>
          <t>“Talasemi Hastalarında Endokrin Bozuklukların Yaşam Kalitesi Üzerine Etkisinin Değerlendirilmesi”</t>
        </is>
      </c>
      <c r="G140" s="13" t="inlineStr">
        <is>
          <t>Bireysel Araştırma</t>
        </is>
      </c>
      <c r="H140" s="54" t="n">
        <v>46048</v>
      </c>
      <c r="I140" s="52" t="n">
        <v>46057</v>
      </c>
      <c r="J140" s="8" t="inlineStr">
        <is>
          <t>Doç. Dr. Kübra AYKAÇ</t>
        </is>
      </c>
      <c r="K140" s="8" t="inlineStr">
        <is>
          <t>Prof. Dr. Nazmiye Ebru ORTAÇ ERSOY</t>
        </is>
      </c>
      <c r="L140" s="9" t="inlineStr">
        <is>
          <t>ONAY</t>
        </is>
      </c>
      <c r="M140" s="9" t="n"/>
      <c r="N140" s="9" t="n"/>
      <c r="O140" s="66" t="n"/>
      <c r="P140" s="9">
        <f>IF(O140&lt;&gt;"",O140, IF(N140&lt;&gt;"",N140, IF(M140&lt;&gt;"",M140, L140)))</f>
        <v/>
      </c>
      <c r="R140" s="95">
        <f>IF(AND(L140="", B140&lt;&gt;""), B140, "")</f>
        <v/>
      </c>
    </row>
    <row r="141" ht="80.25" customHeight="1" s="221">
      <c r="A141" s="5" t="inlineStr">
        <is>
          <t>140.</t>
        </is>
      </c>
      <c r="B141" s="6" t="inlineStr">
        <is>
          <t>SBA 26/140</t>
        </is>
      </c>
      <c r="C141" s="8" t="inlineStr">
        <is>
          <t>Prof. Dr. Ayşe Tomris ERBAŞ</t>
        </is>
      </c>
      <c r="D141" s="8" t="inlineStr">
        <is>
          <t>İç Hastalıkları Anabilim Dalı</t>
        </is>
      </c>
      <c r="E141" s="7" t="inlineStr">
        <is>
          <t>Üniversitemiz Tıp Fakültesi, İç Hastalıkları Anabilim Dalı öğretim üyelerinden Prof. Dr. Ayşe Tomris ERBAŞ’ın sorumlu araştırmacı olduğu, Prof. Dr. Selçuk DAĞDELEN, Doç. Dr. Süleyman Nahit ŞENDUR, Uzm. Dr. Nergis BASMACI ile birlikte çalışacakları,</t>
        </is>
      </c>
      <c r="F141" s="7" t="inlineStr">
        <is>
          <t>“Cushing Hastalarında Tedavi Geçmişi ve Sonlanımlar: Tek Merkez Deneyimi"</t>
        </is>
      </c>
      <c r="G141" s="13" t="inlineStr">
        <is>
          <t>Bireysel Araştırma</t>
        </is>
      </c>
      <c r="H141" s="54" t="n">
        <v>46048</v>
      </c>
      <c r="I141" s="52" t="n">
        <v>46057</v>
      </c>
      <c r="J141" s="8" t="inlineStr">
        <is>
          <t>Prof. Dr. Nazmiye Ebru ORTAÇ ERSOY</t>
        </is>
      </c>
      <c r="K141" s="8" t="inlineStr">
        <is>
          <t>Prof. Dr. Melih Önder BABAOĞLU</t>
        </is>
      </c>
      <c r="L141" s="9" t="inlineStr">
        <is>
          <t>ONAY</t>
        </is>
      </c>
      <c r="M141" s="9" t="n"/>
      <c r="N141" s="9" t="n"/>
      <c r="O141" s="66" t="n"/>
      <c r="P141" s="9">
        <f>IF(O141&lt;&gt;"",O141, IF(N141&lt;&gt;"",N141, IF(M141&lt;&gt;"",M141, L141)))</f>
        <v/>
      </c>
      <c r="R141" s="95">
        <f>IF(AND(L141="", B141&lt;&gt;""), B141, "")</f>
        <v/>
      </c>
    </row>
    <row r="142" ht="126" customHeight="1" s="221">
      <c r="A142" s="5" t="inlineStr">
        <is>
          <t>141.</t>
        </is>
      </c>
      <c r="B142" s="6" t="inlineStr">
        <is>
          <t>SBA 26/141</t>
        </is>
      </c>
      <c r="C142" s="8" t="inlineStr">
        <is>
          <t>Prof. Dr. Deniz DOĞRU ERSÖZ</t>
        </is>
      </c>
      <c r="D142" s="8" t="inlineStr">
        <is>
          <t>Çocuk Sağlığı ve Hastalıkları Anabilim Dalı</t>
        </is>
      </c>
      <c r="E142" s="7" t="inlineStr">
        <is>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is>
      </c>
      <c r="F142" s="7" t="inlineStr">
        <is>
          <t>“Kistik Fibrozis Hastalarında Solunum Fonksiyonlarını Düzeltmeye Yönelik Kalite İyileştirme Programının Geliştirilmesi”</t>
        </is>
      </c>
      <c r="G142" s="13" t="inlineStr">
        <is>
          <t>Bireysel Araştırma</t>
        </is>
      </c>
      <c r="H142" s="54" t="n">
        <v>46048</v>
      </c>
      <c r="I142" s="52" t="n">
        <v>46057</v>
      </c>
      <c r="J142" s="8" t="inlineStr">
        <is>
          <t>Dr. Öğr. Üyesi Müge DEMİR</t>
        </is>
      </c>
      <c r="K142" s="8" t="inlineStr">
        <is>
          <t>Doç. Dr. Kübra AYKAÇ</t>
        </is>
      </c>
      <c r="L142" s="9" t="inlineStr">
        <is>
          <t>KAEK</t>
        </is>
      </c>
      <c r="M142" s="9" t="n"/>
      <c r="N142" s="9" t="n"/>
      <c r="O142" s="66" t="n"/>
      <c r="P142" s="9">
        <f>IF(O142&lt;&gt;"",O142, IF(N142&lt;&gt;"",N142, IF(M142&lt;&gt;"",M142, L142)))</f>
        <v/>
      </c>
      <c r="R142" s="95">
        <f>IF(AND(L142="", B142&lt;&gt;""), B142, "")</f>
        <v/>
      </c>
    </row>
    <row r="143" ht="63" customHeight="1" s="221">
      <c r="A143" s="5" t="inlineStr">
        <is>
          <t>142.</t>
        </is>
      </c>
      <c r="B143" s="6" t="inlineStr">
        <is>
          <t>SBA 26/142</t>
        </is>
      </c>
      <c r="C143" s="8" t="inlineStr">
        <is>
          <t>Dr. Öğr. Üyesi Emre KARA</t>
        </is>
      </c>
      <c r="D143" s="8" t="inlineStr">
        <is>
          <t>Klinik Eczacılık Anabilim Dalı</t>
        </is>
      </c>
      <c r="E143" s="7" t="inlineStr">
        <is>
          <t>Üniversitemiz Eczacılık Fakültesi Klinik Eczacılık Anabilim Dalı öğretim üyelerinden Dr. Öğr. Üyesi Emre KARA’nın sorumlu araştırmacı olduğu, Prof. Dr. Murat AKOVA ve Arş. Gör. Bahar ERBAY ile birlikte çalışacakları,</t>
        </is>
      </c>
      <c r="F143" s="7" t="inlineStr">
        <is>
          <t>“Asiklovir ve Valasiklovir İlişkili Sitopeni: Retrospektif Bir Kohort Çalışması”</t>
        </is>
      </c>
      <c r="G143" s="13" t="inlineStr">
        <is>
          <t>Bireysel Araştırma</t>
        </is>
      </c>
      <c r="H143" s="54" t="n">
        <v>46048</v>
      </c>
      <c r="I143" s="52" t="n">
        <v>46057</v>
      </c>
      <c r="J143" s="8" t="inlineStr">
        <is>
          <t>Prof. Dr. Gözde GİRGİN</t>
        </is>
      </c>
      <c r="K143" s="8" t="inlineStr">
        <is>
          <t>Prof. Dr. Melih Önder BABAOĞLU</t>
        </is>
      </c>
      <c r="L143" s="9" t="inlineStr">
        <is>
          <t>ONAY</t>
        </is>
      </c>
      <c r="M143" s="9" t="n"/>
      <c r="N143" s="9" t="n"/>
      <c r="O143" s="66" t="n"/>
      <c r="P143" s="9">
        <f>IF(O143&lt;&gt;"",O143, IF(N143&lt;&gt;"",N143, IF(M143&lt;&gt;"",M143, L143)))</f>
        <v/>
      </c>
      <c r="R143" s="95">
        <f>IF(AND(L143="", B143&lt;&gt;""), B143, "")</f>
        <v/>
      </c>
    </row>
    <row r="144" ht="63" customHeight="1" s="221">
      <c r="A144" s="5" t="inlineStr">
        <is>
          <t>143.</t>
        </is>
      </c>
      <c r="B144" s="6" t="inlineStr">
        <is>
          <t>SBA 26/143</t>
        </is>
      </c>
      <c r="C144" s="8" t="inlineStr">
        <is>
          <t>Prof. Dr. Tutku SOYER</t>
        </is>
      </c>
      <c r="D144" s="8" t="inlineStr">
        <is>
          <t>Çocuk Cerrahisi Anabilim Dalı</t>
        </is>
      </c>
      <c r="E144" s="7" t="inlineStr">
        <is>
          <t>Üniversitemiz Tıp Fakültesi Çocuk Cerrahisi Anabilim Dalı öğretim üyelerinden Prof. Dr. Tutku SOYER'in sorumlu araştırmacı olduğu, Doç. Dr. Numan DEMİR, Prof. Dr. Ali Şefik HOŞAL ile birlikte çalışacakları,</t>
        </is>
      </c>
      <c r="F144" s="7" t="inlineStr">
        <is>
          <t>“Özofagus Atrezili Olgularda Fiberoptik Endoskopik Yutma Testi ve Videofloroskopik Yutma Testi Değerlendirme Sonuçlarının Karşılaştırılması”</t>
        </is>
      </c>
      <c r="G144" s="13" t="inlineStr">
        <is>
          <t>Bireysel Araştırma</t>
        </is>
      </c>
      <c r="H144" s="54" t="n">
        <v>46049</v>
      </c>
      <c r="I144" s="52" t="n">
        <v>46057</v>
      </c>
      <c r="J144" s="8" t="inlineStr">
        <is>
          <t>Dr. Öğr. Üyesi Müge DEMİR</t>
        </is>
      </c>
      <c r="K144" s="8" t="inlineStr">
        <is>
          <t>Doç. Dr. Burcu ERSÖZ ALAN</t>
        </is>
      </c>
      <c r="L144" s="9" t="inlineStr">
        <is>
          <t>DÜZELTME</t>
        </is>
      </c>
      <c r="M144" s="9" t="inlineStr">
        <is>
          <t>ONAY</t>
        </is>
      </c>
      <c r="N144" s="9" t="n"/>
      <c r="O144" s="66" t="n"/>
      <c r="P144" s="9">
        <f>IF(O144&lt;&gt;"",O144, IF(N144&lt;&gt;"",N144, IF(M144&lt;&gt;"",M144, L144)))</f>
        <v/>
      </c>
      <c r="R144" s="95">
        <f>IF(AND(L144="", B144&lt;&gt;""), B144, "")</f>
        <v/>
      </c>
    </row>
    <row r="145" ht="94.5" customHeight="1" s="221">
      <c r="A145" s="5" t="inlineStr">
        <is>
          <t>144.</t>
        </is>
      </c>
      <c r="B145" s="6" t="inlineStr">
        <is>
          <t>SBA 26/144</t>
        </is>
      </c>
      <c r="C145" s="8" t="inlineStr">
        <is>
          <t>Prof. Dr. Nagehan EMİRALİOĞLU ORDUKAYA</t>
        </is>
      </c>
      <c r="D145" s="8" t="inlineStr">
        <is>
          <t>Çocuk Sağlığı ve Hastalıkları Anabilim Dalı</t>
        </is>
      </c>
      <c r="E145" s="7" t="inlineStr">
        <is>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is>
      </c>
      <c r="F145" s="7" t="inlineStr">
        <is>
          <t>“Çocukluk Çağı İnterstisyel Akciğer Hastalıklarında Beslenme Durumunun Solunum Fonksiyonları ve Yaşam Kalitesi Skorları ile İlişkisinin İncelenmesi”</t>
        </is>
      </c>
      <c r="G145" s="13" t="inlineStr">
        <is>
          <t>Uzmanlık Tezi</t>
        </is>
      </c>
      <c r="H145" s="54" t="n">
        <v>46049</v>
      </c>
      <c r="I145" s="52" t="n">
        <v>46057</v>
      </c>
      <c r="J145" s="8" t="inlineStr">
        <is>
          <t>Doç. Dr. Kübra AYKAÇ</t>
        </is>
      </c>
      <c r="K145" s="8" t="inlineStr">
        <is>
          <t>Prof. Dr. M. Özgür UYANIK</t>
        </is>
      </c>
      <c r="L145" s="9" t="inlineStr">
        <is>
          <t>ONAY</t>
        </is>
      </c>
      <c r="M145" s="9" t="n"/>
      <c r="N145" s="9" t="n"/>
      <c r="O145" s="66" t="n"/>
      <c r="P145" s="9">
        <f>IF(O145&lt;&gt;"",O145, IF(N145&lt;&gt;"",N145, IF(M145&lt;&gt;"",M145, L145)))</f>
        <v/>
      </c>
      <c r="R145" s="95">
        <f>IF(AND(L145="", B145&lt;&gt;""), B145, "")</f>
        <v/>
      </c>
    </row>
    <row r="146" ht="63" customHeight="1" s="221">
      <c r="A146" s="5" t="inlineStr">
        <is>
          <t>145.</t>
        </is>
      </c>
      <c r="B146" s="6" t="inlineStr">
        <is>
          <t>SBA 26/145</t>
        </is>
      </c>
      <c r="C146" s="8" t="inlineStr">
        <is>
          <t>Dr. Öğr. Üyesi Burcu KELLECİ ÇAKIR</t>
        </is>
      </c>
      <c r="D146" s="8" t="inlineStr">
        <is>
          <t>Klinik Eczacılık Anabilim Dalı</t>
        </is>
      </c>
      <c r="E146" s="7" t="inlineStr">
        <is>
          <t>Üniversitemiz Eczacılık Fakültesi Klinik Eczacılık Anabilim Dalı öğretim üyelerinden Dr. Öğr. Üyesi Burcu KELLECİ ÇAKIR’ın sorumlu araştırmacı olduğu,Prof. Dr. Erdinç ÇETİNKAYA ve Dr. Rana Elçin SEZER ile birlikte çalışacakları,</t>
        </is>
      </c>
      <c r="F146" s="7" t="inlineStr">
        <is>
          <t>“Gastrointestinal Sistem Cerrahisinde Eczacı İş Birliği ile İlaç Kullanımı Modeli Geliştirilmesi”</t>
        </is>
      </c>
      <c r="G146" s="13" t="inlineStr">
        <is>
          <t>Bireysel Araştırma</t>
        </is>
      </c>
      <c r="H146" s="54" t="n">
        <v>46049</v>
      </c>
      <c r="I146" s="52" t="n">
        <v>46057</v>
      </c>
      <c r="J146" s="8" t="inlineStr">
        <is>
          <t>Prof. Dr. Gözde GİRGİN</t>
        </is>
      </c>
      <c r="K146" s="8" t="inlineStr">
        <is>
          <t>Prof. Dr. M. Özgür UYANIK</t>
        </is>
      </c>
      <c r="L146" s="9" t="inlineStr">
        <is>
          <t>ONAY</t>
        </is>
      </c>
      <c r="M146" s="9" t="n"/>
      <c r="N146" s="9" t="n"/>
      <c r="O146" s="66" t="n"/>
      <c r="P146" s="9">
        <f>IF(O146&lt;&gt;"",O146, IF(N146&lt;&gt;"",N146, IF(M146&lt;&gt;"",M146, L146)))</f>
        <v/>
      </c>
      <c r="R146" s="95">
        <f>IF(AND(L146="", B146&lt;&gt;""), B146, "")</f>
        <v/>
      </c>
    </row>
    <row r="147" ht="81" customHeight="1" s="221">
      <c r="A147" s="5" t="inlineStr">
        <is>
          <t>146.</t>
        </is>
      </c>
      <c r="B147" s="6" t="inlineStr">
        <is>
          <t>SBA 26/146</t>
        </is>
      </c>
      <c r="C147" s="8" t="inlineStr">
        <is>
          <t>Doç. Dr. Gölşah KÖK</t>
        </is>
      </c>
      <c r="D147" s="53" t="inlineStr">
        <is>
          <t>Gülhane Sağlık Bilimleri Üniversitesi
Hemşirelik Fakültesi
Doğum ve Kadın Hastalıkları Hemşireliği Anabilim Dalı</t>
        </is>
      </c>
      <c r="E147" s="7" t="inlineStr">
        <is>
          <t>Gülhane Sağlık Bilimleri Üniversitesi Hemşirelik Fakültesi Doğum ve Kadın Hastalıkları Hemşireliği Anabilim Dalı öğretim üyelerinden Doç. Dr. Gölşah KÖK'ün sorumlu araştırmacı olduğu, Seda TEMEL ve Dr. Havva ÖZDEMIR ile birlikte çalışacakları,</t>
        </is>
      </c>
      <c r="F147" s="7" t="inlineStr">
        <is>
          <t>"Multiple Skleroz Tamil Kadınların Menopoz Semptomları ile Menopoza Yönelik Yaşam Kalitelerinin İncelenmesi"</t>
        </is>
      </c>
      <c r="G147" s="13" t="inlineStr">
        <is>
          <t>Bireysel Araştırma</t>
        </is>
      </c>
      <c r="H147" s="54" t="n">
        <v>46058</v>
      </c>
      <c r="I147" s="52" t="n">
        <v>46070</v>
      </c>
      <c r="J147" s="8" t="inlineStr">
        <is>
          <t>Prof. Dr. Nazmiye Ebru ORTAÇ ERSOY</t>
        </is>
      </c>
      <c r="K147" s="8" t="inlineStr">
        <is>
          <t>Doç. Dr. Kübra AYKAÇ</t>
        </is>
      </c>
      <c r="L147" s="9" t="inlineStr">
        <is>
          <t>ONAY</t>
        </is>
      </c>
      <c r="M147" s="9" t="n"/>
      <c r="N147" s="9" t="n"/>
      <c r="O147" s="66" t="n"/>
      <c r="P147" s="9">
        <f>IF(O147&lt;&gt;"",O147, IF(N147&lt;&gt;"",N147, IF(M147&lt;&gt;"",M147, L147)))</f>
        <v/>
      </c>
      <c r="R147" s="95">
        <f>IF(AND(L147="", B147&lt;&gt;""), B147, "")</f>
        <v/>
      </c>
    </row>
    <row r="148" ht="78.75" customHeight="1" s="221">
      <c r="A148" s="5" t="inlineStr">
        <is>
          <t>147.</t>
        </is>
      </c>
      <c r="B148" s="6" t="inlineStr">
        <is>
          <t>SBA 26/147</t>
        </is>
      </c>
      <c r="C148" s="8" t="inlineStr">
        <is>
          <t>Öğr. Gör. Dr. Pınar ÖZDEMİR YAŞAR</t>
        </is>
      </c>
      <c r="D148" s="8" t="inlineStr">
        <is>
          <t>Anesteziyoloji ve Reanimasyon Anabilim Dalı</t>
        </is>
      </c>
      <c r="E148" s="7" t="inlineStr">
        <is>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is>
      </c>
      <c r="F148" s="7" t="inlineStr">
        <is>
          <t>“İntrakraniyal Kitle Tanılı Erişkin Hastalarda Preoperatif ve Postoperatif Dönemde Disfaji Varlığının Gugging Swallowing Screen (GUSS) ve Functional Oral Intake Scale (FOIS) Ölçekleri ile Değerlendirilmesi: Prospektif Gözlemsel Çalışma”</t>
        </is>
      </c>
      <c r="G148" s="13" t="inlineStr">
        <is>
          <t>Bireysel Araştırma</t>
        </is>
      </c>
      <c r="H148" s="54" t="n">
        <v>46058</v>
      </c>
      <c r="I148" s="52" t="n">
        <v>46070</v>
      </c>
      <c r="J148" s="8" t="inlineStr">
        <is>
          <t>Dr. Öğr. Üyesi Müge DEMİR</t>
        </is>
      </c>
      <c r="K148" s="8" t="inlineStr">
        <is>
          <t>Doç. Dr. Ekim GÜMELER</t>
        </is>
      </c>
      <c r="L148" s="9" t="inlineStr">
        <is>
          <t>KAEK</t>
        </is>
      </c>
      <c r="M148" s="9" t="n"/>
      <c r="N148" s="9" t="n"/>
      <c r="O148" s="66" t="n"/>
      <c r="P148" s="9">
        <f>IF(O148&lt;&gt;"",O148, IF(N148&lt;&gt;"",N148, IF(M148&lt;&gt;"",M148, L148)))</f>
        <v/>
      </c>
      <c r="R148" s="95">
        <f>IF(AND(L148="", B148&lt;&gt;""), B148, "")</f>
        <v/>
      </c>
    </row>
    <row r="149" ht="78.75" customHeight="1" s="221">
      <c r="A149" s="5" t="inlineStr">
        <is>
          <t>148.</t>
        </is>
      </c>
      <c r="B149" s="6" t="inlineStr">
        <is>
          <t>SBA 26/148</t>
        </is>
      </c>
      <c r="C149" s="8" t="inlineStr">
        <is>
          <t>Doç. Dr. Süleyman Nahit ŞENDUR</t>
        </is>
      </c>
      <c r="D149" s="8" t="inlineStr">
        <is>
          <t>İç Hastalıkları Anabilim Dalı</t>
        </is>
      </c>
      <c r="E149" s="7" t="inlineStr">
        <is>
          <t>Üniversitemiz Tıp Fakültesi İç Hastalıkları Anabilim Dalı öğretim üyelerinden Doç. Dr. Süleyman Nahit ŞENDUR’un sorumlu araştırmacı olduğu, Prof. Dr. Tomris ERBAŞ, Prof. Dr. Selçuk DAĞDELEN, Uzm. Dr. Selvi Selin TEKİN ile birlikte çalışacakları,</t>
        </is>
      </c>
      <c r="F149" s="7" t="inlineStr">
        <is>
          <t>“Büyük Adrenal Lezyonların Klinik, Endokrinolojik, Cerrahi ve Patolojik Özelliklerinin İncelenmesi”</t>
        </is>
      </c>
      <c r="G149" s="13" t="inlineStr">
        <is>
          <t>Bireysel Araştırma</t>
        </is>
      </c>
      <c r="H149" s="54" t="n">
        <v>46058</v>
      </c>
      <c r="I149" s="52" t="n">
        <v>46070</v>
      </c>
      <c r="J149" s="8" t="inlineStr">
        <is>
          <t>Prof. Dr. Yavuz AYHAN</t>
        </is>
      </c>
      <c r="K149" s="8" t="inlineStr">
        <is>
          <t>Prof. Dr. Gözde GİRGİN</t>
        </is>
      </c>
      <c r="L149" s="9" t="inlineStr">
        <is>
          <t>ONAY</t>
        </is>
      </c>
      <c r="M149" s="9" t="n"/>
      <c r="N149" s="9" t="n"/>
      <c r="O149" s="66" t="n"/>
      <c r="P149" s="9">
        <f>IF(O149&lt;&gt;"",O149, IF(N149&lt;&gt;"",N149, IF(M149&lt;&gt;"",M149, L149)))</f>
        <v/>
      </c>
      <c r="R149" s="95">
        <f>IF(AND(L149="", B149&lt;&gt;""), B149, "")</f>
        <v/>
      </c>
    </row>
    <row r="150" ht="78.75" customHeight="1" s="221">
      <c r="A150" s="5" t="inlineStr">
        <is>
          <t>149.</t>
        </is>
      </c>
      <c r="B150" s="6" t="inlineStr">
        <is>
          <t>SBA 26/149</t>
        </is>
      </c>
      <c r="C150" s="8" t="inlineStr">
        <is>
          <t>Doç. Dr. Süleyman Nahit ŞENDUR</t>
        </is>
      </c>
      <c r="D150" s="8" t="inlineStr">
        <is>
          <t>İç Hastalıkları Anabilim Dalı</t>
        </is>
      </c>
      <c r="E150" s="7" t="inlineStr">
        <is>
          <t>Üniversitemiz Tıp Fakültesi İç Hastalıkları Anabilim Dalı öğretim üyelerinden Doç. Dr. Süleyman Nahit ŞENDUR’un sorumlu araştırmacı olduğu, Prof. Dr. Tomris ERBAŞ, Prof. Dr. Selçuk DAĞDELEN, Uzm. Dr. Selvi Selin TEKİN ile birlikte çalışacakları,</t>
        </is>
      </c>
      <c r="F150" s="7" t="inlineStr">
        <is>
          <t>“Diyabetik Gastroparezi Hastalarında Klinik Özellikler, Tanı Süreçleri ve Klinik Sonuçların Retrospektif Değerlendirilmesi: Tek Merkez Deneyimi”</t>
        </is>
      </c>
      <c r="G150" s="13" t="inlineStr">
        <is>
          <t>Bireysel Araştırma</t>
        </is>
      </c>
      <c r="H150" s="54" t="n">
        <v>46058</v>
      </c>
      <c r="I150" s="52" t="n">
        <v>46070</v>
      </c>
      <c r="J150" s="8" t="inlineStr">
        <is>
          <t>Prof. Dr. Nazmiye Ebru ORTAÇ ERSOY</t>
        </is>
      </c>
      <c r="K150" s="8" t="inlineStr">
        <is>
          <t>Doç. Dr. Tolga ÇAKMAK</t>
        </is>
      </c>
      <c r="L150" s="9" t="inlineStr">
        <is>
          <t>ONAY</t>
        </is>
      </c>
      <c r="M150" s="9" t="n"/>
      <c r="N150" s="9" t="n"/>
      <c r="O150" s="66" t="n"/>
      <c r="P150" s="9">
        <f>IF(O150&lt;&gt;"",O150, IF(N150&lt;&gt;"",N150, IF(M150&lt;&gt;"",M150, L150)))</f>
        <v/>
      </c>
      <c r="R150" s="95">
        <f>IF(AND(L150="", B150&lt;&gt;""), B150, "")</f>
        <v/>
      </c>
    </row>
    <row r="151" ht="78.75" customHeight="1" s="221">
      <c r="A151" s="5" t="inlineStr">
        <is>
          <t>150.</t>
        </is>
      </c>
      <c r="B151" s="6" t="inlineStr">
        <is>
          <t>SBA 26/150</t>
        </is>
      </c>
      <c r="C151" s="8" t="inlineStr">
        <is>
          <t>Doç. Dr. Süleyman Nahit ŞENDUR</t>
        </is>
      </c>
      <c r="D151" s="8" t="inlineStr">
        <is>
          <t>İç Hastalıkları Anabilim Dalı</t>
        </is>
      </c>
      <c r="E151" s="7" t="inlineStr">
        <is>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is>
      </c>
      <c r="F151" s="7" t="inlineStr">
        <is>
          <t>“Fonksiyonel Nöroendokrin Tümör Olgularının Retrospektif Değerlendirilmesi: Tek Merkez Deneyim”</t>
        </is>
      </c>
      <c r="G151" s="13" t="inlineStr">
        <is>
          <t>Bireysel Araştırma</t>
        </is>
      </c>
      <c r="H151" s="54" t="n">
        <v>46058</v>
      </c>
      <c r="I151" s="52" t="n">
        <v>46070</v>
      </c>
      <c r="J151" s="8" t="inlineStr">
        <is>
          <t>Doç. Dr. Burcu ERSÖZ ALAN</t>
        </is>
      </c>
      <c r="K151" s="8" t="inlineStr">
        <is>
          <t>Doç. Dr. Ekim GÜMELER</t>
        </is>
      </c>
      <c r="L151" s="9" t="inlineStr">
        <is>
          <t>ONAY</t>
        </is>
      </c>
      <c r="M151" s="9" t="n"/>
      <c r="N151" s="9" t="n"/>
      <c r="O151" s="66" t="n"/>
      <c r="P151" s="9">
        <f>IF(O151&lt;&gt;"",O151, IF(N151&lt;&gt;"",N151, IF(M151&lt;&gt;"",M151, L151)))</f>
        <v/>
      </c>
      <c r="R151" s="95">
        <f>IF(AND(L151="", B151&lt;&gt;""), B151, "")</f>
        <v/>
      </c>
    </row>
    <row r="152" ht="63" customHeight="1" s="221">
      <c r="A152" s="5" t="inlineStr">
        <is>
          <t>151.</t>
        </is>
      </c>
      <c r="B152" s="6" t="inlineStr">
        <is>
          <t>SBA 26/151</t>
        </is>
      </c>
      <c r="C152" s="8" t="inlineStr">
        <is>
          <t>Dr. Öğr. Üyesi Figen BEZCİ AYGÜN</t>
        </is>
      </c>
      <c r="D152" s="8" t="inlineStr">
        <is>
          <t>Göz Hastalıkları Anabilim Dalı</t>
        </is>
      </c>
      <c r="E152" s="7" t="inlineStr">
        <is>
          <t>Üniversitemiz Tıp Fakültesi Göz Hastalıkları Anabilim Dalı öğretim üyelerinden Dr. Öğr. Üyesi Figen BEZCİ AYGÜN'ün sorumlu araştırmacı olduğu, Prof. Dr. Sibel KADAYIFÇILAR ve Arş. Gör. Dr. Nargız RUSTAMOVA ile birlikte çalışacakları,</t>
        </is>
      </c>
      <c r="F152" s="7" t="inlineStr">
        <is>
          <t>“İntravitreal Deksametazon İmplantasyonu Sonrası Gelişen Oküler Komplikasyonların Değerlendirilmesi”</t>
        </is>
      </c>
      <c r="G152" s="13" t="inlineStr">
        <is>
          <t>Bireysel Araştırma</t>
        </is>
      </c>
      <c r="H152" s="54" t="n">
        <v>46058</v>
      </c>
      <c r="I152" s="52" t="n">
        <v>46070</v>
      </c>
      <c r="J152" s="8" t="inlineStr">
        <is>
          <t>Dr. Öğr. Üyesi Müge DEMİR</t>
        </is>
      </c>
      <c r="K152" s="8" t="inlineStr">
        <is>
          <t>Prof. Dr. M. Özgür UYANIK</t>
        </is>
      </c>
      <c r="L152" s="9" t="inlineStr">
        <is>
          <t>DÜZELTME</t>
        </is>
      </c>
      <c r="M152" s="9" t="n"/>
      <c r="N152" s="9" t="n"/>
      <c r="O152" s="66" t="n"/>
      <c r="P152" s="9">
        <f>IF(O152&lt;&gt;"",O152, IF(N152&lt;&gt;"",N152, IF(M152&lt;&gt;"",M152, L152)))</f>
        <v/>
      </c>
      <c r="R152" s="95">
        <f>IF(AND(L152="", B152&lt;&gt;""), B152, "")</f>
        <v/>
      </c>
    </row>
    <row r="153" ht="94.5" customHeight="1" s="221">
      <c r="A153" s="5" t="inlineStr">
        <is>
          <t>152.</t>
        </is>
      </c>
      <c r="B153" s="6" t="inlineStr">
        <is>
          <t>SBA 26/152</t>
        </is>
      </c>
      <c r="C153" s="8" t="inlineStr">
        <is>
          <t>Prof. Dr. Meltem Gülhan HALİL</t>
        </is>
      </c>
      <c r="D153" s="8" t="inlineStr">
        <is>
          <t>İç Hastalıkları Anabilim Dalı</t>
        </is>
      </c>
      <c r="E153" s="7" t="inlineStr">
        <is>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is>
      </c>
      <c r="F153" s="7" t="inlineStr">
        <is>
          <t>“Santral Paranteral Beslenme Kontrol Listesinin Kateter İlişkili Komplikasyonlara Etkisinin Değerlendirilmesi”</t>
        </is>
      </c>
      <c r="G153" s="13" t="inlineStr">
        <is>
          <t>Doktora Tezi</t>
        </is>
      </c>
      <c r="H153" s="54" t="n">
        <v>46058</v>
      </c>
      <c r="I153" s="52" t="n">
        <v>46070</v>
      </c>
      <c r="J153" s="8" t="inlineStr">
        <is>
          <t>Prof. Dr. Yavuz AYHAN</t>
        </is>
      </c>
      <c r="K153" s="8" t="inlineStr">
        <is>
          <t>Prof. Dr. Gözde GİRGİN</t>
        </is>
      </c>
      <c r="L153" s="9" t="inlineStr">
        <is>
          <t>GÖRÜŞ</t>
        </is>
      </c>
      <c r="M153" s="9" t="inlineStr">
        <is>
          <t>DÜZELTME</t>
        </is>
      </c>
      <c r="N153" s="9" t="n"/>
      <c r="O153" s="66" t="n"/>
      <c r="P153" s="9">
        <f>IF(O153&lt;&gt;"",O153, IF(N153&lt;&gt;"",N153, IF(M153&lt;&gt;"",M153, L153)))</f>
        <v/>
      </c>
      <c r="R153" s="95">
        <f>IF(AND(L153="", B153&lt;&gt;""), B153, "")</f>
        <v/>
      </c>
    </row>
    <row r="154" ht="63" customHeight="1" s="221">
      <c r="A154" s="5" t="inlineStr">
        <is>
          <t>153.</t>
        </is>
      </c>
      <c r="B154" s="6" t="inlineStr">
        <is>
          <t>SBA 26/153</t>
        </is>
      </c>
      <c r="C154" s="8" t="inlineStr">
        <is>
          <t>Dr. Öğr. Üyesi Barış KAFA</t>
        </is>
      </c>
      <c r="D154" s="8" t="inlineStr">
        <is>
          <t>Ortopedi ve Travmatoloji Anabilim Dalı</t>
        </is>
      </c>
      <c r="E154" s="7" t="inlineStr">
        <is>
          <t>Üniversitemiz Tıp Fakültesi Ortopedi ve Travmatoloji Anabilim Dalı öğretim üyelerinden Dr. Öğr. Üyesi Barış KAFA’nın sorumlu araştırmacı olduğu, Arş. Gör. Dr. Berat YÜKSEL ile birlikte çalışacakları,</t>
        </is>
      </c>
      <c r="F154" s="7" t="inlineStr">
        <is>
          <t>“Humerus Suprakondiler Proses ve Struthers Ligaman Varlığının Klinik ve Radyolojik Karakteristikleri: Retrospektif Bir Arşiv Taraması”</t>
        </is>
      </c>
      <c r="G154" s="13" t="inlineStr">
        <is>
          <t>Bireysel Araştırma</t>
        </is>
      </c>
      <c r="H154" s="54" t="n">
        <v>46058</v>
      </c>
      <c r="I154" s="52" t="n">
        <v>46070</v>
      </c>
      <c r="J154" s="8" t="inlineStr">
        <is>
          <t>Doç. Dr. Kübra AYKAÇ</t>
        </is>
      </c>
      <c r="K154" s="8" t="inlineStr">
        <is>
          <t>Doç. Dr. Tolga ÇAKMAK</t>
        </is>
      </c>
      <c r="L154" s="9" t="inlineStr">
        <is>
          <t>DÜZELTME</t>
        </is>
      </c>
      <c r="M154" s="9" t="inlineStr">
        <is>
          <t>ONAY</t>
        </is>
      </c>
      <c r="N154" s="9" t="n"/>
      <c r="O154" s="66" t="n"/>
      <c r="P154" s="9">
        <f>IF(O154&lt;&gt;"",O154, IF(N154&lt;&gt;"",N154, IF(M154&lt;&gt;"",M154, L154)))</f>
        <v/>
      </c>
      <c r="R154" s="95">
        <f>IF(AND(L154="", B154&lt;&gt;""), B154, "")</f>
        <v/>
      </c>
    </row>
    <row r="155" ht="63" customHeight="1" s="221">
      <c r="A155" s="5" t="inlineStr">
        <is>
          <t>154.</t>
        </is>
      </c>
      <c r="B155" s="6" t="inlineStr">
        <is>
          <t>SBA 26/154</t>
        </is>
      </c>
      <c r="C155" s="8" t="inlineStr">
        <is>
          <t>Doç. Dr. Burcu HATİBOĞLU</t>
        </is>
      </c>
      <c r="D155" s="8" t="inlineStr">
        <is>
          <t>Sosyal Hizmet Anabilim Dalı</t>
        </is>
      </c>
      <c r="E155" s="7" t="inlineStr">
        <is>
          <t>Üniversitemiz İktisadi ve İdari Bilimler Fakültesi Sosyal Hizmet Anabilim Dalı öğretim üyelerinden Doç. Dr. Burcu HATİBOĞLU’nun sorumlu araştırmacı olduğu, Semra GÜNDÜZ’ün doktora tezi olan,</t>
        </is>
      </c>
      <c r="F155" s="7" t="inlineStr">
        <is>
          <t>Toplumsal Cinsiyet ve Hegernonik Erkeklik Bağlamında Alkol Kullanım Bozukluğu olan Erkeklerin Deneyimleri: Adsız Alkolikler (AA) Örneği"</t>
        </is>
      </c>
      <c r="G155" s="13" t="inlineStr">
        <is>
          <t>Doktora Tezi</t>
        </is>
      </c>
      <c r="H155" s="54" t="n">
        <v>46058</v>
      </c>
      <c r="I155" s="52" t="n">
        <v>46070</v>
      </c>
      <c r="J155" s="8" t="inlineStr">
        <is>
          <t>Dr. Öğr. Üyesi Müge DEMİR</t>
        </is>
      </c>
      <c r="K155" s="8" t="inlineStr">
        <is>
          <t>Doç. Dr. Burcu ERSÖZ ALAN</t>
        </is>
      </c>
      <c r="L155" s="9" t="inlineStr">
        <is>
          <t>ONAY</t>
        </is>
      </c>
      <c r="M155" s="9" t="n"/>
      <c r="N155" s="9" t="n"/>
      <c r="O155" s="66" t="n"/>
      <c r="P155" s="9">
        <f>IF(O155&lt;&gt;"",O155, IF(N155&lt;&gt;"",N155, IF(M155&lt;&gt;"",M155, L155)))</f>
        <v/>
      </c>
      <c r="R155" s="95">
        <f>IF(AND(L155="", B155&lt;&gt;""), B155, "")</f>
        <v/>
      </c>
    </row>
    <row r="156" ht="47.25" customHeight="1" s="221">
      <c r="A156" s="5" t="inlineStr">
        <is>
          <t>155.</t>
        </is>
      </c>
      <c r="B156" s="6" t="inlineStr">
        <is>
          <t>SBA 26/155</t>
        </is>
      </c>
      <c r="C156" s="8" t="inlineStr">
        <is>
          <t>Dr. Öğr. Üyesi Hanife Merva PARLAK</t>
        </is>
      </c>
      <c r="D156" s="8" t="inlineStr">
        <is>
          <t>Periodontoloji Anabilim Dalı</t>
        </is>
      </c>
      <c r="E156" s="7" t="inlineStr">
        <is>
          <t>Üniversitemiz Diş Hekimliği Fakültesi Periodontoloji Anabilim Dalı öğretim üyelerinden Dr. Öğr. Üyesi Hanife Merva PARLAK’ın sorumlu araştırmacı olduğu,</t>
        </is>
      </c>
      <c r="F156" s="7" t="inlineStr">
        <is>
          <t>“Triester Gliserol Oksit Uygulamasının Postoperatif Ağrı ve Yara İyileşmesine Etkisinin Retrospektif Olarak Değerlendirilmesi”</t>
        </is>
      </c>
      <c r="G156" s="13" t="inlineStr">
        <is>
          <t>Bireysel Araştırma</t>
        </is>
      </c>
      <c r="H156" s="54" t="n">
        <v>46058</v>
      </c>
      <c r="I156" s="52" t="n">
        <v>46070</v>
      </c>
      <c r="J156" s="8" t="inlineStr">
        <is>
          <t>Prof. Dr. M. Özgür UYANIK</t>
        </is>
      </c>
      <c r="K156" s="8" t="inlineStr">
        <is>
          <t>Prof. Dr. Ayşe KİN İŞLER</t>
        </is>
      </c>
      <c r="L156" s="9" t="inlineStr">
        <is>
          <t>ONAY</t>
        </is>
      </c>
      <c r="M156" s="9" t="n"/>
      <c r="N156" s="9" t="n"/>
      <c r="O156" s="66" t="n"/>
      <c r="P156" s="9">
        <f>IF(O156&lt;&gt;"",O156, IF(N156&lt;&gt;"",N156, IF(M156&lt;&gt;"",M156, L156)))</f>
        <v/>
      </c>
      <c r="R156" s="95">
        <f>IF(AND(L156="", B156&lt;&gt;""), B156, "")</f>
        <v/>
      </c>
    </row>
    <row r="157" ht="78.75" customHeight="1" s="221">
      <c r="A157" s="5" t="inlineStr">
        <is>
          <t>156.</t>
        </is>
      </c>
      <c r="B157" s="6" t="inlineStr">
        <is>
          <t>SBA 26/156</t>
        </is>
      </c>
      <c r="C157" s="8" t="inlineStr">
        <is>
          <t>Prof. Dr. Yasemin ÖZSÜREKCİ</t>
        </is>
      </c>
      <c r="D157" s="8" t="inlineStr">
        <is>
          <t>Çocuk Sağlığı ve Hastalıkları Anabilim Dalı</t>
        </is>
      </c>
      <c r="E157" s="7" t="inlineStr">
        <is>
          <t>Üniversitemiz Hacettepe Tıp Fakültesi Çocuk Sağlığı ve Hastalıkları Anabilim Dalı öğretim üyelerinden Prof. Dr. Yasemin ÖZSÜREKCİ’nin sorumlu araştırmacı olduğu, Arş. Gör. Dr. Osman ÇUBUK ve Arş. Gör. Dr. Osman Oğuz DEMİR ile birlikte çalışacakları,</t>
        </is>
      </c>
      <c r="F157" s="7" t="inlineStr">
        <is>
          <t>“Akademik Tıpta Yapay Zekâ: Benimseme, Tutum ve Niyetler”</t>
        </is>
      </c>
      <c r="G157" s="13" t="inlineStr">
        <is>
          <t>Bireysel Araştırma</t>
        </is>
      </c>
      <c r="H157" s="54" t="n">
        <v>46058</v>
      </c>
      <c r="I157" s="52" t="n">
        <v>46070</v>
      </c>
      <c r="J157" s="8" t="inlineStr">
        <is>
          <t>Dr. Öğr. Üyesi Müge DEMİR</t>
        </is>
      </c>
      <c r="K157" s="8" t="inlineStr">
        <is>
          <t>Doç. Dr. Ekim GÜMELER</t>
        </is>
      </c>
      <c r="L157" s="9" t="inlineStr">
        <is>
          <t>DÜZELTME</t>
        </is>
      </c>
      <c r="M157" s="9" t="inlineStr">
        <is>
          <t>ONAY</t>
        </is>
      </c>
      <c r="N157" s="9" t="n"/>
      <c r="O157" s="66" t="n"/>
      <c r="P157" s="9">
        <f>IF(O157&lt;&gt;"",O157, IF(N157&lt;&gt;"",N157, IF(M157&lt;&gt;"",M157, L157)))</f>
        <v/>
      </c>
      <c r="R157" s="95">
        <f>IF(AND(L157="", B157&lt;&gt;""), B157, "")</f>
        <v/>
      </c>
    </row>
    <row r="158" ht="94.5" customHeight="1" s="221">
      <c r="A158" s="5" t="inlineStr">
        <is>
          <t>157.</t>
        </is>
      </c>
      <c r="B158" s="6" t="inlineStr">
        <is>
          <t>SBA 26/157</t>
        </is>
      </c>
      <c r="C158" s="8" t="inlineStr">
        <is>
          <t>Prof. Dr. Hatice DOĞAN BUZOĞLU</t>
        </is>
      </c>
      <c r="D158" s="8" t="inlineStr">
        <is>
          <t>Endodonti Anabilim Dalı</t>
        </is>
      </c>
      <c r="E158" s="7" t="inlineStr">
        <is>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is>
      </c>
      <c r="F158" s="7" t="inlineStr">
        <is>
          <t>“Lipit Mediyatör Maresin 1'in İnflamasyon Ortamında Dental Pulpa Kök Hücreleri Üzerine Etkisi”</t>
        </is>
      </c>
      <c r="G158" s="13" t="inlineStr">
        <is>
          <t>Doktora Tezi</t>
        </is>
      </c>
      <c r="H158" s="54" t="n">
        <v>46058</v>
      </c>
      <c r="I158" s="52" t="n">
        <v>46070</v>
      </c>
      <c r="J158" s="8" t="inlineStr">
        <is>
          <t>Prof. Dr. M. Özgür UYANIK</t>
        </is>
      </c>
      <c r="K158" s="8" t="inlineStr">
        <is>
          <t>Doç. Dr. Kübra AYKAÇ</t>
        </is>
      </c>
      <c r="L158" s="9" t="inlineStr">
        <is>
          <t>ONAY</t>
        </is>
      </c>
      <c r="M158" s="9" t="n"/>
      <c r="N158" s="9" t="n"/>
      <c r="O158" s="66" t="n"/>
      <c r="P158" s="9">
        <f>IF(O158&lt;&gt;"",O158, IF(N158&lt;&gt;"",N158, IF(M158&lt;&gt;"",M158, L158)))</f>
        <v/>
      </c>
      <c r="R158" s="95">
        <f>IF(AND(L158="", B158&lt;&gt;""), B158, "")</f>
        <v/>
      </c>
    </row>
    <row r="159" ht="63" customHeight="1" s="221">
      <c r="A159" s="5" t="inlineStr">
        <is>
          <t>158.</t>
        </is>
      </c>
      <c r="B159" s="6" t="inlineStr">
        <is>
          <t>SBA 26/158</t>
        </is>
      </c>
      <c r="C159" s="8" t="inlineStr">
        <is>
          <t>Doç. Dr. Almıla Gülsün PAMUK</t>
        </is>
      </c>
      <c r="D159" s="8" t="inlineStr">
        <is>
          <t>Anesteziyoloji ve Reanimasyon Anabilim Dalı</t>
        </is>
      </c>
      <c r="E159" s="7" t="inlineStr">
        <is>
          <t>Üniversitemiz Tıp Fakültesi Anesteziyoloji ve Reanimasyon Anabilim Dalı öğretim üyelerinden Doç. Dr. Almıla Gülsün PAMUK’un sorumlu araştırmacı olduğu, Arş. Gör. Dr. Muhammed Raşit HIZ'ın uzmanlık tezi olan,</t>
        </is>
      </c>
      <c r="F159" s="7" t="inlineStr">
        <is>
          <t>“Ultrasonografi ile Ölçülen Cilt-Epiglot Mesafesinin Zor Entübasyonu Öngörmedeki Değeri”</t>
        </is>
      </c>
      <c r="G159" s="13" t="inlineStr">
        <is>
          <t>Uzmanlık Tezi</t>
        </is>
      </c>
      <c r="H159" s="54" t="n">
        <v>46058</v>
      </c>
      <c r="I159" s="52" t="n">
        <v>46070</v>
      </c>
      <c r="J159" s="8" t="inlineStr">
        <is>
          <t>Doç. Dr. Ekim GÜMELER</t>
        </is>
      </c>
      <c r="K159" s="8" t="inlineStr">
        <is>
          <t>Doç. Dr. Burcu ERSÖZ ALAN</t>
        </is>
      </c>
      <c r="L159" s="9" t="inlineStr">
        <is>
          <t>DÜZELTME</t>
        </is>
      </c>
      <c r="M159" s="9" t="inlineStr">
        <is>
          <t>ONAY</t>
        </is>
      </c>
      <c r="N159" s="9" t="n"/>
      <c r="O159" s="66" t="n"/>
      <c r="P159" s="9">
        <f>IF(O159&lt;&gt;"",O159, IF(N159&lt;&gt;"",N159, IF(M159&lt;&gt;"",M159, L159)))</f>
        <v/>
      </c>
      <c r="R159" s="95">
        <f>IF(AND(L159="", B159&lt;&gt;""), B159, "")</f>
        <v/>
      </c>
    </row>
    <row r="160" ht="94.5" customHeight="1" s="221">
      <c r="A160" s="5" t="inlineStr">
        <is>
          <t>159.</t>
        </is>
      </c>
      <c r="B160" s="6" t="inlineStr">
        <is>
          <t>SBA 26/159</t>
        </is>
      </c>
      <c r="C160" s="8" t="inlineStr">
        <is>
          <t>Doç. Dr. Gamze ATAY</t>
        </is>
      </c>
      <c r="D160" s="8" t="inlineStr">
        <is>
          <t>Kulak Burun Boğaz Anabilim Dalı</t>
        </is>
      </c>
      <c r="E160" s="7" t="inlineStr">
        <is>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is>
      </c>
      <c r="F160" s="7" t="inlineStr">
        <is>
          <t>“Hepatik Steatozun ve Fibrozisin Derecesi ile İşitsel ve Denge Fonksiyonları Arasındaki İlişkinin İncelenmesi”</t>
        </is>
      </c>
      <c r="G160" s="13" t="inlineStr">
        <is>
          <t>Uzmanlık Tezi</t>
        </is>
      </c>
      <c r="H160" s="54" t="n">
        <v>46058</v>
      </c>
      <c r="I160" s="52" t="n">
        <v>46070</v>
      </c>
      <c r="J160" s="8" t="inlineStr">
        <is>
          <t>Prof. Dr. Ayşe KİN İŞLER</t>
        </is>
      </c>
      <c r="K160" s="8" t="inlineStr">
        <is>
          <t>Prof. Dr. Nazmiye Ebru ORTAÇ ERSOY</t>
        </is>
      </c>
      <c r="L160" s="9" t="inlineStr">
        <is>
          <t>DÜZELTME</t>
        </is>
      </c>
      <c r="M160" s="9" t="inlineStr">
        <is>
          <t>ONAY</t>
        </is>
      </c>
      <c r="N160" s="9" t="n"/>
      <c r="O160" s="66" t="n"/>
      <c r="P160" s="9">
        <f>IF(O160&lt;&gt;"",O160, IF(N160&lt;&gt;"",N160, IF(M160&lt;&gt;"",M160, L160)))</f>
        <v/>
      </c>
      <c r="R160" s="95">
        <f>IF(AND(L160="", B160&lt;&gt;""), B160, "")</f>
        <v/>
      </c>
    </row>
    <row r="161" ht="80.25" customHeight="1" s="221">
      <c r="A161" s="5" t="inlineStr">
        <is>
          <t>160.</t>
        </is>
      </c>
      <c r="B161" s="6" t="inlineStr">
        <is>
          <t>SBA 26/160</t>
        </is>
      </c>
      <c r="C161" s="8" t="inlineStr">
        <is>
          <t>Prof. Dr. Yasemin ÖZSÜREKCİ</t>
        </is>
      </c>
      <c r="D161" s="8" t="inlineStr">
        <is>
          <t>Çocuk Sağlığı ve Hastalıkları Anabilim Dalı</t>
        </is>
      </c>
      <c r="E161" s="7" t="inlineStr">
        <is>
          <t>Üniversitemiz Tıp Fakültesi Çocuk Sağlığı ve Hastalıkları Anabilim Dalı öğretim üyelerinden Prof. Dr. Yasemin ÖZSÜREKCİ’nin sorumlu araştırmacı olduğu; Arş. Gör. Dr. Aylin Irmak KURUÇ ve Arş. Gör. Dr. Osman Oğuz DEMİR ile birlikte çalışacakları,</t>
        </is>
      </c>
      <c r="F161" s="7" t="inlineStr">
        <is>
          <t>“Bakteriyel Enfeksiyon Tanısı Alan ve Tedavi Edilen Çocuk Hastaların Retrospektif olarak İncelenmesi”</t>
        </is>
      </c>
      <c r="G161" s="13" t="inlineStr">
        <is>
          <t>Bireysel Araştırma</t>
        </is>
      </c>
      <c r="H161" s="54" t="n">
        <v>46059</v>
      </c>
      <c r="I161" s="52" t="n">
        <v>46070</v>
      </c>
      <c r="J161" s="8" t="inlineStr">
        <is>
          <t>Doç. Dr. Kübra AYKAÇ</t>
        </is>
      </c>
      <c r="K161" s="8" t="inlineStr">
        <is>
          <t>Doç. Dr. Tolga ÇAKMAK</t>
        </is>
      </c>
      <c r="L161" s="9" t="inlineStr">
        <is>
          <t>RET</t>
        </is>
      </c>
      <c r="M161" s="9" t="n"/>
      <c r="N161" s="9" t="n"/>
      <c r="O161" s="66" t="n"/>
      <c r="P161" s="9">
        <f>IF(O161&lt;&gt;"",O161, IF(N161&lt;&gt;"",N161, IF(M161&lt;&gt;"",M161, L161)))</f>
        <v/>
      </c>
      <c r="R161" s="95">
        <f>IF(AND(L161="", B161&lt;&gt;""), B161, "")</f>
        <v/>
      </c>
    </row>
    <row r="162" ht="78.75" customHeight="1" s="221">
      <c r="A162" s="5" t="inlineStr">
        <is>
          <t>161.</t>
        </is>
      </c>
      <c r="B162" s="6" t="inlineStr">
        <is>
          <t>SBA 26/161</t>
        </is>
      </c>
      <c r="C162" s="8" t="inlineStr">
        <is>
          <t>Dr. Öğr. Üyesi Burcu KELLECİ ÇAKIR</t>
        </is>
      </c>
      <c r="D162" s="8" t="inlineStr">
        <is>
          <t>Klinik Eczacılık Anabilim Dalı</t>
        </is>
      </c>
      <c r="E162" s="7" t="inlineStr">
        <is>
          <t>Üniversitemiz Eczacılık Fakültesi Klinik Eczacılık Anabilim Dalı öğretim üyelerinden Dr. Öğr. Üyesi Burcu KELLECİ ÇAKIR'ın sorumlu araştırmacı olduğu, Doç. Dr. Cafer BALCI, Arş. Gör. Uğur BALABAN, Arş. Gör. Tubanur KOCAASLAN ile birlikte çalışacakları,</t>
        </is>
      </c>
      <c r="F162" s="7" t="inlineStr">
        <is>
          <t>“Yaşlı Hastalarda Stres Hiperglisemi Oranının Malnütrisyon, Kırılganlık ve Sarkopeni ile İlişkisinin Değerlendirilmesi</t>
        </is>
      </c>
      <c r="G162" s="13" t="inlineStr">
        <is>
          <t>Bireysel Araştırma</t>
        </is>
      </c>
      <c r="H162" s="54" t="n">
        <v>46059</v>
      </c>
      <c r="I162" s="52" t="n">
        <v>46070</v>
      </c>
      <c r="J162" s="8" t="inlineStr">
        <is>
          <t>Prof. Dr. Nazmiye Ebru ORTAÇ ERSOY</t>
        </is>
      </c>
      <c r="K162" s="8" t="inlineStr">
        <is>
          <t>Prof. Dr. Ayşe KİN İŞLER</t>
        </is>
      </c>
      <c r="L162" s="9" t="inlineStr">
        <is>
          <t>ONAY</t>
        </is>
      </c>
      <c r="M162" s="9" t="n"/>
      <c r="N162" s="9" t="n"/>
      <c r="O162" s="66" t="n"/>
      <c r="P162" s="9">
        <f>IF(O162&lt;&gt;"",O162, IF(N162&lt;&gt;"",N162, IF(M162&lt;&gt;"",M162, L162)))</f>
        <v/>
      </c>
      <c r="R162" s="95">
        <f>IF(AND(L162="", B162&lt;&gt;""), B162, "")</f>
        <v/>
      </c>
    </row>
    <row r="163" ht="63" customHeight="1" s="221">
      <c r="A163" s="5" t="inlineStr">
        <is>
          <t>162.</t>
        </is>
      </c>
      <c r="B163" s="6" t="inlineStr">
        <is>
          <t>SBA 26/162</t>
        </is>
      </c>
      <c r="C163" s="8" t="inlineStr">
        <is>
          <t>Doç. Dr. Hilal KORKMAZ</t>
        </is>
      </c>
      <c r="D163" s="8" t="inlineStr">
        <is>
          <t>Fizyoloji Anabilim Dalı</t>
        </is>
      </c>
      <c r="E163" s="7" t="inlineStr">
        <is>
          <t>Üniversitemiz Tıp Fakültesi Fizyoloji Anabilim Dalı öğretim üyelerinden Doç. Dr. Hilal KORKMAZ'ın sorumlu araştırmacı olduğu, Aslı DEMİR, Miyase Nur ÖZTÜRK, Saliha Sena YILDIZ, Sena AYDIN ile birlikte çalışacakları,</t>
        </is>
      </c>
      <c r="F163" s="7" t="inlineStr">
        <is>
          <t>“Menstrüel Siklusun Farklı Fazlarında Değişen İştah ve Aşerme Düzeyleri ile Plazma Oksitosin Seviyesi Arasındaki İlişki</t>
        </is>
      </c>
      <c r="G163" s="13" t="inlineStr">
        <is>
          <t>Bireysel Araştırma</t>
        </is>
      </c>
      <c r="H163" s="54" t="n">
        <v>46059</v>
      </c>
      <c r="I163" s="52" t="n">
        <v>46070</v>
      </c>
      <c r="J163" s="8" t="inlineStr">
        <is>
          <t>Prof. Dr. Yavuz AYHAN</t>
        </is>
      </c>
      <c r="K163" s="8" t="inlineStr">
        <is>
          <t>Prof. Dr. Gözde GİRGİN</t>
        </is>
      </c>
      <c r="L163" s="9" t="inlineStr">
        <is>
          <t>DÜZELTME</t>
        </is>
      </c>
      <c r="M163" s="9" t="inlineStr">
        <is>
          <t>ONAY</t>
        </is>
      </c>
      <c r="N163" s="9" t="n"/>
      <c r="O163" s="66" t="n"/>
      <c r="P163" s="9">
        <f>IF(O163&lt;&gt;"",O163, IF(N163&lt;&gt;"",N163, IF(M163&lt;&gt;"",M163, L163)))</f>
        <v/>
      </c>
      <c r="R163" s="95">
        <f>IF(AND(L163="", B163&lt;&gt;""), B163, "")</f>
        <v/>
      </c>
    </row>
    <row r="164" ht="81.75" customHeight="1" s="221">
      <c r="A164" s="5" t="inlineStr">
        <is>
          <t>163.</t>
        </is>
      </c>
      <c r="B164" s="6" t="inlineStr">
        <is>
          <t>SBA 26/163</t>
        </is>
      </c>
      <c r="C164" s="8" t="inlineStr">
        <is>
          <t>Doç. Dr. Mert EŞME</t>
        </is>
      </c>
      <c r="D164" s="8" t="inlineStr">
        <is>
          <t>İç Hastalıkları Anabilim Dalı</t>
        </is>
      </c>
      <c r="E164" s="7" t="inlineStr">
        <is>
          <t>Üniversitemiz Tıp Fakültesi İç Hastalıkları Anabilim Dalı öğretim üyelerinden Doç. Dr. Mert EŞME’nin sorumlu araştırmacı olduğu, Arş. Gör. Dr. Cansu ÇIKIN ile birlikte çalışacakları ve Arş. Gör. Dr. Mustafa Utku UĞUR’un uzmanlık tezi olan,</t>
        </is>
      </c>
      <c r="F164" s="7" t="inlineStr">
        <is>
          <t>“Perkütan Koroner Girişimin Geriatrik Hastalarda Fonksiyonel Performans, Kırılganlık ve Geriatrik Sendromlar ile İlişkisi”</t>
        </is>
      </c>
      <c r="G164" s="13" t="inlineStr">
        <is>
          <t>Uzmanlık Tezi</t>
        </is>
      </c>
      <c r="H164" s="54" t="n">
        <v>46059</v>
      </c>
      <c r="I164" s="52" t="n">
        <v>46070</v>
      </c>
      <c r="J164" s="8" t="inlineStr">
        <is>
          <t>Prof. Dr. Yavuz AYHAN</t>
        </is>
      </c>
      <c r="K164" s="8" t="inlineStr">
        <is>
          <t>Prof. Dr. Gözde GİRGİN</t>
        </is>
      </c>
      <c r="L164" s="9" t="inlineStr">
        <is>
          <t>ONAY</t>
        </is>
      </c>
      <c r="M164" s="9" t="n"/>
      <c r="N164" s="9" t="n"/>
      <c r="O164" s="66" t="n"/>
      <c r="P164" s="9">
        <f>IF(O164&lt;&gt;"",O164, IF(N164&lt;&gt;"",N164, IF(M164&lt;&gt;"",M164, L164)))</f>
        <v/>
      </c>
      <c r="R164" s="95">
        <f>IF(AND(L164="", B164&lt;&gt;""), B164, "")</f>
        <v/>
      </c>
    </row>
    <row r="165" ht="78.75" customHeight="1" s="221">
      <c r="A165" s="5" t="inlineStr">
        <is>
          <t>164.</t>
        </is>
      </c>
      <c r="B165" s="6" t="inlineStr">
        <is>
          <t>SBA 26/164</t>
        </is>
      </c>
      <c r="C165" s="8" t="inlineStr">
        <is>
          <t>Dr. Öğr. Üyesi Gonca ÖZTEN</t>
        </is>
      </c>
      <c r="D165" s="8" t="inlineStr">
        <is>
          <t>Kadın Hastalıkları ve Doğum Anabilim Dalı</t>
        </is>
      </c>
      <c r="E165" s="7" t="inlineStr">
        <is>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is>
      </c>
      <c r="F165" s="7" t="inlineStr">
        <is>
          <t>“Uterus Elastikiyetinin İntra Uterin İnseminasyon (IUI) Sonuçları ile İlişkisinin Prospektif Olarak İncelenmesi”</t>
        </is>
      </c>
      <c r="G165" s="13" t="inlineStr">
        <is>
          <t>Bireysel Araştırma</t>
        </is>
      </c>
      <c r="H165" s="54" t="n">
        <v>46059</v>
      </c>
      <c r="I165" s="52" t="n">
        <v>46070</v>
      </c>
      <c r="J165" s="8" t="inlineStr">
        <is>
          <t>Dr. Öğr. Üyesi Müge DEMİR</t>
        </is>
      </c>
      <c r="K165" s="8" t="inlineStr">
        <is>
          <t>Doç. Dr. Ekim GÜMELER</t>
        </is>
      </c>
      <c r="L165" s="9" t="inlineStr">
        <is>
          <t>DÜZELTME</t>
        </is>
      </c>
      <c r="M165" s="9" t="inlineStr">
        <is>
          <t>ONAY</t>
        </is>
      </c>
      <c r="N165" s="9" t="n"/>
      <c r="O165" s="66" t="n"/>
      <c r="P165" s="9">
        <f>IF(O165&lt;&gt;"",O165, IF(N165&lt;&gt;"",N165, IF(M165&lt;&gt;"",M165, L165)))</f>
        <v/>
      </c>
      <c r="R165" s="95">
        <f>IF(AND(L165="", B165&lt;&gt;""), B165, "")</f>
        <v/>
      </c>
    </row>
    <row r="166" ht="78.75" customHeight="1" s="221">
      <c r="A166" s="5" t="inlineStr">
        <is>
          <t>165.</t>
        </is>
      </c>
      <c r="B166" s="6" t="inlineStr">
        <is>
          <t>SBA 26/165</t>
        </is>
      </c>
      <c r="C166" s="8" t="inlineStr">
        <is>
          <t>Dr. Öğr. Üyesi Gonca ÖZTEN</t>
        </is>
      </c>
      <c r="D166" s="8" t="inlineStr">
        <is>
          <t>Kadın Hastalıkları ve Doğum Anabilim Dalı</t>
        </is>
      </c>
      <c r="E166" s="7" t="inlineStr">
        <is>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is>
      </c>
      <c r="F166" s="7" t="inlineStr">
        <is>
          <t>“Uterus Elastikiyetinin İn Vitro Fertilizasyon Sonuçları ile İlişkisinin Prospektif Olarak İncelenmesi”</t>
        </is>
      </c>
      <c r="G166" s="13" t="inlineStr">
        <is>
          <t>Bireysel Araştırma</t>
        </is>
      </c>
      <c r="H166" s="54" t="n">
        <v>46059</v>
      </c>
      <c r="I166" s="52" t="n">
        <v>46070</v>
      </c>
      <c r="J166" s="8" t="inlineStr">
        <is>
          <t>Dr. Öğr. Üyesi Müge DEMİR</t>
        </is>
      </c>
      <c r="K166" s="8" t="inlineStr">
        <is>
          <t>Doç. Dr. Ekim GÜMELER</t>
        </is>
      </c>
      <c r="L166" s="9" t="inlineStr">
        <is>
          <t>DÜZELTME</t>
        </is>
      </c>
      <c r="M166" s="9" t="inlineStr">
        <is>
          <t>ONAY</t>
        </is>
      </c>
      <c r="N166" s="9" t="n"/>
      <c r="O166" s="66" t="n"/>
      <c r="P166" s="9">
        <f>IF(O166&lt;&gt;"",O166, IF(N166&lt;&gt;"",N166, IF(M166&lt;&gt;"",M166, L166)))</f>
        <v/>
      </c>
      <c r="R166" s="95">
        <f>IF(AND(L166="", B166&lt;&gt;""), B166, "")</f>
        <v/>
      </c>
    </row>
    <row r="167" ht="63" customHeight="1" s="221">
      <c r="A167" s="5" t="inlineStr">
        <is>
          <t>166.</t>
        </is>
      </c>
      <c r="B167" s="6" t="inlineStr">
        <is>
          <t>SBA 26/166</t>
        </is>
      </c>
      <c r="C167" s="8" t="inlineStr">
        <is>
          <t>Prof. Dr. Mehmet AYVAZ</t>
        </is>
      </c>
      <c r="D167" s="8" t="inlineStr">
        <is>
          <t>Ortopedi ve Travmatoloji Anabilim Dalı</t>
        </is>
      </c>
      <c r="E167" s="7" t="inlineStr">
        <is>
          <t>Üniversitemiz Tıp Fakültesi Ortopedi ve Travmatoloji Anabilim Dalı öğretim üyelerinden Prof. Dr. Mehmet AYVAZ’ın sorumlu araştırmacı olduğu, Arş. Gör. Dr. İpek IŞIK ile birlikte çalışacakları,</t>
        </is>
      </c>
      <c r="F167" s="7" t="inlineStr">
        <is>
          <t>“Pediatrik Osteoid Osteoma Hastalarında Bilgisayarlı Tomografi Eşliğinde Radyofrekans Ablasyon Tedavisi Sonrası Nüks ile İlişkili Risk Faktörlerinin Değerlendirilmesi”</t>
        </is>
      </c>
      <c r="G167" s="13" t="inlineStr">
        <is>
          <t>Bireysel Araştırma</t>
        </is>
      </c>
      <c r="H167" s="54" t="n">
        <v>46059</v>
      </c>
      <c r="I167" s="52" t="n">
        <v>46070</v>
      </c>
      <c r="J167" s="8" t="inlineStr">
        <is>
          <t>Doç. Dr. Ekim GÜMELER</t>
        </is>
      </c>
      <c r="K167" s="8" t="inlineStr">
        <is>
          <t>Doç. Dr. Burcu ERSÖZ ALAN</t>
        </is>
      </c>
      <c r="L167" s="9" t="inlineStr">
        <is>
          <t>DÜZELTME</t>
        </is>
      </c>
      <c r="M167" s="9" t="n"/>
      <c r="N167" s="9" t="n"/>
      <c r="O167" s="66" t="n"/>
      <c r="P167" s="9">
        <f>IF(O167&lt;&gt;"",O167, IF(N167&lt;&gt;"",N167, IF(M167&lt;&gt;"",M167, L167)))</f>
        <v/>
      </c>
      <c r="R167" s="95">
        <f>IF(AND(L167="", B167&lt;&gt;""), B167, "")</f>
        <v/>
      </c>
    </row>
    <row r="168" ht="63" customHeight="1" s="221">
      <c r="A168" s="5" t="inlineStr">
        <is>
          <t>167.</t>
        </is>
      </c>
      <c r="B168" s="6" t="inlineStr">
        <is>
          <t>SBA 26/167</t>
        </is>
      </c>
      <c r="C168" s="8" t="inlineStr">
        <is>
          <t>Prof. Dr. Mehmet AYVAZ</t>
        </is>
      </c>
      <c r="D168" s="8" t="inlineStr">
        <is>
          <t>Ortopedi ve Travmatoloji Anabilim Dalı</t>
        </is>
      </c>
      <c r="E168" s="7" t="inlineStr">
        <is>
          <t>Üniversitemiz Tıp Fakültesi Ortopedi ve Travmatoloji Anabilim Dalı öğretim üyelerinden Prof. Dr. Mehmet AYVAZ’ın sorumlu araştırmacı olduğu, Arş. Gör. Dr. İpek IŞIK ile birlikte çalışacakları,</t>
        </is>
      </c>
      <c r="F168" s="7" t="inlineStr">
        <is>
          <t>“Elde Tendon Kılıfı Dev Hücreli Tümörlerinde Cerrahi Tedavi Sonrası Fonksiyonel ve Klinik Sonuçların Değerlendirilmesi”</t>
        </is>
      </c>
      <c r="G168" s="13" t="inlineStr">
        <is>
          <t>Bireysel Araştırma</t>
        </is>
      </c>
      <c r="H168" s="54" t="n">
        <v>46059</v>
      </c>
      <c r="I168" s="52" t="n">
        <v>46070</v>
      </c>
      <c r="J168" s="8" t="inlineStr">
        <is>
          <t>Prof. Dr. Ayşe Nurten AKARSU</t>
        </is>
      </c>
      <c r="K168" s="8" t="inlineStr">
        <is>
          <t>Prof. Dr. Gözde GİRGİN</t>
        </is>
      </c>
      <c r="L168" s="9" t="inlineStr">
        <is>
          <t>DÜZELTME</t>
        </is>
      </c>
      <c r="M168" s="9" t="n"/>
      <c r="N168" s="9" t="n"/>
      <c r="O168" s="66" t="n"/>
      <c r="P168" s="9">
        <f>IF(O168&lt;&gt;"",O168, IF(N168&lt;&gt;"",N168, IF(M168&lt;&gt;"",M168, L168)))</f>
        <v/>
      </c>
      <c r="R168" s="95">
        <f>IF(AND(L168="", B168&lt;&gt;""), B168, "")</f>
        <v/>
      </c>
    </row>
    <row r="169" ht="78.75" customHeight="1" s="221">
      <c r="A169" s="5" t="inlineStr">
        <is>
          <t>168.</t>
        </is>
      </c>
      <c r="B169" s="6" t="inlineStr">
        <is>
          <t>SBA 26/168</t>
        </is>
      </c>
      <c r="C169" s="8" t="inlineStr">
        <is>
          <t>Prof. Dr. Çağrı Mesut TEMUÇİN</t>
        </is>
      </c>
      <c r="D169" s="8" t="inlineStr">
        <is>
          <t>Nöroloji Anabilim Dalı</t>
        </is>
      </c>
      <c r="E169" s="7" t="inlineStr">
        <is>
          <t>Üniversitemiz Tıp Fakültesi Nöroloji Anabilim Dalı öğretim üyelerinden Prof. Dr. Çağrı Mesut TEMUÇİN’in sorumlu araştırmacı olduğu, Prof. Dr. Fatma Gökçem YILDIZ SARIKAYA ve Uzm. Dr. Handan UZUNÇAKMAK UYANIK ile birlikte çalışacakları,</t>
        </is>
      </c>
      <c r="F169" s="7" t="inlineStr">
        <is>
          <t>“Tremor Simülasyonunda Doğruluk, Stabilite ve Uyarılabilirlik Bağlamında Metronom Tiplerinin İncelenmesi ile Burstlerin Sürüklenme Açısından Analizi”</t>
        </is>
      </c>
      <c r="G169" s="13" t="inlineStr">
        <is>
          <t>Bireysel Araştırma</t>
        </is>
      </c>
      <c r="H169" s="54" t="n">
        <v>46059</v>
      </c>
      <c r="I169" s="52" t="n">
        <v>46070</v>
      </c>
      <c r="J169" s="8" t="inlineStr">
        <is>
          <t>Prof. Dr. Yavuz AYHAN</t>
        </is>
      </c>
      <c r="K169" s="8" t="inlineStr">
        <is>
          <t>Prof. Dr. Ayşe KİN İŞLER</t>
        </is>
      </c>
      <c r="L169" s="9" t="inlineStr">
        <is>
          <t>ONAY</t>
        </is>
      </c>
      <c r="M169" s="9" t="n"/>
      <c r="N169" s="9" t="n"/>
      <c r="O169" s="66" t="n"/>
      <c r="P169" s="9">
        <f>IF(O169&lt;&gt;"",O169, IF(N169&lt;&gt;"",N169, IF(M169&lt;&gt;"",M169, L169)))</f>
        <v/>
      </c>
      <c r="R169" s="95">
        <f>IF(AND(L169="", B169&lt;&gt;""), B169, "")</f>
        <v/>
      </c>
    </row>
    <row r="170" ht="78.75" customHeight="1" s="221">
      <c r="A170" s="5" t="inlineStr">
        <is>
          <t>169.</t>
        </is>
      </c>
      <c r="B170" s="6" t="inlineStr">
        <is>
          <t>SBA 26/169</t>
        </is>
      </c>
      <c r="C170" s="8" t="inlineStr">
        <is>
          <t>Doç. Dr. Utku AKGÖR</t>
        </is>
      </c>
      <c r="D170" s="8" t="inlineStr">
        <is>
          <t>Kadın Hastalıkları ve Doğum Anabilim Dalı</t>
        </is>
      </c>
      <c r="E170" s="7" t="inlineStr">
        <is>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is>
      </c>
      <c r="F170" s="7" t="inlineStr">
        <is>
          <t>“01/01/2015-31/12/2025 Tarihleri Arasındaki Gestasyonel Trofoblastik Hastalık Olgularının Klinik, Tanı ve Tedavi Protokollerinin Etkinliği, Rekürrens, Tedavi Direnci, Fertilite Üzerindeki Etkilerinin Çok Yönlü Değerlendirilmesi”</t>
        </is>
      </c>
      <c r="G170" s="13" t="inlineStr">
        <is>
          <t>Bireysel Araştırma</t>
        </is>
      </c>
      <c r="H170" s="54" t="n">
        <v>46059</v>
      </c>
      <c r="I170" s="52" t="n">
        <v>46070</v>
      </c>
      <c r="J170" s="8" t="inlineStr">
        <is>
          <t>Prof. Dr. Ayşe Nurten AKARSU</t>
        </is>
      </c>
      <c r="K170" s="8" t="inlineStr">
        <is>
          <t>Doç. Dr. Tolga ÇAKMAK</t>
        </is>
      </c>
      <c r="L170" s="9" t="inlineStr">
        <is>
          <t>ONAY</t>
        </is>
      </c>
      <c r="M170" s="9" t="n"/>
      <c r="N170" s="9" t="n"/>
      <c r="O170" s="66" t="n"/>
      <c r="P170" s="9">
        <f>IF(O170&lt;&gt;"",O170, IF(N170&lt;&gt;"",N170, IF(M170&lt;&gt;"",M170, L170)))</f>
        <v/>
      </c>
      <c r="R170" s="95">
        <f>IF(AND(L170="", B170&lt;&gt;""), B170, "")</f>
        <v/>
      </c>
    </row>
    <row r="171" ht="81.75" customHeight="1" s="221">
      <c r="A171" s="5" t="inlineStr">
        <is>
          <t>170.</t>
        </is>
      </c>
      <c r="B171" s="6" t="inlineStr">
        <is>
          <t>SBA 26/170</t>
        </is>
      </c>
      <c r="C171" s="8" t="inlineStr">
        <is>
          <t>Doç. Dr. Derman BAŞARAN</t>
        </is>
      </c>
      <c r="D171" s="8" t="inlineStr">
        <is>
          <t>Kadın Hastalıkları ve Doğum Anabilim Dalı</t>
        </is>
      </c>
      <c r="E171" s="7" t="inlineStr">
        <is>
          <t>Üniversitemiz Tıp Fakültesi Kadın Hastalıkları ve Doğum Anabilim Dalı öğretim üyelerinden Doç. Dr. Derman BAŞARAN’ın sorumlu araştırmacı olduğu, Arş. Gör. Dr. Murat CENGİZ ve Arş. Gör. Dr. Fatma CANER ÇABUKOĞLU ile birlikte çalışacakları,</t>
        </is>
      </c>
      <c r="F171" s="7" t="inlineStr">
        <is>
          <t>“01/01/2013–01/01/2026 Tarihleri Arasında Servikal Adenokarsinoma İn Situ Tanılı Hastalarda Eksizyonel Tedavi Sonrası Rezidü Hastalık Sıklığı ve İlişkili Faktörler: Çok Merkezli Retrospektif Kohort Çalışma”</t>
        </is>
      </c>
      <c r="G171" s="13" t="inlineStr">
        <is>
          <t>Bireysel Araştırma</t>
        </is>
      </c>
      <c r="H171" s="54" t="n">
        <v>46059</v>
      </c>
      <c r="I171" s="52" t="n">
        <v>46070</v>
      </c>
      <c r="J171" s="8" t="inlineStr">
        <is>
          <t>Prof. Dr. Ayşe Nurten AKARSU</t>
        </is>
      </c>
      <c r="K171" s="8" t="inlineStr">
        <is>
          <t>Doç. Dr. Tolga ÇAKMAK</t>
        </is>
      </c>
      <c r="L171" s="9" t="inlineStr">
        <is>
          <t>ONAY</t>
        </is>
      </c>
      <c r="M171" s="9" t="n"/>
      <c r="N171" s="9" t="n"/>
      <c r="O171" s="66" t="n"/>
      <c r="P171" s="9">
        <f>IF(O171&lt;&gt;"",O171, IF(N171&lt;&gt;"",N171, IF(M171&lt;&gt;"",M171, L171)))</f>
        <v/>
      </c>
      <c r="R171" s="95">
        <f>IF(AND(L171="", B171&lt;&gt;""), B171, "")</f>
        <v/>
      </c>
    </row>
    <row r="172" ht="63" customHeight="1" s="221">
      <c r="A172" s="5" t="inlineStr">
        <is>
          <t>171.</t>
        </is>
      </c>
      <c r="B172" s="6" t="inlineStr">
        <is>
          <t>SBA 26/171</t>
        </is>
      </c>
      <c r="C172" s="8" t="inlineStr">
        <is>
          <t>Prof. Dr. Yasemin ÖZSÜREKCİ</t>
        </is>
      </c>
      <c r="D172" s="8" t="inlineStr">
        <is>
          <t>Çocuk Sağlığı ve Hastalıkları Anabilim Dalı</t>
        </is>
      </c>
      <c r="E172" s="7" t="inlineStr">
        <is>
          <t>Üniversitemiz Tıp Fakültesi Çocuk Sağlığı ve Hastalıkları Anabilim Dalı öğretim üyelerinden Prof. Dr. Yasemin ÖZSÜREKCİ’nin sorumlu araştırmacı olduğu; Arş. Gör. Dr. Aylin Irmak KURUÇ ve Arş. Gör. Dr. Osman Oğuz DEMİR ile birlikte çalışacakları</t>
        </is>
      </c>
      <c r="F172" s="7" t="inlineStr">
        <is>
          <t>“Brucella Tanısı ile İzlenen Çocuk Hastaların Klinik, Laboratuvar ve Tedavi Yanıtlarının Değerlendirmesi, Çok Merkezli Çalışma”</t>
        </is>
      </c>
      <c r="G172" s="13" t="inlineStr">
        <is>
          <t>Bireysel Araştırma</t>
        </is>
      </c>
      <c r="H172" s="54" t="n">
        <v>46059</v>
      </c>
      <c r="I172" s="52" t="n">
        <v>46070</v>
      </c>
      <c r="J172" s="8" t="inlineStr">
        <is>
          <t>Doç. Dr. Kübra AYKAÇ</t>
        </is>
      </c>
      <c r="K172" s="8" t="inlineStr">
        <is>
          <t>Doç. Dr. Burcu ERSÖZ ALAN</t>
        </is>
      </c>
      <c r="L172" s="9" t="inlineStr">
        <is>
          <t>DÜZELTME</t>
        </is>
      </c>
      <c r="M172" s="9" t="inlineStr">
        <is>
          <t>ONAY</t>
        </is>
      </c>
      <c r="N172" s="9" t="n"/>
      <c r="O172" s="66" t="n"/>
      <c r="P172" s="9">
        <f>IF(O172&lt;&gt;"",O172, IF(N172&lt;&gt;"",N172, IF(M172&lt;&gt;"",M172, L172)))</f>
        <v/>
      </c>
      <c r="R172" s="95">
        <f>IF(AND(L172="", B172&lt;&gt;""), B172, "")</f>
        <v/>
      </c>
    </row>
    <row r="173" ht="78.75" customHeight="1" s="221">
      <c r="A173" s="5" t="inlineStr">
        <is>
          <t>172.</t>
        </is>
      </c>
      <c r="B173" s="6" t="inlineStr">
        <is>
          <t>SBA 26/172</t>
        </is>
      </c>
      <c r="C173" s="8" t="inlineStr">
        <is>
          <t>Doç. Dr. Mert EŞME</t>
        </is>
      </c>
      <c r="D173" s="8" t="inlineStr">
        <is>
          <t>İç Hastalıkları Anabilim Dalı</t>
        </is>
      </c>
      <c r="E173" s="7" t="inlineStr">
        <is>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is>
      </c>
      <c r="F173" s="7" t="inlineStr">
        <is>
          <t>“Geriatrik Sendromlar ile Hareket Analizi Ölçümlerinin İlişkisinin İncelenmesi”</t>
        </is>
      </c>
      <c r="G173" s="13" t="inlineStr">
        <is>
          <t>Bireysel Araştırma</t>
        </is>
      </c>
      <c r="H173" s="54" t="n">
        <v>46059</v>
      </c>
      <c r="I173" s="52" t="n">
        <v>46070</v>
      </c>
      <c r="J173" s="8" t="inlineStr">
        <is>
          <t>Prof. Dr. Ayşe KİN İŞLER</t>
        </is>
      </c>
      <c r="K173" s="8" t="inlineStr">
        <is>
          <t>Prof. Dr. Nazmiye Ebru ORTAÇ ERSOY</t>
        </is>
      </c>
      <c r="L173" s="9" t="inlineStr">
        <is>
          <t>DÜZELTME</t>
        </is>
      </c>
      <c r="M173" s="9" t="inlineStr">
        <is>
          <t>ONAY</t>
        </is>
      </c>
      <c r="N173" s="9" t="n"/>
      <c r="O173" s="66" t="n"/>
      <c r="P173" s="9">
        <f>IF(O173&lt;&gt;"",O173, IF(N173&lt;&gt;"",N173, IF(M173&lt;&gt;"",M173, L173)))</f>
        <v/>
      </c>
      <c r="R173" s="95">
        <f>IF(AND(L173="", B173&lt;&gt;""), B173, "")</f>
        <v/>
      </c>
    </row>
    <row r="174" ht="80.25" customHeight="1" s="221">
      <c r="A174" s="5" t="inlineStr">
        <is>
          <t>173.</t>
        </is>
      </c>
      <c r="B174" s="6" t="inlineStr">
        <is>
          <t>SBA 26/173</t>
        </is>
      </c>
      <c r="C174" s="8" t="inlineStr">
        <is>
          <t>Doç. Dr. Duygu GÜLSEREN</t>
        </is>
      </c>
      <c r="D174" s="8" t="inlineStr">
        <is>
          <t>Deri ve Zührevi Hastalıklar Anabilim Dalı</t>
        </is>
      </c>
      <c r="E174" s="7" t="inlineStr">
        <is>
          <t>Üniversitemiz Tıp Fakültesi Deri ve Zührevi Hastalıkları Anabilim Dalı öğretim üyelerinden Doç. Dr. Duygu GÜLSEREN’in sorumlu araştırmacı olduğu, Dr. Öğr. Üyesi Özay GÖKÖZ, Arş. Gör. Dr. Deniz TATAR ile birlikte çalışacakları,</t>
        </is>
      </c>
      <c r="F174" s="7" t="inlineStr">
        <is>
          <t>“Folikülitis Dekalvans Hastalarında Histopatolojik Bulgular ve Sistemik İnflamatuvar İndekslerin Refrakter Hastalık ile İlişkisinin Değerlendirilmesi”</t>
        </is>
      </c>
      <c r="G174" s="13" t="inlineStr">
        <is>
          <t>Bireysel Araştırma</t>
        </is>
      </c>
      <c r="H174" s="54" t="n">
        <v>46059</v>
      </c>
      <c r="I174" s="52" t="n">
        <v>46070</v>
      </c>
      <c r="J174" s="8" t="inlineStr">
        <is>
          <t>Prof. Dr. Ayşe Nurten AKARSU</t>
        </is>
      </c>
      <c r="K174" s="8" t="inlineStr">
        <is>
          <t>Prof. Dr. M. Özgür UYANIK</t>
        </is>
      </c>
      <c r="L174" s="9" t="inlineStr">
        <is>
          <t>ONAY</t>
        </is>
      </c>
      <c r="M174" s="9" t="n"/>
      <c r="N174" s="9" t="n"/>
      <c r="O174" s="66" t="n"/>
      <c r="P174" s="9">
        <f>IF(O174&lt;&gt;"",O174, IF(N174&lt;&gt;"",N174, IF(M174&lt;&gt;"",M174, L174)))</f>
        <v/>
      </c>
      <c r="R174" s="95">
        <f>IF(AND(L174="", B174&lt;&gt;""), B174, "")</f>
        <v/>
      </c>
    </row>
    <row r="175" ht="94.5" customHeight="1" s="221">
      <c r="A175" s="5" t="inlineStr">
        <is>
          <t>174.</t>
        </is>
      </c>
      <c r="B175" s="6" t="inlineStr">
        <is>
          <t>SBA 26/174</t>
        </is>
      </c>
      <c r="C175" s="8" t="inlineStr">
        <is>
          <t>Prof. Dr. Egemen TURHAN</t>
        </is>
      </c>
      <c r="D175" s="8" t="inlineStr">
        <is>
          <t>Ortopedi ve Travmatoloji Anabilim Dalı</t>
        </is>
      </c>
      <c r="E175" s="7" t="inlineStr">
        <is>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is>
      </c>
      <c r="F175" s="7" t="inlineStr">
        <is>
          <t>“Tenosinoviyal Dev Hücreli Tümör/Pigmente Villonodüler Sinovit (TGCT/PVNS) Hastalarında Kan Plazması ve Sinoviyal Sıvının Metabolomik Profillerinin Q-TOF LC/MS ile Karşılaştırılması”</t>
        </is>
      </c>
      <c r="G175" s="13" t="inlineStr">
        <is>
          <t>Yüksek Lisans Tezi</t>
        </is>
      </c>
      <c r="H175" s="54" t="n">
        <v>46062</v>
      </c>
      <c r="I175" s="52" t="n">
        <v>46070</v>
      </c>
      <c r="J175" s="8" t="inlineStr">
        <is>
          <t>Prof. Dr. Ayşe Nurten AKARSU</t>
        </is>
      </c>
      <c r="K175" s="8" t="inlineStr">
        <is>
          <t>Prof. Dr. Gözde GİRGİN</t>
        </is>
      </c>
      <c r="L175" s="9" t="inlineStr">
        <is>
          <t>DÜZELTME</t>
        </is>
      </c>
      <c r="M175" s="9" t="inlineStr">
        <is>
          <t>ONAY</t>
        </is>
      </c>
      <c r="N175" s="9" t="n"/>
      <c r="O175" s="66" t="n"/>
      <c r="P175" s="9">
        <f>IF(O175&lt;&gt;"",O175, IF(N175&lt;&gt;"",N175, IF(M175&lt;&gt;"",M175, L175)))</f>
        <v/>
      </c>
      <c r="R175" s="95">
        <f>IF(AND(L175="", B175&lt;&gt;""), B175, "")</f>
        <v/>
      </c>
    </row>
    <row r="176" ht="95.25" customHeight="1" s="221">
      <c r="A176" s="5" t="inlineStr">
        <is>
          <t>175.</t>
        </is>
      </c>
      <c r="B176" s="6" t="inlineStr">
        <is>
          <t>SBA 26/175</t>
        </is>
      </c>
      <c r="C176" s="8" t="inlineStr">
        <is>
          <t>Prof. Dr. Sevinç SARINÇ</t>
        </is>
      </c>
      <c r="D176" s="8" t="inlineStr">
        <is>
          <t>Göğüs Hastalıkları Anabilim Dalı</t>
        </is>
      </c>
      <c r="E176" s="7" t="inlineStr">
        <is>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is>
      </c>
      <c r="F176" s="7" t="inlineStr">
        <is>
          <t>“İnterstisyel Akciğer Hastalığı Tanılı Hastalarda Uyku Solunum Bozukluklarının Kapsamlı Analizi”</t>
        </is>
      </c>
      <c r="G176" s="13" t="inlineStr">
        <is>
          <t>Uzmanlık Tezi</t>
        </is>
      </c>
      <c r="H176" s="54" t="n">
        <v>46062</v>
      </c>
      <c r="I176" s="52" t="n">
        <v>46070</v>
      </c>
      <c r="J176" s="8" t="inlineStr">
        <is>
          <t>Prof. Dr. Ayşe Nurten AKARSU</t>
        </is>
      </c>
      <c r="K176" s="8" t="inlineStr">
        <is>
          <t>Prof. Dr. Yavuz AYHAN</t>
        </is>
      </c>
      <c r="L176" s="9" t="inlineStr">
        <is>
          <t>DÜZELTME</t>
        </is>
      </c>
      <c r="M176" s="9" t="inlineStr">
        <is>
          <t>ONAY</t>
        </is>
      </c>
      <c r="N176" s="9" t="n"/>
      <c r="O176" s="66" t="n"/>
      <c r="P176" s="9">
        <f>IF(O176&lt;&gt;"",O176, IF(N176&lt;&gt;"",N176, IF(M176&lt;&gt;"",M176, L176)))</f>
        <v/>
      </c>
      <c r="R176" s="95">
        <f>IF(AND(L176="", B176&lt;&gt;""), B176, "")</f>
        <v/>
      </c>
    </row>
    <row r="177" ht="94.5" customHeight="1" s="221">
      <c r="A177" s="5" t="inlineStr">
        <is>
          <t>176.</t>
        </is>
      </c>
      <c r="B177" s="6" t="inlineStr">
        <is>
          <t>SBA 26/176</t>
        </is>
      </c>
      <c r="C177" s="8" t="inlineStr">
        <is>
          <t>Prof. Dr. Serdar TEKGÜL</t>
        </is>
      </c>
      <c r="D177" s="8" t="inlineStr">
        <is>
          <t>Üroloji Anabilim Dalı</t>
        </is>
      </c>
      <c r="E177" s="7" t="inlineStr">
        <is>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is>
      </c>
      <c r="F177" s="7" t="inlineStr">
        <is>
          <t>“Primer Vezikoüreteral Reflü Olan Çocuk Hastalarda Açık Cerrahi ile Üreteral Reimplantasyon Sonuçlarımızın Değerlendirilmesi”</t>
        </is>
      </c>
      <c r="G177" s="13" t="inlineStr">
        <is>
          <t>Bireysel Araştırma</t>
        </is>
      </c>
      <c r="H177" s="54" t="n">
        <v>46062</v>
      </c>
      <c r="I177" s="52" t="n">
        <v>46070</v>
      </c>
      <c r="J177" s="8" t="inlineStr">
        <is>
          <t>Prof. Dr. Nazmiye Ebru ORTAÇ ERSOY</t>
        </is>
      </c>
      <c r="K177" s="8" t="inlineStr">
        <is>
          <t>Prof. Dr. Yavuz AYHAN</t>
        </is>
      </c>
      <c r="L177" s="9" t="inlineStr">
        <is>
          <t>ONAY</t>
        </is>
      </c>
      <c r="M177" s="9" t="n"/>
      <c r="N177" s="9" t="n"/>
      <c r="O177" s="66" t="n"/>
      <c r="P177" s="9">
        <f>IF(O177&lt;&gt;"",O177, IF(N177&lt;&gt;"",N177, IF(M177&lt;&gt;"",M177, L177)))</f>
        <v/>
      </c>
      <c r="R177" s="95">
        <f>IF(AND(L177="", B177&lt;&gt;""), B177, "")</f>
        <v/>
      </c>
    </row>
    <row r="178" ht="63" customHeight="1" s="221">
      <c r="A178" s="5" t="inlineStr">
        <is>
          <t>177.</t>
        </is>
      </c>
      <c r="B178" s="6" t="inlineStr">
        <is>
          <t>SBA 26/177</t>
        </is>
      </c>
      <c r="C178" s="8" t="inlineStr">
        <is>
          <t>Doç. Dr. Mesut ALTAN</t>
        </is>
      </c>
      <c r="D178" s="8" t="inlineStr">
        <is>
          <t>Üroloji Anabilim Dalı</t>
        </is>
      </c>
      <c r="E178" s="7" t="inlineStr">
        <is>
          <t>Üniversitemiz Tıp Fakültesi Üroloji Anabilim Dalı öğretim üyelerinden Doç. Dr. Mesut ALTAN’ın sorumlu araştırmacı olduğu, Arş. Gör. Dr. Rabia HİZARCİ BAL ile birlikte çalışacakları,</t>
        </is>
      </c>
      <c r="F178" s="7" t="inlineStr">
        <is>
          <t>“Radikal SistoprostatektomiYapılan Hastalarda İnsidental Tespit Edlen Prostat Kanserinin Görülme Sıklığı, Klinikopatolojik Özellikleri ve Sağkalım Üzerindeki Etkisi: Tek Merkezli Bir Analiz”</t>
        </is>
      </c>
      <c r="G178" s="13" t="inlineStr">
        <is>
          <t>Bireysel Araştırma</t>
        </is>
      </c>
      <c r="H178" s="54" t="n">
        <v>46062</v>
      </c>
      <c r="I178" s="52" t="n">
        <v>46070</v>
      </c>
      <c r="J178" s="8" t="inlineStr">
        <is>
          <t>Doç. Dr. Kübra AYKAÇ</t>
        </is>
      </c>
      <c r="K178" s="8" t="inlineStr">
        <is>
          <t>Doç. Dr. Burcu ERSÖZ ALAN</t>
        </is>
      </c>
      <c r="L178" s="9" t="inlineStr">
        <is>
          <t>ONAY</t>
        </is>
      </c>
      <c r="M178" s="9" t="n"/>
      <c r="N178" s="9" t="n"/>
      <c r="O178" s="66" t="n"/>
      <c r="P178" s="9">
        <f>IF(O178&lt;&gt;"",O178, IF(N178&lt;&gt;"",N178, IF(M178&lt;&gt;"",M178, L178)))</f>
        <v/>
      </c>
      <c r="R178" s="95">
        <f>IF(AND(L178="", B178&lt;&gt;""), B178, "")</f>
        <v/>
      </c>
    </row>
    <row r="179" ht="63" customHeight="1" s="221">
      <c r="A179" s="5" t="inlineStr">
        <is>
          <t>178.</t>
        </is>
      </c>
      <c r="B179" s="6" t="inlineStr">
        <is>
          <t>SBA 26/178</t>
        </is>
      </c>
      <c r="C179" s="8" t="inlineStr">
        <is>
          <t>Doç. Dr. Mesut ALTAN</t>
        </is>
      </c>
      <c r="D179" s="8" t="inlineStr">
        <is>
          <t>Üroloji Anabilim Dalı</t>
        </is>
      </c>
      <c r="E179" s="7" t="inlineStr">
        <is>
          <t>Üniversitemiz Tıp Fakültesi Üroloji Anabilim Dalı öğretim üyelerinden Doç. Dr. Mesut ALTAN’ın sorumlu araştırmacı olduğu, Arş. Gör. Dr. Rabia HİZARCİ BAL ile birlikte çalışacakları,</t>
        </is>
      </c>
      <c r="F179" s="7" t="inlineStr">
        <is>
          <t>“Radikal Sistektomi Operasyonu Yapılan Hastalarda Nefroüreteroileal Stentlerin Uzun Dönem Sonuçları”</t>
        </is>
      </c>
      <c r="G179" s="13" t="inlineStr">
        <is>
          <t>Bireysel Araştırma</t>
        </is>
      </c>
      <c r="H179" s="54" t="n">
        <v>46062</v>
      </c>
      <c r="I179" s="52" t="n">
        <v>46070</v>
      </c>
      <c r="J179" s="8" t="inlineStr">
        <is>
          <t>Doç. Dr. Kübra AYKAÇ</t>
        </is>
      </c>
      <c r="K179" s="8" t="inlineStr">
        <is>
          <t>Doç. Dr. Burcu ERSÖZ ALAN</t>
        </is>
      </c>
      <c r="L179" s="9" t="inlineStr">
        <is>
          <t>ONAY</t>
        </is>
      </c>
      <c r="M179" s="9" t="n"/>
      <c r="N179" s="9" t="n"/>
      <c r="O179" s="66" t="n"/>
      <c r="P179" s="9">
        <f>IF(O179&lt;&gt;"",O179, IF(N179&lt;&gt;"",N179, IF(M179&lt;&gt;"",M179, L179)))</f>
        <v/>
      </c>
      <c r="R179" s="95">
        <f>IF(AND(L179="", B179&lt;&gt;""), B179, "")</f>
        <v/>
      </c>
    </row>
    <row r="180" ht="63" customHeight="1" s="221">
      <c r="A180" s="5" t="inlineStr">
        <is>
          <t>179.</t>
        </is>
      </c>
      <c r="B180" s="6" t="inlineStr">
        <is>
          <t>SBA 26/179</t>
        </is>
      </c>
      <c r="C180" s="8" t="inlineStr">
        <is>
          <t>Doç. Dr. İzzet FİDANCI</t>
        </is>
      </c>
      <c r="D180" s="8" t="inlineStr">
        <is>
          <t>Aile Hekimliği Anabilim Dalı</t>
        </is>
      </c>
      <c r="E180" s="7" t="inlineStr">
        <is>
          <t>Üniversitemiz Tıp Fakültesi Aile Hekimliği Anabilim Dalı öğretim üyelerinden Doç. Dr .İzzet FİDANCI’nın sorumlu araştırmacı olduğu, Doç. Dr. Hilal AKSOY ve Doç. Dr. Duygu AYHAN BAŞER ile birlikte çalışacakları,</t>
        </is>
      </c>
      <c r="F180" s="7" t="inlineStr">
        <is>
          <t>“Üniversite Öğrencilerinde Yanmalı Sigara, Elektronik Sigara ve Isıtılmış Tütün Kullanımına Göre Karbonmonoksit Düzeyleri ve Nikotin Bağımlılığı: Karma Yöntem Çalışması”</t>
        </is>
      </c>
      <c r="G180" s="13" t="inlineStr">
        <is>
          <t>Bireysel Araştırma</t>
        </is>
      </c>
      <c r="H180" s="54" t="n">
        <v>46062</v>
      </c>
      <c r="I180" s="52" t="n">
        <v>46070</v>
      </c>
      <c r="J180" s="8" t="inlineStr">
        <is>
          <t>Doç. Dr. Tolga ÇAKMAK</t>
        </is>
      </c>
      <c r="K180" s="8" t="inlineStr">
        <is>
          <t>Prof. Dr. Ayşe KİN İŞLER</t>
        </is>
      </c>
      <c r="L180" s="9" t="inlineStr">
        <is>
          <t>DÜZELTME</t>
        </is>
      </c>
      <c r="M180" s="9" t="inlineStr">
        <is>
          <t>ONAY</t>
        </is>
      </c>
      <c r="N180" s="9" t="n"/>
      <c r="O180" s="66" t="n"/>
      <c r="P180" s="9">
        <f>IF(O180&lt;&gt;"",O180, IF(N180&lt;&gt;"",N180, IF(M180&lt;&gt;"",M180, L180)))</f>
        <v/>
      </c>
      <c r="R180" s="95">
        <f>IF(AND(L180="", B180&lt;&gt;""), B180, "")</f>
        <v/>
      </c>
    </row>
    <row r="181" ht="63" customHeight="1" s="221">
      <c r="A181" s="5" t="inlineStr">
        <is>
          <t>180.</t>
        </is>
      </c>
      <c r="B181" s="6" t="inlineStr">
        <is>
          <t>SBA 26/180</t>
        </is>
      </c>
      <c r="C181" s="8" t="inlineStr">
        <is>
          <t>Doç. Dr. Levent KILIÇ</t>
        </is>
      </c>
      <c r="D181" s="8" t="inlineStr">
        <is>
          <t>İç Hastalıkları Anabilim Dalı</t>
        </is>
      </c>
      <c r="E181" s="7" t="inlineStr">
        <is>
          <t>Üniversitemiz Tıp Fakültesi İç Hastalıkları Anabilim Dalı öğretim üyelerinden Doç. Dr. Levent KILIÇ’ın sorumlu araştırmacı olduğu, Arş. Gör. Dr. Deniz DÖNMEZ ile birlikte çalışacakları ve Arş. Gör. Dr. Selin ÇETİN’in uzmanlık tezi olan,</t>
        </is>
      </c>
      <c r="F181" s="7" t="inlineStr">
        <is>
          <t>“Aksiyel Spondiloartrit ve Psöriatik Artrit Hastalarında JAK İnhibitörlerinin Etkinlik ve Güvenlik Profili: Tek Merkezli Retrospektif Gerçek Yaşam Verisi”</t>
        </is>
      </c>
      <c r="G181" s="13" t="inlineStr">
        <is>
          <t>Uzmanlık Tezi</t>
        </is>
      </c>
      <c r="H181" s="54" t="n">
        <v>46062</v>
      </c>
      <c r="I181" s="52" t="n">
        <v>46070</v>
      </c>
      <c r="J181" s="8" t="inlineStr">
        <is>
          <t>Prof. Dr. Ayşe Nurten AKARSU</t>
        </is>
      </c>
      <c r="K181" s="8" t="inlineStr">
        <is>
          <t>Prof. Dr. M. Özgür UYANIK</t>
        </is>
      </c>
      <c r="L181" s="9" t="inlineStr">
        <is>
          <t>DÜZELTME</t>
        </is>
      </c>
      <c r="M181" s="9" t="inlineStr">
        <is>
          <t>ONAY</t>
        </is>
      </c>
      <c r="N181" s="9" t="n"/>
      <c r="O181" s="66" t="n"/>
      <c r="P181" s="9">
        <f>IF(O181&lt;&gt;"",O181, IF(N181&lt;&gt;"",N181, IF(M181&lt;&gt;"",M181, L181)))</f>
        <v/>
      </c>
      <c r="R181" s="95">
        <f>IF(AND(L181="", B181&lt;&gt;""), B181, "")</f>
        <v/>
      </c>
    </row>
    <row r="182" ht="94.5" customHeight="1" s="221">
      <c r="A182" s="5" t="inlineStr">
        <is>
          <t>181.</t>
        </is>
      </c>
      <c r="B182" s="6" t="inlineStr">
        <is>
          <t>SBA 26/181</t>
        </is>
      </c>
      <c r="C182" s="8" t="inlineStr">
        <is>
          <t>Doç. Dr. Basri GÜLBAKAN</t>
        </is>
      </c>
      <c r="D182" s="8" t="inlineStr">
        <is>
          <t>Pediatrik Temel Bilimler Anabilim Dalı</t>
        </is>
      </c>
      <c r="E182" s="7" t="inlineStr">
        <is>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is>
      </c>
      <c r="F182" s="7" t="inlineStr">
        <is>
          <t>“Kalıtsal Metabolik Hastalıklarda İtakonatın İnflamasyondaki Rolünün Araştırılması”</t>
        </is>
      </c>
      <c r="G182" s="13" t="inlineStr">
        <is>
          <t>Yüksek Lisans Tezi</t>
        </is>
      </c>
      <c r="H182" s="54" t="n">
        <v>46063</v>
      </c>
      <c r="I182" s="52" t="n">
        <v>46070</v>
      </c>
      <c r="J182" s="8" t="inlineStr">
        <is>
          <t>Prof. Dr. Ayşe Nurten AKARSU</t>
        </is>
      </c>
      <c r="K182" s="8" t="inlineStr">
        <is>
          <t>Doç. Dr. Tolga ÇAKMAK</t>
        </is>
      </c>
      <c r="L182" s="9" t="inlineStr">
        <is>
          <t>DÜZELTME</t>
        </is>
      </c>
      <c r="M182" s="9" t="inlineStr">
        <is>
          <t>ONAY</t>
        </is>
      </c>
      <c r="N182" s="9" t="n"/>
      <c r="O182" s="66" t="n"/>
      <c r="P182" s="9">
        <f>IF(O182&lt;&gt;"",O182, IF(N182&lt;&gt;"",N182, IF(M182&lt;&gt;"",M182, L182)))</f>
        <v/>
      </c>
      <c r="R182" s="95">
        <f>IF(AND(L182="", B182&lt;&gt;""), B182, "")</f>
        <v/>
      </c>
    </row>
    <row r="183" ht="63" customHeight="1" s="221">
      <c r="A183" s="5" t="inlineStr">
        <is>
          <t>182.</t>
        </is>
      </c>
      <c r="B183" s="6" t="inlineStr">
        <is>
          <t>SBA 26/182</t>
        </is>
      </c>
      <c r="C183" s="8" t="inlineStr">
        <is>
          <t>Dr. Öğr. Üyesi Merva PARLAK</t>
        </is>
      </c>
      <c r="D183" s="8" t="inlineStr">
        <is>
          <t>Periodontoloji Anabilim Dalı</t>
        </is>
      </c>
      <c r="E183" s="7" t="inlineStr">
        <is>
          <t>Üniversitemiz Diş Hekimliği Fakültesi Periodontoloji Anabilim Dalı öğretim üyelerinden Dr. Öğr. Üyesi Hanife Merva PARLAK’ın sorumlu araştırmacı olduğu, Öğr. Gör. Dt. Meltem ÖZDEMİR-KABALAK ile birlikte çalışacakları,</t>
        </is>
      </c>
      <c r="F183" s="7" t="inlineStr">
        <is>
          <t>“Oral Cerrahi İşlem Gereken Bireylerin Preoperatif Siberkondri Ciddiyeti ile Anksiyete ve Cerrahi Korku Seviyelerinin Değerlendirilmesi”</t>
        </is>
      </c>
      <c r="G183" s="13" t="inlineStr">
        <is>
          <t>Bireysel Araştırma</t>
        </is>
      </c>
      <c r="H183" s="54" t="n">
        <v>46063</v>
      </c>
      <c r="I183" s="52" t="n">
        <v>46070</v>
      </c>
      <c r="J183" s="8" t="inlineStr">
        <is>
          <t>Dr. Öğr. Üyesi Müge DEMİR</t>
        </is>
      </c>
      <c r="K183" s="8" t="inlineStr">
        <is>
          <t>Prof. Dr. M. Özgür UYANIK</t>
        </is>
      </c>
      <c r="L183" s="9" t="inlineStr">
        <is>
          <t>ONAY</t>
        </is>
      </c>
      <c r="M183" s="9" t="n"/>
      <c r="N183" s="9" t="n"/>
      <c r="O183" s="66" t="n"/>
      <c r="P183" s="9">
        <f>IF(O183&lt;&gt;"",O183, IF(N183&lt;&gt;"",N183, IF(M183&lt;&gt;"",M183, L183)))</f>
        <v/>
      </c>
      <c r="R183" s="95">
        <f>IF(AND(L183="", B183&lt;&gt;""), B183, "")</f>
        <v/>
      </c>
    </row>
    <row r="184" ht="63" customHeight="1" s="221">
      <c r="A184" s="5" t="inlineStr">
        <is>
          <t>183.</t>
        </is>
      </c>
      <c r="B184" s="6" t="inlineStr">
        <is>
          <t>SBA 26/183</t>
        </is>
      </c>
      <c r="C184" s="8" t="inlineStr">
        <is>
          <t>Prof. Dr. Mustafa Barış GÜNCÜ</t>
        </is>
      </c>
      <c r="D184" s="8" t="inlineStr">
        <is>
          <t>Protetik Diş Tedavisi Anabilim Dalı</t>
        </is>
      </c>
      <c r="E184" s="7" t="inlineStr">
        <is>
          <t>Üniversitemiz Diş Hekimliği Fakültesi Protetik Diş Tedavisi Anabilim Dalı öğretim üyelerinden Prof. Dr. Mustafa Barış GÜNCÜ’nün sorumlu araştırmacı olduğu, Arş. Gör. Dt. Eda Gül KAYIR'ın uzmanlık tezi olan,</t>
        </is>
      </c>
      <c r="F184" s="7" t="inlineStr">
        <is>
          <t>“Tam Ark İmplant Ölçülerinde Fotogrametri ve Ağız İçi Tarama Yöntemlerinin Doğruluğunun Değerlendirilmesi”</t>
        </is>
      </c>
      <c r="G184" s="13" t="inlineStr">
        <is>
          <t>Uzmanlık Tezi</t>
        </is>
      </c>
      <c r="H184" s="54" t="n">
        <v>46063</v>
      </c>
      <c r="I184" s="52" t="n">
        <v>46070</v>
      </c>
      <c r="J184" s="8" t="inlineStr">
        <is>
          <t>Prof. Dr. M. Özgür UYANIK</t>
        </is>
      </c>
      <c r="K184" s="8" t="inlineStr">
        <is>
          <t>Prof. Dr. Gözde GİRGİN</t>
        </is>
      </c>
      <c r="L184" s="9" t="inlineStr">
        <is>
          <t>GÖRÜŞ</t>
        </is>
      </c>
      <c r="M184" s="9" t="inlineStr">
        <is>
          <t>DÜZELTME</t>
        </is>
      </c>
      <c r="N184" s="9" t="n"/>
      <c r="O184" s="66" t="n"/>
      <c r="P184" s="9">
        <f>IF(O184&lt;&gt;"",O184, IF(N184&lt;&gt;"",N184, IF(M184&lt;&gt;"",M184, L184)))</f>
        <v/>
      </c>
      <c r="R184" s="95">
        <f>IF(AND(L184="", B184&lt;&gt;""), B184, "")</f>
        <v/>
      </c>
    </row>
    <row r="185" ht="78.75" customHeight="1" s="221">
      <c r="A185" s="5" t="inlineStr">
        <is>
          <t>184.</t>
        </is>
      </c>
      <c r="B185" s="6" t="inlineStr">
        <is>
          <t>SBA 26/184</t>
        </is>
      </c>
      <c r="C185" s="8" t="inlineStr">
        <is>
          <t>Dr. Öğr. Üyesi Aybüke USLU TEKCE</t>
        </is>
      </c>
      <c r="D185" s="8" t="inlineStr">
        <is>
          <t>Restoratif Diş Tedavisi Anabilim Dalı</t>
        </is>
      </c>
      <c r="E185" s="7" t="inlineStr">
        <is>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is>
      </c>
      <c r="F185" s="7" t="inlineStr">
        <is>
          <t>“Farklı Remineralize Edici Ajanların Diyot Lazer ile Beyazlatma Uygulama Sırasına Bağlı Yüzey Özelliklerine Etkisi”</t>
        </is>
      </c>
      <c r="G185" s="13" t="inlineStr">
        <is>
          <t>Bireysel Araştırma</t>
        </is>
      </c>
      <c r="H185" s="54" t="n">
        <v>46064</v>
      </c>
      <c r="I185" s="52" t="n">
        <v>46070</v>
      </c>
      <c r="J185" s="8" t="inlineStr">
        <is>
          <t>Prof. Dr. M. Özgür UYANIK</t>
        </is>
      </c>
      <c r="K185" s="8" t="inlineStr">
        <is>
          <t>Prof. Dr. Ayşe KİN İŞLER</t>
        </is>
      </c>
      <c r="L185" s="9" t="inlineStr">
        <is>
          <t>ONAY</t>
        </is>
      </c>
      <c r="M185" s="9" t="n"/>
      <c r="N185" s="9" t="n"/>
      <c r="O185" s="66" t="n"/>
      <c r="P185" s="9">
        <f>IF(O185&lt;&gt;"",O185, IF(N185&lt;&gt;"",N185, IF(M185&lt;&gt;"",M185, L185)))</f>
        <v/>
      </c>
      <c r="R185" s="95">
        <f>IF(AND(L185="", B185&lt;&gt;""), B185, "")</f>
        <v/>
      </c>
    </row>
    <row r="186" ht="78.75" customHeight="1" s="221">
      <c r="A186" s="5" t="inlineStr">
        <is>
          <t>185.</t>
        </is>
      </c>
      <c r="B186" s="6" t="inlineStr">
        <is>
          <t>SBA 26/185</t>
        </is>
      </c>
      <c r="C186" s="8" t="inlineStr">
        <is>
          <t>Doç. Dr. Gamze DURHAN</t>
        </is>
      </c>
      <c r="D186" s="8" t="inlineStr">
        <is>
          <t>Radyoloji Anabilim Dalı</t>
        </is>
      </c>
      <c r="E186" s="7" t="inlineStr">
        <is>
          <t>Üniversitemiz Tıp Fakültesi Radyoloji Anabilim Dalı öğretim üyelerinden Doç. Dr. Gamze DURHAN’ın sorumlu araştırmacı olduğu, Prof. Dr. Sercan AKSOY ile birlikte çalışacakları ve Arş. Gör. Dr. İsmail Cihat CANKURTARAN’ın uzmanlık tezi olan,</t>
        </is>
      </c>
      <c r="F186" s="7" t="inlineStr">
        <is>
          <t>“Mamografide Yapay Zekanın Risk Skoru Davranışı ve İnterval Kanser Tespit Performansı”</t>
        </is>
      </c>
      <c r="G186" s="13" t="inlineStr">
        <is>
          <t>Uzmanlık Tezi</t>
        </is>
      </c>
      <c r="H186" s="54" t="n">
        <v>46064</v>
      </c>
      <c r="I186" s="52" t="n">
        <v>46070</v>
      </c>
      <c r="J186" s="8" t="inlineStr">
        <is>
          <t>Prof. Dr. Nazmiye Ebru ORTAÇ ERSOY</t>
        </is>
      </c>
      <c r="K186" s="8" t="inlineStr">
        <is>
          <t>Doç. Dr. Ekim GÜMELER</t>
        </is>
      </c>
      <c r="L186" s="9" t="inlineStr">
        <is>
          <t>ONAY</t>
        </is>
      </c>
      <c r="M186" s="9" t="n"/>
      <c r="N186" s="9" t="n"/>
      <c r="O186" s="66" t="n"/>
      <c r="P186" s="9">
        <f>IF(O186&lt;&gt;"",O186, IF(N186&lt;&gt;"",N186, IF(M186&lt;&gt;"",M186, L186)))</f>
        <v/>
      </c>
      <c r="R186" s="95">
        <f>IF(AND(L186="", B186&lt;&gt;""), B186, "")</f>
        <v/>
      </c>
    </row>
    <row r="187" ht="96" customHeight="1" s="221">
      <c r="A187" s="5" t="inlineStr">
        <is>
          <t>186.</t>
        </is>
      </c>
      <c r="B187" s="6" t="inlineStr">
        <is>
          <t>SBA 26/186</t>
        </is>
      </c>
      <c r="C187" s="8" t="inlineStr">
        <is>
          <t>Dr. Öğr. Üyesi Gonca ÖZTEN</t>
        </is>
      </c>
      <c r="D187" s="8" t="inlineStr">
        <is>
          <t>Kadın Hastalıkları ve Doğum Anabilim Dalı</t>
        </is>
      </c>
      <c r="E187" s="7" t="inlineStr">
        <is>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is>
      </c>
      <c r="F187" s="7" t="inlineStr">
        <is>
          <t>“IVF Gebeliklerinde İlk Trimester Baş Popo Mesafesi Uyumsuzluğu: Gebelik Sonuçlarının Retrospektif Değerlendirilmesi”</t>
        </is>
      </c>
      <c r="G187" s="13" t="inlineStr">
        <is>
          <t>Bireysel Araştırma</t>
        </is>
      </c>
      <c r="H187" s="54" t="n">
        <v>46064</v>
      </c>
      <c r="I187" s="52" t="n">
        <v>46070</v>
      </c>
      <c r="J187" s="8" t="inlineStr">
        <is>
          <t>Doç. Dr. Tolga ÇAKMAK</t>
        </is>
      </c>
      <c r="K187" s="8" t="inlineStr">
        <is>
          <t>Prof. Dr. Nazmiye Ebru ORTAÇ ERSOY</t>
        </is>
      </c>
      <c r="L187" s="9" t="inlineStr">
        <is>
          <t>RET</t>
        </is>
      </c>
      <c r="M187" s="9" t="n"/>
      <c r="N187" s="9" t="n"/>
      <c r="O187" s="66" t="n"/>
      <c r="P187" s="9">
        <f>IF(O187&lt;&gt;"",O187, IF(N187&lt;&gt;"",N187, IF(M187&lt;&gt;"",M187, L187)))</f>
        <v/>
      </c>
      <c r="R187" s="95">
        <f>IF(AND(L187="", B187&lt;&gt;""), B187, "")</f>
        <v/>
      </c>
    </row>
    <row r="188" ht="63" customHeight="1" s="221">
      <c r="A188" s="5" t="inlineStr">
        <is>
          <t>187.</t>
        </is>
      </c>
      <c r="B188" s="6" t="inlineStr">
        <is>
          <t>SBA 26/187</t>
        </is>
      </c>
      <c r="C188" s="8" t="inlineStr">
        <is>
          <t>Dr. Öğr. Üyesi Muhammed Çağrı KÜLEKCİ</t>
        </is>
      </c>
      <c r="D188" s="8" t="inlineStr">
        <is>
          <t>Kulak Burun Boğaz Anabilim Dalı</t>
        </is>
      </c>
      <c r="E188" s="7" t="inlineStr">
        <is>
          <t>Üniversitemiz Tıp Fakültesi Kulak Burun Boğaz Hastalıkları Anabilim Dalı öğretim üyelerinden Dr. Öğr. Üyesi Muhammed Çağrı KÜLEKCİ’nın sorumlu araştırmacı olduğu, Arş. Gör. Dr. Erdem Ersan AKYÜREK ile birlikte çalışacakları,</t>
        </is>
      </c>
      <c r="F188" s="7" t="inlineStr">
        <is>
          <t>“Nazofaringeal Stenozun Cerrahi Tedavisinde Nazoseptal Flep Etkinliğinin Araştırılması”</t>
        </is>
      </c>
      <c r="G188" s="13" t="inlineStr">
        <is>
          <t>Bireysel Araştırma</t>
        </is>
      </c>
      <c r="H188" s="54" t="n">
        <v>46064</v>
      </c>
      <c r="I188" s="52" t="n">
        <v>46070</v>
      </c>
      <c r="J188" s="8" t="inlineStr">
        <is>
          <t>Dr. Öğr. Üyesi Müge DEMİR</t>
        </is>
      </c>
      <c r="K188" s="8" t="inlineStr">
        <is>
          <t>Prof. Dr. Gözde GİRGİN</t>
        </is>
      </c>
      <c r="L188" s="9" t="inlineStr">
        <is>
          <t>RET</t>
        </is>
      </c>
      <c r="M188" s="9" t="n"/>
      <c r="N188" s="9" t="n"/>
      <c r="O188" s="66" t="n"/>
      <c r="P188" s="9">
        <f>IF(O188&lt;&gt;"",O188, IF(N188&lt;&gt;"",N188, IF(M188&lt;&gt;"",M188, L188)))</f>
        <v/>
      </c>
      <c r="R188" s="95">
        <f>IF(AND(L188="", B188&lt;&gt;""), B188, "")</f>
        <v/>
      </c>
    </row>
    <row r="189" ht="110.25" customHeight="1" s="221">
      <c r="A189" s="5" t="inlineStr">
        <is>
          <t>188.</t>
        </is>
      </c>
      <c r="B189" s="6" t="inlineStr">
        <is>
          <t>SBA 26/188</t>
        </is>
      </c>
      <c r="C189" s="8" t="inlineStr">
        <is>
          <t>Doç.Dr. Tekin AKSU</t>
        </is>
      </c>
      <c r="D189" s="8" t="inlineStr">
        <is>
          <t>Çocuk Sağlığı ve Hastalıkları Anabilim Dalı</t>
        </is>
      </c>
      <c r="E189" s="7" t="inlineStr">
        <is>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is>
      </c>
      <c r="F189" s="7" t="inlineStr">
        <is>
          <t>“Santral Venöz Kateter İlişkili Trombozlarda Risk Faktörleri ve Risk Skorlaması: Prospektif Gözlemsel Çalışma”</t>
        </is>
      </c>
      <c r="G189" s="13" t="inlineStr">
        <is>
          <t>Uzmanlık Tezi</t>
        </is>
      </c>
      <c r="H189" s="54" t="n">
        <v>46064</v>
      </c>
      <c r="I189" s="52" t="n">
        <v>46070</v>
      </c>
      <c r="J189" s="8" t="inlineStr">
        <is>
          <t>Prof. Dr. Yavuz AYHAN</t>
        </is>
      </c>
      <c r="K189" s="8" t="inlineStr">
        <is>
          <t>Prof. Dr. Ayşe KİN İŞLER</t>
        </is>
      </c>
      <c r="L189" s="9" t="inlineStr">
        <is>
          <t>DÜZELTME</t>
        </is>
      </c>
      <c r="M189" s="9" t="inlineStr">
        <is>
          <t>ONAY</t>
        </is>
      </c>
      <c r="N189" s="9" t="n"/>
      <c r="O189" s="66" t="n"/>
      <c r="P189" s="9">
        <f>IF(O189&lt;&gt;"",O189, IF(N189&lt;&gt;"",N189, IF(M189&lt;&gt;"",M189, L189)))</f>
        <v/>
      </c>
      <c r="R189" s="95">
        <f>IF(AND(L189="", B189&lt;&gt;""), B189, "")</f>
        <v/>
      </c>
    </row>
    <row r="190" ht="94.5" customHeight="1" s="221">
      <c r="A190" s="5" t="inlineStr">
        <is>
          <t>189.</t>
        </is>
      </c>
      <c r="B190" s="6" t="inlineStr">
        <is>
          <t>SBA 26/189</t>
        </is>
      </c>
      <c r="C190" s="8" t="inlineStr">
        <is>
          <t>Öğr. Gör. Dr. Helin YÜCEDAĞ GÜNDOĞDU</t>
        </is>
      </c>
      <c r="D190" s="8" t="inlineStr">
        <is>
          <t>Anatomi Anabilim Dalı</t>
        </is>
      </c>
      <c r="E190" s="7" t="inlineStr">
        <is>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is>
      </c>
      <c r="F190" s="7" t="inlineStr">
        <is>
          <t>“Arteria Transversa Faciei’nin BT Anjiyografi ile Görüntülenmesi: Cerrahi Planlamaya Katkılar”</t>
        </is>
      </c>
      <c r="G190" s="13" t="inlineStr">
        <is>
          <t>Bireysel Araştırma</t>
        </is>
      </c>
      <c r="H190" s="54" t="n">
        <v>46064</v>
      </c>
      <c r="I190" s="52" t="n">
        <v>46070</v>
      </c>
      <c r="J190" s="8" t="inlineStr">
        <is>
          <t>Doç. Dr. Ekim GÜMELER</t>
        </is>
      </c>
      <c r="K190" s="8" t="inlineStr">
        <is>
          <t>Doç. Dr. Kübra AYKAÇ</t>
        </is>
      </c>
      <c r="L190" s="9" t="inlineStr">
        <is>
          <t>ONAY</t>
        </is>
      </c>
      <c r="M190" s="9" t="n"/>
      <c r="N190" s="9" t="n"/>
      <c r="O190" s="66" t="n"/>
      <c r="P190" s="9">
        <f>IF(O190&lt;&gt;"",O190, IF(N190&lt;&gt;"",N190, IF(M190&lt;&gt;"",M190, L190)))</f>
        <v/>
      </c>
      <c r="R190" s="95">
        <f>IF(AND(L190="", B190&lt;&gt;""), B190, "")</f>
        <v/>
      </c>
    </row>
    <row r="191" ht="63" customHeight="1" s="221">
      <c r="A191" s="5" t="inlineStr">
        <is>
          <t>190.</t>
        </is>
      </c>
      <c r="B191" s="6" t="inlineStr">
        <is>
          <t>SBA 26/190</t>
        </is>
      </c>
      <c r="C191" s="8" t="inlineStr">
        <is>
          <t>Dr. Öğr. Üyesi Özge YAVUZ SARI</t>
        </is>
      </c>
      <c r="D191" s="8" t="inlineStr">
        <is>
          <t>Halk Sağlığı Anabilim Dalı</t>
        </is>
      </c>
      <c r="E191" s="7" t="inlineStr">
        <is>
          <t>Üniversitemiz Tıp Fakültesi Halk Sağlığı Anabilim Dalı öğretim üyelerinden Dr. Öğr. Üyesi Özge YAVUZ SARI’nın sorumlu araştırmacı olduğu, Prof. Dr. Cavit Işık YAVUZ ve Prof. Dr. Hakan YARDIMCI ile birlikte çalışacakları,</t>
        </is>
      </c>
      <c r="F191" s="7" t="inlineStr">
        <is>
          <t>“Veteriner Hekimlerin Soğuk Zincir Uygulamalarına İlişkin Bazı Bilgi ve Görüşlerinin Değerlendirilmesi”</t>
        </is>
      </c>
      <c r="G191" s="13" t="inlineStr">
        <is>
          <t>Bireysel Araştırma</t>
        </is>
      </c>
      <c r="H191" s="54" t="n">
        <v>46064</v>
      </c>
      <c r="I191" s="52" t="n">
        <v>46070</v>
      </c>
      <c r="J191" s="8" t="inlineStr">
        <is>
          <t>Doç. Dr. Burcu ERSÖZ ALAN</t>
        </is>
      </c>
      <c r="K191" s="8" t="inlineStr">
        <is>
          <t>Prof. Dr. Ayşe Nurten AKARSU</t>
        </is>
      </c>
      <c r="L191" s="9" t="inlineStr">
        <is>
          <t>ONAY</t>
        </is>
      </c>
      <c r="M191" s="9" t="n"/>
      <c r="N191" s="9" t="n"/>
      <c r="O191" s="66" t="n"/>
      <c r="P191" s="9">
        <f>IF(O191&lt;&gt;"",O191, IF(N191&lt;&gt;"",N191, IF(M191&lt;&gt;"",M191, L191)))</f>
        <v/>
      </c>
      <c r="R191" s="95">
        <f>IF(AND(L191="", B191&lt;&gt;""), B191, "")</f>
        <v/>
      </c>
    </row>
    <row r="192" ht="78.75" customHeight="1" s="221">
      <c r="A192" s="5" t="inlineStr">
        <is>
          <t>191.</t>
        </is>
      </c>
      <c r="B192" s="6" t="inlineStr">
        <is>
          <t>SBA 26/191</t>
        </is>
      </c>
      <c r="C192" s="8" t="inlineStr">
        <is>
          <t>Doç. Dr. Kübra AYKAÇ</t>
        </is>
      </c>
      <c r="D192" s="8" t="inlineStr">
        <is>
          <t>Çocuk Sağlığı ve Hastalıkları Anabilim Dalı</t>
        </is>
      </c>
      <c r="E192" s="7" t="inlineStr">
        <is>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is>
      </c>
      <c r="F192" s="7" t="inlineStr">
        <is>
          <t>“Çocuklarda Respiratuvar Sinsityal Virüs Enfeksiyonunun Akciğer Dışı Bulguları”</t>
        </is>
      </c>
      <c r="G192" s="13" t="inlineStr">
        <is>
          <t>Bireysel Araştırma</t>
        </is>
      </c>
      <c r="H192" s="54" t="n">
        <v>46071</v>
      </c>
      <c r="I192" s="52" t="n">
        <v>46084</v>
      </c>
      <c r="J192" s="8" t="inlineStr">
        <is>
          <t>Prof. Dr. Melih Önder BABAOĞLU</t>
        </is>
      </c>
      <c r="K192" s="8" t="inlineStr">
        <is>
          <t>Prof. Dr. Ayşe KİN İŞLER</t>
        </is>
      </c>
      <c r="L192" s="9" t="inlineStr">
        <is>
          <t>DÜZELTME</t>
        </is>
      </c>
      <c r="M192" s="9" t="inlineStr">
        <is>
          <t>ONAY</t>
        </is>
      </c>
      <c r="N192" s="9" t="n"/>
      <c r="O192" s="66" t="n"/>
      <c r="P192" s="9">
        <f>IF(O192&lt;&gt;"",O192, IF(N192&lt;&gt;"",N192, IF(M192&lt;&gt;"",M192, L192)))</f>
        <v/>
      </c>
      <c r="R192" s="95">
        <f>IF(AND(L192="", B192&lt;&gt;""), B192, "")</f>
        <v/>
      </c>
    </row>
    <row r="193" ht="113.25" customHeight="1" s="221">
      <c r="A193" s="5" t="inlineStr">
        <is>
          <t>192.</t>
        </is>
      </c>
      <c r="B193" s="6" t="inlineStr">
        <is>
          <t>SBA 26/192</t>
        </is>
      </c>
      <c r="C193" s="8" t="inlineStr">
        <is>
          <t>Arş. Gör. Dr. Şükran BAYRAK</t>
        </is>
      </c>
      <c r="D193" s="8" t="inlineStr">
        <is>
          <t>Çocuk Sağlığı ve Hastalıkları Anabilim Dalı</t>
        </is>
      </c>
      <c r="E193" s="7" t="inlineStr">
        <is>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is>
      </c>
      <c r="F193" s="7" t="inlineStr">
        <is>
          <t>“Çocuk Acilde Derin Boyun Enfeksiyonlarının Retrospektif Değerlendirilmesi"</t>
        </is>
      </c>
      <c r="G193" s="13" t="inlineStr">
        <is>
          <t>Bireysel Araştırma</t>
        </is>
      </c>
      <c r="H193" s="54" t="n">
        <v>46071</v>
      </c>
      <c r="I193" s="52" t="n">
        <v>46084</v>
      </c>
      <c r="J193" s="8" t="inlineStr">
        <is>
          <t>Prof. Dr. Gözde GİRGİN</t>
        </is>
      </c>
      <c r="K193" s="8" t="inlineStr">
        <is>
          <t>Doç. Dr. Tolga ÇAKMAK</t>
        </is>
      </c>
      <c r="L193" s="9" t="inlineStr">
        <is>
          <t>ONAY</t>
        </is>
      </c>
      <c r="M193" s="9" t="n"/>
      <c r="N193" s="9" t="n"/>
      <c r="O193" s="66" t="n"/>
      <c r="P193" s="9">
        <f>IF(O193&lt;&gt;"",O193, IF(N193&lt;&gt;"",N193, IF(M193&lt;&gt;"",M193, L193)))</f>
        <v/>
      </c>
      <c r="R193" s="95">
        <f>IF(AND(L193="", B193&lt;&gt;""), B193, "")</f>
        <v/>
      </c>
    </row>
    <row r="194" ht="63" customHeight="1" s="221">
      <c r="A194" s="5" t="inlineStr">
        <is>
          <t>193.</t>
        </is>
      </c>
      <c r="B194" s="6" t="inlineStr">
        <is>
          <t>SBA 26/193</t>
        </is>
      </c>
      <c r="C194" s="8" t="inlineStr">
        <is>
          <t>Prof. Dr. Neşe DERİCİOĞLU</t>
        </is>
      </c>
      <c r="D194" s="8" t="inlineStr">
        <is>
          <t>Nöroloji Anabilim Dalı</t>
        </is>
      </c>
      <c r="E194" s="7" t="inlineStr">
        <is>
          <t>Üniversitemiz Tıp Fakültesi Nöroloji Anabilim Dalı öğretim üyelerinden Prof. Dr. Neşe DERİCİOĞLU'nun sorumlu araştırmacı olduğu, Arş. Gör. Dr. İlker ARSLAN ile birlikte çalışacakları,</t>
        </is>
      </c>
      <c r="F194" s="7" t="inlineStr">
        <is>
          <t>“Trifazik Dalgaların Faz-Spesifik Morfolojik Özelliklerinin Kantitatif Değerlendirilmesi ve Etiyolojiye Göre Karşılaştırılması: Retrospektif Bir Çalışma”</t>
        </is>
      </c>
      <c r="G194" s="13" t="inlineStr">
        <is>
          <t>Bireysel Araştırma</t>
        </is>
      </c>
      <c r="H194" s="54" t="n">
        <v>46071</v>
      </c>
      <c r="I194" s="52" t="n">
        <v>46084</v>
      </c>
      <c r="J194" s="8" t="inlineStr">
        <is>
          <t>Prof. Dr. Ayşe Nurten AKARSU</t>
        </is>
      </c>
      <c r="K194" s="8" t="inlineStr">
        <is>
          <t>Prof. Dr. Yavuz AYHAN</t>
        </is>
      </c>
      <c r="L194" s="9" t="inlineStr">
        <is>
          <t>ONAY</t>
        </is>
      </c>
      <c r="M194" s="9" t="n"/>
      <c r="N194" s="9" t="n"/>
      <c r="O194" s="66" t="n"/>
      <c r="P194" s="9">
        <f>IF(O194&lt;&gt;"",O194, IF(N194&lt;&gt;"",N194, IF(M194&lt;&gt;"",M194, L194)))</f>
        <v/>
      </c>
      <c r="R194" s="95">
        <f>IF(AND(L194="", B194&lt;&gt;""), B194, "")</f>
        <v/>
      </c>
    </row>
    <row r="195" ht="63" customHeight="1" s="221">
      <c r="A195" s="5" t="inlineStr">
        <is>
          <t>194.</t>
        </is>
      </c>
      <c r="B195" s="6" t="inlineStr">
        <is>
          <t>SBA 26/194</t>
        </is>
      </c>
      <c r="C195" s="8" t="inlineStr">
        <is>
          <t>Prof. Dr. Jale KARAKAYA</t>
        </is>
      </c>
      <c r="D195" s="8" t="inlineStr">
        <is>
          <t>Biyoistatistik Anabilim Dalı</t>
        </is>
      </c>
      <c r="E195" s="7" t="inlineStr">
        <is>
          <t>Üniversitemiz Tıp Fakültesi Biyoistatistik Anabilim Dalı öğretim üyelerinden Prof. Dr. Jale KARAKAYA’nın sorumlu araştırmacı olduğu, Doç. Dr. Gamze DURHAN ve Arş. Gör. Hanife AVCI ile birlikte çalışacakları,</t>
        </is>
      </c>
      <c r="F195" s="7" t="inlineStr">
        <is>
          <t>“Dijital Mamografi Görüntülerinde Evrişimsel Sinir Ağları ile Meme Kitlelerinin Otomatik Tespiti, Lokalizasyonu ve Histopatolojiye Dayalı Alt Tip Sınıflandırılması”</t>
        </is>
      </c>
      <c r="G195" s="13" t="inlineStr">
        <is>
          <t>Bireysel Araştırma</t>
        </is>
      </c>
      <c r="H195" s="54" t="n">
        <v>46071</v>
      </c>
      <c r="I195" s="52" t="n">
        <v>46084</v>
      </c>
      <c r="J195" s="8" t="inlineStr">
        <is>
          <t>Prof. Dr. Gözde GİRGİN</t>
        </is>
      </c>
      <c r="K195" s="8" t="inlineStr">
        <is>
          <t>Prof. Dr. Melih Önder BABAOĞLU</t>
        </is>
      </c>
      <c r="L195" s="9" t="inlineStr">
        <is>
          <t>GÖRÜŞ</t>
        </is>
      </c>
      <c r="M195" s="9" t="inlineStr">
        <is>
          <t>ONAY</t>
        </is>
      </c>
      <c r="N195" s="9" t="n"/>
      <c r="O195" s="66" t="n"/>
      <c r="P195" s="9">
        <f>IF(O195&lt;&gt;"",O195, IF(N195&lt;&gt;"",N195, IF(M195&lt;&gt;"",M195, L195)))</f>
        <v/>
      </c>
      <c r="R195" s="95">
        <f>IF(AND(L195="", B195&lt;&gt;""), B195, "")</f>
        <v/>
      </c>
    </row>
    <row r="196" ht="63" customHeight="1" s="221">
      <c r="A196" s="5" t="inlineStr">
        <is>
          <t>195.</t>
        </is>
      </c>
      <c r="B196" s="6" t="inlineStr">
        <is>
          <t>SBA 26/195</t>
        </is>
      </c>
      <c r="C196" s="8" t="inlineStr">
        <is>
          <t>Dr. Öğr. Üyesi Aycan UYSAL</t>
        </is>
      </c>
      <c r="D196" s="8" t="inlineStr">
        <is>
          <t>Radyoloji Anabilim Dalı</t>
        </is>
      </c>
      <c r="E196" s="7" t="inlineStr">
        <is>
          <t>Üniversitemiz Tıp Fakültesi Radyoloji Anabilim Dalı öğretim üyelerinden Dr. Öğr. Üyesi Aycan UYSAL’ın sorumlu araştırmacı olduğu, Prof. Dr. Emre ÜNAL ile birlikte çalışacakları,</t>
        </is>
      </c>
      <c r="F196" s="7" t="inlineStr">
        <is>
          <t>“Perkütan Endolüminal Forseps Biyopsilerinin Teknik ve Tanısal Performansı: Endobiliyer ve Endoüreteral Lezyonlar”</t>
        </is>
      </c>
      <c r="G196" s="13" t="inlineStr">
        <is>
          <t>Bireysel Araştırma</t>
        </is>
      </c>
      <c r="H196" s="54" t="n">
        <v>46071</v>
      </c>
      <c r="I196" s="52" t="n">
        <v>46084</v>
      </c>
      <c r="J196" s="8" t="inlineStr">
        <is>
          <t>Doç. Dr. Ekim GÜMELER</t>
        </is>
      </c>
      <c r="K196" s="8" t="inlineStr">
        <is>
          <t>Doç. Dr. Burcu ERSÖZ ALAN</t>
        </is>
      </c>
      <c r="L196" s="9" t="inlineStr">
        <is>
          <t>ONAY</t>
        </is>
      </c>
      <c r="M196" s="9" t="n"/>
      <c r="N196" s="9" t="n"/>
      <c r="O196" s="66" t="n"/>
      <c r="P196" s="9">
        <f>IF(O196&lt;&gt;"",O196, IF(N196&lt;&gt;"",N196, IF(M196&lt;&gt;"",M196, L196)))</f>
        <v/>
      </c>
      <c r="R196" s="95">
        <f>IF(AND(L196="", B196&lt;&gt;""), B196, "")</f>
        <v/>
      </c>
    </row>
    <row r="197" ht="63" customHeight="1" s="221">
      <c r="A197" s="5" t="inlineStr">
        <is>
          <t>196.</t>
        </is>
      </c>
      <c r="B197" s="6" t="inlineStr">
        <is>
          <t>SBA 26/196</t>
        </is>
      </c>
      <c r="C197" s="8" t="inlineStr">
        <is>
          <t>Doç. Dr. Ceren GÜNENÇ BEŞER</t>
        </is>
      </c>
      <c r="D197" s="8" t="inlineStr">
        <is>
          <t>Anatomi Anabilim Dalı</t>
        </is>
      </c>
      <c r="E197" s="7" t="inlineStr">
        <is>
          <t>Üniversitemiz Tıp Fakültesi Anatomi Anabilim Dalı öğretim üyelerinden Doç. Dr. Ceren GÜNENÇ BEŞER’in sorumlu araştırmacı olduğu, Doç. Dr. Damla HANALİOĞLU'nun yüksek lisans tezi olan,</t>
        </is>
      </c>
      <c r="F197" s="7" t="inlineStr">
        <is>
          <t>“Pediatrik Kardiyopulmoner Resüsitasyonda Kesintisiz Göğüs Kompresyonları Altında Video ve Direkt Laringoskopinin Karşılaştırılması: Randomize Simülasyon Çalışması”</t>
        </is>
      </c>
      <c r="G197" s="13" t="inlineStr">
        <is>
          <t>Yüksek Lisans Tezi</t>
        </is>
      </c>
      <c r="H197" s="54" t="n">
        <v>46071</v>
      </c>
      <c r="I197" s="52" t="n">
        <v>46084</v>
      </c>
      <c r="J197" s="8" t="inlineStr">
        <is>
          <t>Doç. Dr. Kübra AYKAÇ</t>
        </is>
      </c>
      <c r="K197" s="8" t="inlineStr">
        <is>
          <t>Prof. Dr. Ayşe KİN İŞLER</t>
        </is>
      </c>
      <c r="L197" s="9" t="inlineStr">
        <is>
          <t>ONAY</t>
        </is>
      </c>
      <c r="M197" s="9" t="n"/>
      <c r="N197" s="9" t="n"/>
      <c r="O197" s="66" t="n"/>
      <c r="P197" s="9">
        <f>IF(O197&lt;&gt;"",O197, IF(N197&lt;&gt;"",N197, IF(M197&lt;&gt;"",M197, L197)))</f>
        <v/>
      </c>
      <c r="R197" s="95">
        <f>IF(AND(L197="", B197&lt;&gt;""), B197, "")</f>
        <v/>
      </c>
    </row>
    <row r="198" ht="63" customHeight="1" s="221">
      <c r="A198" s="5" t="inlineStr">
        <is>
          <t>197.</t>
        </is>
      </c>
      <c r="B198" s="6" t="inlineStr">
        <is>
          <t>SBA 26/197</t>
        </is>
      </c>
      <c r="C198" s="8" t="inlineStr">
        <is>
          <t>Prof. Dr. Mustafa CANKURTARAN</t>
        </is>
      </c>
      <c r="D198" s="8" t="inlineStr">
        <is>
          <t>İç Hastalıkları Anabilim Dalı</t>
        </is>
      </c>
      <c r="E198" s="7" t="inlineStr">
        <is>
          <t>Üniversitemiz Tıp Fakültesi İç Hastalıkları Anabilim Dalı öğretim üyelerinden Prof. Dr. Mustafa CANKURTARAN’ın sorumlu araştırmacı olduğu, Arş. Gör. Dr. Murat PEHLİVAN ile birlikte çalışacakları,</t>
        </is>
      </c>
      <c r="F198" s="7" t="inlineStr">
        <is>
          <t>“Mekanik Ventilasyon Uygulanan Geriatrik Hastalarda Solunum Yolu Mikrobiyom Disbiyozisi ve Pulmoner İnflamaging”</t>
        </is>
      </c>
      <c r="G198" s="13" t="inlineStr">
        <is>
          <t>Bireysel Araştırma</t>
        </is>
      </c>
      <c r="H198" s="54" t="n">
        <v>46071</v>
      </c>
      <c r="I198" s="52" t="n">
        <v>46084</v>
      </c>
      <c r="J198" s="8" t="inlineStr">
        <is>
          <t>Dr. Öğr. Üyesi Müge DEMİR</t>
        </is>
      </c>
      <c r="K198" s="8" t="inlineStr">
        <is>
          <t>Prof. Dr. Yavuz AYHAN</t>
        </is>
      </c>
      <c r="L198" s="9" t="inlineStr">
        <is>
          <t>KAPSAM DIŞI</t>
        </is>
      </c>
      <c r="M198" s="9" t="n"/>
      <c r="N198" s="9" t="n"/>
      <c r="O198" s="66" t="n"/>
      <c r="P198" s="9">
        <f>IF(O198&lt;&gt;"",O198, IF(N198&lt;&gt;"",N198, IF(M198&lt;&gt;"",M198, L198)))</f>
        <v/>
      </c>
      <c r="R198" s="95">
        <f>IF(AND(L198="", B198&lt;&gt;""), B198, "")</f>
        <v/>
      </c>
    </row>
    <row r="199" ht="63" customHeight="1" s="221">
      <c r="A199" s="5" t="inlineStr">
        <is>
          <t>198.</t>
        </is>
      </c>
      <c r="B199" s="6" t="inlineStr">
        <is>
          <t>SBA 26/198</t>
        </is>
      </c>
      <c r="C199" s="8" t="inlineStr">
        <is>
          <t>Prof. Dr. Mustafa CANKURTARAN</t>
        </is>
      </c>
      <c r="D199" s="8" t="inlineStr">
        <is>
          <t>İç Hastalıkları Anabilim Dalı</t>
        </is>
      </c>
      <c r="E199" s="7" t="inlineStr">
        <is>
          <t>Üniversitemiz Tıp Fakültesi İç Hastalıkları Anabilim Dalı öğretim üyelerinden Prof. Dr. Mustafa CANKURTARAN’ın sorumlu araştırmacı olduğu, Arş. Gör. Dr. Murat PEHLİVAN ile birlikte çalışacakları,</t>
        </is>
      </c>
      <c r="F199" s="7" t="inlineStr">
        <is>
          <t>“Akut Gastrointestinal Kanamalı Geriatrik Hastalarda İnflamatuvar, Nütrisyonel İndekslerin ve Demans Durumunun Analizi”</t>
        </is>
      </c>
      <c r="G199" s="13" t="inlineStr">
        <is>
          <t>Bireysel Araştırma</t>
        </is>
      </c>
      <c r="H199" s="54" t="n">
        <v>46071</v>
      </c>
      <c r="I199" s="52" t="n">
        <v>46084</v>
      </c>
      <c r="J199" s="8" t="inlineStr">
        <is>
          <t>Dr. Öğr. Üyesi Müge DEMİR</t>
        </is>
      </c>
      <c r="K199" s="8" t="inlineStr">
        <is>
          <t>Prof. Dr. Yavuz AYHAN</t>
        </is>
      </c>
      <c r="L199" s="9" t="inlineStr">
        <is>
          <t>KAPSAM DIŞI</t>
        </is>
      </c>
      <c r="M199" s="9" t="n"/>
      <c r="N199" s="9" t="n"/>
      <c r="O199" s="66" t="n"/>
      <c r="P199" s="9">
        <f>IF(O199&lt;&gt;"",O199, IF(N199&lt;&gt;"",N199, IF(M199&lt;&gt;"",M199, L199)))</f>
        <v/>
      </c>
      <c r="R199" s="95">
        <f>IF(AND(L199="", B199&lt;&gt;""), B199, "")</f>
        <v/>
      </c>
    </row>
    <row r="200" ht="63" customHeight="1" s="221">
      <c r="A200" s="5" t="inlineStr">
        <is>
          <t>199.</t>
        </is>
      </c>
      <c r="B200" s="6" t="inlineStr">
        <is>
          <t>SBA 26/199</t>
        </is>
      </c>
      <c r="C200" s="8" t="inlineStr">
        <is>
          <t>Prof. Dr. Mustafa CANKURTARAN</t>
        </is>
      </c>
      <c r="D200" s="8" t="inlineStr">
        <is>
          <t>İç Hastalıkları Anabilim Dalı</t>
        </is>
      </c>
      <c r="E200" s="7" t="inlineStr">
        <is>
          <t>Üniversitemiz Tıp Fakültesi İç Hastalıkları Anabilim Dalı öğretim üyelerinden Prof. Dr. Mustafa CANKURTARAN’ın sorumlu araştırmacı olduğu, Arş. Gör. Dr. Murat PEHLİVAN ile birlikte çalışacakları,</t>
        </is>
      </c>
      <c r="F200" s="7" t="inlineStr">
        <is>
          <t>“Suboptimal Ekokardiyografilerde Tanısal Belirsizlik ve Doğal Dil İşleme Analizi”</t>
        </is>
      </c>
      <c r="G200" s="13" t="inlineStr">
        <is>
          <t>Bireysel Araştırma</t>
        </is>
      </c>
      <c r="H200" s="54" t="n">
        <v>46071</v>
      </c>
      <c r="I200" s="52" t="n">
        <v>46084</v>
      </c>
      <c r="J200" s="8" t="inlineStr">
        <is>
          <t>Dr. Öğr. Üyesi Müge DEMİR</t>
        </is>
      </c>
      <c r="K200" s="8" t="inlineStr">
        <is>
          <t>Prof. Dr. Yavuz AYHAN</t>
        </is>
      </c>
      <c r="L200" s="9" t="inlineStr">
        <is>
          <t>KAPSAM DIŞI</t>
        </is>
      </c>
      <c r="M200" s="9" t="n"/>
      <c r="N200" s="9" t="n"/>
      <c r="O200" s="66" t="n"/>
      <c r="P200" s="9">
        <f>IF(O200&lt;&gt;"",O200, IF(N200&lt;&gt;"",N200, IF(M200&lt;&gt;"",M200, L200)))</f>
        <v/>
      </c>
      <c r="R200" s="95">
        <f>IF(AND(L200="", B200&lt;&gt;""), B200, "")</f>
        <v/>
      </c>
    </row>
    <row r="201" ht="63" customHeight="1" s="221">
      <c r="A201" s="5" t="inlineStr">
        <is>
          <t>200.</t>
        </is>
      </c>
      <c r="B201" s="6" t="inlineStr">
        <is>
          <t>SBA 26/200</t>
        </is>
      </c>
      <c r="C201" s="8" t="inlineStr">
        <is>
          <t>Dr. Öğr. Üyesi Hatice BOYACIOĞLU ERDEN</t>
        </is>
      </c>
      <c r="D201" s="8" t="inlineStr">
        <is>
          <t>Ağız, Diş ve Çene Radyolojisi Anabilim Dalı</t>
        </is>
      </c>
      <c r="E201" s="7" t="inlineStr">
        <is>
          <t>Üniversitemiz Diş Hekimliği Fakültesi Ağız, Diş ve Çene Radyolojisi Anabilim Dalı öğretim üyelerinden Dr. Öğr. Üyesi Hatice BOYACIOĞLU ERDEN’in sorumlu araştırmacı olduğu,</t>
        </is>
      </c>
      <c r="F201" s="7" t="inlineStr">
        <is>
          <t>“Konik Işınlı Bilgisayarlı Tomografi Kullanılarak Maksiller İkinci Premoların Sagittal Kesitinde Pulpa/Diş Alan Oranının Yetişkinlerde Yaş Tahmini İçin Değerlendirilmesi”</t>
        </is>
      </c>
      <c r="G201" s="13" t="inlineStr">
        <is>
          <t>Bireysel Araştırma</t>
        </is>
      </c>
      <c r="H201" s="54" t="n">
        <v>46071</v>
      </c>
      <c r="I201" s="52" t="n">
        <v>46084</v>
      </c>
      <c r="J201" s="8" t="inlineStr">
        <is>
          <t>Prof. Dr. M. Özgür UYANIK</t>
        </is>
      </c>
      <c r="K201" s="8" t="inlineStr">
        <is>
          <t>Doç. Dr. Ekim GÜMELER</t>
        </is>
      </c>
      <c r="L201" s="9" t="inlineStr">
        <is>
          <t>ONAY</t>
        </is>
      </c>
      <c r="M201" s="9" t="n"/>
      <c r="N201" s="9" t="n"/>
      <c r="O201" s="66" t="n"/>
      <c r="P201" s="9">
        <f>IF(O201&lt;&gt;"",O201, IF(N201&lt;&gt;"",N201, IF(M201&lt;&gt;"",M201, L201)))</f>
        <v/>
      </c>
      <c r="R201" s="95">
        <f>IF(AND(L201="", B201&lt;&gt;""), B201, "")</f>
        <v/>
      </c>
    </row>
    <row r="202" ht="63" customHeight="1" s="221">
      <c r="A202" s="5" t="inlineStr">
        <is>
          <t>201.</t>
        </is>
      </c>
      <c r="B202" s="6" t="inlineStr">
        <is>
          <t>SBA 26/201</t>
        </is>
      </c>
      <c r="C202" s="8" t="inlineStr">
        <is>
          <t>Prof. Dr. Meltem Gülhan HALİL</t>
        </is>
      </c>
      <c r="D202" s="8" t="inlineStr">
        <is>
          <t>İç Hastalıkları Anabilim Dalı</t>
        </is>
      </c>
      <c r="E202" s="7" t="inlineStr">
        <is>
          <t>Üniversitemiz Tıp Fakültesi İç Hastalıkları Anabilim Dalı öğretim üyelerinden Prof. Dr. Meltem Gülhan HALİL’in sorumlu araştırmacı olduğu, Arş. Gör. Dr. Ceyda KAYABAŞI ile birlikte çalışacakları,</t>
        </is>
      </c>
      <c r="F202" s="7" t="inlineStr">
        <is>
          <t>“Diabetes Mellitus Tanısı Olmayan Yaşlı Bireylerde Düşük Hba1c Düzeylerinin Mortalite ile İlişkisi”</t>
        </is>
      </c>
      <c r="G202" s="13" t="inlineStr">
        <is>
          <t>Bireysel Araştırma</t>
        </is>
      </c>
      <c r="H202" s="54" t="n">
        <v>46071</v>
      </c>
      <c r="I202" s="52" t="n">
        <v>46084</v>
      </c>
      <c r="J202" s="8" t="inlineStr">
        <is>
          <t>Doç. Dr. Kübra AYKAÇ</t>
        </is>
      </c>
      <c r="K202" s="8" t="inlineStr">
        <is>
          <t>Prof. Dr. Gözde GİRGİN</t>
        </is>
      </c>
      <c r="L202" s="9" t="inlineStr">
        <is>
          <t>GÖRÜŞ</t>
        </is>
      </c>
      <c r="M202" s="9" t="inlineStr">
        <is>
          <t>DÜZELTME</t>
        </is>
      </c>
      <c r="N202" s="9" t="n"/>
      <c r="O202" s="66" t="n"/>
      <c r="P202" s="9">
        <f>IF(O202&lt;&gt;"",O202, IF(N202&lt;&gt;"",N202, IF(M202&lt;&gt;"",M202, L202)))</f>
        <v/>
      </c>
      <c r="R202" s="95">
        <f>IF(AND(L202="", B202&lt;&gt;""), B202, "")</f>
        <v/>
      </c>
    </row>
    <row r="203" ht="63" customHeight="1" s="221">
      <c r="A203" s="5" t="inlineStr">
        <is>
          <t>202.</t>
        </is>
      </c>
      <c r="B203" s="6" t="inlineStr">
        <is>
          <t>SBA 26/202</t>
        </is>
      </c>
      <c r="C203" s="8" t="inlineStr">
        <is>
          <t>Dr. Öğr. Üyesi Ezgi DOĞAN CÖMERT</t>
        </is>
      </c>
      <c r="D203" s="8" t="inlineStr">
        <is>
          <t>Gıda Bilimleri Anabilim Dalı</t>
        </is>
      </c>
      <c r="E203" s="7" t="inlineStr">
        <is>
          <t>Üniversitemiz Mühendislik Fakültesi Gıda Bilimleri Anabilim Dalı öğretim üyelerinden Dr. Öğr. Üyesi Ezgi DOĞAN CÖMERT’in sorumlu araştırmacı olduğu, Prof. Dr. Vural GÖKMEN ile birlikte çalışacakları,</t>
        </is>
      </c>
      <c r="F203" s="7" t="inlineStr">
        <is>
          <t>“Farklı Pektin-Protein Komplekslerinin in vitro Kolonik Fermentasyon Davranışlarının İncelenmesi: Distal Kolona Yönelik İngrediyen Tasarımı”</t>
        </is>
      </c>
      <c r="G203" s="13" t="inlineStr">
        <is>
          <t>Bireysel Araştırma</t>
        </is>
      </c>
      <c r="H203" s="54" t="n">
        <v>46072</v>
      </c>
      <c r="I203" s="52" t="n">
        <v>46084</v>
      </c>
      <c r="J203" s="8" t="inlineStr">
        <is>
          <t>Prof. Dr. Ayşe Nurten AKARSU</t>
        </is>
      </c>
      <c r="K203" s="8" t="inlineStr">
        <is>
          <t>Doç. Dr. Tolga ÇAKMAK</t>
        </is>
      </c>
      <c r="L203" s="9" t="inlineStr">
        <is>
          <t>ONAY</t>
        </is>
      </c>
      <c r="M203" s="9" t="n"/>
      <c r="N203" s="9" t="n"/>
      <c r="O203" s="66" t="n"/>
      <c r="P203" s="9">
        <f>IF(O203&lt;&gt;"",O203, IF(N203&lt;&gt;"",N203, IF(M203&lt;&gt;"",M203, L203)))</f>
        <v/>
      </c>
      <c r="R203" s="95">
        <f>IF(AND(L203="", B203&lt;&gt;""), B203, "")</f>
        <v/>
      </c>
    </row>
    <row r="204" ht="79.5" customHeight="1" s="221">
      <c r="A204" s="5" t="inlineStr">
        <is>
          <t>203.</t>
        </is>
      </c>
      <c r="B204" s="6" t="inlineStr">
        <is>
          <t>SBA 26/203</t>
        </is>
      </c>
      <c r="C204" s="8" t="inlineStr">
        <is>
          <t>Dr. Öğr. Üyesi Salih Eren MERAL</t>
        </is>
      </c>
      <c r="D204" s="8" t="inlineStr">
        <is>
          <t>Ağız, Diş ve Çene Cerrahisi Anabilim Dalı</t>
        </is>
      </c>
      <c r="E204" s="7" t="inlineStr">
        <is>
          <t>Üniversitemiz Diş Hekimliği Fakültesi Ağız, Diş ve Çene Cerrahisi Anabilim Dalı öğretim üyelerinden Dr. Öğr. Üyesi Salih Eren MERAL’in sorumlu araştırmacı olduğu, Prof. Dr. Hakan Hıfzı TÜZ ve Dr. Öğr. Üye. Onur KOÇ ile birlikte çalışacakları,</t>
        </is>
      </c>
      <c r="F204" s="7" t="inlineStr">
        <is>
          <t>“Dijital Cerrahi Planlama Temelli Genioplasti Uygulamalarında Konvansiyonel Miniplak ve Kişiye Özel İmplant Fiksasyonlarının Doğruluğunun Retrospektif Olarak Değerlendirilmesi”</t>
        </is>
      </c>
      <c r="G204" s="13" t="inlineStr">
        <is>
          <t>Bireysel Araştırma</t>
        </is>
      </c>
      <c r="H204" s="54" t="n">
        <v>46072</v>
      </c>
      <c r="I204" s="52" t="n">
        <v>46084</v>
      </c>
      <c r="J204" s="8" t="inlineStr">
        <is>
          <t>Prof. Dr. M. Özgür UYANIK</t>
        </is>
      </c>
      <c r="K204" s="8" t="inlineStr">
        <is>
          <t>Doç. Dr. Burcu ERSÖZ ALAN</t>
        </is>
      </c>
      <c r="L204" s="9" t="inlineStr">
        <is>
          <t>ONAY</t>
        </is>
      </c>
      <c r="M204" s="9" t="n"/>
      <c r="N204" s="9" t="n"/>
      <c r="O204" s="66" t="n"/>
      <c r="P204" s="9">
        <f>IF(O204&lt;&gt;"",O204, IF(N204&lt;&gt;"",N204, IF(M204&lt;&gt;"",M204, L204)))</f>
        <v/>
      </c>
      <c r="R204" s="95">
        <f>IF(AND(L204="", B204&lt;&gt;""), B204, "")</f>
        <v/>
      </c>
    </row>
    <row r="205" ht="63" customHeight="1" s="221">
      <c r="A205" s="5" t="inlineStr">
        <is>
          <t>204.</t>
        </is>
      </c>
      <c r="B205" s="6" t="inlineStr">
        <is>
          <t>SBA 26/204</t>
        </is>
      </c>
      <c r="C205" s="8" t="inlineStr">
        <is>
          <t>Doç. Dr. Duygu GÜLSEREN</t>
        </is>
      </c>
      <c r="D205" s="8" t="inlineStr">
        <is>
          <t>Deri ve Zührevi Hastalıklar Anabilim Dalı</t>
        </is>
      </c>
      <c r="E205" s="163" t="inlineStr">
        <is>
          <t>Üniversitemiz Tıp Fakültesi Deri ve Zührevi Hastalıklar Anabilim Dalı öğretim üyelerinden Doç. Dr. Duygu GÜLSEREN'in sorumlu araştırmacı olduğu, Arş. Gör. Dr. Metin ZEYREK ile birlikte çalışacakları,</t>
        </is>
      </c>
      <c r="F205" s="7" t="inlineStr">
        <is>
          <t>“Farklı Anatomik Bölgelerde Yerleşen Skuamöz Hücreli Karsinomların Dermoskopik Varyasyonları ve Tanısal İpuçlarının Değerlendirilmesi”</t>
        </is>
      </c>
      <c r="G205" s="13" t="inlineStr">
        <is>
          <t>Bireysel Araştırma</t>
        </is>
      </c>
      <c r="H205" s="54" t="n">
        <v>46072</v>
      </c>
      <c r="I205" s="52" t="n">
        <v>46084</v>
      </c>
      <c r="J205" s="8" t="inlineStr">
        <is>
          <t>Prof. Dr. Ayşe KİN İŞLER</t>
        </is>
      </c>
      <c r="K205" s="8" t="inlineStr">
        <is>
          <t>Prof. Dr. Melih Önder BABAOĞLU</t>
        </is>
      </c>
      <c r="L205" s="9" t="inlineStr">
        <is>
          <t>ONAY</t>
        </is>
      </c>
      <c r="M205" s="9" t="n"/>
      <c r="N205" s="9" t="n"/>
      <c r="O205" s="66" t="n"/>
      <c r="P205" s="9">
        <f>IF(O205&lt;&gt;"",O205, IF(N205&lt;&gt;"",N205, IF(M205&lt;&gt;"",M205, L205)))</f>
        <v/>
      </c>
      <c r="R205" s="95">
        <f>IF(AND(L205="", B205&lt;&gt;""), B205, "")</f>
        <v/>
      </c>
    </row>
    <row r="206" ht="63" customHeight="1" s="221">
      <c r="A206" s="5" t="inlineStr">
        <is>
          <t>205.</t>
        </is>
      </c>
      <c r="B206" s="6" t="inlineStr">
        <is>
          <t>SBA 26/205</t>
        </is>
      </c>
      <c r="C206" s="8" t="inlineStr">
        <is>
          <t>Prof. Dr. Murat TUNCEL</t>
        </is>
      </c>
      <c r="D206" s="8" t="inlineStr">
        <is>
          <t>Nükleer Tıp Anabilim Dalı</t>
        </is>
      </c>
      <c r="E206" s="7" t="inlineStr">
        <is>
          <t>Üniversitemiz Tıp Fakültesi Nükleer Tıp Anabilim Dalı öğretim üyelerinden Prof. Dr. Murat TUNCEL’in sorumlu araştırmacı olduğu, Prof. Dr. Meltem ÇAĞLAR TUNCALI ile birlikte çalışacakları,</t>
        </is>
      </c>
      <c r="F206" s="7" t="inlineStr">
        <is>
          <t>“Baş Boyun Tümörlerinde Kullanılan Anatomik ve Moleküler Görüntülemeye Ait Tanı Kriterlerinin Performanslarının Karşılaştırılması”</t>
        </is>
      </c>
      <c r="G206" s="13" t="inlineStr">
        <is>
          <t>Bireysel Araştırma</t>
        </is>
      </c>
      <c r="H206" s="54" t="n">
        <v>46072</v>
      </c>
      <c r="I206" s="52" t="n">
        <v>46084</v>
      </c>
      <c r="J206" s="8" t="inlineStr">
        <is>
          <t>Dr. Öğr. Üyesi Müge DEMİR</t>
        </is>
      </c>
      <c r="K206" s="8" t="inlineStr">
        <is>
          <t>Prof. Dr. Ayşe Nurten AKARSU</t>
        </is>
      </c>
      <c r="L206" s="9" t="inlineStr">
        <is>
          <t>ONAY</t>
        </is>
      </c>
      <c r="M206" s="9" t="n"/>
      <c r="N206" s="9" t="n"/>
      <c r="O206" s="66" t="n"/>
      <c r="P206" s="9">
        <f>IF(O206&lt;&gt;"",O206, IF(N206&lt;&gt;"",N206, IF(M206&lt;&gt;"",M206, L206)))</f>
        <v/>
      </c>
      <c r="R206" s="95">
        <f>IF(AND(L206="", B206&lt;&gt;""), B206, "")</f>
        <v/>
      </c>
    </row>
    <row r="207" ht="97.5" customHeight="1" s="221">
      <c r="A207" s="5" t="inlineStr">
        <is>
          <t>206.</t>
        </is>
      </c>
      <c r="B207" s="6" t="inlineStr">
        <is>
          <t>SBA 26/206</t>
        </is>
      </c>
      <c r="C207" s="8" t="inlineStr">
        <is>
          <t>Prof. Dr. Özgür UĞURLUOĞLU</t>
        </is>
      </c>
      <c r="D207" s="8" t="inlineStr">
        <is>
          <t>Sağlık Yönetimi Anabilim Dalı</t>
        </is>
      </c>
      <c r="E207" s="7" t="inlineStr">
        <is>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is>
      </c>
      <c r="F207" s="7" t="inlineStr">
        <is>
          <t>“Koroner Arter Bypass Greft Cerrahisinde Hastanede Yatış Süresini Etkileyen Faktörlerin Makine Öğrenmesi Modelleri ile Analizi”</t>
        </is>
      </c>
      <c r="G207" s="13" t="inlineStr">
        <is>
          <t>Doktora Tezi</t>
        </is>
      </c>
      <c r="H207" s="54" t="n">
        <v>46072</v>
      </c>
      <c r="I207" s="52" t="n">
        <v>46084</v>
      </c>
      <c r="J207" s="8" t="inlineStr">
        <is>
          <t>Doç. Dr. Ekim GÜMELER</t>
        </is>
      </c>
      <c r="K207" s="8" t="inlineStr">
        <is>
          <t>Doç. Dr. Tolga ÇAKMAK</t>
        </is>
      </c>
      <c r="L207" s="9" t="inlineStr">
        <is>
          <t>GÖRÜŞ</t>
        </is>
      </c>
      <c r="M207" s="9" t="inlineStr">
        <is>
          <t>ONAY</t>
        </is>
      </c>
      <c r="N207" s="9" t="n"/>
      <c r="O207" s="66" t="n"/>
      <c r="P207" s="9">
        <f>IF(O207&lt;&gt;"",O207, IF(N207&lt;&gt;"",N207, IF(M207&lt;&gt;"",M207, L207)))</f>
        <v/>
      </c>
      <c r="R207" s="95">
        <f>IF(AND(L207="", B207&lt;&gt;""), B207, "")</f>
        <v/>
      </c>
    </row>
    <row r="208" ht="63" customHeight="1" s="221">
      <c r="A208" s="5" t="inlineStr">
        <is>
          <t>207.</t>
        </is>
      </c>
      <c r="B208" s="6" t="inlineStr">
        <is>
          <t>SBA 26/207</t>
        </is>
      </c>
      <c r="C208" s="8" t="inlineStr">
        <is>
          <t>Doç. Dr. Adalet Elçin YILDIZ</t>
        </is>
      </c>
      <c r="D208" s="8" t="inlineStr">
        <is>
          <t>Radyoloji Anabilim Dalı</t>
        </is>
      </c>
      <c r="E208" s="7" t="inlineStr">
        <is>
          <t>Üniversitemiz Tıp Fakültesi Radyoloji Anabilim Dalı öğretim üyelerinden Doç. Dr. Adalet Elçin YILDIZ’ın sorumlu araştırmacı olduğu, Öğr. Üyesi Ahmet Gürkan ERDEMİR ile birlikte çalışacakları,</t>
        </is>
      </c>
      <c r="F208" s="7" t="inlineStr">
        <is>
          <t>“BONEZ – Bone ONcological Evaluation Via Zero/Ultrashort Echo Time MRI”</t>
        </is>
      </c>
      <c r="G208" s="13" t="inlineStr">
        <is>
          <t>Bireysel Araştırma</t>
        </is>
      </c>
      <c r="H208" s="54" t="n">
        <v>46076</v>
      </c>
      <c r="I208" s="52" t="n">
        <v>46084</v>
      </c>
      <c r="J208" s="8" t="inlineStr">
        <is>
          <t>Prof. Dr. Ayşe Nurten AKARSU</t>
        </is>
      </c>
      <c r="K208" s="8" t="inlineStr">
        <is>
          <t>Doç. Dr. Ekim GÜMELER</t>
        </is>
      </c>
      <c r="L208" s="9" t="inlineStr">
        <is>
          <t>DÜZELTME</t>
        </is>
      </c>
      <c r="M208" s="9" t="n"/>
      <c r="N208" s="9" t="n"/>
      <c r="O208" s="66" t="n"/>
      <c r="P208" s="9">
        <f>IF(O208&lt;&gt;"",O208, IF(N208&lt;&gt;"",N208, IF(M208&lt;&gt;"",M208, L208)))</f>
        <v/>
      </c>
      <c r="R208" s="95">
        <f>IF(AND(L208="", B208&lt;&gt;""), B208, "")</f>
        <v/>
      </c>
    </row>
    <row r="209" ht="63" customHeight="1" s="221">
      <c r="A209" s="5" t="inlineStr">
        <is>
          <t>208.</t>
        </is>
      </c>
      <c r="B209" s="6" t="inlineStr">
        <is>
          <t>SBA 26/208</t>
        </is>
      </c>
      <c r="C209" s="8" t="inlineStr">
        <is>
          <t>Dr. Öğr. Üyesi Murat ÇAĞAN</t>
        </is>
      </c>
      <c r="D209" s="8" t="inlineStr">
        <is>
          <t>Kadın Hastalıkları ve Doğum Anabilim Dalı</t>
        </is>
      </c>
      <c r="E209" s="7" t="inlineStr">
        <is>
          <t>Üniversitemiz Tıp Fakültesi Kadın Hastalıkları ve Doğum Anabilim Dalı öğretim üyelerinden Dr. Öğr. Üyesi Murat ÇAĞAN’ın sorumlu araştırmacı olduğu, Arş. Gör. Dr. Shahla GASIMOVA’nın uzmanlık tezi olan,</t>
        </is>
      </c>
      <c r="F209" s="7" t="inlineStr">
        <is>
          <t>“Hacettepe Gebe Okulu’nda Eğitim Alan Gebelerin Maternal, Fetal ve Obstetrik Sonuçlarının Prospektif Olarak Değerlendirilmesi”</t>
        </is>
      </c>
      <c r="G209" s="13" t="inlineStr">
        <is>
          <t>Uzmanlık Tezi</t>
        </is>
      </c>
      <c r="H209" s="54" t="n">
        <v>46076</v>
      </c>
      <c r="I209" s="52" t="n">
        <v>46084</v>
      </c>
      <c r="J209" s="8" t="inlineStr">
        <is>
          <t>Doç. Dr. Burcu ERSÖZ ALAN</t>
        </is>
      </c>
      <c r="K209" s="8" t="inlineStr">
        <is>
          <t>Doç. Dr. Kübra AYKAÇ</t>
        </is>
      </c>
      <c r="L209" s="9" t="inlineStr">
        <is>
          <t>DÜZELTME</t>
        </is>
      </c>
      <c r="M209" s="9" t="n"/>
      <c r="N209" s="9" t="n"/>
      <c r="O209" s="66" t="n"/>
      <c r="P209" s="9">
        <f>IF(O209&lt;&gt;"",O209, IF(N209&lt;&gt;"",N209, IF(M209&lt;&gt;"",M209, L209)))</f>
        <v/>
      </c>
      <c r="R209" s="95">
        <f>IF(AND(L209="", B209&lt;&gt;""), B209, "")</f>
        <v/>
      </c>
    </row>
    <row r="210" ht="94.5" customHeight="1" s="221">
      <c r="A210" s="5" t="inlineStr">
        <is>
          <t>209.</t>
        </is>
      </c>
      <c r="B210" s="6" t="inlineStr">
        <is>
          <t>SBA 26/209</t>
        </is>
      </c>
      <c r="C210" s="8" t="inlineStr">
        <is>
          <t>Doç. Dr. Duygu AYHAN BAŞER</t>
        </is>
      </c>
      <c r="D210" s="8" t="inlineStr">
        <is>
          <t>Aile Hekimliği Anabilim Dalı</t>
        </is>
      </c>
      <c r="E210" s="7" t="inlineStr">
        <is>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is>
      </c>
      <c r="F210" s="7" t="inlineStr">
        <is>
          <t>“Glutensiz Beslenme Nedenleri ve Glutensiz Beslenmeye Dair Bilgi Düzeyi İlişkisi: Kesitsel Çalışma”</t>
        </is>
      </c>
      <c r="G210" s="13" t="inlineStr">
        <is>
          <t>Bireysel Araştırma</t>
        </is>
      </c>
      <c r="H210" s="54" t="n">
        <v>46076</v>
      </c>
      <c r="I210" s="52" t="n">
        <v>46084</v>
      </c>
      <c r="J210" s="8" t="inlineStr">
        <is>
          <t>Prof. Dr. Gözde GİRGİN</t>
        </is>
      </c>
      <c r="K210" s="8" t="inlineStr">
        <is>
          <t>Prof. Dr. M. Özgür UYANIK</t>
        </is>
      </c>
      <c r="L210" s="9" t="inlineStr">
        <is>
          <t>DÜZELTME</t>
        </is>
      </c>
      <c r="M210" s="9" t="n"/>
      <c r="N210" s="9" t="n"/>
      <c r="O210" s="66" t="n"/>
      <c r="P210" s="9">
        <f>IF(O210&lt;&gt;"",O210, IF(N210&lt;&gt;"",N210, IF(M210&lt;&gt;"",M210, L210)))</f>
        <v/>
      </c>
      <c r="R210" s="95">
        <f>IF(AND(L210="", B210&lt;&gt;""), B210, "")</f>
        <v/>
      </c>
    </row>
    <row r="211" ht="94.5" customHeight="1" s="221">
      <c r="A211" s="5" t="inlineStr">
        <is>
          <t>210.</t>
        </is>
      </c>
      <c r="B211" s="6" t="inlineStr">
        <is>
          <t>SBA 26/210</t>
        </is>
      </c>
      <c r="C211" s="8" t="inlineStr">
        <is>
          <t>Prof. Dr. Murat TUNCEL</t>
        </is>
      </c>
      <c r="D211" s="8" t="inlineStr">
        <is>
          <t>Nükleer Tıp Anabilim Dalı</t>
        </is>
      </c>
      <c r="E211" s="7" t="inlineStr">
        <is>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is>
      </c>
      <c r="F211" s="7" t="inlineStr">
        <is>
          <t>“Prostat Kanseri Hastalarında Definitif Radyoterapi Sonrası Nüksün Tespitinde Ga-68 PSMA PET/BT'nin Rolü”</t>
        </is>
      </c>
      <c r="G211" s="13" t="inlineStr">
        <is>
          <t>Uzmanlık Tezi</t>
        </is>
      </c>
      <c r="H211" s="54" t="n">
        <v>46076</v>
      </c>
      <c r="I211" s="52" t="n">
        <v>46084</v>
      </c>
      <c r="J211" s="8" t="inlineStr">
        <is>
          <t>Dr. Öğr. Üyesi Müge DEMİR</t>
        </is>
      </c>
      <c r="K211" s="8" t="inlineStr">
        <is>
          <t>Prof. Dr. Ayşe Nurten AKARSU</t>
        </is>
      </c>
      <c r="L211" s="9" t="inlineStr">
        <is>
          <t>RET</t>
        </is>
      </c>
      <c r="M211" s="9" t="n"/>
      <c r="N211" s="9" t="n"/>
      <c r="O211" s="66" t="n"/>
      <c r="P211" s="9">
        <f>IF(O211&lt;&gt;"",O211, IF(N211&lt;&gt;"",N211, IF(M211&lt;&gt;"",M211, L211)))</f>
        <v/>
      </c>
      <c r="R211" s="95">
        <f>IF(AND(L211="", B211&lt;&gt;""), B211, "")</f>
        <v/>
      </c>
    </row>
    <row r="212" ht="63" customHeight="1" s="221">
      <c r="A212" s="5" t="inlineStr">
        <is>
          <t>211.</t>
        </is>
      </c>
      <c r="B212" s="6" t="inlineStr">
        <is>
          <t>SBA 26/211</t>
        </is>
      </c>
      <c r="C212" s="8" t="inlineStr">
        <is>
          <t>Doç. Dr. İdil Rana USER KILIÇ</t>
        </is>
      </c>
      <c r="D212" s="8" t="inlineStr">
        <is>
          <t>Çocuk Cerrahisi Anabilim Dalı</t>
        </is>
      </c>
      <c r="E212" s="7" t="inlineStr">
        <is>
          <t>Üniversitemiz Tıp Fakültesi Çocuk Cerrahisi Anabilim Dalı öğretim üyelerinden Doç. Dr. İdil Rana USER KILIÇ’ın sorumlu araştırmacı olduğu, Prof. Dr. Saniye EKİNCİ, Doç. Dr. Burak ARDIÇLI, Arş. Gör. Dr. Tunç TIĞLI ile birlikte çalışacakları,</t>
        </is>
      </c>
      <c r="F212" s="7" t="inlineStr">
        <is>
          <t>“Kompleks Obstrüktif Üropatili Çocuklarda Geçici Üriner Diversiyon Yöntemi Olarak Üreterokütaneostominin Klinik Değerlendirmesi”</t>
        </is>
      </c>
      <c r="G212" s="13" t="inlineStr">
        <is>
          <t>Bireysel Araştırma</t>
        </is>
      </c>
      <c r="H212" s="54" t="n">
        <v>46076</v>
      </c>
      <c r="I212" s="52" t="n">
        <v>46084</v>
      </c>
      <c r="J212" s="8" t="inlineStr">
        <is>
          <t>Doç. Dr. Kübra AYKAÇ</t>
        </is>
      </c>
      <c r="K212" s="8" t="inlineStr">
        <is>
          <t>Prof. Dr. Yavuz AYHAN</t>
        </is>
      </c>
      <c r="L212" s="9" t="inlineStr">
        <is>
          <t>ONAY</t>
        </is>
      </c>
      <c r="M212" s="9" t="n"/>
      <c r="N212" s="9" t="n"/>
      <c r="O212" s="66" t="n"/>
      <c r="P212" s="9">
        <f>IF(O212&lt;&gt;"",O212, IF(N212&lt;&gt;"",N212, IF(M212&lt;&gt;"",M212, L212)))</f>
        <v/>
      </c>
      <c r="R212" s="95">
        <f>IF(AND(L212="", B212&lt;&gt;""), B212, "")</f>
        <v/>
      </c>
    </row>
    <row r="213" ht="78.75" customHeight="1" s="221">
      <c r="A213" s="5" t="inlineStr">
        <is>
          <t>212.</t>
        </is>
      </c>
      <c r="B213" s="6" t="inlineStr">
        <is>
          <t>SBA 26/212</t>
        </is>
      </c>
      <c r="C213" s="8" t="inlineStr">
        <is>
          <t>Doç. Dr. İdil Rana USER KILIÇ</t>
        </is>
      </c>
      <c r="D213" s="8" t="inlineStr">
        <is>
          <t>Çocuk Cerrahisi Anabilim Dalı</t>
        </is>
      </c>
      <c r="E213" s="7" t="inlineStr">
        <is>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is>
      </c>
      <c r="F213" s="7" t="inlineStr">
        <is>
          <t>“Pilonidal Hastalıkta Minimal İnvaziv Cerrahi: Ergen Olgularda Gips Prosedürünün Değerlendirilmesi”</t>
        </is>
      </c>
      <c r="G213" s="13" t="inlineStr">
        <is>
          <t>Bireysel Araştırma</t>
        </is>
      </c>
      <c r="H213" s="54" t="n">
        <v>46076</v>
      </c>
      <c r="I213" s="52" t="n">
        <v>46084</v>
      </c>
      <c r="J213" s="8" t="inlineStr">
        <is>
          <t>Doç. Dr. Kübra AYKAÇ</t>
        </is>
      </c>
      <c r="K213" s="8" t="inlineStr">
        <is>
          <t>Prof. Dr. Yavuz AYHAN</t>
        </is>
      </c>
      <c r="L213" s="9" t="inlineStr">
        <is>
          <t>ONAY</t>
        </is>
      </c>
      <c r="M213" s="9" t="n"/>
      <c r="N213" s="9" t="n"/>
      <c r="O213" s="66" t="n"/>
      <c r="P213" s="9">
        <f>IF(O213&lt;&gt;"",O213, IF(N213&lt;&gt;"",N213, IF(M213&lt;&gt;"",M213, L213)))</f>
        <v/>
      </c>
      <c r="R213" s="95">
        <f>IF(AND(L213="", B213&lt;&gt;""), B213, "")</f>
        <v/>
      </c>
    </row>
    <row r="214" ht="78.75" customHeight="1" s="221">
      <c r="A214" s="5" t="inlineStr">
        <is>
          <t>213.</t>
        </is>
      </c>
      <c r="B214" s="6" t="inlineStr">
        <is>
          <t>SBA 26/213</t>
        </is>
      </c>
      <c r="C214" s="8" t="inlineStr">
        <is>
          <t>Doç. Dr. Bengisu AKARSU GÜVEN</t>
        </is>
      </c>
      <c r="D214" s="8" t="inlineStr">
        <is>
          <t>Ortodonti Anabilim Dalı</t>
        </is>
      </c>
      <c r="E214" s="7" t="inlineStr">
        <is>
          <t>Üniversitemiz Diş Hekimliği Fakültesi Ortodonti Anabilim Dalı öğretim üyelerinden Doç. Dr. Bengisu AKARSU GÜVEN’in sorumlu araştırmacı olduğu, Arş. Gör. Dt. Aybüke ÖZYALIN ÖZEROL ile birlikte çalışacakları,</t>
        </is>
      </c>
      <c r="F214" s="7" t="inlineStr">
        <is>
          <t>“Hacettepe Üniversitesi Tıp Fakültesi Dudak Damak Yarığı ve Kraniyomaksiller Şekil Bozukluğu Tedavi Uygulama ve Araştırma Merkezi’ne Başvuran Hastaların Demografik ve Klinik Özelliklerinin Deskriptif Değerlendirilmesi"</t>
        </is>
      </c>
      <c r="G214" s="13" t="inlineStr">
        <is>
          <t>Bireysel Araştırma</t>
        </is>
      </c>
      <c r="H214" s="54" t="n">
        <v>46076</v>
      </c>
      <c r="I214" s="52" t="n">
        <v>46084</v>
      </c>
      <c r="J214" s="8" t="inlineStr">
        <is>
          <t>Prof. Dr. M. Özgür UYANIK</t>
        </is>
      </c>
      <c r="K214" s="8" t="inlineStr">
        <is>
          <t>Prof. Dr. Gözde GİRGİN</t>
        </is>
      </c>
      <c r="L214" s="9" t="inlineStr">
        <is>
          <t>DÜZELTME</t>
        </is>
      </c>
      <c r="M214" s="9" t="n"/>
      <c r="N214" s="9" t="n"/>
      <c r="O214" s="66" t="n"/>
      <c r="P214" s="9">
        <f>IF(O214&lt;&gt;"",O214, IF(N214&lt;&gt;"",N214, IF(M214&lt;&gt;"",M214, L214)))</f>
        <v/>
      </c>
      <c r="R214" s="95">
        <f>IF(AND(L214="", B214&lt;&gt;""), B214, "")</f>
        <v/>
      </c>
    </row>
    <row r="215" ht="96.75" customHeight="1" s="221">
      <c r="A215" s="5" t="inlineStr">
        <is>
          <t>214.</t>
        </is>
      </c>
      <c r="B215" s="6" t="inlineStr">
        <is>
          <t>SBA 26/214</t>
        </is>
      </c>
      <c r="C215" s="8" t="inlineStr">
        <is>
          <t>Prof. Dr. Ali DURSUN</t>
        </is>
      </c>
      <c r="D215" s="8" t="inlineStr">
        <is>
          <t>Çocuk Sağlığı ve Hastalıkları Anabilim Dalı</t>
        </is>
      </c>
      <c r="E215" s="7" t="inlineStr">
        <is>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is>
      </c>
      <c r="F215" s="7" t="inlineStr">
        <is>
          <t>“Akçaağaç Şurubu İdrar Hastalığında MikroRNA İfade değişikliklerinin Araştırılması”</t>
        </is>
      </c>
      <c r="G215" s="13" t="inlineStr">
        <is>
          <t>Bireysel Araştırma</t>
        </is>
      </c>
      <c r="H215" s="54" t="n">
        <v>46076</v>
      </c>
      <c r="I215" s="52" t="n">
        <v>46084</v>
      </c>
      <c r="J215" s="8" t="inlineStr">
        <is>
          <t>Prof. Dr. M. Özgür UYANIK</t>
        </is>
      </c>
      <c r="K215" s="8" t="inlineStr">
        <is>
          <t>Prof. Dr. Melih Önder BABAOĞLU</t>
        </is>
      </c>
      <c r="L215" s="9" t="inlineStr">
        <is>
          <t>DÜZELTME</t>
        </is>
      </c>
      <c r="M215" s="9" t="n"/>
      <c r="N215" s="9" t="n"/>
      <c r="O215" s="66" t="n"/>
      <c r="P215" s="9">
        <f>IF(O215&lt;&gt;"",O215, IF(N215&lt;&gt;"",N215, IF(M215&lt;&gt;"",M215, L215)))</f>
        <v/>
      </c>
      <c r="R215" s="95">
        <f>IF(AND(L215="", B215&lt;&gt;""), B215, "")</f>
        <v/>
      </c>
    </row>
    <row r="216" ht="63" customHeight="1" s="221">
      <c r="A216" s="5" t="inlineStr">
        <is>
          <t>215.</t>
        </is>
      </c>
      <c r="B216" s="6" t="inlineStr">
        <is>
          <t>SBA 26/215</t>
        </is>
      </c>
      <c r="C216" s="8" t="inlineStr">
        <is>
          <t>Prof. Dr. Tutku SOYER</t>
        </is>
      </c>
      <c r="D216" s="8" t="inlineStr">
        <is>
          <t>Çocuk Cerrahisi Anabilim Dalı</t>
        </is>
      </c>
      <c r="E216" s="7" t="inlineStr">
        <is>
          <t>Üniversitemiz Tıp Fakültesi Çocuk Cerrahisi Anabilim Dalı öğretim üyelerinden Prof. Dr. Tutku SOYER’in sorumlu araştırmacı olduğu, Prof. Dr. Özlem BOYBEYİ, Arş. Gör. Tunç TIĞLI ile birlikte çalışacakları,</t>
        </is>
      </c>
      <c r="F216" s="7" t="inlineStr">
        <is>
          <t>“Çocuklarda Malnütrisyon Tahmin Etmede Perioperatif Beslenme Taramasının Kullanılabilirliği”</t>
        </is>
      </c>
      <c r="G216" s="13" t="inlineStr">
        <is>
          <t>Bireysel Araştırma</t>
        </is>
      </c>
      <c r="H216" s="54" t="n">
        <v>46077</v>
      </c>
      <c r="I216" s="52" t="n">
        <v>46084</v>
      </c>
      <c r="J216" s="8" t="inlineStr">
        <is>
          <t>Doç. Dr. Tolga ÇAKMAK</t>
        </is>
      </c>
      <c r="K216" s="8" t="inlineStr">
        <is>
          <t>Prof. Dr. Melih Önder BABAOĞLU</t>
        </is>
      </c>
      <c r="L216" s="9" t="inlineStr">
        <is>
          <t>ONAY</t>
        </is>
      </c>
      <c r="M216" s="9" t="n"/>
      <c r="N216" s="9" t="n"/>
      <c r="O216" s="66" t="n"/>
      <c r="P216" s="9">
        <f>IF(O216&lt;&gt;"",O216, IF(N216&lt;&gt;"",N216, IF(M216&lt;&gt;"",M216, L216)))</f>
        <v/>
      </c>
      <c r="R216" s="95">
        <f>IF(AND(L216="", B216&lt;&gt;""), B216, "")</f>
        <v/>
      </c>
    </row>
    <row r="217" ht="63" customHeight="1" s="221">
      <c r="A217" s="5" t="inlineStr">
        <is>
          <t>216.</t>
        </is>
      </c>
      <c r="B217" s="6" t="inlineStr">
        <is>
          <t>SBA 26/216</t>
        </is>
      </c>
      <c r="C217" s="8" t="inlineStr">
        <is>
          <t>Doç. Dr. Başak YALICI ARMAĞAN</t>
        </is>
      </c>
      <c r="D217" s="8" t="inlineStr">
        <is>
          <t>Deri ve Zührevi Hastalıklar Anabilim Dalı</t>
        </is>
      </c>
      <c r="E217" s="7" t="inlineStr">
        <is>
          <t>Üniversitemiz Tıp Fakültesi Deri ve Zührevi Hastalıklar Anabilim Dalı öğretim üyelerinden Doç. Dr. Başak YALICI ARMAĞAN'ın sorumlu araştırmacı olduğu, Arş. Gör. Dr. Kübra Çiçek ile birlikte çalışacakları,</t>
        </is>
      </c>
      <c r="F217" s="7" t="inlineStr">
        <is>
          <t>“Plak Psoriazisli Hastalarda Apremilast Tedavisinin Klinik ve Metabolik Bulgulara Etkisinin İncelenmesi”</t>
        </is>
      </c>
      <c r="G217" s="13" t="inlineStr">
        <is>
          <t>Bireysel Araştırma</t>
        </is>
      </c>
      <c r="H217" s="54" t="n">
        <v>46077</v>
      </c>
      <c r="I217" s="52" t="n">
        <v>46084</v>
      </c>
      <c r="J217" s="8" t="inlineStr">
        <is>
          <t>Dr. Öğr. Üyesi Müge DEMİR</t>
        </is>
      </c>
      <c r="K217" s="8" t="inlineStr">
        <is>
          <t>Doç. Dr. Burcu ERSÖZ ALAN</t>
        </is>
      </c>
      <c r="L217" s="9" t="inlineStr">
        <is>
          <t>ONAY</t>
        </is>
      </c>
      <c r="M217" s="9" t="n"/>
      <c r="N217" s="9" t="n"/>
      <c r="O217" s="66" t="n"/>
      <c r="P217" s="9">
        <f>IF(O217&lt;&gt;"",O217, IF(N217&lt;&gt;"",N217, IF(M217&lt;&gt;"",M217, L217)))</f>
        <v/>
      </c>
      <c r="R217" s="95">
        <f>IF(AND(L217="", B217&lt;&gt;""), B217, "")</f>
        <v/>
      </c>
    </row>
    <row r="218" ht="141.75" customHeight="1" s="221">
      <c r="A218" s="5" t="inlineStr">
        <is>
          <t>217.</t>
        </is>
      </c>
      <c r="B218" s="6" t="inlineStr">
        <is>
          <t>SBA 26/217</t>
        </is>
      </c>
      <c r="C218" s="8" t="inlineStr">
        <is>
          <t>Prof. Dr. Mert ÇALIŞ</t>
        </is>
      </c>
      <c r="D218" s="8" t="inlineStr">
        <is>
          <t>Plastik, Rekonstrüktif ve Estetik Cerrahi Anabilim Dalı</t>
        </is>
      </c>
      <c r="E218" s="7" t="inlineStr">
        <is>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is>
      </c>
      <c r="F218" s="7" t="inlineStr">
        <is>
          <t>“Doku Mühendisliği Ürünü Vaskülarize Kas Greftlerinin Sıçan Mikrosirküler AV Loop Modelinde Yaşamsallığının ve Fonksiyonelliğinin Değerlendirilmesi”</t>
        </is>
      </c>
      <c r="G218" s="13" t="inlineStr">
        <is>
          <t>Uzmanlık Tezi</t>
        </is>
      </c>
      <c r="H218" s="54" t="n">
        <v>46077</v>
      </c>
      <c r="I218" s="52" t="n">
        <v>46084</v>
      </c>
      <c r="J218" s="8" t="inlineStr">
        <is>
          <t>Prof. Dr. Ayşe KİN İŞLER</t>
        </is>
      </c>
      <c r="K218" s="8" t="inlineStr">
        <is>
          <t>Doç. Dr. Ekim GÜMELER</t>
        </is>
      </c>
      <c r="L218" s="9" t="inlineStr">
        <is>
          <t>ONAY</t>
        </is>
      </c>
      <c r="M218" s="9" t="n"/>
      <c r="N218" s="9" t="n"/>
      <c r="O218" s="66" t="n"/>
      <c r="P218" s="9">
        <f>IF(O218&lt;&gt;"",O218, IF(N218&lt;&gt;"",N218, IF(M218&lt;&gt;"",M218, L218)))</f>
        <v/>
      </c>
      <c r="R218" s="95">
        <f>IF(AND(L218="", B218&lt;&gt;""), B218, "")</f>
        <v/>
      </c>
    </row>
    <row r="219" ht="94.5" customHeight="1" s="221">
      <c r="A219" s="5" t="inlineStr">
        <is>
          <t>218.</t>
        </is>
      </c>
      <c r="B219" s="6" t="inlineStr">
        <is>
          <t>SBA 26/218</t>
        </is>
      </c>
      <c r="C219" s="8" t="inlineStr">
        <is>
          <t>Arş. Gör. Dr. Sebiha Şükran GÜNDEŞLİ</t>
        </is>
      </c>
      <c r="D219" s="8" t="inlineStr">
        <is>
          <t>Çocuk Sağlığı ve Hastalıkları Anabilim Dalı</t>
        </is>
      </c>
      <c r="E219" s="7" t="inlineStr">
        <is>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is>
      </c>
      <c r="F219" s="7" t="inlineStr">
        <is>
          <t>“Nöroblastom Tanılı Çocuklarda Kemoterapi Tedavisi Bitimi Sonrası Aşı Serolojik Yanıtlarının ve Aşılama Programının Değerlendirilmesi”</t>
        </is>
      </c>
      <c r="G219" s="13" t="inlineStr">
        <is>
          <t>Bireysel Araştırma</t>
        </is>
      </c>
      <c r="H219" s="54" t="n">
        <v>46077</v>
      </c>
      <c r="I219" s="52" t="n">
        <v>46084</v>
      </c>
      <c r="J219" s="8" t="inlineStr">
        <is>
          <t>Prof. Dr. Melih Önder BABAOĞLU</t>
        </is>
      </c>
      <c r="K219" s="8" t="inlineStr">
        <is>
          <t>Prof. Dr. Ayşe KİN İŞLER</t>
        </is>
      </c>
      <c r="L219" s="9" t="inlineStr">
        <is>
          <t>DÜZELTME</t>
        </is>
      </c>
      <c r="M219" s="9" t="n"/>
      <c r="N219" s="9" t="n"/>
      <c r="O219" s="66" t="n"/>
      <c r="P219" s="9">
        <f>IF(O219&lt;&gt;"",O219, IF(N219&lt;&gt;"",N219, IF(M219&lt;&gt;"",M219, L219)))</f>
        <v/>
      </c>
      <c r="R219" s="95">
        <f>IF(AND(L219="", B219&lt;&gt;""), B219, "")</f>
        <v/>
      </c>
    </row>
    <row r="220" ht="80.25" customHeight="1" s="221">
      <c r="A220" s="5" t="inlineStr">
        <is>
          <t>219.</t>
        </is>
      </c>
      <c r="B220" s="6" t="inlineStr">
        <is>
          <t>SBA 26/219</t>
        </is>
      </c>
      <c r="C220" s="8" t="inlineStr">
        <is>
          <t>Dr. Öğr. Üyesi Aycan UYSAL</t>
        </is>
      </c>
      <c r="D220" s="8" t="inlineStr">
        <is>
          <t>Radyoloji Anabilim Dalı</t>
        </is>
      </c>
      <c r="E220" s="7" t="inlineStr">
        <is>
          <t>Üniversitemiz Tıp Fakültesi Radyoloji Anabilim Dalı öğretim üyelerinden Dr. Öğr. Üyesi Aycan UYSAL’ın sorumlu araştırmacı olduğu, Arş. Gör. Dr. Mert GÖL, Doç. Dr. Emre ÜNAL ve Prof. Dr. Türkmen Turan ÇİFTÇİ ile birlikte çalışacakları,</t>
        </is>
      </c>
      <c r="F220" s="7" t="inlineStr">
        <is>
          <t>“Bilgisayarlı Tomografi Eşliğinde Transtorasik Akciğer Biyopsilerinin Teknik ve Tanısal Başarı Oranları ile Komplikasyon Oranlarının Değerlendirilmesi”</t>
        </is>
      </c>
      <c r="G220" s="13" t="inlineStr">
        <is>
          <t>Bireysel Araştırma</t>
        </is>
      </c>
      <c r="H220" s="54" t="n">
        <v>46077</v>
      </c>
      <c r="I220" s="52" t="n">
        <v>46084</v>
      </c>
      <c r="J220" s="8" t="inlineStr">
        <is>
          <t>Doç. Dr. Ekim GÜMELER</t>
        </is>
      </c>
      <c r="K220" s="8" t="inlineStr">
        <is>
          <t>Doç. Dr. Tolga ÇAKMAK</t>
        </is>
      </c>
      <c r="L220" s="9" t="inlineStr">
        <is>
          <t>ONAY</t>
        </is>
      </c>
      <c r="M220" s="9" t="n"/>
      <c r="N220" s="9" t="n"/>
      <c r="O220" s="66" t="n"/>
      <c r="P220" s="9">
        <f>IF(O220&lt;&gt;"",O220, IF(N220&lt;&gt;"",N220, IF(M220&lt;&gt;"",M220, L220)))</f>
        <v/>
      </c>
      <c r="R220" s="95">
        <f>IF(AND(L220="", B220&lt;&gt;""), B220, "")</f>
        <v/>
      </c>
    </row>
    <row r="221" ht="63" customHeight="1" s="221">
      <c r="A221" s="5" t="inlineStr">
        <is>
          <t>220.</t>
        </is>
      </c>
      <c r="B221" s="6" t="inlineStr">
        <is>
          <t>SBA 26/220</t>
        </is>
      </c>
      <c r="C221" s="8" t="inlineStr">
        <is>
          <t>Dr. Öğr. Üyesi Gözde ÖZER</t>
        </is>
      </c>
      <c r="D221" s="8" t="inlineStr">
        <is>
          <t>Radyoloji Anabilim Dalı</t>
        </is>
      </c>
      <c r="E221" s="7" t="inlineStr">
        <is>
          <t>Üniversitemiz Tıp Fakültesi Radyoloji Anabilim Dalı öğretim üyelerinden Dr. Öğr. Üyesi Gözde ÖZER’in sorumlu araştırmacı olduğu, Doç. Dr. Ekim GÜMELER ile birlikte çalışacakları,</t>
        </is>
      </c>
      <c r="F221" s="7" t="inlineStr">
        <is>
          <t>“Retinoblastomun Manyetik Rezonans Görüntüleme Bulgularının Araştırılması ve Yapılandırılmış Raporlama Sisteminin Gözlemciler Arası Güvenilirliğinin Değerlendirilmesi”</t>
        </is>
      </c>
      <c r="G221" s="13" t="inlineStr">
        <is>
          <t>Bireysel Araştırma</t>
        </is>
      </c>
      <c r="H221" s="54" t="n">
        <v>46077</v>
      </c>
      <c r="I221" s="52" t="n">
        <v>46084</v>
      </c>
      <c r="J221" s="8" t="inlineStr">
        <is>
          <t>Doç. Dr. Burcu ERSÖZ ALAN</t>
        </is>
      </c>
      <c r="K221" s="8" t="inlineStr">
        <is>
          <t>Doç. Dr. Tolga ÇAKMAK</t>
        </is>
      </c>
      <c r="L221" s="9" t="inlineStr">
        <is>
          <t>ONAY</t>
        </is>
      </c>
      <c r="M221" s="9" t="n"/>
      <c r="N221" s="9" t="n"/>
      <c r="O221" s="66" t="n"/>
      <c r="P221" s="9">
        <f>IF(O221&lt;&gt;"",O221, IF(N221&lt;&gt;"",N221, IF(M221&lt;&gt;"",M221, L221)))</f>
        <v/>
      </c>
      <c r="R221" s="95">
        <f>IF(AND(L221="", B221&lt;&gt;""), B221, "")</f>
        <v/>
      </c>
    </row>
    <row r="222" ht="94.5" customHeight="1" s="221">
      <c r="A222" s="5" t="inlineStr">
        <is>
          <t>221.</t>
        </is>
      </c>
      <c r="B222" s="6" t="inlineStr">
        <is>
          <t>SBA 26/221</t>
        </is>
      </c>
      <c r="C222" s="8" t="inlineStr">
        <is>
          <t>Prof. Dr. Betül ÇELEBİ SALTIK</t>
        </is>
      </c>
      <c r="D222" s="8" t="inlineStr">
        <is>
          <t>Kök Hücre Bilimleri Anabilim Dalı</t>
        </is>
      </c>
      <c r="E222" s="7" t="inlineStr">
        <is>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is>
      </c>
      <c r="F222" s="7" t="inlineStr">
        <is>
          <t>“Üç Boyutlu Yazıcı ile Üretilen Bor Nitrür, Titanyum Dioksit ve Seryum Katkılı Biyomalzemelerin Dental Pulpa Kök Hücre Üzerindeki Etkilerinin İncelenmesi”</t>
        </is>
      </c>
      <c r="G222" s="13" t="inlineStr">
        <is>
          <t>Bireysel Araştırma</t>
        </is>
      </c>
      <c r="H222" s="54" t="n">
        <v>46077</v>
      </c>
      <c r="I222" s="52" t="n">
        <v>46084</v>
      </c>
      <c r="J222" s="8" t="inlineStr">
        <is>
          <t>Prof. Dr. Ayşe Nurten AKARSU</t>
        </is>
      </c>
      <c r="K222" s="8" t="inlineStr">
        <is>
          <t>Prof. Dr. M. Özgür UYANIK</t>
        </is>
      </c>
      <c r="L222" s="9" t="inlineStr">
        <is>
          <t>ONAY</t>
        </is>
      </c>
      <c r="M222" s="9" t="n"/>
      <c r="N222" s="9" t="n"/>
      <c r="O222" s="66" t="n"/>
      <c r="P222" s="9">
        <f>IF(O222&lt;&gt;"",O222, IF(N222&lt;&gt;"",N222, IF(M222&lt;&gt;"",M222, L222)))</f>
        <v/>
      </c>
      <c r="R222" s="95">
        <f>IF(AND(L222="", B222&lt;&gt;""), B222, "")</f>
        <v/>
      </c>
    </row>
    <row r="223" ht="94.5" customHeight="1" s="221">
      <c r="A223" s="5" t="inlineStr">
        <is>
          <t>222.</t>
        </is>
      </c>
      <c r="B223" s="6" t="inlineStr">
        <is>
          <t>SBA 26/222</t>
        </is>
      </c>
      <c r="C223" s="8" t="inlineStr">
        <is>
          <t>Prof. Dr. Şehnaz ALP</t>
        </is>
      </c>
      <c r="D223" s="8" t="inlineStr">
        <is>
          <t>Enfeksiyon Hastalıkları ve Klinik Mikrobiyoloji Anabilim Dalı</t>
        </is>
      </c>
      <c r="E223" s="7" t="inlineStr">
        <is>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is>
      </c>
      <c r="F223" s="7" t="inlineStr">
        <is>
          <t>“Kültür ile Kanıtlanmış Erşkin Tüberküloz Olgularının İrdelenmesi ve İzolatların Direnç Profillerinin Belirlenmesi”</t>
        </is>
      </c>
      <c r="G223" s="13" t="inlineStr">
        <is>
          <t>Uzmanlık Tezi</t>
        </is>
      </c>
      <c r="H223" s="54" t="n">
        <v>46077</v>
      </c>
      <c r="I223" s="52" t="n">
        <v>46084</v>
      </c>
      <c r="J223" s="8" t="inlineStr">
        <is>
          <t>Doç. Dr. Kübra AYKAÇ</t>
        </is>
      </c>
      <c r="K223" s="8" t="inlineStr">
        <is>
          <t>Prof. Dr. Gözde GİRGİN</t>
        </is>
      </c>
      <c r="L223" s="9" t="inlineStr">
        <is>
          <t>ONAY</t>
        </is>
      </c>
      <c r="M223" s="9" t="n"/>
      <c r="N223" s="9" t="n"/>
      <c r="O223" s="66" t="n"/>
      <c r="P223" s="9">
        <f>IF(O223&lt;&gt;"",O223, IF(N223&lt;&gt;"",N223, IF(M223&lt;&gt;"",M223, L223)))</f>
        <v/>
      </c>
      <c r="R223" s="95">
        <f>IF(AND(L223="", B223&lt;&gt;""), B223, "")</f>
        <v/>
      </c>
    </row>
    <row r="224" ht="94.5" customHeight="1" s="221">
      <c r="A224" s="5" t="inlineStr">
        <is>
          <t>223.</t>
        </is>
      </c>
      <c r="B224" s="6" t="inlineStr">
        <is>
          <t>SBA 26/223</t>
        </is>
      </c>
      <c r="C224" s="8" t="inlineStr">
        <is>
          <t>Arş. Gör. Dr. Şükran BAYRAK</t>
        </is>
      </c>
      <c r="D224" s="8" t="inlineStr">
        <is>
          <t>Çocuk Sağlığı ve Hastalıkları Anabilim Dalı</t>
        </is>
      </c>
      <c r="E224" s="7" t="inlineStr">
        <is>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is>
      </c>
      <c r="F224" s="7" t="inlineStr">
        <is>
          <t>“Ateşi Olan Üç Aylıktan Küçük Bebeklerde Presepsin ve İnterlökin-6 Düzeyleri ile Ağır Bakteriyel Enfeksiyon Riskinin Değerlendirilmesi”</t>
        </is>
      </c>
      <c r="G224" s="13" t="inlineStr">
        <is>
          <t>Bireysel Araştırma</t>
        </is>
      </c>
      <c r="H224" s="54" t="n">
        <v>46078</v>
      </c>
      <c r="I224" s="52" t="n">
        <v>46084</v>
      </c>
      <c r="J224" s="8" t="inlineStr">
        <is>
          <t>Doç. Dr. Kübra AYKAÇ</t>
        </is>
      </c>
      <c r="K224" s="8" t="inlineStr">
        <is>
          <t>Prof. Dr. Ayşe KİN İŞLER</t>
        </is>
      </c>
      <c r="L224" s="9" t="inlineStr">
        <is>
          <t>DÜZELTME</t>
        </is>
      </c>
      <c r="M224" s="9" t="n"/>
      <c r="N224" s="9" t="n"/>
      <c r="O224" s="66" t="n"/>
      <c r="P224" s="9">
        <f>IF(O224&lt;&gt;"",O224, IF(N224&lt;&gt;"",N224, IF(M224&lt;&gt;"",M224, L224)))</f>
        <v/>
      </c>
      <c r="R224" s="95">
        <f>IF(AND(L224="", B224&lt;&gt;""), B224, "")</f>
        <v/>
      </c>
    </row>
    <row r="225" ht="78.75" customHeight="1" s="221">
      <c r="A225" s="5" t="inlineStr">
        <is>
          <t>224.</t>
        </is>
      </c>
      <c r="B225" s="6" t="inlineStr">
        <is>
          <t>SBA 26/224</t>
        </is>
      </c>
      <c r="C225" s="8" t="inlineStr">
        <is>
          <t>Prof. Dr. Bora GÜLHAN</t>
        </is>
      </c>
      <c r="D225" s="8" t="inlineStr">
        <is>
          <t>Çocuk Sağlığı ve Hastalıkları Anabilim Dalı</t>
        </is>
      </c>
      <c r="E225" s="7" t="inlineStr">
        <is>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is>
      </c>
      <c r="F225" s="7" t="inlineStr">
        <is>
          <t>“Nöroblastom ve Wilms Tümörü Tanılı Hastalarda Böbrek Koruyucu Cerrahi Sonrası Uzun Dönem Prognozun Değerlendirilmesi”</t>
        </is>
      </c>
      <c r="G225" s="13" t="inlineStr">
        <is>
          <t>Uzmanlık Tezi</t>
        </is>
      </c>
      <c r="H225" s="54" t="n">
        <v>46079</v>
      </c>
      <c r="I225" s="52" t="n">
        <v>46084</v>
      </c>
      <c r="J225" s="8" t="inlineStr">
        <is>
          <t>Prof. Dr. Ayşe Nurten AKARSU</t>
        </is>
      </c>
      <c r="K225" s="8" t="inlineStr">
        <is>
          <t>Prof. Dr. Gözde GİRGİN</t>
        </is>
      </c>
      <c r="L225" s="9" t="inlineStr">
        <is>
          <t>ONAY</t>
        </is>
      </c>
      <c r="M225" s="9" t="n"/>
      <c r="N225" s="9" t="n"/>
      <c r="O225" s="66" t="n"/>
      <c r="P225" s="9">
        <f>IF(O225&lt;&gt;"",O225, IF(N225&lt;&gt;"",N225, IF(M225&lt;&gt;"",M225, L225)))</f>
        <v/>
      </c>
      <c r="R225" s="95">
        <f>IF(AND(L225="", B225&lt;&gt;""), B225, "")</f>
        <v/>
      </c>
    </row>
    <row r="226" ht="63" customHeight="1" s="221">
      <c r="A226" s="5" t="inlineStr">
        <is>
          <t>225.</t>
        </is>
      </c>
      <c r="B226" s="6" t="inlineStr">
        <is>
          <t>SBA 26/225</t>
        </is>
      </c>
      <c r="C226" s="8" t="inlineStr">
        <is>
          <t>Prof. Dr. Meltem Gülhan HALİL</t>
        </is>
      </c>
      <c r="D226" s="8" t="inlineStr">
        <is>
          <t>İç Hastalıkları Anabilim Dalı</t>
        </is>
      </c>
      <c r="E226" s="7" t="inlineStr">
        <is>
          <t>Üniversitemiz Tıp Fakültesi İç Hastalıkları Anabilim Dalı öğretim üyelerinden Prof. Dr. Meltem Gülhan HALİL’in sorumlu araştırmacı olduğu, Arş. Gör. Dr. Okan TURHAN ile birlikte çalışacakları,</t>
        </is>
      </c>
      <c r="F226" s="7" t="inlineStr">
        <is>
          <t>“Geriatri Polikliniğine Başvuran Yaşlı Hastalarda C-Reaktif Protein Düzeyinin Tüm Nedenlere Bağlı Mortalite Üzerine Prognostik Etkisi: Tek Merkezli Retrospektif Kohort Çalışması”</t>
        </is>
      </c>
      <c r="G226" s="13" t="inlineStr">
        <is>
          <t>Bireysel Araştırma</t>
        </is>
      </c>
      <c r="H226" s="54" t="n">
        <v>46079</v>
      </c>
      <c r="I226" s="52" t="n">
        <v>46084</v>
      </c>
      <c r="J226" s="8" t="inlineStr">
        <is>
          <t>Prof. Dr. Yavuz AYHAN</t>
        </is>
      </c>
      <c r="K226" s="8" t="inlineStr">
        <is>
          <t>Doç. Dr. Tolga ÇAKMAK</t>
        </is>
      </c>
      <c r="L226" s="9" t="inlineStr">
        <is>
          <t>GÖRÜŞ</t>
        </is>
      </c>
      <c r="M226" s="9" t="inlineStr">
        <is>
          <t>DÜZELTME</t>
        </is>
      </c>
      <c r="N226" s="9" t="n"/>
      <c r="O226" s="66" t="n"/>
      <c r="P226" s="9">
        <f>IF(O226&lt;&gt;"",O226, IF(N226&lt;&gt;"",N226, IF(M226&lt;&gt;"",M226, L226)))</f>
        <v/>
      </c>
      <c r="R226" s="95">
        <f>IF(AND(L226="", B226&lt;&gt;""), B226, "")</f>
        <v/>
      </c>
    </row>
    <row r="227" ht="94.5" customHeight="1" s="221">
      <c r="A227" s="5" t="inlineStr">
        <is>
          <t>226.</t>
        </is>
      </c>
      <c r="B227" s="6" t="inlineStr">
        <is>
          <t>SBA 26/226</t>
        </is>
      </c>
      <c r="C227" s="8" t="inlineStr">
        <is>
          <t>Doç. Dr. Sevtap ARSLAN SARIKAYA</t>
        </is>
      </c>
      <c r="D227" s="8" t="inlineStr">
        <is>
          <t>Radyoloji Anabilim Dalı</t>
        </is>
      </c>
      <c r="E227" s="7" t="inlineStr">
        <is>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is>
      </c>
      <c r="F227" s="7" t="inlineStr">
        <is>
          <t>“Sıfır eko zamanlı (ZTE) Görüntüleme Tekniğinin Sakroilyak Eklemler MRG'de Radyolojik ve Klinik Tanı Sürecine Etkisinin Araştırılması”</t>
        </is>
      </c>
      <c r="G227" s="13" t="inlineStr">
        <is>
          <t>Uzmanlık Tezi</t>
        </is>
      </c>
      <c r="H227" s="54" t="n">
        <v>46087</v>
      </c>
      <c r="I227" s="52" t="n">
        <v>46098</v>
      </c>
      <c r="J227" s="8" t="inlineStr">
        <is>
          <t>Doç. Dr. Ekim GÜMELER</t>
        </is>
      </c>
      <c r="K227" s="8" t="inlineStr">
        <is>
          <t>Doç. Dr. Tolga ÇAKMAK</t>
        </is>
      </c>
      <c r="L227" s="9" t="inlineStr">
        <is>
          <t>ONAY</t>
        </is>
      </c>
      <c r="M227" s="9" t="n"/>
      <c r="N227" s="9" t="n"/>
      <c r="O227" s="66" t="n"/>
      <c r="P227" s="9">
        <f>IF(O227&lt;&gt;"",O227, IF(N227&lt;&gt;"",N227, IF(M227&lt;&gt;"",M227, L227)))</f>
        <v/>
      </c>
      <c r="R227" s="95">
        <f>IF(AND(L227="", B227&lt;&gt;""), B227, "")</f>
        <v/>
      </c>
    </row>
    <row r="228" ht="110.25" customHeight="1" s="221">
      <c r="A228" s="5" t="inlineStr">
        <is>
          <t>227.</t>
        </is>
      </c>
      <c r="B228" s="6" t="inlineStr">
        <is>
          <t>SBA 26/227</t>
        </is>
      </c>
      <c r="C228" s="8" t="inlineStr">
        <is>
          <t>Doç. Dr. Zeynep TÜZÜN GÜN</t>
        </is>
      </c>
      <c r="D228" s="8" t="inlineStr">
        <is>
          <t>Çocuk Sağlığı Entitüsü</t>
        </is>
      </c>
      <c r="E228" s="7" t="inlineStr">
        <is>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is>
      </c>
      <c r="F228" s="7" t="inlineStr">
        <is>
          <t>"Cinsiyet Uyuşmazlığı Tanısı ile İzlenen Ergen ve Genç Erişkinlerin Tıbbi Tedavilere Erişim Durumlarının Sağlık ve İyilik Halleri Üzerine Etkisi"</t>
        </is>
      </c>
      <c r="G228" s="13" t="inlineStr">
        <is>
          <t>Bireysel Araştırma</t>
        </is>
      </c>
      <c r="H228" s="54" t="n">
        <v>46087</v>
      </c>
      <c r="I228" s="52" t="n">
        <v>46098</v>
      </c>
      <c r="J228" s="8" t="inlineStr">
        <is>
          <t>Prof. Dr. Yavuz AYHAN</t>
        </is>
      </c>
      <c r="K228" s="8" t="inlineStr">
        <is>
          <t>Doç. Dr. Kübra AYKAÇ</t>
        </is>
      </c>
      <c r="L228" s="9" t="inlineStr">
        <is>
          <t>DÜZELTME</t>
        </is>
      </c>
      <c r="M228" s="9" t="n"/>
      <c r="N228" s="9" t="n"/>
      <c r="O228" s="66" t="n"/>
      <c r="P228" s="9">
        <f>IF(O228&lt;&gt;"",O228, IF(N228&lt;&gt;"",N228, IF(M228&lt;&gt;"",M228, L228)))</f>
        <v/>
      </c>
      <c r="R228" s="95">
        <f>IF(AND(L228="", B228&lt;&gt;""), B228, "")</f>
        <v/>
      </c>
    </row>
    <row r="229" ht="78.75" customHeight="1" s="221">
      <c r="A229" s="5" t="inlineStr">
        <is>
          <t>228.</t>
        </is>
      </c>
      <c r="B229" s="6" t="inlineStr">
        <is>
          <t>SBA 26/228</t>
        </is>
      </c>
      <c r="C229" s="8" t="inlineStr">
        <is>
          <t>Prof. Dr. Fadime İrsel TEZER FİLİK</t>
        </is>
      </c>
      <c r="D229" s="8" t="inlineStr">
        <is>
          <t>Nöroloji Anabilim Dalı</t>
        </is>
      </c>
      <c r="E229" s="7" t="inlineStr">
        <is>
          <t>Üniversitemiz Tıp Fakültesi Nöroloji Anabilim Dalı öğretim üyelerinden Prof. Dr. Fadime İrsel TEZER FİLİK’in sorumlu araştırmacı olduğu, Dr. Öğr. Üyesi Berrin BABAOĞLU ile birlikte çalışacakları ve Arş. Gör. Dr. Yusuf Arif TURUNÇ’un uzmanlık tezi olan,</t>
        </is>
      </c>
      <c r="F229" s="7" t="inlineStr">
        <is>
          <t>“Epilepsi Cerrahisi Geçiren ve Patolojisinde Düşük Dereceli Tümör, Kavernom ve Fokal Kortikal Displazi Saptanan Hastaların Klinik Özellikleri, EEG Bulguları ve Prognozlarının Retrospektif Olarak Değerlendirilmesi”</t>
        </is>
      </c>
      <c r="G229" s="13" t="inlineStr">
        <is>
          <t>Uzmanlık Tezi</t>
        </is>
      </c>
      <c r="H229" s="54" t="n">
        <v>46087</v>
      </c>
      <c r="I229" s="52" t="n">
        <v>46098</v>
      </c>
      <c r="J229" s="8" t="inlineStr">
        <is>
          <t>Doç. Dr. Burcu ERSÖZ ALAN</t>
        </is>
      </c>
      <c r="K229" s="8" t="inlineStr">
        <is>
          <t>Prof. Dr. Gözde GİRGİN</t>
        </is>
      </c>
      <c r="L229" s="9" t="inlineStr">
        <is>
          <t>ONAY</t>
        </is>
      </c>
      <c r="M229" s="9" t="n"/>
      <c r="N229" s="9" t="n"/>
      <c r="O229" s="66" t="n"/>
      <c r="P229" s="9">
        <f>IF(O229&lt;&gt;"",O229, IF(N229&lt;&gt;"",N229, IF(M229&lt;&gt;"",M229, L229)))</f>
        <v/>
      </c>
      <c r="R229" s="95">
        <f>IF(AND(L229="", B229&lt;&gt;""), B229, "")</f>
        <v/>
      </c>
    </row>
    <row r="230" ht="78.75" customHeight="1" s="221">
      <c r="A230" s="5" t="inlineStr">
        <is>
          <t>229.</t>
        </is>
      </c>
      <c r="B230" s="6" t="inlineStr">
        <is>
          <t>SBA 26/229</t>
        </is>
      </c>
      <c r="C230" s="8" t="inlineStr">
        <is>
          <t>Doç. Dr. Kevser NALBANT</t>
        </is>
      </c>
      <c r="D230" s="8" t="inlineStr">
        <is>
          <t>Çocuk ve Ergen Ruh Sağlığı ve Hastalıkları Anabilim Dalı</t>
        </is>
      </c>
      <c r="E230" s="7" t="inlineStr">
        <is>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is>
      </c>
      <c r="F230" s="7" t="inlineStr">
        <is>
          <t>"Nöroçeşitlilik Perspektifinden Cinsiyet Disforisi: Klinik Örneklemde Otistik Özellikler, Dikkat Eksikliği ve Hiperaktivite Bozukluğu Belirtileri ve Duyusal Profil Arasındaki İlişkinin İncelenmesi"</t>
        </is>
      </c>
      <c r="G230" s="13" t="inlineStr">
        <is>
          <t>Bireysel Araştırma</t>
        </is>
      </c>
      <c r="H230" s="54" t="n">
        <v>46087</v>
      </c>
      <c r="I230" s="52" t="n">
        <v>46098</v>
      </c>
      <c r="J230" s="8" t="inlineStr">
        <is>
          <t>Doç. Dr. Burcu ERSÖZ ALAN</t>
        </is>
      </c>
      <c r="K230" s="8" t="inlineStr">
        <is>
          <t>Dr. Öğr. Üyesi Müge DEMİR</t>
        </is>
      </c>
      <c r="L230" s="9" t="inlineStr">
        <is>
          <t>DÜZELTME</t>
        </is>
      </c>
      <c r="M230" s="9" t="n"/>
      <c r="N230" s="9" t="n"/>
      <c r="O230" s="66" t="n"/>
      <c r="P230" s="9">
        <f>IF(O230&lt;&gt;"",O230, IF(N230&lt;&gt;"",N230, IF(M230&lt;&gt;"",M230, L230)))</f>
        <v/>
      </c>
      <c r="R230" s="95">
        <f>IF(AND(L230="", B230&lt;&gt;""), B230, "")</f>
        <v/>
      </c>
    </row>
    <row r="231" ht="63" customHeight="1" s="221">
      <c r="A231" s="5" t="inlineStr">
        <is>
          <t>230.</t>
        </is>
      </c>
      <c r="B231" s="6" t="inlineStr">
        <is>
          <t>SBA 26/230</t>
        </is>
      </c>
      <c r="C231" s="8" t="inlineStr">
        <is>
          <t>Prof. Dr. Özlem TEKŞAM</t>
        </is>
      </c>
      <c r="D231" s="8" t="inlineStr">
        <is>
          <t>Çocuk Sağlığı ve Hastalıkları Anabilim Dalı</t>
        </is>
      </c>
      <c r="E231" s="7" t="inlineStr">
        <is>
          <t>Üniversitemiz Tıp Fakültesi Çocuk Sağlığı ve Hastalıkları Anabilim Dalı öğretim üyelerinden Prof. Dr. Özlem TEKŞAM'ın sorumlu araştırmacı olduğu, Doç. Dr. Leman AKCAN YILDIZ ile birlikte çalışacakları,</t>
        </is>
      </c>
      <c r="F231" s="7" t="inlineStr">
        <is>
          <t>“Çocuk Acil Servisinde Çalışan Hemşirelerin Klinik Uygulamalar Sırasında Yaşadığı Kesintilerin Değerlendirilmesi”</t>
        </is>
      </c>
      <c r="G231" s="13" t="inlineStr">
        <is>
          <t>Bireysel Araştırma</t>
        </is>
      </c>
      <c r="H231" s="54" t="n">
        <v>46087</v>
      </c>
      <c r="I231" s="52" t="n">
        <v>46098</v>
      </c>
      <c r="J231" s="8" t="inlineStr">
        <is>
          <t>Prof. Dr. Nazmiye Ebru ORTAÇ ERSOY</t>
        </is>
      </c>
      <c r="K231" s="8" t="inlineStr">
        <is>
          <t>Doç. Dr. Kübra AYKAÇ</t>
        </is>
      </c>
      <c r="L231" s="9" t="inlineStr">
        <is>
          <t>DÜZELTME</t>
        </is>
      </c>
      <c r="M231" s="9" t="n"/>
      <c r="N231" s="9" t="n"/>
      <c r="O231" s="66" t="n"/>
      <c r="P231" s="9">
        <f>IF(O231&lt;&gt;"",O231, IF(N231&lt;&gt;"",N231, IF(M231&lt;&gt;"",M231, L231)))</f>
        <v/>
      </c>
      <c r="R231" s="95">
        <f>IF(AND(L231="", B231&lt;&gt;""), B231, "")</f>
        <v/>
      </c>
    </row>
    <row r="232" ht="78.75" customHeight="1" s="221">
      <c r="A232" s="5" t="inlineStr">
        <is>
          <t>231.</t>
        </is>
      </c>
      <c r="B232" s="6" t="inlineStr">
        <is>
          <t>SBA 26/231</t>
        </is>
      </c>
      <c r="C232" s="8" t="inlineStr">
        <is>
          <t>Doç. Dr. Adalet Elçin YILDIZ</t>
        </is>
      </c>
      <c r="D232" s="8" t="inlineStr">
        <is>
          <t>Radyoloji Anabilim Dalı</t>
        </is>
      </c>
      <c r="E232" s="7" t="inlineStr">
        <is>
          <t>Üniversitemiz Tıp Fakültesi Radyoloji Anabilim Dalı öğretim üyelerinden Doç. Dr. Adalet Elçin YILDIZ'ın sorumlu araştırmacı olduğu, Prof. Dr. Egemen TURHAN, Arş. Gör. Dr. Serkan İBİK ile birlikte çalışacakları ve Arş. Gör. Dr. İrem TOĞRUL'un uzmanlık tezi olan,</t>
        </is>
      </c>
      <c r="F232" s="7" t="inlineStr">
        <is>
          <t>“Patellofemoral Eklem İnstabilitesinde Bilgisayarlı Tomografi ve Sıfır Eko Zamanlı Manyetik Rezonans Görüntüleme Sekansı ile Yapılan Ölçümlerin Karşılaştırılması”</t>
        </is>
      </c>
      <c r="G232" s="13" t="inlineStr">
        <is>
          <t>Uzmanlık Tezi</t>
        </is>
      </c>
      <c r="H232" s="54" t="n">
        <v>46087</v>
      </c>
      <c r="I232" s="52" t="n">
        <v>46098</v>
      </c>
      <c r="J232" s="8" t="inlineStr">
        <is>
          <t>Doç. Dr. Ekim GÜMELER</t>
        </is>
      </c>
      <c r="K232" s="8" t="inlineStr">
        <is>
          <t>Prof. Dr. Ayşe KİN İŞLER</t>
        </is>
      </c>
      <c r="L232" s="9" t="inlineStr">
        <is>
          <t>DÜZELTME</t>
        </is>
      </c>
      <c r="M232" s="9" t="n"/>
      <c r="N232" s="9" t="n"/>
      <c r="O232" s="66" t="n"/>
      <c r="P232" s="9">
        <f>IF(O232&lt;&gt;"",O232, IF(N232&lt;&gt;"",N232, IF(M232&lt;&gt;"",M232, L232)))</f>
        <v/>
      </c>
      <c r="R232" s="95">
        <f>IF(AND(L232="", B232&lt;&gt;""), B232, "")</f>
        <v/>
      </c>
    </row>
    <row r="233" ht="63" customHeight="1" s="221">
      <c r="A233" s="5" t="inlineStr">
        <is>
          <t>232.</t>
        </is>
      </c>
      <c r="B233" s="6" t="inlineStr">
        <is>
          <t>SBA 26/232</t>
        </is>
      </c>
      <c r="C233" s="8" t="inlineStr">
        <is>
          <t>Prof. Dr. Mehmet AYVAZ</t>
        </is>
      </c>
      <c r="D233" s="8" t="inlineStr">
        <is>
          <t>Ortopedi ve Travmatoloji Anabilim Dalı</t>
        </is>
      </c>
      <c r="E233" s="7" t="inlineStr">
        <is>
          <t>Üniversitemiz Tıp Fakültesi Ortopedi ve Travmatoloji Anabilim Dalı öğretim üyelerinden Prof. Dr. Mehmet AYVAZ’ın sorumlu araştırmacı olduğu, Arş. Gör. Dr. Hüseyin Esat BULDUK ile birlikte çalışacakları,</t>
        </is>
      </c>
      <c r="F233" s="7" t="inlineStr">
        <is>
          <t>“Pelvis Malign Tümörlerinde Tek Cerrah Serisi: Hemipelvektomi Yapılan Hastaların Uzun Dönem Onkolojik Sağkalım ve Fonksiyonel Sonuçların Değerlendirilmesi”</t>
        </is>
      </c>
      <c r="G233" s="13" t="inlineStr">
        <is>
          <t>Bireysel Araştırma</t>
        </is>
      </c>
      <c r="H233" s="54" t="n">
        <v>46087</v>
      </c>
      <c r="I233" s="52" t="n">
        <v>46098</v>
      </c>
      <c r="J233" s="8" t="inlineStr">
        <is>
          <t>Prof. Dr. Gözde GİRGİN</t>
        </is>
      </c>
      <c r="K233" s="8" t="inlineStr">
        <is>
          <t>Prof. Dr. Nazmiye Ebru ORTAÇ ERSOY</t>
        </is>
      </c>
      <c r="L233" s="9" t="inlineStr">
        <is>
          <t>ONAY</t>
        </is>
      </c>
      <c r="M233" s="9" t="n"/>
      <c r="N233" s="9" t="n"/>
      <c r="O233" s="66" t="n"/>
      <c r="P233" s="9">
        <f>IF(O233&lt;&gt;"",O233, IF(N233&lt;&gt;"",N233, IF(M233&lt;&gt;"",M233, L233)))</f>
        <v/>
      </c>
      <c r="R233" s="95">
        <f>IF(AND(L233="", B233&lt;&gt;""), B233, "")</f>
        <v/>
      </c>
    </row>
    <row r="234" ht="63" customHeight="1" s="221">
      <c r="A234" s="5" t="inlineStr">
        <is>
          <t>233.</t>
        </is>
      </c>
      <c r="B234" s="6" t="inlineStr">
        <is>
          <t>SBA 26/233</t>
        </is>
      </c>
      <c r="C234" s="8" t="inlineStr">
        <is>
          <t>Prof. Dr. Mehmet AYVAZ</t>
        </is>
      </c>
      <c r="D234" s="8" t="inlineStr">
        <is>
          <t>Ortopedi ve Travmatoloji Anabilim Dalı</t>
        </is>
      </c>
      <c r="E234" s="7" t="inlineStr">
        <is>
          <t>Üniversitemiz Tıp Fakültesi Ortopedi ve Travmatoloji Anabilim Dalı öğretim üyelerinden Prof. Dr. Mehmet AYVAZ’ın sorumlu araştırmacı olduğu, Arş. Gör. Dr. İpek IŞIK ile birlikte çalışacakları,</t>
        </is>
      </c>
      <c r="F234" s="7" t="inlineStr">
        <is>
          <t>“Mass General Brigham Yapay Zeka Grubu Tarafından Geliştirilen Miksofibrosarkom Sağkalım Tahmin Modelinin Ulusal Çok Merkezli Eksternal Validasyon Çalışması</t>
        </is>
      </c>
      <c r="G234" s="13" t="inlineStr">
        <is>
          <t>Bireysel Araştırma</t>
        </is>
      </c>
      <c r="H234" s="54" t="n">
        <v>46087</v>
      </c>
      <c r="I234" s="52" t="n">
        <v>46098</v>
      </c>
      <c r="J234" s="8" t="inlineStr">
        <is>
          <t>Prof. Dr. Nazmiye Ebru ORTAÇ ERSOY</t>
        </is>
      </c>
      <c r="K234" s="8" t="inlineStr">
        <is>
          <t>Prof. Dr. Gözde GİRGİN</t>
        </is>
      </c>
      <c r="L234" s="9" t="inlineStr">
        <is>
          <t>ONAY</t>
        </is>
      </c>
      <c r="M234" s="9" t="n"/>
      <c r="N234" s="9" t="n"/>
      <c r="O234" s="66" t="n"/>
      <c r="P234" s="9">
        <f>IF(O234&lt;&gt;"",O234, IF(N234&lt;&gt;"",N234, IF(M234&lt;&gt;"",M234, L234)))</f>
        <v/>
      </c>
      <c r="R234" s="95">
        <f>IF(AND(L234="", B234&lt;&gt;""), B234, "")</f>
        <v/>
      </c>
    </row>
    <row r="235" ht="63" customHeight="1" s="221">
      <c r="A235" s="5" t="inlineStr">
        <is>
          <t>234.</t>
        </is>
      </c>
      <c r="B235" s="6" t="inlineStr">
        <is>
          <t>SBA 26/234</t>
        </is>
      </c>
      <c r="C235" s="8" t="inlineStr">
        <is>
          <t>Prof. Dr. Mehmet AYVAZ</t>
        </is>
      </c>
      <c r="D235" s="8" t="inlineStr">
        <is>
          <t>Ortopedi ve Travmatoloji Anabilim Dalı</t>
        </is>
      </c>
      <c r="E235" s="7" t="inlineStr">
        <is>
          <t>Üniversitemiz Tıp Fakültesi Ortopedi ve Travmatoloji Anabilim Dalı öğretim üyelerinden Prof. Dr. Mehmet AYVAZ’ın sorumlu araştırmacı olduğu, Arş. Gör. Dr. İpek IŞIK ile birlikte çalışacakları,</t>
        </is>
      </c>
      <c r="F235" s="7" t="inlineStr">
        <is>
          <t>“Pediatrik Langerhans Hücreli Histiyositozda Kemik Tutulum Paternleri ve Vertebral Deformitelerin Klinik Sonuçlarla İlişkisi: Retrospektif Analiz Çalışması”</t>
        </is>
      </c>
      <c r="G235" s="13" t="inlineStr">
        <is>
          <t>Bireysel Araştırma</t>
        </is>
      </c>
      <c r="H235" s="54" t="n">
        <v>46087</v>
      </c>
      <c r="I235" s="52" t="n">
        <v>46098</v>
      </c>
      <c r="J235" s="8" t="inlineStr">
        <is>
          <t>Prof. Dr. Nazmiye Ebru ORTAÇ ERSOY</t>
        </is>
      </c>
      <c r="K235" s="8" t="inlineStr">
        <is>
          <t>Prof. Dr. Gözde GİRGİN</t>
        </is>
      </c>
      <c r="L235" s="9" t="inlineStr">
        <is>
          <t>ONAY</t>
        </is>
      </c>
      <c r="M235" s="9" t="n"/>
      <c r="N235" s="9" t="n"/>
      <c r="O235" s="66" t="n"/>
      <c r="P235" s="9">
        <f>IF(O235&lt;&gt;"",O235, IF(N235&lt;&gt;"",N235, IF(M235&lt;&gt;"",M235, L235)))</f>
        <v/>
      </c>
      <c r="R235" s="95">
        <f>IF(AND(L235="", B235&lt;&gt;""), B235, "")</f>
        <v/>
      </c>
    </row>
    <row r="236" ht="63" customHeight="1" s="221">
      <c r="A236" s="5" t="inlineStr">
        <is>
          <t>235.</t>
        </is>
      </c>
      <c r="B236" s="6" t="inlineStr">
        <is>
          <t>SBA 26/235</t>
        </is>
      </c>
      <c r="C236" s="8" t="inlineStr">
        <is>
          <t>Prof. Dr. Mehmet AYVAZ</t>
        </is>
      </c>
      <c r="D236" s="8" t="inlineStr">
        <is>
          <t>Ortopedi ve Travmatoloji Anabilim Dalı</t>
        </is>
      </c>
      <c r="E236" s="7" t="inlineStr">
        <is>
          <t>Üniversitemiz Tıp Fakültesi Ortopedi ve Travmatoloji Anabilim Dalı öğretim üyelerinden Prof. Dr. Mehmet AYVAZ’ın sorumlu araştırmacı olduğu, Arş. Gör. Dr. İpek IŞIK ile birlikte çalışacakları,</t>
        </is>
      </c>
      <c r="F236" s="7" t="inlineStr">
        <is>
          <t>“Pediatrik Kemik Tümörlerinde Ebeveyn Bilgilendirmesinde Büyük Dil Modellerinin Klinik Doğruluk, Okunabilirlik ve Empati Açısından Çok Boyutlu Analizi”</t>
        </is>
      </c>
      <c r="G236" s="13" t="inlineStr">
        <is>
          <t>Bireysel Araştırma</t>
        </is>
      </c>
      <c r="H236" s="54" t="n">
        <v>46087</v>
      </c>
      <c r="I236" s="52" t="n">
        <v>46098</v>
      </c>
      <c r="J236" s="8" t="inlineStr">
        <is>
          <t>Prof. Dr. Nazmiye Ebru ORTAÇ ERSOY</t>
        </is>
      </c>
      <c r="K236" s="8" t="inlineStr">
        <is>
          <t>Prof. Dr. Gözde GİRGİN</t>
        </is>
      </c>
      <c r="L236" s="9" t="inlineStr">
        <is>
          <t>KAPSAM DIŞI</t>
        </is>
      </c>
      <c r="M236" s="9" t="n"/>
      <c r="N236" s="9" t="n"/>
      <c r="O236" s="66" t="n"/>
      <c r="P236" s="9">
        <f>IF(O236&lt;&gt;"",O236, IF(N236&lt;&gt;"",N236, IF(M236&lt;&gt;"",M236, L236)))</f>
        <v/>
      </c>
      <c r="R236" s="95">
        <f>IF(AND(L236="", B236&lt;&gt;""), B236, "")</f>
        <v/>
      </c>
    </row>
    <row r="237" ht="78.75" customHeight="1" s="221">
      <c r="A237" s="5" t="inlineStr">
        <is>
          <t>236.</t>
        </is>
      </c>
      <c r="B237" s="6" t="inlineStr">
        <is>
          <t>SBA 26/236</t>
        </is>
      </c>
      <c r="C237" s="8" t="inlineStr">
        <is>
          <t>Dr. Öğr. Üyesi Gökhan AYIK</t>
        </is>
      </c>
      <c r="D237" s="8" t="inlineStr">
        <is>
          <t>Ortopedi ve Travmatoloji Anabilim Dalı</t>
        </is>
      </c>
      <c r="E237" s="7" t="inlineStr">
        <is>
          <t>Üniversitemiz Tıp Fakültesi Ortopedi ve Travmatoloji Anabilim Dalı öğretim üyelerinden Dr. Öğr. Üyesi Gökhan AYIK’ın sorumlu araştırmacı olduğu, Arş. Gör. Dr. Serkan İBİK ile birlikte çalışacakları,</t>
        </is>
      </c>
      <c r="F237" s="7" t="inlineStr">
        <is>
          <t>“Subakromiyal Sıkışma Sendromu Tedavisinde Botulinum Toksin A'nın İki Farklı Kas Hedefleme Protokolünün (Deltoid ve Deltoid+Pectoralis Minor) Klinik Etkinlik ve Güvenilirliğinin Karşılaştırılması: Randomize Kontrollü Bir Çalışma.”</t>
        </is>
      </c>
      <c r="G237" s="13" t="inlineStr">
        <is>
          <t>Bireysel Araştırma</t>
        </is>
      </c>
      <c r="H237" s="54" t="n">
        <v>46087</v>
      </c>
      <c r="I237" s="52" t="n">
        <v>46098</v>
      </c>
      <c r="J237" s="8" t="inlineStr">
        <is>
          <t>Dr. Öğr. Üyesi Müge DEMİR</t>
        </is>
      </c>
      <c r="K237" s="8" t="inlineStr">
        <is>
          <t>Prof. Dr. Ayşe KİN İŞLER</t>
        </is>
      </c>
      <c r="L237" s="9" t="inlineStr">
        <is>
          <t>KAEK</t>
        </is>
      </c>
      <c r="M237" s="9" t="n"/>
      <c r="N237" s="9" t="n"/>
      <c r="O237" s="66" t="n"/>
      <c r="P237" s="9">
        <f>IF(O237&lt;&gt;"",O237, IF(N237&lt;&gt;"",N237, IF(M237&lt;&gt;"",M237, L237)))</f>
        <v/>
      </c>
      <c r="R237" s="95">
        <f>IF(AND(L237="", B237&lt;&gt;""), B237, "")</f>
        <v/>
      </c>
    </row>
    <row r="238" ht="94.5" customHeight="1" s="221">
      <c r="A238" s="5" t="inlineStr">
        <is>
          <t>237.</t>
        </is>
      </c>
      <c r="B238" s="6" t="inlineStr">
        <is>
          <t>SBA 26/237</t>
        </is>
      </c>
      <c r="C238" s="8" t="inlineStr">
        <is>
          <t>Öğr. Gör. Dr. Esin ALPDÜNDAR BULUT</t>
        </is>
      </c>
      <c r="D238" s="8" t="inlineStr">
        <is>
          <t>Çocuk Sağlığı ve Hastalıkları Anabilim Dalı</t>
        </is>
      </c>
      <c r="E238" s="7" t="inlineStr">
        <is>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is>
      </c>
      <c r="F238" s="7" t="inlineStr">
        <is>
          <t>''Oral Bakteri Kaynaklı Ekstraselüler Veziküllerin İnsan Mikroçevre Hücreleri Üzerindeki Etkilerinin Araştırılması''</t>
        </is>
      </c>
      <c r="G238" s="13" t="inlineStr">
        <is>
          <t>Bireysel Araştırma</t>
        </is>
      </c>
      <c r="H238" s="54" t="n">
        <v>46087</v>
      </c>
      <c r="I238" s="52" t="n">
        <v>46098</v>
      </c>
      <c r="J238" s="8" t="inlineStr">
        <is>
          <t>Doç. Dr. Tolga ÇAKMAK</t>
        </is>
      </c>
      <c r="K238" s="8" t="inlineStr">
        <is>
          <t>Prof. Dr. Ayşe Nurten AKARSU</t>
        </is>
      </c>
      <c r="L238" s="9" t="inlineStr">
        <is>
          <t>DÜZELTME</t>
        </is>
      </c>
      <c r="M238" s="9" t="n"/>
      <c r="N238" s="9" t="n"/>
      <c r="O238" s="66" t="n"/>
      <c r="P238" s="9">
        <f>IF(O238&lt;&gt;"",O238, IF(N238&lt;&gt;"",N238, IF(M238&lt;&gt;"",M238, L238)))</f>
        <v/>
      </c>
      <c r="R238" s="95">
        <f>IF(AND(L238="", B238&lt;&gt;""), B238, "")</f>
        <v/>
      </c>
    </row>
    <row r="239" ht="63" customHeight="1" s="221">
      <c r="A239" s="5" t="inlineStr">
        <is>
          <t>238.</t>
        </is>
      </c>
      <c r="B239" s="6" t="inlineStr">
        <is>
          <t>SBA 26/238</t>
        </is>
      </c>
      <c r="C239" s="8" t="inlineStr">
        <is>
          <t>Prof. Dr. Güliz AKTAŞ</t>
        </is>
      </c>
      <c r="D239" s="8" t="inlineStr">
        <is>
          <t>Protetik Diş Tedavisi Anabilim Dalı</t>
        </is>
      </c>
      <c r="E239" s="7" t="inlineStr">
        <is>
          <t>Üniversitemiz Diş Hekimliği Fakültesi Protetik Diş Tedavisi Anabilim Dalı öğretim üyelerinden Prof. Dr. Güliz AKTAŞ’ın sorumlu araştırmacı olduğu, Arş. Gör. Dt. Ceren ETİK’in uzmanlık tezi olan,</t>
        </is>
      </c>
      <c r="F239" s="7" t="inlineStr">
        <is>
          <t>“Derin Kapanışlı ve Normal Kapanışlı Hastalarda Dijital Mandibular Hareket Kayıt Yöntemlerinin Oklüzal Morfolojinin Doğruluğu Üzerindeki Etkisi”</t>
        </is>
      </c>
      <c r="G239" s="13" t="inlineStr">
        <is>
          <t>Uzmanlık Tezi</t>
        </is>
      </c>
      <c r="H239" s="54" t="n">
        <v>46087</v>
      </c>
      <c r="I239" s="52" t="n">
        <v>46098</v>
      </c>
      <c r="J239" s="8" t="inlineStr">
        <is>
          <t>Prof. Dr. M. Özgür UYANIK</t>
        </is>
      </c>
      <c r="K239" s="8" t="inlineStr">
        <is>
          <t>Doç. Dr. Tolga ÇAKMAK</t>
        </is>
      </c>
      <c r="L239" s="9" t="inlineStr">
        <is>
          <t>ONAY</t>
        </is>
      </c>
      <c r="M239" s="9" t="n"/>
      <c r="N239" s="9" t="n"/>
      <c r="O239" s="66" t="n"/>
      <c r="P239" s="9">
        <f>IF(O239&lt;&gt;"",O239, IF(N239&lt;&gt;"",N239, IF(M239&lt;&gt;"",M239, L239)))</f>
        <v/>
      </c>
      <c r="R239" s="95">
        <f>IF(AND(L239="", B239&lt;&gt;""), B239, "")</f>
        <v/>
      </c>
    </row>
    <row r="240" ht="94.5" customHeight="1" s="221">
      <c r="A240" s="5" t="inlineStr">
        <is>
          <t>239.</t>
        </is>
      </c>
      <c r="B240" s="6" t="inlineStr">
        <is>
          <t>SBA 26/239</t>
        </is>
      </c>
      <c r="C240" s="8" t="inlineStr">
        <is>
          <t>Dr. Öğr. Üyesi Muhammed Çağrı KÜLEKCİ</t>
        </is>
      </c>
      <c r="D240" s="8" t="inlineStr">
        <is>
          <t>Kulak Burun Boğaz Anabilim Dalı</t>
        </is>
      </c>
      <c r="E240" s="7" t="inlineStr">
        <is>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is>
      </c>
      <c r="F240" s="7" t="inlineStr">
        <is>
          <t>“Erişkin Popülasyonda Nazal Semptomları Olan ve Olmayan Hasta Gruplarının Bilgisayarlı Tomografi ile Nazal Kavite Kesitleri ve Orta Yüz Kemik Ölçümlerinin Karşılaştırılması”</t>
        </is>
      </c>
      <c r="G240" s="13" t="inlineStr">
        <is>
          <t>Bireysel Araştırma</t>
        </is>
      </c>
      <c r="H240" s="54" t="n">
        <v>46087</v>
      </c>
      <c r="I240" s="52" t="n">
        <v>46098</v>
      </c>
      <c r="J240" s="8" t="inlineStr">
        <is>
          <t>Doç. Dr. Ekim GÜMELER</t>
        </is>
      </c>
      <c r="K240" s="8" t="inlineStr">
        <is>
          <t>Doç. Dr. Burcu ERSÖZ ALAN</t>
        </is>
      </c>
      <c r="L240" s="9" t="inlineStr">
        <is>
          <t>DÜZELTME</t>
        </is>
      </c>
      <c r="M240" s="9" t="n"/>
      <c r="N240" s="9" t="n"/>
      <c r="O240" s="66" t="n"/>
      <c r="P240" s="9">
        <f>IF(O240&lt;&gt;"",O240, IF(N240&lt;&gt;"",N240, IF(M240&lt;&gt;"",M240, L240)))</f>
        <v/>
      </c>
      <c r="R240" s="95">
        <f>IF(AND(L240="", B240&lt;&gt;""), B240, "")</f>
        <v/>
      </c>
    </row>
    <row r="241" ht="81" customHeight="1" s="221">
      <c r="A241" s="5" t="inlineStr">
        <is>
          <t>240.</t>
        </is>
      </c>
      <c r="B241" s="6" t="inlineStr">
        <is>
          <t>SBA 26/240</t>
        </is>
      </c>
      <c r="C241" s="8" t="inlineStr">
        <is>
          <t>Prof. Dr. Şule ÜNAL CANGÜL</t>
        </is>
      </c>
      <c r="D241" s="8" t="inlineStr">
        <is>
          <t>Çocuk Sağlığı ve Hastalıkları Anabilim Dalı</t>
        </is>
      </c>
      <c r="E241" s="7" t="inlineStr">
        <is>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is>
      </c>
      <c r="F241" s="7" t="inlineStr">
        <is>
          <t>“Eltrombopag Tedavisi Başlanan Kronik İmmün Trombositopeni Tanılı Çocuk Hastaların İzleminde Lenfosit Yüzey Belirteçleri ve Sitokinlerdeki Değişimlerin İncelenmesi”</t>
        </is>
      </c>
      <c r="G241" s="13" t="inlineStr">
        <is>
          <t>Uzmanlık Tezi</t>
        </is>
      </c>
      <c r="H241" s="54" t="n">
        <v>46090</v>
      </c>
      <c r="I241" s="52" t="n">
        <v>46098</v>
      </c>
      <c r="J241" s="8" t="inlineStr">
        <is>
          <t>Dr. Öğr. Üyesi Müge DEMİR</t>
        </is>
      </c>
      <c r="K241" s="8" t="inlineStr">
        <is>
          <t>Doç. Dr. Kübra AYKAÇ</t>
        </is>
      </c>
      <c r="L241" s="9" t="inlineStr">
        <is>
          <t>KAEK</t>
        </is>
      </c>
      <c r="M241" s="9" t="n"/>
      <c r="N241" s="9" t="n"/>
      <c r="O241" s="66" t="n"/>
      <c r="P241" s="9">
        <f>IF(O241&lt;&gt;"",O241, IF(N241&lt;&gt;"",N241, IF(M241&lt;&gt;"",M241, L241)))</f>
        <v/>
      </c>
      <c r="R241" s="95">
        <f>IF(AND(L241="", B241&lt;&gt;""), B241, "")</f>
        <v/>
      </c>
    </row>
    <row r="242" ht="78.75" customHeight="1" s="221">
      <c r="A242" s="5" t="inlineStr">
        <is>
          <t>241.</t>
        </is>
      </c>
      <c r="B242" s="6" t="inlineStr">
        <is>
          <t>SBA 26/241</t>
        </is>
      </c>
      <c r="C242" s="8" t="inlineStr">
        <is>
          <t>Dr. Öğr. Üyesi Murat ÇAĞAN</t>
        </is>
      </c>
      <c r="D242" s="8" t="inlineStr">
        <is>
          <t>Kadın Hastalıkları ve Doğum Anabilim Dalı</t>
        </is>
      </c>
      <c r="E242" s="7" t="inlineStr">
        <is>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is>
      </c>
      <c r="F242" s="7" t="inlineStr">
        <is>
          <t>“Fetal Üriner Sistem Anomalilerinin Prenatal Tanısı, Olguların Gebelik ve Neonatal Sonuçlarının Retrospektif Olarak İncelenmesi”</t>
        </is>
      </c>
      <c r="G242" s="13" t="inlineStr">
        <is>
          <t>Uzmanlık Tezi</t>
        </is>
      </c>
      <c r="H242" s="54" t="n">
        <v>46090</v>
      </c>
      <c r="I242" s="52" t="n">
        <v>46098</v>
      </c>
      <c r="J242" s="8" t="inlineStr">
        <is>
          <t>Prof. Dr. Ayşe Nurten AKARSU</t>
        </is>
      </c>
      <c r="K242" s="8" t="inlineStr">
        <is>
          <t>Doç. Dr. Tolga ÇAKMAK</t>
        </is>
      </c>
      <c r="L242" s="9" t="inlineStr">
        <is>
          <t>ONAY</t>
        </is>
      </c>
      <c r="M242" s="9" t="n"/>
      <c r="N242" s="9" t="n"/>
      <c r="O242" s="66" t="n"/>
      <c r="P242" s="9">
        <f>IF(O242&lt;&gt;"",O242, IF(N242&lt;&gt;"",N242, IF(M242&lt;&gt;"",M242, L242)))</f>
        <v/>
      </c>
      <c r="R242" s="95">
        <f>IF(AND(L242="", B242&lt;&gt;""), B242, "")</f>
        <v/>
      </c>
    </row>
    <row r="243" ht="78.75" customHeight="1" s="221">
      <c r="A243" s="5" t="inlineStr">
        <is>
          <t>242.</t>
        </is>
      </c>
      <c r="B243" s="6" t="inlineStr">
        <is>
          <t>SBA 26/242</t>
        </is>
      </c>
      <c r="C243" s="8" t="inlineStr">
        <is>
          <t>Dr. Öğr. Üyesi Gonca ÖZTEN</t>
        </is>
      </c>
      <c r="D243" s="8" t="inlineStr">
        <is>
          <t>Kadın Hastalıkları ve Doğum Anabilim Dalı</t>
        </is>
      </c>
      <c r="E243" s="7" t="inlineStr">
        <is>
          <t>Üniversitemiz Tıp Fakültesi Kadın Hastalıkları ve Doğum Anabilim Dalı öğretim üyelerinden Dr. Öğr. Üyesi Gonca ÖZTEN DERE’nin sorumlu araştırmacı olduğu, Prof. Dr. Hakan YARALI, Dr. Öğr. Üyesi Onur İNCE, Arş. Gör. Dr. Pınar KEMİK ile birlikte çalışacakları,</t>
        </is>
      </c>
      <c r="F243" s="7" t="inlineStr">
        <is>
          <t>“Letrozol ile Uyarılan Dondurulmuş Embriyo Transferi (FET) Sikluslarında Serum Estradiol Dinamikleri ile Gebelik Sonuçları Arasındaki İlişki”</t>
        </is>
      </c>
      <c r="G243" s="13" t="inlineStr">
        <is>
          <t>Bireysel Araştırma</t>
        </is>
      </c>
      <c r="H243" s="54" t="n">
        <v>46090</v>
      </c>
      <c r="I243" s="52" t="n">
        <v>46098</v>
      </c>
      <c r="J243" s="8" t="inlineStr">
        <is>
          <t>Dr. Öğr. Üyesi Müge DEMİR</t>
        </is>
      </c>
      <c r="K243" s="8" t="inlineStr">
        <is>
          <t>Prof. Dr. Ayşe Nurten AKARSU</t>
        </is>
      </c>
      <c r="L243" s="9" t="inlineStr">
        <is>
          <t>ONAY</t>
        </is>
      </c>
      <c r="M243" s="9" t="n"/>
      <c r="N243" s="9" t="n"/>
      <c r="O243" s="66" t="n"/>
      <c r="P243" s="9" t="n"/>
      <c r="R243" s="95">
        <f>IF(AND(L243="", B243&lt;&gt;""), B243, "")</f>
        <v/>
      </c>
    </row>
    <row r="244" ht="126" customHeight="1" s="221">
      <c r="A244" s="5" t="inlineStr">
        <is>
          <t>243.</t>
        </is>
      </c>
      <c r="B244" s="6" t="inlineStr">
        <is>
          <t>SBA 26/243</t>
        </is>
      </c>
      <c r="C244" s="8" t="inlineStr">
        <is>
          <t>Prof. Dr. Seda Banu AKINCI</t>
        </is>
      </c>
      <c r="D244" s="8" t="inlineStr">
        <is>
          <t>Anesteziyoloji ve Reanimasyon Anabilim Dalı</t>
        </is>
      </c>
      <c r="E244" s="7" t="inlineStr">
        <is>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is>
      </c>
      <c r="F244" s="7" t="inlineStr">
        <is>
          <t>“Yoğun Bakım Hastalarında Enteral Fosfor Solüsyonlarının Kandidemi Görülme Oranı Üzerine Etkileri”</t>
        </is>
      </c>
      <c r="G244" s="13" t="inlineStr">
        <is>
          <t>Bireysel Araştırma</t>
        </is>
      </c>
      <c r="H244" s="54" t="n">
        <v>46090</v>
      </c>
      <c r="I244" s="52" t="n">
        <v>46098</v>
      </c>
      <c r="J244" s="8" t="inlineStr">
        <is>
          <t>Dr. Öğr. Üyesi Müge DEMİR</t>
        </is>
      </c>
      <c r="K244" s="8" t="inlineStr">
        <is>
          <t>Prof. Dr. Yavuz AYHAN</t>
        </is>
      </c>
      <c r="L244" s="9" t="inlineStr">
        <is>
          <t>ONAY</t>
        </is>
      </c>
      <c r="M244" s="9" t="n"/>
      <c r="N244" s="9" t="n"/>
      <c r="O244" s="66" t="n"/>
      <c r="P244" s="9" t="n"/>
      <c r="R244" s="95">
        <f>IF(AND(L244="", B244&lt;&gt;""), B244, "")</f>
        <v/>
      </c>
    </row>
    <row r="245" ht="63" customHeight="1" s="221">
      <c r="A245" s="5" t="inlineStr">
        <is>
          <t>244.</t>
        </is>
      </c>
      <c r="B245" s="6" t="inlineStr">
        <is>
          <t>SBA 26/244</t>
        </is>
      </c>
      <c r="C245" s="8" t="inlineStr">
        <is>
          <t>Prof. Dr. Fadime İrsel TEZER FİLİK</t>
        </is>
      </c>
      <c r="D245" s="8" t="inlineStr">
        <is>
          <t>Nöroloji Anabilim Dalı</t>
        </is>
      </c>
      <c r="E245" s="7" t="inlineStr">
        <is>
          <t>Üniversitemiz Tıp Fakültesi Nöroloji Anabilim Dalı öğretim üyelerinden Prof. Dr. Fadime İrsel TEZER FİLİK'in sorumlu araştırmacı olduğu, Öğr. Gör. Dr. Ece GÖK DURSUN ile birlikte çalışacakları,</t>
        </is>
      </c>
      <c r="F245" s="7" t="inlineStr">
        <is>
          <t>“İnvaziv ve Skalp EEG'de Temporal Lob Epilepsilerinde REM ve NREM Desarjlarının Lateralizan Değeri”</t>
        </is>
      </c>
      <c r="G245" s="13" t="inlineStr">
        <is>
          <t>Bireysel Araştırma</t>
        </is>
      </c>
      <c r="H245" s="54" t="n">
        <v>46090</v>
      </c>
      <c r="I245" s="52" t="n">
        <v>46098</v>
      </c>
      <c r="J245" s="8" t="inlineStr">
        <is>
          <t>Doç. Dr. Ekim GÜMELER</t>
        </is>
      </c>
      <c r="K245" s="8" t="inlineStr">
        <is>
          <t>Prof. Dr. Yavuz AYHAN</t>
        </is>
      </c>
      <c r="L245" s="9" t="inlineStr">
        <is>
          <t>ONAY</t>
        </is>
      </c>
      <c r="M245" s="9" t="n"/>
      <c r="N245" s="9" t="n"/>
      <c r="O245" s="66" t="n"/>
      <c r="P245" s="9" t="n"/>
      <c r="R245" s="95">
        <f>IF(AND(L245="", B245&lt;&gt;""), B245, "")</f>
        <v/>
      </c>
    </row>
    <row r="246" ht="78.75" customHeight="1" s="221">
      <c r="A246" s="5" t="inlineStr">
        <is>
          <t>245.</t>
        </is>
      </c>
      <c r="B246" s="6" t="inlineStr">
        <is>
          <t>SBA 26/245</t>
        </is>
      </c>
      <c r="C246" s="8" t="inlineStr">
        <is>
          <t>Prof. Dr. Meltem Gülhan HALİL</t>
        </is>
      </c>
      <c r="D246" s="8" t="inlineStr">
        <is>
          <t>İç Hastalıkları Anabilim Dalı</t>
        </is>
      </c>
      <c r="E246" s="7" t="inlineStr">
        <is>
          <t>Üniversitemiz Tıp Fakültesi İç Hastalıkları Anabilim Dalı öğretim üyelerinden Prof. Dr. Meltem Gülhan HALİL’in sorumlu araştırmacı olduğu, Doç. Dr. Cafer BALCI, Dr. Öğr. Üyesi Burcu KELLECİ ÇAKIR, Dr. Öğr. Üyesi Rana Elçin SEZER ile birlikte çalışacakları,</t>
        </is>
      </c>
      <c r="F246" s="7" t="inlineStr">
        <is>
          <t>“Cerrahi ve Dahili Hastaların Taburculuk Sonrası Oral Nütrisyonel Destek Ürün Kullanımına Yönelik Bakım Paketinin Geliştirilmesi”</t>
        </is>
      </c>
      <c r="G246" s="13" t="inlineStr">
        <is>
          <t>Bireysel Araştırma</t>
        </is>
      </c>
      <c r="H246" s="54" t="n">
        <v>46090</v>
      </c>
      <c r="I246" s="52" t="n">
        <v>46098</v>
      </c>
      <c r="J246" s="8" t="inlineStr">
        <is>
          <t>Prof. Dr. Ayşe KİN İŞLER</t>
        </is>
      </c>
      <c r="K246" s="8" t="inlineStr">
        <is>
          <t>Prof. Dr. Yavuz AYHAN</t>
        </is>
      </c>
      <c r="L246" s="9" t="inlineStr">
        <is>
          <t>DÜZELTME</t>
        </is>
      </c>
      <c r="M246" s="9" t="n"/>
      <c r="N246" s="9" t="n"/>
      <c r="O246" s="66" t="n"/>
      <c r="P246" s="9" t="n"/>
      <c r="R246" s="95">
        <f>IF(AND(L246="", B246&lt;&gt;""), B246, "")</f>
        <v/>
      </c>
    </row>
    <row r="247" ht="94.5" customHeight="1" s="221">
      <c r="A247" s="5" t="inlineStr">
        <is>
          <t>246.</t>
        </is>
      </c>
      <c r="B247" s="6" t="inlineStr">
        <is>
          <t>SBA 26/246</t>
        </is>
      </c>
      <c r="C247" s="8" t="inlineStr">
        <is>
          <t>Doç. Dr. Başak AKÇA</t>
        </is>
      </c>
      <c r="D247" s="8" t="inlineStr">
        <is>
          <t>Anesteziyoloji ve Reanimasyon Anabilim Dalı</t>
        </is>
      </c>
      <c r="E247" s="7" t="inlineStr">
        <is>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is>
      </c>
      <c r="F247" s="7" t="inlineStr">
        <is>
          <t>“Histereskopik İşlemlerde Prosedürel Sedasyon Uygulanmasında Hedef Kontrollü İnfüzyon ile Eleveld ve Schnıder Modelin Etkinlik Karşılaştırılması”</t>
        </is>
      </c>
      <c r="G247" s="13" t="inlineStr">
        <is>
          <t>Uzmanlık Tezi</t>
        </is>
      </c>
      <c r="H247" s="54" t="n">
        <v>46090</v>
      </c>
      <c r="I247" s="52" t="n">
        <v>46098</v>
      </c>
      <c r="J247" s="8" t="inlineStr">
        <is>
          <t>Prof. Dr. Yavuz AYHAN</t>
        </is>
      </c>
      <c r="K247" s="8" t="inlineStr">
        <is>
          <t>Doç. Dr. Burcu ERSÖZ ALAN</t>
        </is>
      </c>
      <c r="L247" s="9" t="n"/>
      <c r="M247" s="9" t="n"/>
      <c r="N247" s="9" t="n"/>
      <c r="O247" s="66" t="n"/>
      <c r="P247" s="9" t="n"/>
      <c r="R247" s="95">
        <f>IF(AND(L247="", B247&lt;&gt;""), B247, "")</f>
        <v/>
      </c>
    </row>
    <row r="248" ht="94.5" customHeight="1" s="221">
      <c r="A248" s="5" t="inlineStr">
        <is>
          <t>247.</t>
        </is>
      </c>
      <c r="B248" s="6" t="inlineStr">
        <is>
          <t>SBA 26/247</t>
        </is>
      </c>
      <c r="C248" s="8" t="inlineStr">
        <is>
          <t>Prof. Dr. Mehmet Cemalettin AKSOY</t>
        </is>
      </c>
      <c r="D248" s="8" t="inlineStr">
        <is>
          <t>Ortopedi ve Travmatoloji Anabilim Dalı</t>
        </is>
      </c>
      <c r="E248" s="7" t="inlineStr">
        <is>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is>
      </c>
      <c r="F248" s="7" t="inlineStr">
        <is>
          <t>“Konjenital Clubfoot Tanısıyla Tedavi Gören Çocuklarda Yaşam Kalitesi, Güçler ve Güçlükler ve Aile İşlevselliğinin Değerlendirilmesi”</t>
        </is>
      </c>
      <c r="G248" s="13" t="inlineStr">
        <is>
          <t>Bireysel Araştırma</t>
        </is>
      </c>
      <c r="H248" s="54" t="n">
        <v>46090</v>
      </c>
      <c r="I248" s="52" t="n">
        <v>46098</v>
      </c>
      <c r="J248" s="8" t="inlineStr">
        <is>
          <t>Doç. Dr. Tolga ÇAKMAK</t>
        </is>
      </c>
      <c r="K248" s="8" t="inlineStr">
        <is>
          <t>Prof. Dr. M. Özgür UYANIK</t>
        </is>
      </c>
      <c r="L248" s="9" t="inlineStr">
        <is>
          <t>DÜZELTME</t>
        </is>
      </c>
      <c r="M248" s="9" t="n"/>
      <c r="N248" s="9" t="n"/>
      <c r="O248" s="66" t="n"/>
      <c r="P248" s="9" t="n"/>
      <c r="R248" s="95">
        <f>IF(AND(L248="", B248&lt;&gt;""), B248, "")</f>
        <v/>
      </c>
    </row>
    <row r="249" ht="141.75" customHeight="1" s="221">
      <c r="A249" s="5" t="inlineStr">
        <is>
          <t>248.</t>
        </is>
      </c>
      <c r="B249" s="6" t="inlineStr">
        <is>
          <t>SBA 26/248</t>
        </is>
      </c>
      <c r="C249" s="8" t="inlineStr">
        <is>
          <t>Doç. Dr. Başak YALICI ARMAĞAN</t>
        </is>
      </c>
      <c r="D249" s="8" t="inlineStr">
        <is>
          <t>Deri ve Zührevi Hastalıklar Anabilim Dalı</t>
        </is>
      </c>
      <c r="E249" s="7" t="inlineStr">
        <is>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is>
      </c>
      <c r="F249" s="7" t="inlineStr">
        <is>
          <t>“Polikistik Over Sendromunda Cilt Mikrobiyotasının, Cilt Biyofiziksel Özelliklerinin ve Sebum Lipidomiğinin Değerlendirilmesi”</t>
        </is>
      </c>
      <c r="G249" s="13" t="inlineStr">
        <is>
          <t>Uzmanlık Tezi</t>
        </is>
      </c>
      <c r="H249" s="54" t="n">
        <v>46090</v>
      </c>
      <c r="I249" s="52" t="n">
        <v>46098</v>
      </c>
      <c r="J249" s="8" t="inlineStr">
        <is>
          <t>Prof. Dr. Nazmiye Ebru ORTAÇ ERSOY</t>
        </is>
      </c>
      <c r="K249" s="8" t="inlineStr">
        <is>
          <t>Prof. Dr. Ayşe KİN İŞLER</t>
        </is>
      </c>
      <c r="L249" s="9" t="inlineStr">
        <is>
          <t>DÜZELTME</t>
        </is>
      </c>
      <c r="M249" s="9" t="n"/>
      <c r="N249" s="9" t="n"/>
      <c r="O249" s="66" t="n"/>
      <c r="P249" s="9" t="n"/>
      <c r="R249" s="95">
        <f>IF(AND(L249="", B249&lt;&gt;""), B249, "")</f>
        <v/>
      </c>
    </row>
    <row r="250" ht="111" customHeight="1" s="221">
      <c r="A250" s="5" t="inlineStr">
        <is>
          <t>249.</t>
        </is>
      </c>
      <c r="B250" s="6" t="inlineStr">
        <is>
          <t>SBA 26/249</t>
        </is>
      </c>
      <c r="C250" s="8" t="inlineStr">
        <is>
          <t>Dr. Öğr. Üyesi Gonca ÖZTEN</t>
        </is>
      </c>
      <c r="D250" s="8" t="inlineStr">
        <is>
          <t>Kadın Hastalıkları ve Doğum Anabilim Dalı</t>
        </is>
      </c>
      <c r="E250" s="7" t="inlineStr">
        <is>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is>
      </c>
      <c r="F250" s="7" t="inlineStr">
        <is>
          <t>“İnfertilite Nedeniyle Yapılan İn Vitro Fertilizasyon (IVF) Tedavisinin İdrar Steroid Profiline Etkisi”</t>
        </is>
      </c>
      <c r="G250" s="13" t="inlineStr">
        <is>
          <t>Bireysel Araştırma</t>
        </is>
      </c>
      <c r="H250" s="54" t="n">
        <v>46090</v>
      </c>
      <c r="I250" s="52" t="n">
        <v>46098</v>
      </c>
      <c r="J250" s="8" t="inlineStr">
        <is>
          <t>Dr. Öğr. Üyesi Müge DEMİR</t>
        </is>
      </c>
      <c r="K250" s="8" t="inlineStr">
        <is>
          <t>Prof. Dr. M. Özgür UYANIK</t>
        </is>
      </c>
      <c r="L250" s="9" t="n"/>
      <c r="M250" s="9" t="n"/>
      <c r="N250" s="9" t="n"/>
      <c r="O250" s="66" t="n"/>
      <c r="P250" s="9" t="n"/>
      <c r="R250" s="95">
        <f>IF(AND(L250="", B250&lt;&gt;""), B250, "")</f>
        <v/>
      </c>
    </row>
    <row r="251" ht="63" customHeight="1" s="221">
      <c r="A251" s="5" t="inlineStr">
        <is>
          <t>250.</t>
        </is>
      </c>
      <c r="B251" s="6" t="inlineStr">
        <is>
          <t>SBA 26/250</t>
        </is>
      </c>
      <c r="C251" s="8" t="inlineStr">
        <is>
          <t>Öğr. Gör. Dr. Aytekin İDİKUT</t>
        </is>
      </c>
      <c r="D251" s="8" t="inlineStr">
        <is>
          <t>Göğüs Hastalıkları Anabilim Dalı</t>
        </is>
      </c>
      <c r="E251" s="7" t="inlineStr">
        <is>
          <t>Üniversitemiz Tıp Fakültesi Göğüs Hastalıkları Anabilim Dalı öğretim elemanlarından Öğr. Gör. Dr. Aytekin İDİKUT’un sorumlu araştırmacı olduğu, Dr. Öğr. Üyesi Aslı ALKAN ve Doç. Dr. Oğuz KARCIOĞLU ile birlikte çalışacakları,</t>
        </is>
      </c>
      <c r="F251" s="7" t="inlineStr">
        <is>
          <t>“Erişkin Primer Siliyer Diskinezi Hastalarının Klinik Verilerinin Uluslararası European Reference Network Lung Veri Tabanına Kayıt Edilmesi”</t>
        </is>
      </c>
      <c r="G251" s="13" t="inlineStr">
        <is>
          <t>Bireysel Araştırma</t>
        </is>
      </c>
      <c r="H251" s="54" t="n">
        <v>46090</v>
      </c>
      <c r="I251" s="52" t="n">
        <v>46098</v>
      </c>
      <c r="J251" s="8" t="inlineStr">
        <is>
          <t>Prof. Dr. Ayşe Nurten AKARSU</t>
        </is>
      </c>
      <c r="K251" s="8" t="inlineStr">
        <is>
          <t>Doç. Dr. Kübra AYKAÇ</t>
        </is>
      </c>
      <c r="L251" s="9" t="inlineStr">
        <is>
          <t>DÜZELTME</t>
        </is>
      </c>
      <c r="M251" s="9" t="n"/>
      <c r="N251" s="9" t="n"/>
      <c r="O251" s="66" t="n"/>
      <c r="P251" s="9" t="n"/>
      <c r="R251" s="95">
        <f>IF(AND(L251="", B251&lt;&gt;""), B251, "")</f>
        <v/>
      </c>
    </row>
    <row r="252" ht="63" customHeight="1" s="221">
      <c r="A252" s="5" t="inlineStr">
        <is>
          <t>251.</t>
        </is>
      </c>
      <c r="B252" s="6" t="inlineStr">
        <is>
          <t>SBA 26/251</t>
        </is>
      </c>
      <c r="C252" s="8" t="inlineStr">
        <is>
          <t>Dr. Öğr. Üyesi Barış KAFA</t>
        </is>
      </c>
      <c r="D252" s="8" t="inlineStr">
        <is>
          <t>Ortopedi ve Travmatoloji Anabilim Dalı</t>
        </is>
      </c>
      <c r="E252" s="7" t="inlineStr">
        <is>
          <t>Üniversitemiz Tıp Fakültesi Ortopedi ve Travmatoloji Anabilim Dalı öğretim üyelerinden Dr. Öğr. Üyesi Barış KAFA’nın sorumlu araştırmacı olduğu, Arş. Gör. Dr. Hüseyin Esat BULDUK ile birlikte çalışacakları,</t>
        </is>
      </c>
      <c r="F252" s="7" t="inlineStr">
        <is>
          <t>“Proksimal Falanks Kırıklarında Cerrahi ve Konservatif Tedavinin Radyolojik ve Fonksiyonel Sonuçlarının Karşılaştırılması”</t>
        </is>
      </c>
      <c r="G252" s="13" t="inlineStr">
        <is>
          <t>Bireysel Araştırma</t>
        </is>
      </c>
      <c r="H252" s="54" t="n">
        <v>46090</v>
      </c>
      <c r="I252" s="52" t="n">
        <v>46098</v>
      </c>
      <c r="J252" s="8" t="inlineStr">
        <is>
          <t>Doç. Dr. Ekim GÜMELER</t>
        </is>
      </c>
      <c r="K252" s="8" t="inlineStr">
        <is>
          <t>Doç. Dr. Burcu ERSÖZ ALAN</t>
        </is>
      </c>
      <c r="L252" s="9" t="inlineStr">
        <is>
          <t>ONAY</t>
        </is>
      </c>
      <c r="M252" s="9" t="n"/>
      <c r="N252" s="9" t="n"/>
      <c r="O252" s="66" t="n"/>
      <c r="P252" s="9" t="n"/>
      <c r="R252" s="95">
        <f>IF(AND(L252="", B252&lt;&gt;""), B252, "")</f>
        <v/>
      </c>
    </row>
    <row r="253" ht="63" customHeight="1" s="221">
      <c r="A253" s="5" t="inlineStr">
        <is>
          <t>252.</t>
        </is>
      </c>
      <c r="B253" s="6" t="inlineStr">
        <is>
          <t>SBA 26/252</t>
        </is>
      </c>
      <c r="C253" s="8" t="inlineStr">
        <is>
          <t>Prof. Dr. Murat GÜLTEKİN</t>
        </is>
      </c>
      <c r="D253" s="8" t="inlineStr">
        <is>
          <t>Kadın Hastalıkları ve Doğum Anabilim Dalı</t>
        </is>
      </c>
      <c r="E253" s="7" t="inlineStr">
        <is>
          <t>Üniversitemiz Tıp Fakültesi Kadın Hastalıkları ve Doğum Anabilim Dalı öğretim üyelerinden Prof. Dr. Murat GÜLTEKİN’in sorumlu araştırmacı olduğu, Arş. Gör. Dr. Bilal Esat TEMİZ ile birlikte çalışacakları,</t>
        </is>
      </c>
      <c r="F253" s="7" t="inlineStr">
        <is>
          <t>“HPV Pozitif Kadınlarda Medikal Tedavinin HPV DNA Klirensi Üzerine Etkisi”</t>
        </is>
      </c>
      <c r="G253" s="13" t="inlineStr">
        <is>
          <t>Bireysel Araştırma</t>
        </is>
      </c>
      <c r="H253" s="54" t="n">
        <v>46090</v>
      </c>
      <c r="I253" s="52" t="n">
        <v>46098</v>
      </c>
      <c r="J253" s="8" t="inlineStr">
        <is>
          <t>Dr. Öğr. Üyesi Müge DEMİR</t>
        </is>
      </c>
      <c r="K253" s="8" t="inlineStr">
        <is>
          <t>Doç. Dr. Tolga ÇAKMAK</t>
        </is>
      </c>
      <c r="L253" s="9" t="n"/>
      <c r="M253" s="9" t="n"/>
      <c r="N253" s="9" t="n"/>
      <c r="O253" s="66" t="n"/>
      <c r="P253" s="9" t="n"/>
      <c r="R253" s="95">
        <f>IF(AND(L253="", B253&lt;&gt;""), B253, "")</f>
        <v/>
      </c>
    </row>
    <row r="254" ht="78.75" customHeight="1" s="221">
      <c r="A254" s="5" t="inlineStr">
        <is>
          <t>253.</t>
        </is>
      </c>
      <c r="B254" s="6" t="inlineStr">
        <is>
          <t>SBA 26/253</t>
        </is>
      </c>
      <c r="C254" s="8" t="inlineStr">
        <is>
          <t>Prof. Dr. Fatma Gökçem YILDIZ SARIKAYA</t>
        </is>
      </c>
      <c r="D254" s="8" t="inlineStr">
        <is>
          <t>Nöroloji Anabilim Dalı</t>
        </is>
      </c>
      <c r="E254" s="7" t="inlineStr">
        <is>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is>
      </c>
      <c r="F254" s="7" t="inlineStr">
        <is>
          <t>“Normal Basınçlı Hidrosefali Hastalarında Kortikal Eksitabilitenin Transkraniyal Manyetik Uyarım ile Değerlendirilmesi”</t>
        </is>
      </c>
      <c r="G254" s="13" t="inlineStr">
        <is>
          <t>Bireysel Araştırma</t>
        </is>
      </c>
      <c r="H254" s="54" t="n">
        <v>46090</v>
      </c>
      <c r="I254" s="52" t="n">
        <v>46098</v>
      </c>
      <c r="J254" s="8" t="inlineStr">
        <is>
          <t>Prof. Dr. Ayşe KİN İŞLER</t>
        </is>
      </c>
      <c r="K254" s="8" t="inlineStr">
        <is>
          <t>Doç. Dr. Ekim GÜMELER</t>
        </is>
      </c>
      <c r="L254" s="9" t="n"/>
      <c r="M254" s="9" t="n"/>
      <c r="N254" s="9" t="n"/>
      <c r="O254" s="66" t="n"/>
      <c r="P254" s="9" t="n"/>
      <c r="R254" s="95">
        <f>IF(AND(L254="", B254&lt;&gt;""), B254, "")</f>
        <v/>
      </c>
    </row>
    <row r="255" ht="78.75" customHeight="1" s="221">
      <c r="A255" s="5" t="inlineStr">
        <is>
          <t>254.</t>
        </is>
      </c>
      <c r="B255" s="6" t="inlineStr">
        <is>
          <t>SBA 26/254</t>
        </is>
      </c>
      <c r="C255" s="8" t="inlineStr">
        <is>
          <t>Prof. Dr. Çağrı Mesut TEMUÇİN</t>
        </is>
      </c>
      <c r="D255" s="8" t="inlineStr">
        <is>
          <t>Nöroloji Anabilim Dalı</t>
        </is>
      </c>
      <c r="E255" s="7" t="inlineStr">
        <is>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is>
      </c>
      <c r="F255" s="7" t="inlineStr">
        <is>
          <t>“Amyotrofik Lateral Skleroz Hastalarında Split Hand Fenomeni: Median-Ulnar Motor ve Duyusal Oranlarının Karşılaştırılması”</t>
        </is>
      </c>
      <c r="G255" s="13" t="inlineStr">
        <is>
          <t>Bireysel Araştırma</t>
        </is>
      </c>
      <c r="H255" s="54" t="n">
        <v>46090</v>
      </c>
      <c r="I255" s="52" t="n">
        <v>46098</v>
      </c>
      <c r="J255" s="8" t="inlineStr">
        <is>
          <t>Prof. Dr. Yavuz AYHAN</t>
        </is>
      </c>
      <c r="K255" s="8" t="inlineStr">
        <is>
          <t>Prof. Dr. Ayşe KİN İŞLER</t>
        </is>
      </c>
      <c r="L255" s="9" t="inlineStr">
        <is>
          <t>ONAY</t>
        </is>
      </c>
      <c r="M255" s="9" t="n"/>
      <c r="N255" s="9" t="n"/>
      <c r="O255" s="66" t="n"/>
      <c r="P255" s="9" t="n"/>
      <c r="R255" s="95">
        <f>IF(AND(L255="", B255&lt;&gt;""), B255, "")</f>
        <v/>
      </c>
    </row>
    <row r="256" ht="78.75" customHeight="1" s="221">
      <c r="A256" s="5" t="inlineStr">
        <is>
          <t>255.</t>
        </is>
      </c>
      <c r="B256" s="6" t="inlineStr">
        <is>
          <t>SBA 26/255</t>
        </is>
      </c>
      <c r="C256" s="8" t="inlineStr">
        <is>
          <t>Doç. Dr. Utku AKGÖR</t>
        </is>
      </c>
      <c r="D256" s="8" t="inlineStr">
        <is>
          <t>Kadın Hastalıkları ve Doğum Anabilim Dalı</t>
        </is>
      </c>
      <c r="E256" s="7" t="inlineStr">
        <is>
          <t>Üniversitemiz Tıp Fakültesi Kadın Hastalıkları ve Doğum Anabilim Dalı öğretim üyelerinden Doç. Dr. Utku AKGÖR’ ün sorumlu araştırmacı olduğu, Arş. Gör. Dr. Murat CENGİZ ve Arş. Gör. Dr. Fatma CANER ÇABUKOĞLU ile birlikte çalışacakları,</t>
        </is>
      </c>
      <c r="F256" s="7" t="inlineStr">
        <is>
          <t>“01/01/2013-01/01/2026 Tarihleri Arasında İmmatür Teratom Tanısı Alan Hastaların Klinik, Tanı ve Tedavi Protokollerinin Etkinliği, Rekürrens, Tedavi Direnci ve Fertilite Üzerindeki Etkilerinin Çok Yönlü Değerlendirilmesi”</t>
        </is>
      </c>
      <c r="G256" s="13" t="inlineStr">
        <is>
          <t>Bireysel Araştırma</t>
        </is>
      </c>
      <c r="H256" s="54" t="n">
        <v>46090</v>
      </c>
      <c r="I256" s="52" t="n">
        <v>46098</v>
      </c>
      <c r="J256" s="8" t="inlineStr">
        <is>
          <t>Prof. Dr. Nazmiye Ebru ORTAÇ ERSOY</t>
        </is>
      </c>
      <c r="K256" s="8" t="inlineStr">
        <is>
          <t>Prof. Dr. Gözde GİRGİN</t>
        </is>
      </c>
      <c r="L256" s="9" t="inlineStr">
        <is>
          <t>ONAY</t>
        </is>
      </c>
      <c r="M256" s="9" t="n"/>
      <c r="N256" s="9" t="n"/>
      <c r="O256" s="66" t="n"/>
      <c r="P256" s="9" t="n"/>
      <c r="R256" s="95">
        <f>IF(AND(L256="", B256&lt;&gt;""), B256, "")</f>
        <v/>
      </c>
    </row>
    <row r="257" ht="78.75" customHeight="1" s="221">
      <c r="A257" s="5" t="inlineStr">
        <is>
          <t>256.</t>
        </is>
      </c>
      <c r="B257" s="6" t="inlineStr">
        <is>
          <t>SBA 26/256</t>
        </is>
      </c>
      <c r="C257" s="8" t="inlineStr">
        <is>
          <t>Prof. Dr. Salih Kutay DEMİRKAN</t>
        </is>
      </c>
      <c r="D257" s="8" t="inlineStr">
        <is>
          <t>Klinik Eczacılık Anabilim Dalı</t>
        </is>
      </c>
      <c r="E257" s="7" t="inlineStr">
        <is>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is>
      </c>
      <c r="F257" s="7" t="inlineStr">
        <is>
          <t>“Yaşlı Hastalarda Kulanılan İlaçlar ile Sarkopeni Arasındaki İlişkinin Değerlendirilmesi"</t>
        </is>
      </c>
      <c r="G257" s="13" t="inlineStr">
        <is>
          <t>Doktora Tezi</t>
        </is>
      </c>
      <c r="H257" s="54" t="n">
        <v>46090</v>
      </c>
      <c r="I257" s="52" t="n">
        <v>46098</v>
      </c>
      <c r="J257" s="8" t="inlineStr">
        <is>
          <t>Prof. Dr. Ayşe Nurten AKARSU</t>
        </is>
      </c>
      <c r="K257" s="8" t="inlineStr">
        <is>
          <t>Prof. Dr. Gözde GİRGİN</t>
        </is>
      </c>
      <c r="L257" s="9" t="inlineStr">
        <is>
          <t>DÜZELTME</t>
        </is>
      </c>
      <c r="M257" s="9" t="n"/>
      <c r="N257" s="9" t="n"/>
      <c r="O257" s="66" t="n"/>
      <c r="P257" s="9" t="n"/>
      <c r="R257" s="95">
        <f>IF(AND(L257="", B257&lt;&gt;""), B257, "")</f>
        <v/>
      </c>
    </row>
    <row r="258" ht="63" customHeight="1" s="221">
      <c r="A258" s="5" t="inlineStr">
        <is>
          <t>257.</t>
        </is>
      </c>
      <c r="B258" s="6" t="inlineStr">
        <is>
          <t>SBA 26/257</t>
        </is>
      </c>
      <c r="C258" s="8" t="inlineStr">
        <is>
          <t>Dr. Öğr. Üyesi Selen ADİLOĞLU</t>
        </is>
      </c>
      <c r="D258" s="8" t="inlineStr">
        <is>
          <t>Ağız, Diş ve Çene Cerrahisi Anabilim Dalı</t>
        </is>
      </c>
      <c r="E258" s="7" t="inlineStr">
        <is>
          <t>Üniversitemiz Diş Hekimliği Fakültesi Ağız, Diş ve Çene Cerrahisi Anabilim Dalı öğretim üyelerinden Dr. Öğr. Üyesi Selen ADİLOĞLU’nun sorumlu araştırmacı olduğu, Arş. Gör. Dt. Sena AKSOY TAÇYILDIZ ile birlikte çalışacakları,</t>
        </is>
      </c>
      <c r="F258" s="7" t="inlineStr">
        <is>
          <t>“Hacettepe Üniversitesi Diş Hekimliği Fakültesi Dönem 3 Diş Hekimliği Öğrencilerinde Lokal Anesteziye İlişkin Bilgi, Kaygı ve Hazır Oluşun Değerlendirilmesi”</t>
        </is>
      </c>
      <c r="G258" s="13" t="inlineStr">
        <is>
          <t>Bireysel Araştırma</t>
        </is>
      </c>
      <c r="H258" s="54" t="n">
        <v>46090</v>
      </c>
      <c r="I258" s="52" t="n">
        <v>46098</v>
      </c>
      <c r="J258" s="8" t="inlineStr">
        <is>
          <t>Prof. Dr. M. Özgür UYANIK</t>
        </is>
      </c>
      <c r="K258" s="8" t="inlineStr">
        <is>
          <t>Doç. Dr. Kübra AYKAÇ</t>
        </is>
      </c>
      <c r="L258" s="9" t="inlineStr">
        <is>
          <t>DÜZELTME</t>
        </is>
      </c>
      <c r="M258" s="9" t="n"/>
      <c r="N258" s="9" t="n"/>
      <c r="O258" s="66" t="n"/>
      <c r="P258" s="9" t="n"/>
      <c r="R258" s="95">
        <f>IF(AND(L258="", B258&lt;&gt;""), B258, "")</f>
        <v/>
      </c>
    </row>
    <row r="259" ht="80.25" customHeight="1" s="221">
      <c r="A259" s="5" t="inlineStr">
        <is>
          <t>258.</t>
        </is>
      </c>
      <c r="B259" s="6" t="inlineStr">
        <is>
          <t>SBA 26/258</t>
        </is>
      </c>
      <c r="C259" s="8" t="inlineStr">
        <is>
          <t>Dr. Öğr. Üyesi Selen ADİLOĞLU</t>
        </is>
      </c>
      <c r="D259" s="8" t="inlineStr">
        <is>
          <t>Ağız, Diş ve Çene Cerrahisi Anabilim Dalı</t>
        </is>
      </c>
      <c r="E259" s="7" t="inlineStr">
        <is>
          <t>Üniversitemiz Diş Hekimliği Fakültesi Ağız, Diş ve Çene Cerrahisi Anabilim Dalı öğretim üyelerinden Dr. Öğr. Üyesi Selen ADİLOĞLU’nun sorumlu araştırmacı olduğu, Arş. Gör. Dt. Sena AKSOY TAÇYILDIZ ile birlikte çalışacakları,</t>
        </is>
      </c>
      <c r="F259" s="7" t="inlineStr">
        <is>
          <t>“Hacettepe Üniversitesi Diş Hekimliği Dönem 3, 4 ve 5 Öğrencilerinde Odontojenik ve Non-Odontojenik Orofasiyal Ağrının Ayırıcı Tanısına Yönelik Klinik Akıl Yürütme ve Farkındalık Düzeyinin Değerlendirilmesi”</t>
        </is>
      </c>
      <c r="G259" s="13" t="inlineStr">
        <is>
          <t>Bireysel Araştırma</t>
        </is>
      </c>
      <c r="H259" s="54" t="n">
        <v>46090</v>
      </c>
      <c r="I259" s="52" t="n">
        <v>46098</v>
      </c>
      <c r="J259" s="8" t="inlineStr">
        <is>
          <t>Prof. Dr. M. Özgür UYANIK</t>
        </is>
      </c>
      <c r="K259" s="8" t="inlineStr">
        <is>
          <t>Doç. Dr. Tolga ÇAKMAK</t>
        </is>
      </c>
      <c r="L259" s="9" t="inlineStr">
        <is>
          <t>DÜZELTME</t>
        </is>
      </c>
      <c r="M259" s="9" t="n"/>
      <c r="N259" s="9" t="n"/>
      <c r="O259" s="66" t="n"/>
      <c r="P259" s="9" t="n"/>
      <c r="R259" s="95">
        <f>IF(AND(L259="", B259&lt;&gt;""), B259, "")</f>
        <v/>
      </c>
    </row>
    <row r="260" ht="78.75" customHeight="1" s="221">
      <c r="A260" s="5" t="inlineStr">
        <is>
          <t>259.</t>
        </is>
      </c>
      <c r="B260" s="6" t="inlineStr">
        <is>
          <t>SBA 26/259</t>
        </is>
      </c>
      <c r="C260" s="8" t="inlineStr">
        <is>
          <t>Prof. Dr. Bülent Enis ŞEKEREL</t>
        </is>
      </c>
      <c r="D260" s="8" t="inlineStr">
        <is>
          <t>Çocuk Sağlığı ve Hastalıkları Anabilim Dalı</t>
        </is>
      </c>
      <c r="E260" s="7" t="inlineStr">
        <is>
          <t>Üniversitemiz Tıp Fakültesi Çocuk Sağlığı ve Hastalıkları Anabilim Dalı öğretim üyelerinden Prof. Dr. Bülent Enis ŞEKEREL’in sorumlu araştırmacı olduğu, Prof. Dr. Özge UYSAL SOYER, Doç. Dr. Melike OCAK ve Arş. Gör. Dr. Ceren ÜSTÜN ile birlikte çalışacakları,</t>
        </is>
      </c>
      <c r="F260" s="7" t="inlineStr">
        <is>
          <t>“Çocuklarda Bileşene Dayalı Moleküler Tanı Testi ile Alerjene Özgü IgE Duyarlılık Sıklığının Değerlendirilmesi”</t>
        </is>
      </c>
      <c r="G260" s="13" t="inlineStr">
        <is>
          <t>Bireysel Araştırma</t>
        </is>
      </c>
      <c r="H260" s="54" t="n">
        <v>46090</v>
      </c>
      <c r="I260" s="52" t="n">
        <v>46098</v>
      </c>
      <c r="J260" s="8" t="inlineStr">
        <is>
          <t>Doç. Dr. Kübra AYKAÇ</t>
        </is>
      </c>
      <c r="K260" s="8" t="inlineStr">
        <is>
          <t>Doç. Dr. Burcu ERSÖZ ALAN</t>
        </is>
      </c>
      <c r="L260" s="9" t="inlineStr">
        <is>
          <t>ONAY</t>
        </is>
      </c>
      <c r="M260" s="9" t="n"/>
      <c r="N260" s="9" t="n"/>
      <c r="O260" s="66" t="n"/>
      <c r="P260" s="9" t="n"/>
      <c r="R260" s="95">
        <f>IF(AND(L260="", B260&lt;&gt;""), B260, "")</f>
        <v/>
      </c>
    </row>
    <row r="261" ht="94.5" customHeight="1" s="221">
      <c r="A261" s="5" t="inlineStr">
        <is>
          <t>260.</t>
        </is>
      </c>
      <c r="B261" s="6" t="inlineStr">
        <is>
          <t>SBA 26/260</t>
        </is>
      </c>
      <c r="C261" s="8" t="inlineStr">
        <is>
          <t>Prof. Dr. Seza ÖZEN</t>
        </is>
      </c>
      <c r="D261" s="8" t="inlineStr">
        <is>
          <t>Çocuk Sağlığı ve Hastalıkları Anabilim Dalı</t>
        </is>
      </c>
      <c r="E261" s="7" t="inlineStr">
        <is>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is>
      </c>
      <c r="F261" s="7" t="inlineStr">
        <is>
          <t>“Sistemik Otoinflamatuvar Hastalıklarda Çoklu-Omik Profilleme, Fonksiyonel Doğrulama ve Mekanizma-Temelli Kişiselleştirilmiş Tanısal Yaklaşım Geliştirilmesi  (Biopath SAID)”</t>
        </is>
      </c>
      <c r="G261" s="13" t="inlineStr">
        <is>
          <t>Bireysel Araştırma</t>
        </is>
      </c>
      <c r="H261" s="54" t="n">
        <v>46090</v>
      </c>
      <c r="I261" s="52" t="n">
        <v>46098</v>
      </c>
      <c r="J261" s="8" t="inlineStr">
        <is>
          <t>Prof. Dr. Ayşe Nurten AKARSU</t>
        </is>
      </c>
      <c r="K261" s="8" t="inlineStr">
        <is>
          <t>Dr. Öğr. Üyesi Müge DEMİR</t>
        </is>
      </c>
      <c r="L261" s="9" t="inlineStr">
        <is>
          <t>DÜZELTME</t>
        </is>
      </c>
      <c r="M261" s="9" t="n"/>
      <c r="N261" s="9" t="n"/>
      <c r="O261" s="66" t="n"/>
      <c r="P261" s="9" t="n"/>
      <c r="R261" s="95">
        <f>IF(AND(L261="", B261&lt;&gt;""), B261, "")</f>
        <v/>
      </c>
    </row>
    <row r="262" ht="96" customHeight="1" s="221">
      <c r="A262" s="5" t="inlineStr">
        <is>
          <t>261.</t>
        </is>
      </c>
      <c r="B262" s="6" t="inlineStr">
        <is>
          <t>SBA 26/261</t>
        </is>
      </c>
      <c r="C262" s="8" t="inlineStr">
        <is>
          <t>Doç. Dr. Leman AKCAN YILDIZ</t>
        </is>
      </c>
      <c r="D262" s="8" t="inlineStr">
        <is>
          <t>Çocuk Sağlığı ve Hastalıkları Anabilim Dalı</t>
        </is>
      </c>
      <c r="E262" s="7" t="inlineStr">
        <is>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is>
      </c>
      <c r="F262" s="7" t="inlineStr">
        <is>
          <t>“Çocuk Acile Göğüs Ağrısı Yakınması ile Başvuran Hastaların Yönetiminin Kanıta Dayalı Rehberlere Göre Yeniden Değerlendirilmesi”</t>
        </is>
      </c>
      <c r="G262" s="13" t="inlineStr">
        <is>
          <t>Bireysel Araştırma</t>
        </is>
      </c>
      <c r="H262" s="54" t="n">
        <v>46090</v>
      </c>
      <c r="I262" s="52" t="n">
        <v>46098</v>
      </c>
      <c r="J262" s="8" t="inlineStr">
        <is>
          <t>Doç. Dr. Burcu ERSÖZ ALAN</t>
        </is>
      </c>
      <c r="K262" s="8" t="inlineStr">
        <is>
          <t>Prof. Dr. Ayşe KİN İŞLER</t>
        </is>
      </c>
      <c r="L262" s="9" t="inlineStr">
        <is>
          <t>ONAY</t>
        </is>
      </c>
      <c r="M262" s="9" t="n"/>
      <c r="N262" s="9" t="n"/>
      <c r="O262" s="66" t="n"/>
      <c r="P262" s="9" t="n"/>
      <c r="R262" s="95">
        <f>IF(AND(L262="", B262&lt;&gt;""), B262, "")</f>
        <v/>
      </c>
    </row>
    <row r="263" ht="95.25" customHeight="1" s="221">
      <c r="A263" s="5" t="inlineStr">
        <is>
          <t>262.</t>
        </is>
      </c>
      <c r="B263" s="6" t="inlineStr">
        <is>
          <t>SBA 26/262</t>
        </is>
      </c>
      <c r="C263" s="8" t="inlineStr">
        <is>
          <t>Prof. Dr. Ali Rıza TÜMER</t>
        </is>
      </c>
      <c r="D263" s="8" t="inlineStr">
        <is>
          <t>Adli Tıp Anabilim Dalı</t>
        </is>
      </c>
      <c r="E263" s="7" t="inlineStr">
        <is>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is>
      </c>
      <c r="F263" s="7" t="inlineStr">
        <is>
          <t>“Gözyaşında Alkol ve Metabolitlerinin Diğer Vücut Sıvıları ile Karşılaştırmalı Analizi ve Adli Tıbbi Değerlendirilmesi”</t>
        </is>
      </c>
      <c r="G263" s="13" t="inlineStr">
        <is>
          <t>Uzmanlık Tezi</t>
        </is>
      </c>
      <c r="H263" s="54" t="n">
        <v>46090</v>
      </c>
      <c r="I263" s="52" t="n">
        <v>46098</v>
      </c>
      <c r="J263" s="8" t="inlineStr">
        <is>
          <t>Prof. Dr. Yavuz AYHAN</t>
        </is>
      </c>
      <c r="K263" s="8" t="inlineStr">
        <is>
          <t>Prof. Dr. Nazmiye Ebru ORTAÇ ERSOY</t>
        </is>
      </c>
      <c r="L263" s="9" t="inlineStr">
        <is>
          <t>ONAY</t>
        </is>
      </c>
      <c r="M263" s="9" t="n"/>
      <c r="N263" s="9" t="n"/>
      <c r="O263" s="66" t="n"/>
      <c r="P263" s="9" t="n"/>
      <c r="R263" s="95">
        <f>IF(AND(L263="", B263&lt;&gt;""), B263, "")</f>
        <v/>
      </c>
    </row>
    <row r="264" ht="238.5" customHeight="1" s="221">
      <c r="A264" s="5" t="inlineStr">
        <is>
          <t>263.</t>
        </is>
      </c>
      <c r="B264" s="6" t="inlineStr">
        <is>
          <t>SBA 26/263</t>
        </is>
      </c>
      <c r="C264" s="8" t="inlineStr">
        <is>
          <t>Doç. Dr. Dilek ÜNAL</t>
        </is>
      </c>
      <c r="D264" s="8" t="inlineStr">
        <is>
          <t>Çocuk ve Ergen Ruh Sağlığı ve Hastalıkları Anabilim Dalı</t>
        </is>
      </c>
      <c r="E264" s="7" t="inlineStr">
        <is>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is>
      </c>
      <c r="F264" s="7" t="inlineStr">
        <is>
          <t>“Nörogelişimsel Bozukluk Tanı Gruplarında Potansiyel Biyobelirteç Olarak IL-6, IL-18, TNF-α ve β-NGF Düzeylerinin Karşılaştırmalı Analizi”</t>
        </is>
      </c>
      <c r="G264" s="13" t="inlineStr">
        <is>
          <t>Bireysel Araştırma</t>
        </is>
      </c>
      <c r="H264" s="54" t="n">
        <v>46090</v>
      </c>
      <c r="I264" s="52" t="n">
        <v>46098</v>
      </c>
      <c r="J264" s="8" t="inlineStr">
        <is>
          <t>Doç. Dr. Tolga ÇAKMAK</t>
        </is>
      </c>
      <c r="K264" s="8" t="inlineStr">
        <is>
          <t>Doç. Dr. Ekim GÜMELER</t>
        </is>
      </c>
      <c r="L264" s="9" t="inlineStr">
        <is>
          <t>ONAY</t>
        </is>
      </c>
      <c r="M264" s="9" t="n"/>
      <c r="N264" s="9" t="n"/>
      <c r="O264" s="66" t="n"/>
      <c r="P264" s="9" t="n"/>
      <c r="R264" s="95">
        <f>IF(AND(L264="", B264&lt;&gt;""), B264, "")</f>
        <v/>
      </c>
    </row>
    <row r="265" ht="63" customHeight="1" s="221">
      <c r="A265" s="5" t="inlineStr">
        <is>
          <t>264.</t>
        </is>
      </c>
      <c r="B265" s="6" t="inlineStr">
        <is>
          <t>SBA 26/264</t>
        </is>
      </c>
      <c r="C265" s="8" t="inlineStr">
        <is>
          <t>Prof. Dr. Burcu Balam DOĞU</t>
        </is>
      </c>
      <c r="D265" s="8" t="inlineStr">
        <is>
          <t>İç Hastalıkları Anabilim Dalı</t>
        </is>
      </c>
      <c r="E265" s="7" t="inlineStr">
        <is>
          <t>Üniversitemiz Tıp Fakültesi İç Hastalıkları Anabilim Dalı öğretim üyelerinden Prof. Dr. Burcu Balam DOĞU’nun sorumlu araştırmacı olduğu, Arş. Gör. Dr. Özge ÖZGÜN ile birlikte çalışacakları,</t>
        </is>
      </c>
      <c r="F265" s="7" t="inlineStr">
        <is>
          <t>“Yaşlı Bireylerde Mesleki Özellikler ile Bilişsel Durum Arasındaki İlişkinin Değerlendirilmesi”</t>
        </is>
      </c>
      <c r="G265" s="13" t="inlineStr">
        <is>
          <t>Bireysel Araştırma</t>
        </is>
      </c>
      <c r="H265" s="54" t="n">
        <v>46090</v>
      </c>
      <c r="I265" s="52" t="n">
        <v>46098</v>
      </c>
      <c r="J265" s="8" t="inlineStr">
        <is>
          <t>Prof. Dr. M. Özgür UYANIK</t>
        </is>
      </c>
      <c r="K265" s="8" t="inlineStr">
        <is>
          <t>Prof. Dr. Gözde GİRGİN</t>
        </is>
      </c>
      <c r="L265" s="9" t="inlineStr">
        <is>
          <t>DÜZELTME</t>
        </is>
      </c>
      <c r="M265" s="9" t="n"/>
      <c r="N265" s="9" t="n"/>
      <c r="O265" s="66" t="n"/>
      <c r="P265" s="9" t="n"/>
      <c r="R265" s="95">
        <f>IF(AND(L265="", B265&lt;&gt;""), B265, "")</f>
        <v/>
      </c>
    </row>
    <row r="266" ht="63" customHeight="1" s="221">
      <c r="A266" s="5" t="inlineStr">
        <is>
          <t>265.</t>
        </is>
      </c>
      <c r="B266" s="6" t="inlineStr">
        <is>
          <t>SBA 26/265</t>
        </is>
      </c>
      <c r="C266" s="8" t="inlineStr">
        <is>
          <t>Prof. Dr. Burcu Balam DOĞU</t>
        </is>
      </c>
      <c r="D266" s="8" t="inlineStr">
        <is>
          <t>İç Hastalıkları Anabilim Dalı</t>
        </is>
      </c>
      <c r="E266" s="7" t="inlineStr">
        <is>
          <t>Üniversitemiz Tıp Fakültesi İç Hastalıkları Anabilim Dalı öğretim üyelerinden Prof. Dr. Burcu Balam DOĞU’nun sorumlu araştırmacı olduğu, Arş. Gör. Dr. Özge ÖZGÜN ile birlikte çalışacakları,</t>
        </is>
      </c>
      <c r="F266" s="7" t="inlineStr">
        <is>
          <t>“Yaşlı Bireylerde Mesleki Özellikler ile Geriatrik Sendromların İlişkisinin Değerlendirilmesi”</t>
        </is>
      </c>
      <c r="G266" s="13" t="inlineStr">
        <is>
          <t>Bireysel Araştırma</t>
        </is>
      </c>
      <c r="H266" s="54" t="n">
        <v>46090</v>
      </c>
      <c r="I266" s="52" t="n">
        <v>46098</v>
      </c>
      <c r="J266" s="8" t="inlineStr">
        <is>
          <t>Prof. Dr. M. Özgür UYANIK</t>
        </is>
      </c>
      <c r="K266" s="8" t="inlineStr">
        <is>
          <t>Prof. Dr. Gözde GİRGİN</t>
        </is>
      </c>
      <c r="L266" s="9" t="inlineStr">
        <is>
          <t>DÜZELTME</t>
        </is>
      </c>
      <c r="M266" s="9" t="n"/>
      <c r="N266" s="9" t="n"/>
      <c r="O266" s="66" t="n"/>
      <c r="P266" s="9" t="n"/>
      <c r="R266" s="95">
        <f>IF(AND(L266="", B266&lt;&gt;""), B266, "")</f>
        <v/>
      </c>
    </row>
    <row r="267" ht="63" customHeight="1" s="221">
      <c r="A267" s="5" t="inlineStr">
        <is>
          <t>266.</t>
        </is>
      </c>
      <c r="B267" s="6" t="inlineStr">
        <is>
          <t>SBA 26/266</t>
        </is>
      </c>
      <c r="C267" s="8" t="inlineStr">
        <is>
          <t>Prof. Dr. Oğuz IŞIK</t>
        </is>
      </c>
      <c r="D267" s="8" t="inlineStr">
        <is>
          <t>Sağlık Yönetimi Anabilim Dalı</t>
        </is>
      </c>
      <c r="E267" s="7" t="inlineStr">
        <is>
          <t>Üniversitemiz İktisadi ve İdari Bilimler Fakültesi Sağlık Yönetimi Anabilim Dalı öğretim üyelerinden Prof. Dr. Oğuz IŞIK’ın sorumlu araştırmacı olduğu, Öğr. Gör. Funda YILDIRIM’ın doktora tezi olan,</t>
        </is>
      </c>
      <c r="F267" s="7" t="inlineStr">
        <is>
          <t>“Normal Doğum Politikaları ve Kadınların Tutumlarının Doğum Tercihi ve Postpartum Yaşam Kalitesi Üzerindeki Etkisi”</t>
        </is>
      </c>
      <c r="G267" s="13" t="inlineStr">
        <is>
          <t>Doktora Tezi</t>
        </is>
      </c>
      <c r="H267" s="54" t="n">
        <v>46090</v>
      </c>
      <c r="I267" s="52" t="n">
        <v>46098</v>
      </c>
      <c r="J267" s="8" t="inlineStr">
        <is>
          <t>Doç. Dr. Tolga ÇAKMAK</t>
        </is>
      </c>
      <c r="K267" s="8" t="inlineStr">
        <is>
          <t>Doç. Dr. Burcu ERSÖZ ALAN</t>
        </is>
      </c>
      <c r="L267" s="9" t="inlineStr">
        <is>
          <t>DÜZELTME</t>
        </is>
      </c>
      <c r="M267" s="9" t="n"/>
      <c r="N267" s="9" t="n"/>
      <c r="O267" s="66" t="n"/>
      <c r="P267" s="9" t="n"/>
      <c r="R267" s="95">
        <f>IF(AND(L267="", B267&lt;&gt;""), B267, "")</f>
        <v/>
      </c>
    </row>
    <row r="268" ht="78.75" customHeight="1" s="221">
      <c r="A268" s="5" t="inlineStr">
        <is>
          <t>267.</t>
        </is>
      </c>
      <c r="B268" s="6" t="inlineStr">
        <is>
          <t>SBA 26/267</t>
        </is>
      </c>
      <c r="C268" s="8" t="inlineStr">
        <is>
          <t>Doç. Dr. Emel Tuğba ATAMAN DURUEL</t>
        </is>
      </c>
      <c r="D268" s="8" t="inlineStr">
        <is>
          <t>Periodontoloji Anabilim Dalı</t>
        </is>
      </c>
      <c r="E268" s="7" t="inlineStr">
        <is>
          <t>Üniversitemiz Diş Hekimliği Fakültesi Periodontoloji Anabilim Dalı öğretim üyelerinden Doç. Dr. Emel Tuğba ATAMAN DURUEL’in sorumlu araştırmacı olduğu, Arş. Gör. Dt. Dilara KARA ile birlikte çalışacakları ve Arş. Gör. Dt. Mert GÖRGÜLÜ’nün uzmanlık tezi olan,</t>
        </is>
      </c>
      <c r="F268" s="7" t="inlineStr">
        <is>
          <t>“Dişeti Çekilmesi Olan Hastalarda Dişeti Kalınlığının Farklı Yöntemler Kullanılarak Karşılaştırmalı Değerlendirilmesi”</t>
        </is>
      </c>
      <c r="G268" s="13" t="inlineStr">
        <is>
          <t>Uzmanlık Tezi</t>
        </is>
      </c>
      <c r="H268" s="54" t="n">
        <v>46090</v>
      </c>
      <c r="I268" s="52" t="n">
        <v>46098</v>
      </c>
      <c r="J268" s="8" t="inlineStr">
        <is>
          <t>Prof. Dr. M. Özgür UYANIK</t>
        </is>
      </c>
      <c r="K268" s="8" t="inlineStr">
        <is>
          <t>Prof. Dr. Ayşe KİN İŞLER</t>
        </is>
      </c>
      <c r="L268" s="9" t="inlineStr">
        <is>
          <t>KAEK</t>
        </is>
      </c>
      <c r="M268" s="9" t="n"/>
      <c r="N268" s="9" t="n"/>
      <c r="O268" s="66" t="n"/>
      <c r="P268" s="9" t="n"/>
      <c r="R268" s="95">
        <f>IF(AND(L268="", B268&lt;&gt;""), B268, "")</f>
        <v/>
      </c>
    </row>
    <row r="269" ht="63" customHeight="1" s="221">
      <c r="A269" s="5" t="inlineStr">
        <is>
          <t>268.</t>
        </is>
      </c>
      <c r="B269" s="6" t="inlineStr">
        <is>
          <t>SBA 26/268</t>
        </is>
      </c>
      <c r="C269" s="8" t="inlineStr">
        <is>
          <t>Prof. Dr. Güliz AKTAŞ</t>
        </is>
      </c>
      <c r="D269" s="8" t="inlineStr">
        <is>
          <t>Protetik Diş Tedavisi Anabilim Dalı</t>
        </is>
      </c>
      <c r="E269" s="7" t="inlineStr">
        <is>
          <t>Üniversitemiz Diş Hekimliği Fakültesi Protetik Diş Tedavisi Anabilim Dalı öğretim üyelerinden Prof. Dr. Güliz AKTAŞ’ın sorumlu araştırmacı olduğu, Arş. Gör. Ozan DEMİRBAŞ’ın uzmanlık tezi olan,</t>
        </is>
      </c>
      <c r="F269" s="7" t="inlineStr">
        <is>
          <t>“Dijital Tarama Tekniklerinin Tam Ark İmplant Ölçü Doğruluğuna Etkisi”</t>
        </is>
      </c>
      <c r="G269" s="13" t="inlineStr">
        <is>
          <t>Uzmanlık Tezi</t>
        </is>
      </c>
      <c r="H269" s="54" t="n">
        <v>46090</v>
      </c>
      <c r="I269" s="52" t="n">
        <v>46098</v>
      </c>
      <c r="J269" s="8" t="inlineStr">
        <is>
          <t>Prof. Dr. M. Özgür UYANIK</t>
        </is>
      </c>
      <c r="K269" s="8" t="inlineStr">
        <is>
          <t>Prof. Dr. Ayşe KİN İŞLER</t>
        </is>
      </c>
      <c r="L269" s="9" t="inlineStr">
        <is>
          <t>ONAY</t>
        </is>
      </c>
      <c r="M269" s="9" t="n"/>
      <c r="N269" s="9" t="n"/>
      <c r="O269" s="66" t="n"/>
      <c r="P269" s="9" t="n"/>
      <c r="R269" s="95">
        <f>IF(AND(L269="", B269&lt;&gt;""), B269, "")</f>
        <v/>
      </c>
    </row>
    <row r="270" ht="78.75" customHeight="1" s="221">
      <c r="A270" s="5" t="inlineStr">
        <is>
          <t>269.</t>
        </is>
      </c>
      <c r="B270" s="6" t="inlineStr">
        <is>
          <t>SBA 26/269</t>
        </is>
      </c>
      <c r="C270" s="8" t="inlineStr">
        <is>
          <t>Doç. Dr. Hayriye HIZARCIOĞLU GÜLŞEN</t>
        </is>
      </c>
      <c r="D270" s="8" t="inlineStr">
        <is>
          <t>Çocuk Sağlığı ve Hastalıkları Anabilim Dalı</t>
        </is>
      </c>
      <c r="E270" s="7" t="inlineStr">
        <is>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is>
      </c>
      <c r="F270" s="7" t="inlineStr">
        <is>
          <t>“Bebeklik Çağı Kolestatik Karaciğer Hastalığı Tanılı Çocuk Hastaların Uzun Dönem Klinik İzlemleri”</t>
        </is>
      </c>
      <c r="G270" s="13" t="inlineStr">
        <is>
          <t>Bireysel Araştırma</t>
        </is>
      </c>
      <c r="H270" s="54" t="n">
        <v>46090</v>
      </c>
      <c r="I270" s="52" t="n">
        <v>46098</v>
      </c>
      <c r="J270" s="8" t="inlineStr">
        <is>
          <t>Prof. Dr. Yavuz AYHAN</t>
        </is>
      </c>
      <c r="K270" s="8" t="inlineStr">
        <is>
          <t>Doç. Dr. Kübra AYKAÇ</t>
        </is>
      </c>
      <c r="L270" s="9" t="inlineStr">
        <is>
          <t>ONAY</t>
        </is>
      </c>
      <c r="M270" s="9" t="n"/>
      <c r="N270" s="9" t="n"/>
      <c r="O270" s="66" t="n"/>
      <c r="P270" s="9" t="n"/>
      <c r="R270" s="95">
        <f>IF(AND(L270="", B270&lt;&gt;""), B270, "")</f>
        <v/>
      </c>
    </row>
    <row r="271" ht="78.75" customHeight="1" s="221">
      <c r="A271" s="5" t="inlineStr">
        <is>
          <t>270.</t>
        </is>
      </c>
      <c r="B271" s="6" t="inlineStr">
        <is>
          <t>SBA 26/270</t>
        </is>
      </c>
      <c r="C271" s="8" t="inlineStr">
        <is>
          <t>Dr. Öğr. Üyesi Gizem ÜREL DEMİR</t>
        </is>
      </c>
      <c r="D271" s="8" t="inlineStr">
        <is>
          <t>Çocuk Sağlığı ve Hastalıkları Anabilim Dalı</t>
        </is>
      </c>
      <c r="E271" s="7" t="inlineStr">
        <is>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is>
      </c>
      <c r="F271" s="7" t="inlineStr">
        <is>
          <t>“1p36 Delesyon Sendromu Tanısı ile İzlenen Hastalarda Klinik, Nörogelişimsel ve Genetik Özelliklerin Değerlendirilmesi”</t>
        </is>
      </c>
      <c r="G271" s="13" t="inlineStr">
        <is>
          <t>Bireysel Araştırma</t>
        </is>
      </c>
      <c r="H271" s="54" t="n">
        <v>46090</v>
      </c>
      <c r="I271" s="52" t="n">
        <v>46098</v>
      </c>
      <c r="J271" s="8" t="inlineStr">
        <is>
          <t>Prof. Dr. Ayşe Nurten AKARSU</t>
        </is>
      </c>
      <c r="K271" s="8" t="inlineStr">
        <is>
          <t>Prof. Dr. Nazmiye Ebru ORTAÇ ERSOY</t>
        </is>
      </c>
      <c r="L271" s="9" t="inlineStr">
        <is>
          <t>ONAY</t>
        </is>
      </c>
      <c r="M271" s="9" t="n"/>
      <c r="N271" s="9" t="n"/>
      <c r="O271" s="66" t="n"/>
      <c r="P271" s="9" t="n"/>
      <c r="R271" s="95">
        <f>IF(AND(L271="", B271&lt;&gt;""), B271, "")</f>
        <v/>
      </c>
    </row>
    <row r="272" ht="110.25" customHeight="1" s="221">
      <c r="A272" s="5" t="inlineStr">
        <is>
          <t>271.</t>
        </is>
      </c>
      <c r="B272" s="6" t="inlineStr">
        <is>
          <t>SBA 26/271</t>
        </is>
      </c>
      <c r="C272" s="8" t="inlineStr">
        <is>
          <t>Dr. Öğr. Üyesi Gizem ÜREL DEMİR</t>
        </is>
      </c>
      <c r="D272" s="8" t="inlineStr">
        <is>
          <t>Çocuk Sağlığı ve Hastalıkları Anabilim Dalı</t>
        </is>
      </c>
      <c r="E272" s="7" t="inlineStr">
        <is>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is>
      </c>
      <c r="F272" s="7" t="inlineStr">
        <is>
          <t>“2015–2026 Yılları Arasında Tüm Ekzom Dizileme Uygulanan Hastaların Klinik ve Genetik Özelliklerinin Retrospektif Analizi: Tek Merkez Çalışması”</t>
        </is>
      </c>
      <c r="G272" s="13" t="inlineStr">
        <is>
          <t>Bireysel Araştırma</t>
        </is>
      </c>
      <c r="H272" s="54" t="n">
        <v>46090</v>
      </c>
      <c r="I272" s="52" t="n">
        <v>46098</v>
      </c>
      <c r="J272" s="8" t="inlineStr">
        <is>
          <t>Prof. Dr. Ayşe Nurten AKARSU</t>
        </is>
      </c>
      <c r="K272" s="8" t="inlineStr">
        <is>
          <t>Prof. Dr. Yavuz AYHAN</t>
        </is>
      </c>
      <c r="L272" s="9" t="inlineStr">
        <is>
          <t>ONAY</t>
        </is>
      </c>
      <c r="M272" s="9" t="n"/>
      <c r="N272" s="9" t="n"/>
      <c r="O272" s="66" t="n"/>
      <c r="P272" s="9" t="n"/>
      <c r="R272" s="95">
        <f>IF(AND(L272="", B272&lt;&gt;""), B272, "")</f>
        <v/>
      </c>
    </row>
    <row r="273" ht="82.5" customHeight="1" s="221">
      <c r="A273" s="5" t="inlineStr">
        <is>
          <t>272.</t>
        </is>
      </c>
      <c r="B273" s="6" t="inlineStr">
        <is>
          <t>SBA 26/272</t>
        </is>
      </c>
      <c r="C273" s="8" t="inlineStr">
        <is>
          <t>Prof. Dr. Yasemin ÖZSÜREKCİ</t>
        </is>
      </c>
      <c r="D273" s="8" t="inlineStr">
        <is>
          <t>Çocuk Sağlığı ve Hastalıkları Anabilim Dalı</t>
        </is>
      </c>
      <c r="E273" s="7" t="inlineStr">
        <is>
          <t>Üniversitemiz Tıp Fakültesi Çocuk Sağlığı ve Hastalıkları Anabilim Dalı öğretim üyelerinden Prof. Dr. Yasemin ÖZSÜREKCİ’nin sorumlu araştırmacı olduğu, Arş. Gör. Dr. Aylin Irmak KURUÇ ve Arş. Gör. Dr. İrem Nur İNGENÇ ile birlikte çalışacakları,</t>
        </is>
      </c>
      <c r="F273" s="7" t="inlineStr">
        <is>
          <t>“Bakteriyel Enfeksiyon Tanısı ile Hastane Yatışı Olan ve Tedavi Edilen Çocuk Hastaların Retrospektif olarak İncelenmesi, Risk Faktörlerinin Belirlenmesi”</t>
        </is>
      </c>
      <c r="G273" s="13" t="inlineStr">
        <is>
          <t>Bireysel Araştırma</t>
        </is>
      </c>
      <c r="H273" s="54" t="n">
        <v>46090</v>
      </c>
      <c r="I273" s="52" t="n">
        <v>46098</v>
      </c>
      <c r="J273" s="8" t="inlineStr">
        <is>
          <t>Doç. Dr. Kübra AYKAÇ</t>
        </is>
      </c>
      <c r="K273" s="8" t="inlineStr">
        <is>
          <t>Doç. Dr. Ekim GÜMELER</t>
        </is>
      </c>
      <c r="L273" s="9" t="inlineStr">
        <is>
          <t>ONAY</t>
        </is>
      </c>
      <c r="M273" s="9" t="n"/>
      <c r="N273" s="9" t="n"/>
      <c r="O273" s="66" t="n"/>
      <c r="P273" s="9" t="n"/>
      <c r="R273" s="95">
        <f>IF(AND(L273="", B273&lt;&gt;""), B273, "")</f>
        <v/>
      </c>
    </row>
    <row r="274" ht="63" customHeight="1" s="221">
      <c r="A274" s="5" t="inlineStr">
        <is>
          <t>273.</t>
        </is>
      </c>
      <c r="B274" s="6" t="inlineStr">
        <is>
          <t>SBA 26/273</t>
        </is>
      </c>
      <c r="C274" s="8" t="inlineStr">
        <is>
          <t>Prof. Dr. Burcu Balam DOĞU</t>
        </is>
      </c>
      <c r="D274" s="8" t="inlineStr">
        <is>
          <t>İç Hastalıkları Anabilim Dalı</t>
        </is>
      </c>
      <c r="E274" s="7" t="inlineStr">
        <is>
          <t>Üniversitemiz Tıp Fakültesi İç Hastalıkları Anabilim Dalı öğretim üyelerinden Prof. Dr. Burcu Balam DOĞU’nun sorumlu araştırmacı olduğu, Arş. Gör. Dr. Aybüke UYAR ile birlikte çalışacakları,</t>
        </is>
      </c>
      <c r="F274" s="7" t="inlineStr">
        <is>
          <t>“Sosyal İzolasyon ve Sosyal Ağ Ölçeğinin (SISN) Türkçe Geçerlik ve Güvenirlik Çalışması”</t>
        </is>
      </c>
      <c r="G274" s="13" t="inlineStr">
        <is>
          <t>Bireysel Araştırma</t>
        </is>
      </c>
      <c r="H274" s="54" t="n">
        <v>46094</v>
      </c>
      <c r="I274" s="52" t="n">
        <v>46112</v>
      </c>
      <c r="J274" s="8" t="n"/>
      <c r="K274" s="8" t="n"/>
      <c r="L274" s="9" t="n"/>
      <c r="M274" s="9" t="n"/>
      <c r="N274" s="9" t="n"/>
      <c r="O274" s="66" t="n"/>
      <c r="P274" s="9" t="n"/>
      <c r="R274" s="95">
        <f>IF(AND(L274="", B274&lt;&gt;""), B274, "")</f>
        <v/>
      </c>
    </row>
    <row r="275" ht="78.75" customHeight="1" s="221">
      <c r="A275" s="5" t="inlineStr">
        <is>
          <t>274.</t>
        </is>
      </c>
      <c r="B275" s="6" t="inlineStr">
        <is>
          <t>SBA 26/274</t>
        </is>
      </c>
      <c r="C275" s="8" t="inlineStr">
        <is>
          <t>Doç. Dr. Kübra AYKAÇ</t>
        </is>
      </c>
      <c r="D275" s="8" t="inlineStr">
        <is>
          <t>Çocuk Sağlığı ve Hastalıkları Anabilim Dalı</t>
        </is>
      </c>
      <c r="E275" s="7" t="inlineStr">
        <is>
          <t>Üniversitemiz Tıp Fakültesi Çocuk Sağlığı ve Hastalıkları Anabilim Dalı öğretim üyelerinden Doç. Dr. Kübra AYKAÇ’ın sorumlu araştırmacı olduğu, Arş. Gör. Dr. İrem Nur İNGENÇ ile birlikte çalışacakları,</t>
        </is>
      </c>
      <c r="F275" s="7" t="inlineStr">
        <is>
          <t>“Avrupa’daki Göçmen ve Mülteci Popülasyonlarında Sağlık Hizmetlerine Erişim ve Antibiyotik Kullanımını Değerlendirmeye Yönelik Dünya Sağlık Örgütü ile Uyumlu Bir Ölçüm Aracının Geliştirilmesi ve Doğrulanması (AdMiRE Çalışması)”</t>
        </is>
      </c>
      <c r="G275" s="13" t="inlineStr">
        <is>
          <t>Bireysel Araştırma</t>
        </is>
      </c>
      <c r="H275" s="54" t="n">
        <v>46094</v>
      </c>
      <c r="I275" s="52" t="n">
        <v>46112</v>
      </c>
      <c r="J275" s="8" t="n"/>
      <c r="K275" s="8" t="n"/>
      <c r="L275" s="9" t="n"/>
      <c r="M275" s="9" t="n"/>
      <c r="N275" s="9" t="n"/>
      <c r="O275" s="66" t="n"/>
      <c r="P275" s="9" t="n"/>
      <c r="R275" s="95">
        <f>IF(AND(L275="", B275&lt;&gt;""), B275, "")</f>
        <v/>
      </c>
    </row>
    <row r="276" ht="96" customHeight="1" s="221">
      <c r="A276" s="5" t="inlineStr">
        <is>
          <t>275.</t>
        </is>
      </c>
      <c r="B276" s="6" t="inlineStr">
        <is>
          <t>SBA 26/275</t>
        </is>
      </c>
      <c r="C276" s="8" t="inlineStr">
        <is>
          <t>Doç. Dr. Erdem FADILOĞLU</t>
        </is>
      </c>
      <c r="D276" s="8" t="inlineStr">
        <is>
          <t>Kadın Hastalıkları ve Doğum Anabilim Dalı</t>
        </is>
      </c>
      <c r="E276" s="7" t="inlineStr">
        <is>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is>
      </c>
      <c r="F276" s="7" t="inlineStr">
        <is>
          <t>“Preeklampsi Açısından Yüksek Riskli Gebelerde Mikrovasküler Değişiklik Takibi ile Preeklampsi Öngörüsü: Prospektif Gözlemsel Çalışma”</t>
        </is>
      </c>
      <c r="G276" s="13" t="inlineStr">
        <is>
          <t>Bireysel Araştırma</t>
        </is>
      </c>
      <c r="H276" s="54" t="n">
        <v>46094</v>
      </c>
      <c r="I276" s="52" t="n">
        <v>46112</v>
      </c>
      <c r="J276" s="8" t="n"/>
      <c r="K276" s="8" t="n"/>
      <c r="L276" s="9" t="n"/>
      <c r="M276" s="9" t="n"/>
      <c r="N276" s="9" t="n"/>
      <c r="O276" s="66" t="n"/>
      <c r="P276" s="9" t="n"/>
      <c r="R276" s="95">
        <f>IF(AND(L276="", B276&lt;&gt;""), B276, "")</f>
        <v/>
      </c>
    </row>
    <row r="277" ht="63" customHeight="1" s="221">
      <c r="A277" s="5" t="inlineStr">
        <is>
          <t>276.</t>
        </is>
      </c>
      <c r="B277" s="6" t="inlineStr">
        <is>
          <t>SBA 26/276</t>
        </is>
      </c>
      <c r="C277" s="8" t="inlineStr">
        <is>
          <t>Dr. Öğr. Üyesi Sefa Burak ÇAM</t>
        </is>
      </c>
      <c r="D277" s="8" t="inlineStr">
        <is>
          <t>Histoloji ve Embriyoloji Anabilim Dalı</t>
        </is>
      </c>
      <c r="E277" s="7" t="inlineStr">
        <is>
          <t>Üniversitemiz Tıp Fakültesi Histoloji ve Embriyoloji Anabilim Dalı öğretim üyelerinden Dr. Öğr. Üyesi Sefa Burak ÇAM’ın sorumlu araştırmacı olduğu, Arş. Gör. Dr. Fatma Ayça ÖYKEN’in uzmanlık tezi olan,</t>
        </is>
      </c>
      <c r="F277" s="7" t="inlineStr">
        <is>
          <t>“İnsan İntestinal Adenokanser Hücrelerinde Transforming Growth Faktör Beta ile İndüklenen Epitel Mezenkim Geçişinin Reseptör Endositozu ile İlişkisinin Değerlendirilmesi”</t>
        </is>
      </c>
      <c r="G277" s="13" t="inlineStr">
        <is>
          <t>Uzmanlık Tezi</t>
        </is>
      </c>
      <c r="H277" s="54" t="n">
        <v>46094</v>
      </c>
      <c r="I277" s="52" t="n">
        <v>46112</v>
      </c>
      <c r="J277" s="8" t="n"/>
      <c r="K277" s="8" t="n"/>
      <c r="L277" s="9" t="n"/>
      <c r="M277" s="9" t="n"/>
      <c r="N277" s="9" t="n"/>
      <c r="O277" s="66" t="n"/>
      <c r="P277" s="9" t="n"/>
      <c r="R277" s="95">
        <f>IF(AND(L277="", B277&lt;&gt;""), B277, "")</f>
        <v/>
      </c>
    </row>
    <row r="278" ht="78.75" customHeight="1" s="221">
      <c r="A278" s="5" t="inlineStr">
        <is>
          <t>277.</t>
        </is>
      </c>
      <c r="B278" s="6" t="inlineStr">
        <is>
          <t>SBA 26/277</t>
        </is>
      </c>
      <c r="C278" s="8" t="inlineStr">
        <is>
          <t>Doç. Dr. Fatma Gonca ELDEM</t>
        </is>
      </c>
      <c r="D278" s="8" t="inlineStr">
        <is>
          <t>Radyoloji Anabilim Dalı</t>
        </is>
      </c>
      <c r="E278" s="7" t="inlineStr">
        <is>
          <t>Üniversitemiz Tıp Fakültesi Radyoloji Anabilim Dalı öğretim üyelerinden Doç. Dr. Fatma Gonca ELDEM’in sorumlu araştırmacı olduğu, Doç. Dr. Ferdi ÇAY, Arş. Gör. Dr. Onur Ege TARI, Prof. Dr. Ömer DİZDAR ve Prof. Dr. Şuayib YALÇIN ile birlikte çalışacakları,</t>
        </is>
      </c>
      <c r="F278" s="7" t="inlineStr">
        <is>
          <t>“Hepatik Arterden İnfüzyon Kemoterapisinin Merkezimizdeki Teknik Başarı, Yaşam Süresine Etkisi, Komplikasyonları ve Mortalite ile Morbiditesi”</t>
        </is>
      </c>
      <c r="G278" s="13" t="inlineStr">
        <is>
          <t>Bireysel Araştırma</t>
        </is>
      </c>
      <c r="H278" s="54" t="n">
        <v>46094</v>
      </c>
      <c r="I278" s="52" t="n">
        <v>46112</v>
      </c>
      <c r="J278" s="8" t="n"/>
      <c r="K278" s="8" t="n"/>
      <c r="L278" s="9" t="n"/>
      <c r="M278" s="9" t="n"/>
      <c r="N278" s="9" t="n"/>
      <c r="O278" s="66" t="n"/>
      <c r="P278" s="9" t="n"/>
      <c r="R278" s="95">
        <f>IF(AND(L278="", B278&lt;&gt;""), B278, "")</f>
        <v/>
      </c>
    </row>
    <row r="279" ht="78.75" customHeight="1" s="221">
      <c r="A279" s="5" t="inlineStr">
        <is>
          <t>278.</t>
        </is>
      </c>
      <c r="B279" s="6" t="inlineStr">
        <is>
          <t>SBA 26/278</t>
        </is>
      </c>
      <c r="C279" s="8" t="inlineStr">
        <is>
          <t>Prof. Dr. İnci Nur SALTIK</t>
        </is>
      </c>
      <c r="D279" s="8" t="inlineStr">
        <is>
          <t>Çocuk Sağlığı ve Hastalıkları Anabilim Dalı</t>
        </is>
      </c>
      <c r="E279" s="7" t="inlineStr">
        <is>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is>
      </c>
      <c r="F279" s="7" t="inlineStr">
        <is>
          <t>“Tamamen Enteral Ürün ile Non-Oral Beslenen Hastaların Nutrisyonel Durumların Değerlendirilmesi”</t>
        </is>
      </c>
      <c r="G279" s="13" t="inlineStr">
        <is>
          <t>Bireysel Araştırma</t>
        </is>
      </c>
      <c r="H279" s="54" t="n">
        <v>46094</v>
      </c>
      <c r="I279" s="52" t="n">
        <v>46112</v>
      </c>
      <c r="J279" s="8" t="n"/>
      <c r="K279" s="8" t="n"/>
      <c r="L279" s="9" t="n"/>
      <c r="M279" s="9" t="n"/>
      <c r="N279" s="9" t="n"/>
      <c r="O279" s="66" t="n"/>
      <c r="P279" s="9" t="n"/>
      <c r="R279" s="95">
        <f>IF(AND(L279="", B279&lt;&gt;""), B279, "")</f>
        <v/>
      </c>
    </row>
    <row r="280" ht="94.5" customHeight="1" s="221">
      <c r="A280" s="5" t="inlineStr">
        <is>
          <t>279.</t>
        </is>
      </c>
      <c r="B280" s="6" t="inlineStr">
        <is>
          <t>SBA 26/279</t>
        </is>
      </c>
      <c r="C280" s="8" t="inlineStr">
        <is>
          <t>Doç. Dr. Hande GÖRÜCÜ COŞKUNER</t>
        </is>
      </c>
      <c r="D280" s="8" t="inlineStr">
        <is>
          <t>Ortodonti Anabilim Dalı</t>
        </is>
      </c>
      <c r="E280" s="7" t="inlineStr">
        <is>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is>
      </c>
      <c r="F280" s="7" t="inlineStr">
        <is>
          <t>“Şeffaf Plak Tedavisi Gören Bireylerde Ataşman ve Diş Renginin Ağız İçi Tarayıcı Kullanılarak Değerlendirilmesi”</t>
        </is>
      </c>
      <c r="G280" s="13" t="inlineStr">
        <is>
          <t>Bireysel Araştırma</t>
        </is>
      </c>
      <c r="H280" s="54" t="n">
        <v>46094</v>
      </c>
      <c r="I280" s="52" t="n">
        <v>46112</v>
      </c>
      <c r="J280" s="8" t="n"/>
      <c r="K280" s="8" t="n"/>
      <c r="L280" s="9" t="n"/>
      <c r="M280" s="9" t="n"/>
      <c r="N280" s="9" t="n"/>
      <c r="O280" s="66" t="n"/>
      <c r="P280" s="9" t="n"/>
      <c r="R280" s="95">
        <f>IF(AND(L280="", B280&lt;&gt;""), B280, "")</f>
        <v/>
      </c>
    </row>
    <row r="281" ht="78.75" customHeight="1" s="221">
      <c r="A281" s="5" t="inlineStr">
        <is>
          <t>280.</t>
        </is>
      </c>
      <c r="B281" s="6" t="inlineStr">
        <is>
          <t>SBA 26/280</t>
        </is>
      </c>
      <c r="C281" s="8" t="inlineStr">
        <is>
          <t>Prof. Dr. Özgür UĞURLUOĞLU</t>
        </is>
      </c>
      <c r="D281" s="8" t="inlineStr">
        <is>
          <t>Sağlık Yönetimi Anabilim Dalı</t>
        </is>
      </c>
      <c r="E281" s="7" t="inlineStr">
        <is>
          <t>Üniversitemiz İktisadi ve İdari Bilimler Fakültesi Sağlık Yönetimi Anabilim Dalı öğretim üyelerinden Prof. Dr. Özgür UĞURLUOĞLU’nun sorumlu araştırmacı olduğu, Doç. Dr. Ahmet KARAYİĞİT, Hem. Gamze CEBECİ ve Arş. Gör. Kübra SÜTCÜ’nün doktora tezi olan,</t>
        </is>
      </c>
      <c r="F281" s="7" t="inlineStr">
        <is>
          <t>“Gastrektomi Cerrahisinde ERAS Protokolüne Uyumun Postoperatif Sonuçlara Etkisi”</t>
        </is>
      </c>
      <c r="G281" s="13" t="inlineStr">
        <is>
          <t>Doktora Tezi</t>
        </is>
      </c>
      <c r="H281" s="54" t="n">
        <v>46094</v>
      </c>
      <c r="I281" s="52" t="n">
        <v>46112</v>
      </c>
      <c r="J281" s="8" t="n"/>
      <c r="K281" s="8" t="n"/>
      <c r="L281" s="9" t="n"/>
      <c r="M281" s="9" t="n"/>
      <c r="N281" s="9" t="n"/>
      <c r="O281" s="66" t="n"/>
      <c r="P281" s="9" t="n"/>
      <c r="R281" s="95">
        <f>IF(AND(L281="", B281&lt;&gt;""), B281, "")</f>
        <v/>
      </c>
    </row>
    <row r="282" ht="47.25" customHeight="1" s="221">
      <c r="A282" s="5" t="inlineStr">
        <is>
          <t>281.</t>
        </is>
      </c>
      <c r="B282" s="6" t="inlineStr">
        <is>
          <t>SBA 26/281</t>
        </is>
      </c>
      <c r="C282" s="8" t="inlineStr">
        <is>
          <t>Doç. Dr. Hilal AKSOY</t>
        </is>
      </c>
      <c r="D282" s="8" t="inlineStr">
        <is>
          <t>Aile Hekimliği Anabilim Dalı</t>
        </is>
      </c>
      <c r="E282" s="7" t="inlineStr">
        <is>
          <t>Üniversitemiz Tıp Fakültesi Aile Hekimliği Anabilim Dalı öğretim üyelerinden Doç. Dr. Hilal AKSOY’un sorumlu araştırmacı olduğu, Arş. Gör. Dr. Murat Can ÖNDER’in  uzmanlık tezi olan,</t>
        </is>
      </c>
      <c r="F282" s="7" t="inlineStr">
        <is>
          <t>“Türkiye’de Aile Hekimlerinin Çevre Sağlık Okuryazarlık Düzeyleri: Tanımlayıcı Çalışma”</t>
        </is>
      </c>
      <c r="G282" s="13" t="inlineStr">
        <is>
          <t>Uzmanlık Tezi</t>
        </is>
      </c>
      <c r="H282" s="54" t="n">
        <v>46094</v>
      </c>
      <c r="I282" s="52" t="n">
        <v>46112</v>
      </c>
      <c r="J282" s="8" t="n"/>
      <c r="K282" s="8" t="n"/>
      <c r="L282" s="9" t="n"/>
      <c r="M282" s="9" t="n"/>
      <c r="N282" s="9" t="n"/>
      <c r="O282" s="66" t="n"/>
      <c r="P282" s="9" t="n"/>
      <c r="R282" s="95">
        <f>IF(AND(L282="", B282&lt;&gt;""), B282, "")</f>
        <v/>
      </c>
    </row>
    <row r="283" ht="47.25" customHeight="1" s="221">
      <c r="A283" s="5" t="inlineStr">
        <is>
          <t>282.</t>
        </is>
      </c>
      <c r="B283" s="6" t="inlineStr">
        <is>
          <t>SBA 26/282</t>
        </is>
      </c>
      <c r="C283" s="8" t="inlineStr">
        <is>
          <t>Prof. Dr. Taylan KAV</t>
        </is>
      </c>
      <c r="D283" s="8" t="inlineStr">
        <is>
          <t>İç Hastalıkları Anabilim Dalı</t>
        </is>
      </c>
      <c r="E283" s="7" t="inlineStr">
        <is>
          <t>Üniversitemiz Tıp Fakültesi İç Hastalıkları Anabilim Dalı öğretim üyelerinden Prof. Dr. Taylan KAV’ın sorumlu araştırmacı olduğu, Arş. Gör. Dr. Kübra GÜNGÖR'ün  uzmanlık tezi olan,</t>
        </is>
      </c>
      <c r="F283" s="7" t="inlineStr">
        <is>
          <t>“Remisyondaki İnflamatuar Bağırsak Hastalarında İrritabl Bağırsak Sendromu Sıklığı ve İlişkili Faktörlerin Değerlendirilmesi”</t>
        </is>
      </c>
      <c r="G283" s="13" t="inlineStr">
        <is>
          <t>Uzmanlık Tezi</t>
        </is>
      </c>
      <c r="H283" s="54" t="n">
        <v>46097</v>
      </c>
      <c r="I283" s="52" t="n">
        <v>46112</v>
      </c>
      <c r="J283" s="8" t="n"/>
      <c r="K283" s="8" t="n"/>
      <c r="L283" s="9" t="n"/>
      <c r="M283" s="9" t="n"/>
      <c r="N283" s="9" t="n"/>
      <c r="O283" s="66" t="n"/>
      <c r="P283" s="9" t="n"/>
      <c r="R283" s="95">
        <f>IF(AND(L283="", B283&lt;&gt;""), B283, "")</f>
        <v/>
      </c>
    </row>
    <row r="284" ht="78.75" customHeight="1" s="221">
      <c r="A284" s="5" t="inlineStr">
        <is>
          <t>283.</t>
        </is>
      </c>
      <c r="B284" s="6" t="inlineStr">
        <is>
          <t>SBA 26/283</t>
        </is>
      </c>
      <c r="C284" s="8" t="inlineStr">
        <is>
          <t>Prof. Dr. Gül KARAKAYA</t>
        </is>
      </c>
      <c r="D284" s="8" t="inlineStr">
        <is>
          <t>Göğüs Hastalıkları Anabilim Dalı</t>
        </is>
      </c>
      <c r="E284" s="7" t="inlineStr">
        <is>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is>
      </c>
      <c r="F284" s="7" t="inlineStr">
        <is>
          <t>“Yaygın Değişken İmmün Yetmezlik Hastalarında Lenfoproliferasyon ile İmmün Fenotipik Özelliklerin İlişkisi”</t>
        </is>
      </c>
      <c r="G284" s="13" t="inlineStr">
        <is>
          <t>Bireysel Araştırma</t>
        </is>
      </c>
      <c r="H284" s="54" t="n">
        <v>46097</v>
      </c>
      <c r="I284" s="52" t="n">
        <v>46112</v>
      </c>
      <c r="J284" s="8" t="n"/>
      <c r="K284" s="8" t="n"/>
      <c r="L284" s="9" t="n"/>
      <c r="M284" s="9" t="n"/>
      <c r="N284" s="9" t="n"/>
      <c r="O284" s="66" t="n"/>
      <c r="P284" s="9" t="n"/>
      <c r="R284" s="95">
        <f>IF(AND(L284="", B284&lt;&gt;""), B284, "")</f>
        <v/>
      </c>
    </row>
    <row r="285" ht="63" customHeight="1" s="221">
      <c r="A285" s="5" t="inlineStr">
        <is>
          <t>284.</t>
        </is>
      </c>
      <c r="B285" s="6" t="inlineStr">
        <is>
          <t>SBA 26/284</t>
        </is>
      </c>
      <c r="C285" s="8" t="inlineStr">
        <is>
          <t>Prof. Dr. Zafer Selçuk TUNCER</t>
        </is>
      </c>
      <c r="D285" s="8" t="inlineStr">
        <is>
          <t>Kadın Hastalıkları ve Doğum Anabilim Dalı</t>
        </is>
      </c>
      <c r="E285" s="7" t="inlineStr">
        <is>
          <t>Üniversitemiz Tıp Fakültesi Kadın Hastalıkları ve Doğum Anabilim Dalı öğretim üyelerinden Prof. Dr. Zafer Selçuk TUNCER’in sorumlu araştırmacı olduğu, Dr. Burcu SOYAK ÜNAL ile birlikte çalışacakları,</t>
        </is>
      </c>
      <c r="F285" s="7" t="inlineStr">
        <is>
          <t>“BRCA Mutasyon Pozitif Hastalarda Risk Azaltıcı Jinekolojik Cerrahi Uygulamalarının Klinik ve Histopatolojik Sonuçları: Retrospektif Bir Analiz”</t>
        </is>
      </c>
      <c r="G285" s="13" t="inlineStr">
        <is>
          <t>Bireysel Araştırma</t>
        </is>
      </c>
      <c r="H285" s="54" t="n">
        <v>46097</v>
      </c>
      <c r="I285" s="52" t="n">
        <v>46112</v>
      </c>
      <c r="J285" s="8" t="n"/>
      <c r="K285" s="8" t="n"/>
      <c r="L285" s="9" t="n"/>
      <c r="M285" s="9" t="n"/>
      <c r="N285" s="9" t="n"/>
      <c r="O285" s="66" t="n"/>
      <c r="P285" s="9" t="n"/>
      <c r="R285" s="95">
        <f>IF(AND(L285="", B285&lt;&gt;""), B285, "")</f>
        <v/>
      </c>
    </row>
    <row r="286" ht="47.25" customHeight="1" s="221">
      <c r="A286" s="5" t="inlineStr">
        <is>
          <t>285.</t>
        </is>
      </c>
      <c r="B286" s="6" t="inlineStr">
        <is>
          <t>SBA 26/285</t>
        </is>
      </c>
      <c r="C286" s="8" t="inlineStr">
        <is>
          <t>Doç. Dr. Ezgi ATİK</t>
        </is>
      </c>
      <c r="D286" s="8" t="inlineStr">
        <is>
          <t>Ortodonti Anabilim Dalı</t>
        </is>
      </c>
      <c r="E286" s="7" t="inlineStr">
        <is>
          <t>Üniversitemiz Diş Hekimliği Fakültesi Ortodonti Anabilim Dalı öğretim üyelerinden Doç. Dr. Ezgi ATİK’in sorumlu araştırmacı olduğu, Arş. Gör. Dt. Burak ŞANLI ile birlikte çalışacakları,</t>
        </is>
      </c>
      <c r="F286" s="7" t="inlineStr">
        <is>
          <t>“Sınıf II Subdivizyon Olgularında Maksiller Posterior Diş Angulasyonlarının Panoramik Radyografiler Üzerinde Sağ-Sol Karşılaştırmalı Analizi”</t>
        </is>
      </c>
      <c r="G286" s="13" t="inlineStr">
        <is>
          <t>Bireysel Araştırma</t>
        </is>
      </c>
      <c r="H286" s="54" t="n">
        <v>46097</v>
      </c>
      <c r="I286" s="52" t="n">
        <v>46112</v>
      </c>
      <c r="J286" s="8" t="n"/>
      <c r="K286" s="8" t="n"/>
      <c r="L286" s="9" t="n"/>
      <c r="M286" s="9" t="n"/>
      <c r="N286" s="9" t="n"/>
      <c r="O286" s="66" t="n"/>
      <c r="P286" s="9" t="n"/>
      <c r="R286" s="95">
        <f>IF(AND(L286="", B286&lt;&gt;""), B286, "")</f>
        <v/>
      </c>
    </row>
    <row r="287" ht="78.75" customHeight="1" s="221">
      <c r="A287" s="5" t="inlineStr">
        <is>
          <t>286.</t>
        </is>
      </c>
      <c r="B287" s="6" t="inlineStr">
        <is>
          <t>SBA 26/286</t>
        </is>
      </c>
      <c r="C287" s="8" t="inlineStr">
        <is>
          <t>Prof. Dr. Gül KARAKAYA</t>
        </is>
      </c>
      <c r="D287" s="8" t="inlineStr">
        <is>
          <t>Göğüs Hastalıkları Anabilim Dalı</t>
        </is>
      </c>
      <c r="E287" s="7" t="inlineStr">
        <is>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is>
      </c>
      <c r="F287" s="7" t="inlineStr">
        <is>
          <t>“Erişkin Primer İmmün Yetmezlik Hastalarında Otoimmün Hemolitik Anemi Olgularının İncelenmesi”</t>
        </is>
      </c>
      <c r="G287" s="13" t="inlineStr">
        <is>
          <t>Bireysel Araştırma</t>
        </is>
      </c>
      <c r="H287" s="54" t="n">
        <v>46097</v>
      </c>
      <c r="I287" s="52" t="n">
        <v>46112</v>
      </c>
      <c r="J287" s="8" t="n"/>
      <c r="K287" s="8" t="n"/>
      <c r="L287" s="9" t="n"/>
      <c r="M287" s="9" t="n"/>
      <c r="N287" s="9" t="n"/>
      <c r="O287" s="66" t="n"/>
      <c r="P287" s="9" t="n"/>
      <c r="R287" s="95">
        <f>IF(AND(L287="", B287&lt;&gt;""), B287, "")</f>
        <v/>
      </c>
    </row>
    <row r="288" ht="129.75" customHeight="1" s="221">
      <c r="A288" s="5" t="inlineStr">
        <is>
          <t>287.</t>
        </is>
      </c>
      <c r="B288" s="6" t="inlineStr">
        <is>
          <t>SBA 26/287</t>
        </is>
      </c>
      <c r="C288" s="8" t="inlineStr">
        <is>
          <t>Prof. Dr. Fatma Visal OKUR</t>
        </is>
      </c>
      <c r="D288" s="8" t="inlineStr">
        <is>
          <t>Çocuk Sağlığı ve Hastalıkları Anabilim Dalı</t>
        </is>
      </c>
      <c r="E288" s="7" t="inlineStr">
        <is>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is>
      </c>
      <c r="F288" s="7" t="inlineStr">
        <is>
          <t>“Pediatrik Hematopoietik Kök Hücre Transplantasyonunda Sitomegalovirüs Enfeksiyonunun Transplantasyon Sonuçlarına Etkisinin Değerlendirilmesi”</t>
        </is>
      </c>
      <c r="G288" s="13" t="inlineStr">
        <is>
          <t>Bireysel Araştırma</t>
        </is>
      </c>
      <c r="H288" s="54" t="n">
        <v>46097</v>
      </c>
      <c r="I288" s="52" t="n">
        <v>46112</v>
      </c>
      <c r="J288" s="8" t="n"/>
      <c r="K288" s="8" t="n"/>
      <c r="L288" s="9" t="n"/>
      <c r="M288" s="9" t="n"/>
      <c r="N288" s="9" t="n"/>
      <c r="O288" s="66" t="n"/>
      <c r="P288" s="9" t="n"/>
      <c r="R288" s="95">
        <f>IF(AND(L288="", B288&lt;&gt;""), B288, "")</f>
        <v/>
      </c>
    </row>
    <row r="289" ht="63" customHeight="1" s="221">
      <c r="A289" s="5" t="inlineStr">
        <is>
          <t>288.</t>
        </is>
      </c>
      <c r="B289" s="6" t="inlineStr">
        <is>
          <t>SBA 26/288</t>
        </is>
      </c>
      <c r="C289" s="8" t="inlineStr">
        <is>
          <t>Prof. Dr. Özlem TEKŞAM</t>
        </is>
      </c>
      <c r="D289" s="8" t="inlineStr">
        <is>
          <t>Çocuk Sağlığı ve Hastalıkları Anabilim Dalı</t>
        </is>
      </c>
      <c r="E289" s="7" t="inlineStr">
        <is>
          <t>Üniversitemiz Tıp Fakültesi Çocuk Sağlığı ve Hastalıkları Anabilim Dalı öğretim üyelerinden Prof. Dr. Özlem TEKŞAM’ın sorumlu araştırmacı olduğu, Arş. Gör. Dr. Eylül Nazlı SUNGUR ile birlikte çalışacakları,</t>
        </is>
      </c>
      <c r="F289" s="7" t="inlineStr">
        <is>
          <t>“Ailevi Akdeniz Ateşi Tanılı Çocukların Karın Ağrısı ile Acil Servise Başvurularında Saptanan Cerrahi Nedenlerin İncelenmesi"</t>
        </is>
      </c>
      <c r="G289" s="13" t="inlineStr">
        <is>
          <t>Bireysel Araştırma</t>
        </is>
      </c>
      <c r="H289" s="54" t="n">
        <v>46097</v>
      </c>
      <c r="I289" s="52" t="n">
        <v>46112</v>
      </c>
      <c r="J289" s="8" t="n"/>
      <c r="K289" s="8" t="n"/>
      <c r="L289" s="9" t="n"/>
      <c r="M289" s="9" t="n"/>
      <c r="N289" s="9" t="n"/>
      <c r="O289" s="66" t="n"/>
      <c r="P289" s="9" t="n"/>
      <c r="R289" s="95">
        <f>IF(AND(L289="", B289&lt;&gt;""), B289, "")</f>
        <v/>
      </c>
    </row>
    <row r="290" ht="63" customHeight="1" s="221">
      <c r="A290" s="5" t="inlineStr">
        <is>
          <t>289.</t>
        </is>
      </c>
      <c r="B290" s="6" t="inlineStr">
        <is>
          <t>SBA 26/289</t>
        </is>
      </c>
      <c r="C290" s="8" t="inlineStr">
        <is>
          <t>Doç. Dr. İrem KOÇ</t>
        </is>
      </c>
      <c r="D290" s="8" t="inlineStr">
        <is>
          <t>Göz Hastalıkları Anabilim Dalı</t>
        </is>
      </c>
      <c r="E290" s="7" t="inlineStr">
        <is>
          <t>Üniversitemiz Tıp Fakültesi Göz Hastalıkları Anabilim Dalı öğretim üyelerinden Doç. Dr. İrem KOÇ'un sorumlu araştırmacı olduğu, Prof. Dr. Hayyam KIRATLI ve Arş. Gör. Dr. Onur BATMAZ ile birlikte çalışacakları,</t>
        </is>
      </c>
      <c r="F290" s="7" t="inlineStr">
        <is>
          <t>“Retinoblastomlu Hastalarda Enükleasyon Öncesi ve Sonrası Sistemik İnflamatuar Parametrelerin Değişimi”</t>
        </is>
      </c>
      <c r="G290" s="13" t="inlineStr">
        <is>
          <t>Bireysel Araştırma</t>
        </is>
      </c>
      <c r="H290" s="54" t="n">
        <v>46097</v>
      </c>
      <c r="I290" s="52" t="n">
        <v>46112</v>
      </c>
      <c r="J290" s="8" t="n"/>
      <c r="K290" s="8" t="n"/>
      <c r="L290" s="9" t="n"/>
      <c r="M290" s="9" t="n"/>
      <c r="N290" s="9" t="n"/>
      <c r="O290" s="66" t="n"/>
      <c r="P290" s="9" t="n"/>
      <c r="R290" s="95">
        <f>IF(AND(L290="", B290&lt;&gt;""), B290, "")</f>
        <v/>
      </c>
    </row>
    <row r="291" ht="78.75" customHeight="1" s="221">
      <c r="A291" s="5" t="inlineStr">
        <is>
          <t>290.</t>
        </is>
      </c>
      <c r="B291" s="6" t="inlineStr">
        <is>
          <t>SBA 26/290</t>
        </is>
      </c>
      <c r="C291" s="8" t="inlineStr">
        <is>
          <t>Dr. Öğr. Üyesi Arda ÇETİNKAYA</t>
        </is>
      </c>
      <c r="D291" s="8" t="inlineStr">
        <is>
          <t>Tıbbi Genetik Anabilim Dalı</t>
        </is>
      </c>
      <c r="E291" s="7" t="inlineStr">
        <is>
          <t>Üniversitemiz Tıp Fakültesi Tıbbi Genetik Anabilim Dalı öğretim üyelerinden Dr. Öğr. Üyesi Arda ÇETİNKAYA’nın sorumlu araştırmacı olduğu, Prof. Dr. Neşe DERİCİOĞLU ile birlikte çalışacakları ve Arş. Gör. Dr. Hatice GÜNDOĞAN’ın uzmanlık tezi olan,</t>
        </is>
      </c>
      <c r="F291" s="7" t="inlineStr">
        <is>
          <t>“Ailesel Epilepsilerde Genetik Nedenlerin Araştırılması”</t>
        </is>
      </c>
      <c r="G291" s="13" t="inlineStr">
        <is>
          <t>Uzmanlık Tezi</t>
        </is>
      </c>
      <c r="H291" s="54" t="n">
        <v>46097</v>
      </c>
      <c r="I291" s="52" t="n">
        <v>46112</v>
      </c>
      <c r="J291" s="8" t="n"/>
      <c r="K291" s="8" t="n"/>
      <c r="L291" s="9" t="n"/>
      <c r="M291" s="9" t="n"/>
      <c r="N291" s="9" t="n"/>
      <c r="O291" s="66" t="n"/>
      <c r="P291" s="9" t="n"/>
      <c r="R291" s="95">
        <f>IF(AND(L291="", B291&lt;&gt;""), B291, "")</f>
        <v/>
      </c>
    </row>
    <row r="292" ht="63" customHeight="1" s="221">
      <c r="A292" s="5" t="inlineStr">
        <is>
          <t>291.</t>
        </is>
      </c>
      <c r="B292" s="6" t="inlineStr">
        <is>
          <t>SBA 26/291</t>
        </is>
      </c>
      <c r="C292" s="8" t="inlineStr">
        <is>
          <t>Arş. Gör. Dr. Tuğçe TAŞKINDERE ABBASOĞLU</t>
        </is>
      </c>
      <c r="D292" s="8" t="inlineStr">
        <is>
          <t>Anatomi Anabilim Dalı</t>
        </is>
      </c>
      <c r="E292" s="7" t="inlineStr">
        <is>
          <t>Üniversitemiz Tıp Fakültesi Anatomi Anabilim Dalı öğretim elemanlarından Arş. Gör. Dr. Tuğçe TAŞKINDERE ABBASOĞLU’nun sorumlu araştırmacı olduğu, Prof. Dr. Muşturay KARÇAALTINCABA ile birlikte çalışacakları,</t>
        </is>
      </c>
      <c r="F292" s="7" t="inlineStr">
        <is>
          <t>“Arteria Phrenica Inferior Anatomisisn Radyolojik Olarak İncelenmesi”</t>
        </is>
      </c>
      <c r="G292" s="13" t="inlineStr">
        <is>
          <t>Bireysel Araştırma</t>
        </is>
      </c>
      <c r="H292" s="54" t="n">
        <v>46097</v>
      </c>
      <c r="I292" s="52" t="n">
        <v>46112</v>
      </c>
      <c r="J292" s="8" t="n"/>
      <c r="K292" s="8" t="n"/>
      <c r="L292" s="9" t="n"/>
      <c r="M292" s="9" t="n"/>
      <c r="N292" s="9" t="n"/>
      <c r="O292" s="66" t="n"/>
      <c r="P292" s="9" t="n"/>
      <c r="R292" s="95">
        <f>IF(AND(L292="", B292&lt;&gt;""), B292, "")</f>
        <v/>
      </c>
    </row>
    <row r="293" ht="78.75" customHeight="1" s="221">
      <c r="A293" s="5" t="inlineStr">
        <is>
          <t>292.</t>
        </is>
      </c>
      <c r="B293" s="6" t="inlineStr">
        <is>
          <t>SBA 26/292</t>
        </is>
      </c>
      <c r="C293" s="8" t="inlineStr">
        <is>
          <t>Prof. Dr. Emel UZUNOĞLU ÖZYÜREK</t>
        </is>
      </c>
      <c r="D293" s="8" t="inlineStr">
        <is>
          <t>Endodonti Anabilim Dalı</t>
        </is>
      </c>
      <c r="E293" s="7" t="inlineStr">
        <is>
          <t>Üniversitemiz Diş Hekimliği Fakültesi Endodonti Anabilim Dalı öğretim üyelerinden Prof. Dr. Emel UZUNOĞLU ÖZYÜREK’in sorumlu araştırmacı olduğu, Arş. Gör. Dt. Mahi ERASLAN EREN, Arş. Gör. Dt. Deniz İrem MAVİ, Arş. Gör. Dt. İsmihan PİŞKİN ile birlikte çalışacakları,</t>
        </is>
      </c>
      <c r="F293" s="7" t="inlineStr">
        <is>
          <t>“Kök Kanalında Mevcut Olan Farklı Fazdaki Gütaperkanın ve Farklı Termal Özelliklerdeki Nikel Titanyum Eğelerin Kimlik Tespitindeki Rolü”</t>
        </is>
      </c>
      <c r="G293" s="13" t="inlineStr">
        <is>
          <t>Bireysel Araştırma</t>
        </is>
      </c>
      <c r="H293" s="54" t="n">
        <v>46097</v>
      </c>
      <c r="I293" s="52" t="n">
        <v>46112</v>
      </c>
      <c r="J293" s="8" t="n"/>
      <c r="K293" s="8" t="n"/>
      <c r="L293" s="9" t="n"/>
      <c r="M293" s="9" t="n"/>
      <c r="N293" s="9" t="n"/>
      <c r="O293" s="66" t="n"/>
      <c r="P293" s="9" t="n"/>
      <c r="R293" s="95">
        <f>IF(AND(L293="", B293&lt;&gt;""), B293, "")</f>
        <v/>
      </c>
    </row>
    <row r="294" ht="63" customHeight="1" s="221">
      <c r="A294" s="5" t="inlineStr">
        <is>
          <t>293.</t>
        </is>
      </c>
      <c r="B294" s="6" t="inlineStr">
        <is>
          <t>SBA 26/293</t>
        </is>
      </c>
      <c r="C294" s="8" t="inlineStr">
        <is>
          <t>Prof. Dr. Devrim AKDEMİR</t>
        </is>
      </c>
      <c r="D294" s="8" t="inlineStr">
        <is>
          <t>Çocuk ve Ergen Ruh Sağlığı ve Hastalıkları Anabilim Dalı</t>
        </is>
      </c>
      <c r="E294" s="7" t="inlineStr">
        <is>
          <t>Üniversitemiz Tıp Fakültesi Çocuk ve Ergen Ruh Sağlığı ve Hastalıkları Anabilim Dalı öğretim üyelerinden Prof. Dr. Devrim AKDEMİR’in sorumlu araştırmacı olduğu, Arş. Gör. Dr. Şahabettin KALI’ın uzmanlık tezi olan,</t>
        </is>
      </c>
      <c r="F294" s="7" t="inlineStr">
        <is>
          <t>“Ergenlerde Mizaç ve Ebeveyn Tutumları ile Sosyal Kaygı Arasındaki İlişkide Erken Dönem Uyumsuz Şemaların Aracı Rolünün İncelenmesi”</t>
        </is>
      </c>
      <c r="G294" s="13" t="inlineStr">
        <is>
          <t>Uzmanlık Tezi</t>
        </is>
      </c>
      <c r="H294" s="54" t="n">
        <v>46097</v>
      </c>
      <c r="I294" s="52" t="n">
        <v>46112</v>
      </c>
      <c r="J294" s="8" t="n"/>
      <c r="K294" s="8" t="n"/>
      <c r="L294" s="9" t="n"/>
      <c r="M294" s="9" t="n"/>
      <c r="N294" s="9" t="n"/>
      <c r="O294" s="66" t="n"/>
      <c r="P294" s="9" t="n"/>
      <c r="R294" s="95">
        <f>IF(AND(L294="", B294&lt;&gt;""), B294, "")</f>
        <v/>
      </c>
    </row>
    <row r="295" ht="63" customHeight="1" s="221">
      <c r="A295" s="5" t="inlineStr">
        <is>
          <t>294.</t>
        </is>
      </c>
      <c r="B295" s="6" t="inlineStr">
        <is>
          <t>SBA 26/294</t>
        </is>
      </c>
      <c r="C295" s="8" t="inlineStr">
        <is>
          <t>Dr. Öğr. Üyesi Onur İNCE</t>
        </is>
      </c>
      <c r="D295" s="8" t="inlineStr">
        <is>
          <t>Kadın Hastalıkları ve Doğum Anabilim Dalı</t>
        </is>
      </c>
      <c r="E295" s="7" t="inlineStr">
        <is>
          <t>Üniversitemiz Tıp Fakültesi Kadın Hastalıkları ve Doğum Anabilim Dalı öğretim üyelerinden Dr. Öğr. Üyesi Onur İNCE’nin sorumlu araştırmacı olduğu, Arş. Gör. Dr. Beste Özge ÖZGEN’nin uzmanlık tezi olan,</t>
        </is>
      </c>
      <c r="F295" s="7" t="inlineStr">
        <is>
          <t>“Gonadotropin Salgılatıcı Hormon (GnRH) Agonist Tetiklemesi Uygulanan In-Vitro Fertilizasyon (IVF) Sikluslarında Oosit Verimi ve Oosit Maturasyonunu Belirleyen Faktörler”</t>
        </is>
      </c>
      <c r="G295" s="13" t="inlineStr">
        <is>
          <t>Uzmanlık Tezi</t>
        </is>
      </c>
      <c r="H295" s="54" t="n">
        <v>46097</v>
      </c>
      <c r="I295" s="52" t="n">
        <v>46112</v>
      </c>
      <c r="J295" s="8" t="n"/>
      <c r="K295" s="8" t="n"/>
      <c r="L295" s="9" t="n"/>
      <c r="M295" s="9" t="n"/>
      <c r="N295" s="9" t="n"/>
      <c r="O295" s="66" t="n"/>
      <c r="P295" s="9" t="n"/>
      <c r="R295" s="95">
        <f>IF(AND(L295="", B295&lt;&gt;""), B295, "")</f>
        <v/>
      </c>
    </row>
    <row r="296" ht="94.5" customHeight="1" s="221">
      <c r="A296" s="5" t="inlineStr">
        <is>
          <t>295.</t>
        </is>
      </c>
      <c r="B296" s="6" t="inlineStr">
        <is>
          <t>SBA 26/295</t>
        </is>
      </c>
      <c r="C296" s="8" t="inlineStr">
        <is>
          <t>Öğr. Gör. Dr. Berrin BABAOĞLU</t>
        </is>
      </c>
      <c r="D296" s="8" t="inlineStr">
        <is>
          <t>Tıbbi Patoloji Anabilim Dalı</t>
        </is>
      </c>
      <c r="E296" s="7" t="inlineStr">
        <is>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is>
      </c>
      <c r="F296" s="7" t="inlineStr">
        <is>
          <t>“Enükleasyon Uygulanmış Uveal Melanomlarda Sitogenetik, İmmunohistokimyasal ve Dijital Patoloji Bulgularının Klinikopatolojik Parametreler ve Metastaz Riski ile İlişkisinin Değerlendirilmesi”</t>
        </is>
      </c>
      <c r="G296" s="13" t="inlineStr">
        <is>
          <t>Uzmanlık Tezi</t>
        </is>
      </c>
      <c r="H296" s="54" t="n">
        <v>46097</v>
      </c>
      <c r="I296" s="52" t="n">
        <v>46112</v>
      </c>
      <c r="J296" s="8" t="n"/>
      <c r="K296" s="8" t="n"/>
      <c r="L296" s="9" t="n"/>
      <c r="M296" s="9" t="n"/>
      <c r="N296" s="9" t="n"/>
      <c r="O296" s="66" t="n"/>
      <c r="P296" s="9" t="n"/>
      <c r="R296" s="95">
        <f>IF(AND(L296="", B296&lt;&gt;""), B296, "")</f>
        <v/>
      </c>
    </row>
    <row r="297" ht="63" customHeight="1" s="221">
      <c r="A297" s="5" t="inlineStr">
        <is>
          <t>296.</t>
        </is>
      </c>
      <c r="B297" s="6" t="inlineStr">
        <is>
          <t>SBA 26/296</t>
        </is>
      </c>
      <c r="C297" s="8" t="inlineStr">
        <is>
          <t>Prof. Dr. Hakan GÖKER</t>
        </is>
      </c>
      <c r="D297" s="8" t="inlineStr">
        <is>
          <t>İç Hastalıkları Anabilim Dalı</t>
        </is>
      </c>
      <c r="E297" s="7" t="inlineStr">
        <is>
          <t>Üniversitemiz Tıp Fakültesi İç Hastalıkları Anabilim Dalı öğretim üyelerinden Prof. Dr. Hakan GÖKER’in sorumlu araştırmacı olduğu, Doç. Dr. Elifcan ALADAĞ KARAKULAK ile birlikte çalışacakları,</t>
        </is>
      </c>
      <c r="F297" s="7" t="inlineStr">
        <is>
          <t>“Allojenik Hematopoetik Kök Hücre Nakli Yapılan Hastaların Uzun Dönem Takip Sonuçlarının Değerlendirilmesi”</t>
        </is>
      </c>
      <c r="G297" s="13" t="inlineStr">
        <is>
          <t>Bireysel Araştırma</t>
        </is>
      </c>
      <c r="H297" s="54" t="n">
        <v>46097</v>
      </c>
      <c r="I297" s="52" t="n">
        <v>46112</v>
      </c>
      <c r="J297" s="8" t="n"/>
      <c r="K297" s="8" t="n"/>
      <c r="L297" s="9" t="n"/>
      <c r="M297" s="9" t="n"/>
      <c r="N297" s="9" t="n"/>
      <c r="O297" s="66" t="n"/>
      <c r="P297" s="9" t="n"/>
      <c r="R297" s="95">
        <f>IF(AND(L297="", B297&lt;&gt;""), B297, "")</f>
        <v/>
      </c>
    </row>
    <row r="298" ht="110.25" customHeight="1" s="221">
      <c r="A298" s="5" t="inlineStr">
        <is>
          <t>297.</t>
        </is>
      </c>
      <c r="B298" s="6" t="inlineStr">
        <is>
          <t>SBA 26/297</t>
        </is>
      </c>
      <c r="C298" s="8" t="inlineStr">
        <is>
          <t>Prof. Dr. Sinem AKGÜL</t>
        </is>
      </c>
      <c r="D298" s="8" t="inlineStr">
        <is>
          <t>Çocuk Sağlığı ve Hastalıkları Anabilim Dalı</t>
        </is>
      </c>
      <c r="E298" s="7" t="inlineStr">
        <is>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is>
      </c>
      <c r="F298" s="7" t="inlineStr">
        <is>
          <t>“Ergen Meme Kitlelerinde İzlem Protokolü ve Risk Sınıflandırma Skoru Geliştirilmesi”</t>
        </is>
      </c>
      <c r="G298" s="13" t="inlineStr">
        <is>
          <t>Uzmanlık Tezi</t>
        </is>
      </c>
      <c r="H298" s="54" t="n">
        <v>46097</v>
      </c>
      <c r="I298" s="52" t="n">
        <v>46112</v>
      </c>
      <c r="J298" s="8" t="n"/>
      <c r="K298" s="8" t="n"/>
      <c r="L298" s="9" t="n"/>
      <c r="M298" s="9" t="n"/>
      <c r="N298" s="9" t="n"/>
      <c r="O298" s="66" t="n"/>
      <c r="P298" s="9" t="n"/>
      <c r="R298" s="95">
        <f>IF(AND(L298="", B298&lt;&gt;""), B298, "")</f>
        <v/>
      </c>
    </row>
    <row r="299" ht="94.5" customHeight="1" s="221">
      <c r="A299" s="5" t="inlineStr">
        <is>
          <t>298.</t>
        </is>
      </c>
      <c r="B299" s="6" t="inlineStr">
        <is>
          <t>SBA 26/298</t>
        </is>
      </c>
      <c r="C299" s="8" t="inlineStr">
        <is>
          <t>Prof. Dr. Bülent Enis ŞEKEREL</t>
        </is>
      </c>
      <c r="D299" s="8" t="inlineStr">
        <is>
          <t>Çocuk Sağlığı ve Hastalıkları Anabilim Dalı</t>
        </is>
      </c>
      <c r="E299" s="7" t="inlineStr">
        <is>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is>
      </c>
      <c r="F299" s="7" t="inlineStr">
        <is>
          <t>“Besin Protein İlişkili Enterokolit Sendromu Tanılı Hastalarda Endotiplere Göre Prognozun Değerlendirilmesi”</t>
        </is>
      </c>
      <c r="G299" s="13" t="inlineStr">
        <is>
          <t>Bireysel Araştırma</t>
        </is>
      </c>
      <c r="H299" s="54" t="n">
        <v>46097</v>
      </c>
      <c r="I299" s="52" t="n">
        <v>46112</v>
      </c>
      <c r="J299" s="8" t="n"/>
      <c r="K299" s="8" t="n"/>
      <c r="L299" s="9" t="n"/>
      <c r="M299" s="9" t="n"/>
      <c r="N299" s="9" t="n"/>
      <c r="O299" s="66" t="n"/>
      <c r="P299" s="9" t="n"/>
      <c r="R299" s="95">
        <f>IF(AND(L299="", B299&lt;&gt;""), B299, "")</f>
        <v/>
      </c>
    </row>
    <row r="300" ht="63" customHeight="1" s="221">
      <c r="A300" s="5" t="inlineStr">
        <is>
          <t>299.</t>
        </is>
      </c>
      <c r="B300" s="6" t="inlineStr">
        <is>
          <t>SBA 26/299</t>
        </is>
      </c>
      <c r="C300" s="8" t="inlineStr">
        <is>
          <t>Doç. Dr. Duygu AYHAN BAŞER</t>
        </is>
      </c>
      <c r="D300" s="8" t="inlineStr">
        <is>
          <t>Aile Hekimliği Anabilim Dalı</t>
        </is>
      </c>
      <c r="E300" s="7" t="inlineStr">
        <is>
          <t>Üniversitemiz Tıp Fakültesi Aile Hekimliği Anabilim Dalı öğretim üyelerinden Doç. Dr. Duygu AYHAN BAŞER’in sorumlu araştırmacı olduğu, Arş. Gör. Dr. Aygül TAŞDEMİR'in uzmanlık tezi olan,</t>
        </is>
      </c>
      <c r="F300" s="7" t="inlineStr">
        <is>
          <t>"Reformer Pilates Yapan Bireylerde Fiziksel, Psikolojik ve Sosyal Sağlık Durumunun Değerlendirilmesi: Bir Aile Sağlığı Merkezi Örneği”</t>
        </is>
      </c>
      <c r="G300" s="13" t="inlineStr">
        <is>
          <t>Uzmanlık Tezi</t>
        </is>
      </c>
      <c r="H300" s="54" t="n">
        <v>46097</v>
      </c>
      <c r="I300" s="52" t="n">
        <v>46112</v>
      </c>
      <c r="J300" s="8" t="n"/>
      <c r="K300" s="8" t="n"/>
      <c r="L300" s="9" t="n"/>
      <c r="M300" s="9" t="n"/>
      <c r="N300" s="9" t="n"/>
      <c r="O300" s="66" t="n"/>
      <c r="P300" s="9" t="n"/>
      <c r="R300" s="95">
        <f>IF(AND(L300="", B300&lt;&gt;""), B300, "")</f>
        <v/>
      </c>
    </row>
    <row r="301" ht="63" customHeight="1" s="221">
      <c r="A301" s="5" t="inlineStr">
        <is>
          <t>300.</t>
        </is>
      </c>
      <c r="B301" s="6" t="inlineStr">
        <is>
          <t>SBA 26/300</t>
        </is>
      </c>
      <c r="C301" s="8" t="inlineStr">
        <is>
          <t>Prof. Dr. Meltem Gülhan HALİL</t>
        </is>
      </c>
      <c r="D301" s="8" t="inlineStr">
        <is>
          <t>İç Hastalıkları Anabilim Dalı</t>
        </is>
      </c>
      <c r="E301" s="7" t="inlineStr">
        <is>
          <t>Üniversitemiz Tıp Fakültesi İç Hastalıkları Anabilim Dalı öğretim üyelerinden Prof. Dr. Meltem Gülhan HALİL’in sorumlu araştırmacı olduğu, Arş. Gör. Dr. Aybüke UYAR ile birlikte çalışacakları,</t>
        </is>
      </c>
      <c r="F301" s="7" t="inlineStr">
        <is>
          <t>“Geriatrik Hastalarda Optik Sinir Kılıf Çapı Ölçümünün Kognitif Bozukluk Durumuna Göre Kapsamlı Geriatrik Değerlendirme Parametreleri ile İlişkisinin Değerlendirilmesi”</t>
        </is>
      </c>
      <c r="G301" s="13" t="inlineStr">
        <is>
          <t>Bireysel Araştırma</t>
        </is>
      </c>
      <c r="H301" s="54" t="n">
        <v>46097</v>
      </c>
      <c r="I301" s="52" t="n">
        <v>46112</v>
      </c>
      <c r="J301" s="8" t="n"/>
      <c r="K301" s="8" t="n"/>
      <c r="L301" s="9" t="n"/>
      <c r="M301" s="9" t="n"/>
      <c r="N301" s="9" t="n"/>
      <c r="O301" s="66" t="n"/>
      <c r="P301" s="9" t="n"/>
      <c r="R301" s="95">
        <f>IF(AND(L301="", B301&lt;&gt;""), B301, "")</f>
        <v/>
      </c>
    </row>
    <row r="302" ht="78.75" customHeight="1" s="221">
      <c r="A302" s="5" t="inlineStr">
        <is>
          <t>301.</t>
        </is>
      </c>
      <c r="B302" s="6" t="inlineStr">
        <is>
          <t>SBA 26/301</t>
        </is>
      </c>
      <c r="C302" s="8" t="inlineStr">
        <is>
          <t>Prof. Dr. İnci Nur SALTIK</t>
        </is>
      </c>
      <c r="D302" s="8" t="inlineStr">
        <is>
          <t>Çocuk Sağlığı ve Hastalıkları Anabilim Dalı</t>
        </is>
      </c>
      <c r="E302" s="7" t="inlineStr">
        <is>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is>
      </c>
      <c r="F302" s="7" t="inlineStr">
        <is>
          <t>“Çocukluk Çağı Kolelitiazis Vakalarının Klinik ve Genetik Özelliklerinin Değerlendirilmesi”</t>
        </is>
      </c>
      <c r="G302" s="13" t="inlineStr">
        <is>
          <t>Bireysel Araştırma</t>
        </is>
      </c>
      <c r="H302" s="54" t="n">
        <v>46098</v>
      </c>
      <c r="I302" s="52" t="n">
        <v>46112</v>
      </c>
      <c r="J302" s="8" t="n"/>
      <c r="K302" s="8" t="n"/>
      <c r="L302" s="9" t="n"/>
      <c r="M302" s="9" t="n"/>
      <c r="N302" s="9" t="n"/>
      <c r="O302" s="66" t="n"/>
      <c r="P302" s="9" t="n"/>
      <c r="R302" s="95">
        <f>IF(AND(L302="", B302&lt;&gt;""), B302, "")</f>
        <v/>
      </c>
    </row>
    <row r="303" ht="78.75" customHeight="1" s="221">
      <c r="A303" s="5" t="inlineStr">
        <is>
          <t>302.</t>
        </is>
      </c>
      <c r="B303" s="6" t="inlineStr">
        <is>
          <t>SBA 26/302</t>
        </is>
      </c>
      <c r="C303" s="8" t="inlineStr">
        <is>
          <t>Prof. Dr. Murat GÜLTEKİN</t>
        </is>
      </c>
      <c r="D303" s="8" t="inlineStr">
        <is>
          <t>Kadın Hastalıkları ve Doğum Anabilim Dalı</t>
        </is>
      </c>
      <c r="E303" s="7" t="inlineStr">
        <is>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is>
      </c>
      <c r="F303" s="7" t="inlineStr">
        <is>
          <t>“Uterin Leiomyosarkom Tanılı Hastalarda Nüks Oranları ve Nüks ile İlişkili Faktörlerin Retrospektif Değerlendirilmesi”</t>
        </is>
      </c>
      <c r="G303" s="13" t="inlineStr">
        <is>
          <t>Bireysel Araştırma</t>
        </is>
      </c>
      <c r="H303" s="54" t="n">
        <v>46098</v>
      </c>
      <c r="I303" s="52" t="n">
        <v>46112</v>
      </c>
      <c r="J303" s="8" t="n"/>
      <c r="K303" s="8" t="n"/>
      <c r="L303" s="9" t="n"/>
      <c r="M303" s="9" t="n"/>
      <c r="N303" s="9" t="n"/>
      <c r="O303" s="66" t="n"/>
      <c r="P303" s="9" t="n"/>
      <c r="R303" s="95">
        <f>IF(AND(L303="", B303&lt;&gt;""), B303, "")</f>
        <v/>
      </c>
    </row>
    <row r="304" ht="63" customHeight="1" s="221">
      <c r="A304" s="5" t="inlineStr">
        <is>
          <t>303.</t>
        </is>
      </c>
      <c r="B304" s="6" t="inlineStr">
        <is>
          <t>SBA 26/303</t>
        </is>
      </c>
      <c r="C304" s="8" t="inlineStr">
        <is>
          <t>Doç. Dr. Cem ÇÖTELİ</t>
        </is>
      </c>
      <c r="D304" s="8" t="inlineStr">
        <is>
          <t>Kardiyoloji Anabilim Dalı</t>
        </is>
      </c>
      <c r="E304" s="7" t="inlineStr">
        <is>
          <t>Üniversitemiz Tıp Fakültesi Kardiyoloji Anabilim Dalı öğretim üyelerinden Doç. Dr. Cem ÇÖTELİ’nin sorumlu araştırmacı olduğu, Prof. Dr. Kudret AYTEMİR, Prof. Dr. Hikmet YORGUN, Arş. Gör. Dr. Can SEZER ile birlikte çalışacakları,</t>
        </is>
      </c>
      <c r="F304" s="7" t="inlineStr">
        <is>
          <t>“Atrial Fibrilasyon Ablasyonunda Atriyal Epikardiyal Yağ Dokunun Sağkalım ve Aritmi Nüksüne Etkisinin Araştırılması”</t>
        </is>
      </c>
      <c r="G304" s="13" t="inlineStr">
        <is>
          <t>Bireysel Araştırma</t>
        </is>
      </c>
      <c r="H304" s="54" t="n">
        <v>46098</v>
      </c>
      <c r="I304" s="52" t="n">
        <v>46112</v>
      </c>
      <c r="J304" s="8" t="n"/>
      <c r="K304" s="8" t="n"/>
      <c r="L304" s="9" t="n"/>
      <c r="M304" s="9" t="n"/>
      <c r="N304" s="9" t="n"/>
      <c r="O304" s="66" t="n"/>
      <c r="P304" s="9" t="n"/>
      <c r="R304" s="95">
        <f>IF(AND(L304="", B304&lt;&gt;""), B304, "")</f>
        <v/>
      </c>
    </row>
    <row r="305" ht="78.75" customHeight="1" s="221">
      <c r="A305" s="5" t="inlineStr">
        <is>
          <t>304.</t>
        </is>
      </c>
      <c r="B305" s="6" t="inlineStr">
        <is>
          <t>SBA 26/304</t>
        </is>
      </c>
      <c r="C305" s="8" t="inlineStr">
        <is>
          <t>Doç. Dr. Oğuz Abdullah UYAROĞLU</t>
        </is>
      </c>
      <c r="D305" s="8" t="inlineStr">
        <is>
          <t>İç Hastalıkları Anabilim Dalı</t>
        </is>
      </c>
      <c r="E305" s="7" t="inlineStr">
        <is>
          <t>Üniversitemiz Tıp Fakültesi İç Hastalıkları Anabilim Dalı öğretim üyelerinden Doç. Dr. Oğuz Abdullah UYAROĞLU’nun sorumlu araştırmacı olduğu, Prof. Dr. Gülay Sain GÜVEN, Uzm. Dr. Mert TOKATLI ve Uzm. Dr. Yunus KAYGUSUZ ile birlikte çalışacakları,</t>
        </is>
      </c>
      <c r="F305" s="7" t="inlineStr">
        <is>
          <t>“Ramazan Ayında Oruç Tutma Davranışı, Hipoglisemi Riski ve Diyabet Eğitiminin Değerlendirilmesi: Genel Dahiliye Polikliniklerine Başvuran Diyabetes Mellitus Hastalarında Kesitsel Anket Çalışması”</t>
        </is>
      </c>
      <c r="G305" s="13" t="inlineStr">
        <is>
          <t>Bireysel Araştırma</t>
        </is>
      </c>
      <c r="H305" s="54" t="n">
        <v>46098</v>
      </c>
      <c r="I305" s="52" t="n">
        <v>46112</v>
      </c>
      <c r="J305" s="8" t="n"/>
      <c r="K305" s="8" t="n"/>
      <c r="L305" s="9" t="n"/>
      <c r="M305" s="9" t="n"/>
      <c r="N305" s="9" t="n"/>
      <c r="O305" s="66" t="n"/>
      <c r="P305" s="9" t="n"/>
      <c r="R305" s="95">
        <f>IF(AND(L305="", B305&lt;&gt;""), B305, "")</f>
        <v/>
      </c>
    </row>
    <row r="306" ht="78.75" customHeight="1" s="221">
      <c r="A306" s="5" t="inlineStr">
        <is>
          <t>305.</t>
        </is>
      </c>
      <c r="B306" s="6" t="inlineStr">
        <is>
          <t>SBA 26/305</t>
        </is>
      </c>
      <c r="C306" s="8" t="inlineStr">
        <is>
          <t>Prof. Dr. Bilge VOLKAN SALANCI</t>
        </is>
      </c>
      <c r="D306" s="8" t="inlineStr">
        <is>
          <t>Nükleer Tıp Anabilim Dalı</t>
        </is>
      </c>
      <c r="E306" s="7" t="inlineStr">
        <is>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is>
      </c>
      <c r="F306" s="7" t="inlineStr">
        <is>
          <t>“Pediatrik Nazofarenks Karsinomunda¹⁸F-FDG PET/BT Metabolik Parametrelerinin Prognostik Değeri”</t>
        </is>
      </c>
      <c r="G306" s="13" t="inlineStr">
        <is>
          <t>Uzmanlık Tezi</t>
        </is>
      </c>
      <c r="H306" s="54" t="n">
        <v>46098</v>
      </c>
      <c r="I306" s="52" t="n">
        <v>46112</v>
      </c>
      <c r="J306" s="8" t="n"/>
      <c r="K306" s="8" t="n"/>
      <c r="L306" s="9" t="n"/>
      <c r="M306" s="9" t="n"/>
      <c r="N306" s="9" t="n"/>
      <c r="O306" s="66" t="n"/>
      <c r="P306" s="9" t="n"/>
      <c r="R306" s="95">
        <f>IF(AND(L306="", B306&lt;&gt;""), B306, "")</f>
        <v/>
      </c>
    </row>
    <row r="307" ht="81" customHeight="1" s="221">
      <c r="A307" s="5" t="inlineStr">
        <is>
          <t>306.</t>
        </is>
      </c>
      <c r="B307" s="6" t="inlineStr">
        <is>
          <t>SBA 26/306</t>
        </is>
      </c>
      <c r="C307" s="8" t="inlineStr">
        <is>
          <t>Prof. Dr. Alp ÇETİN</t>
        </is>
      </c>
      <c r="D307" s="8" t="inlineStr">
        <is>
          <t>Fiziksel Tıp ve Rehabilitasyon Anabilim Dalı</t>
        </is>
      </c>
      <c r="E307" s="7" t="inlineStr">
        <is>
          <t>Üniversitemiz Tıp Fakültesi Fiziksel Tıp ve Rehabilitasyon Anabilim Dalı öğretim üyelerinden Prof. Dr. Alp ÇETİN’in sorumlu araştırmacı olduğu, Arş. Gör. Dr. Beytullah YAZAR ile birlikte çalışacakları,</t>
        </is>
      </c>
      <c r="F307" s="7" t="inlineStr">
        <is>
          <t>“Kalça Osteoartriti Tedavisinde 88 mg Orta Derecede Çapraz Bağlı Viskoelastik Sodyum Hyaluronik Asit Enjeksiyonunun Ağrı ve Fonksiyonel Sonuçlar Üzerine Etkisi: Retrospektif Bir Analiz”</t>
        </is>
      </c>
      <c r="G307" s="13" t="inlineStr">
        <is>
          <t>Bireysel Araştırma</t>
        </is>
      </c>
      <c r="H307" s="54" t="n">
        <v>46098</v>
      </c>
      <c r="I307" s="52" t="n">
        <v>46112</v>
      </c>
      <c r="J307" s="8" t="n"/>
      <c r="K307" s="8" t="n"/>
      <c r="L307" s="9" t="n"/>
      <c r="M307" s="9" t="n"/>
      <c r="N307" s="9" t="n"/>
      <c r="O307" s="66" t="n"/>
      <c r="P307" s="9" t="n"/>
      <c r="R307" s="95">
        <f>IF(AND(L307="", B307&lt;&gt;""), B307, "")</f>
        <v/>
      </c>
    </row>
    <row r="308" ht="81" customHeight="1" s="221">
      <c r="A308" s="5" t="inlineStr">
        <is>
          <t>307.</t>
        </is>
      </c>
      <c r="B308" s="6" t="inlineStr">
        <is>
          <t>SBA 26/307</t>
        </is>
      </c>
      <c r="C308" s="8" t="inlineStr">
        <is>
          <t>Prof. Dr. Alp ÇETİN</t>
        </is>
      </c>
      <c r="D308" s="8" t="inlineStr">
        <is>
          <t>Fiziksel Tıp ve Rehabilitasyon Anabilim Dalı</t>
        </is>
      </c>
      <c r="E308" s="7" t="inlineStr">
        <is>
          <t>Üniversitemiz Tıp Fakültesi Fiziksel Tıp ve Rehabilitasyon Anabilim Dalı öğretim üyelerinden Prof. Dr. Alp ÇETİN’in sorumlu araştırmacı olduğu, Arş. Gör. Dr. Beytullah YAZAR ile birlikte çalışacakları,</t>
        </is>
      </c>
      <c r="F308" s="7" t="inlineStr">
        <is>
          <t>“Glenohumeral Osteoartriti Olan Hastalarda 88 mg Orta Derecede Çapraz Bağlı Viskoelastik Sodyum Hyaluronik Asit Enjeksiyonunun Ağrı ve Fonksiyonel Sonuçlar Üzerine Etkisi: Retrospektif Bir Analiz”</t>
        </is>
      </c>
      <c r="G308" s="13" t="inlineStr">
        <is>
          <t>Bireysel Araştırma</t>
        </is>
      </c>
      <c r="H308" s="54" t="n">
        <v>46098</v>
      </c>
      <c r="I308" s="52" t="n">
        <v>46112</v>
      </c>
      <c r="J308" s="8" t="n"/>
      <c r="K308" s="8" t="n"/>
      <c r="L308" s="9" t="n"/>
      <c r="M308" s="9" t="n"/>
      <c r="N308" s="9" t="n"/>
      <c r="O308" s="66" t="n"/>
      <c r="P308" s="9" t="n"/>
      <c r="R308" s="95">
        <f>IF(AND(L308="", B308&lt;&gt;""), B308, "")</f>
        <v/>
      </c>
    </row>
    <row r="309" ht="63" customHeight="1" s="221">
      <c r="A309" s="5" t="inlineStr">
        <is>
          <t>308.</t>
        </is>
      </c>
      <c r="B309" s="6" t="inlineStr">
        <is>
          <t>SBA 26/308</t>
        </is>
      </c>
      <c r="C309" s="8" t="inlineStr">
        <is>
          <t>Prof. Dr. Filiz YALÇIN</t>
        </is>
      </c>
      <c r="D309" s="8" t="inlineStr">
        <is>
          <t>Restoratif Diş Tedavisi Anabilim Dalı</t>
        </is>
      </c>
      <c r="E309" s="7" t="inlineStr">
        <is>
          <t>Üniversitemiz Diş Hekimliği Fakültesi Restoratif Diş Tedavisi Anabilim Dalı öğretim üyelerinden Prof. Dr. Filiz YALÇIN ÇAKIR’ın sorumlu araştırmacı olduğu, Prof. Dr Ayşe Rüya YAZICI, Arş. Gör. Dt. Serra AKYÜZ ile birlikte çalışacakları,</t>
        </is>
      </c>
      <c r="F309" s="7" t="inlineStr">
        <is>
          <t>“Baş Boyun Bölgesine Radyoterapi Planlanan Hastalarda Tükürük Parametreleri, Ağız Kuruluğu ve Ağız Sağlığına Bağlı Yaşam Kalitesinin Değerlendirilmesi”</t>
        </is>
      </c>
      <c r="G309" s="13" t="inlineStr">
        <is>
          <t>Bireysel Araştırma</t>
        </is>
      </c>
      <c r="H309" s="54" t="n">
        <v>46099</v>
      </c>
      <c r="I309" s="52" t="n">
        <v>46112</v>
      </c>
      <c r="J309" s="8" t="n"/>
      <c r="K309" s="8" t="n"/>
      <c r="L309" s="9" t="n"/>
      <c r="M309" s="9" t="n"/>
      <c r="N309" s="9" t="n"/>
      <c r="O309" s="66" t="n"/>
      <c r="P309" s="9" t="n"/>
      <c r="R309" s="95">
        <f>IF(AND(L309="", B309&lt;&gt;""), B309, "")</f>
        <v/>
      </c>
    </row>
    <row r="310" ht="63" customHeight="1" s="221">
      <c r="A310" s="5" t="inlineStr">
        <is>
          <t>309.</t>
        </is>
      </c>
      <c r="B310" s="6" t="inlineStr">
        <is>
          <t>SBA 26/309</t>
        </is>
      </c>
      <c r="C310" s="8" t="inlineStr">
        <is>
          <t>Prof. Dr. Taylan KAV</t>
        </is>
      </c>
      <c r="D310" s="8" t="inlineStr">
        <is>
          <t>İç Hastalıkları Anabilim Dalı</t>
        </is>
      </c>
      <c r="E310" s="7" t="inlineStr">
        <is>
          <t>Üniversitemiz Tıp Fakültesi İç Hastalıkları Anabilim Dalı öğretim üyelerinden Prof. Dr. Taylan KAV’ın sorumlu araştırmacı olduğu, Dr. Öğr. Üyesi Bengi ÖZTÜRK ve Arş. Gör. Dr. Muhammet Furkan ÇAKMAK ile birlikte çalışacakları,</t>
        </is>
      </c>
      <c r="F310" s="7" t="inlineStr">
        <is>
          <t>“Alt Gastrointestinal Sistem Kanamasında Tanı Yöntemi, Kanama Kaynağı ve Klinik Sonuçların Retrospektif Değerlendirilmesi”</t>
        </is>
      </c>
      <c r="G310" s="13" t="inlineStr">
        <is>
          <t>Bireysel Araştırma</t>
        </is>
      </c>
      <c r="H310" s="54" t="n">
        <v>46099</v>
      </c>
      <c r="I310" s="52" t="n">
        <v>46112</v>
      </c>
      <c r="J310" s="8" t="n"/>
      <c r="K310" s="8" t="n"/>
      <c r="L310" s="9" t="n"/>
      <c r="M310" s="9" t="n"/>
      <c r="N310" s="9" t="n"/>
      <c r="O310" s="66" t="n"/>
      <c r="P310" s="9" t="n"/>
      <c r="R310" s="95">
        <f>IF(AND(L310="", B310&lt;&gt;""), B310, "")</f>
        <v/>
      </c>
    </row>
    <row r="311" ht="78.75" customHeight="1" s="221">
      <c r="A311" s="5" t="inlineStr">
        <is>
          <t>310.</t>
        </is>
      </c>
      <c r="B311" s="6" t="inlineStr">
        <is>
          <t>SBA 26/310</t>
        </is>
      </c>
      <c r="C311" s="8" t="inlineStr">
        <is>
          <t>Prof. Dr. Taylan KAV</t>
        </is>
      </c>
      <c r="D311" s="8" t="inlineStr">
        <is>
          <t>İç Hastalıkları Anabilim Dalı</t>
        </is>
      </c>
      <c r="E311" s="7" t="inlineStr">
        <is>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is>
      </c>
      <c r="F311" s="7" t="inlineStr">
        <is>
          <t>“Crohn Hastalarında Sigara Kullanımının Hastalık Aktivitesi ve Klinik Sonuçlar Üzerine Etkisi: Retrospektif Analiz”</t>
        </is>
      </c>
      <c r="G311" s="13" t="inlineStr">
        <is>
          <t>Bireysel Araştırma</t>
        </is>
      </c>
      <c r="H311" s="54" t="n">
        <v>46099</v>
      </c>
      <c r="I311" s="52" t="n">
        <v>46112</v>
      </c>
      <c r="J311" s="8" t="n"/>
      <c r="K311" s="8" t="n"/>
      <c r="L311" s="9" t="n"/>
      <c r="M311" s="9" t="n"/>
      <c r="N311" s="9" t="n"/>
      <c r="O311" s="66" t="n"/>
      <c r="P311" s="9" t="n"/>
      <c r="R311" s="95">
        <f>IF(AND(L311="", B311&lt;&gt;""), B311, "")</f>
        <v/>
      </c>
    </row>
    <row r="312" ht="66" customHeight="1" s="221">
      <c r="A312" s="5" t="inlineStr">
        <is>
          <t>311.</t>
        </is>
      </c>
      <c r="B312" s="6" t="inlineStr">
        <is>
          <t>SBA 26/311</t>
        </is>
      </c>
      <c r="C312" s="8" t="inlineStr">
        <is>
          <t>Prof. Dr. Cavit Işık YAVUZ</t>
        </is>
      </c>
      <c r="D312" s="8" t="inlineStr">
        <is>
          <t>Halk Sağlığı Anabilim Dalı</t>
        </is>
      </c>
      <c r="E312" s="7" t="inlineStr">
        <is>
          <t>Üniversitemiz Tıp Fakültesi Halk Sağlığı Anabilim Dalı öğretim üyelerinden Prof. Dr. Cavit Işık YAVUZ’un sorumlu araştırmacı olduğu, Arş. Gör. Dr. Sevgi KARLI’nın uzmanlık tezi olan,</t>
        </is>
      </c>
      <c r="F312" s="7" t="inlineStr">
        <is>
          <t>“Ankara’daki Bir Mühendislik Fakültesinde Öğrenim Gören 1. Sınıf Öğrencilerinin Ruh Sağlığı Durumunun ve Ruh Sağlığı Okuryazarlığının Değerlendirilmesi"</t>
        </is>
      </c>
      <c r="G312" s="13" t="inlineStr">
        <is>
          <t>Bireysel Araştırma</t>
        </is>
      </c>
      <c r="H312" s="54" t="n">
        <v>46099</v>
      </c>
      <c r="I312" s="52" t="n">
        <v>46112</v>
      </c>
      <c r="J312" s="8" t="n"/>
      <c r="K312" s="8" t="n"/>
      <c r="L312" s="9" t="n"/>
      <c r="M312" s="9" t="n"/>
      <c r="N312" s="9" t="n"/>
      <c r="O312" s="66" t="n"/>
      <c r="P312" s="9" t="n"/>
      <c r="R312" s="95">
        <f>IF(AND(L312="", B312&lt;&gt;""), B312, "")</f>
        <v/>
      </c>
    </row>
    <row r="313" ht="63" customHeight="1" s="221">
      <c r="A313" s="5" t="inlineStr">
        <is>
          <t>312.</t>
        </is>
      </c>
      <c r="B313" s="6" t="inlineStr">
        <is>
          <t>SBA 26/312</t>
        </is>
      </c>
      <c r="C313" s="8" t="inlineStr">
        <is>
          <t>Dr. Öğr. Üyesi Burçe ATAÇ MOGOL</t>
        </is>
      </c>
      <c r="D313" s="8" t="inlineStr">
        <is>
          <t>Gıda Bilimleri Anabilim Dalı</t>
        </is>
      </c>
      <c r="E313" s="7" t="inlineStr">
        <is>
          <t>Üniversitemiz Mühendislik Fakültesi Gıda Bilimleri Anabilim Dalı öğretim üyelerinden Dr. Öğr. Üyesi Burçe ATAÇ MOGOL’un sorumlu araştırmacı olduğu, Arş. Gör. Selin ÇAKMAK’ın yüksek lisans tezi olan,</t>
        </is>
      </c>
      <c r="F313" s="15" t="inlineStr">
        <is>
          <t>“Şeker Pancarı Küspesinin Gıda Tasarımları için Enzimatik İşlem Yoluyla Değerlendirilmesi”</t>
        </is>
      </c>
      <c r="G313" s="13" t="inlineStr">
        <is>
          <t>Yüksek Lisans Tezi</t>
        </is>
      </c>
      <c r="H313" s="54" t="n">
        <v>46099</v>
      </c>
      <c r="I313" s="52" t="n">
        <v>46112</v>
      </c>
      <c r="J313" s="8" t="n"/>
      <c r="K313" s="8" t="n"/>
      <c r="L313" s="9" t="n"/>
      <c r="M313" s="9" t="n"/>
      <c r="N313" s="9" t="n"/>
      <c r="O313" s="66" t="n"/>
      <c r="P313" s="9" t="n"/>
      <c r="R313" s="95">
        <f>IF(AND(L313="", B313&lt;&gt;""), B313, "")</f>
        <v/>
      </c>
    </row>
    <row r="314">
      <c r="A314" s="5" t="inlineStr">
        <is>
          <t>313.</t>
        </is>
      </c>
      <c r="B314" s="6" t="inlineStr">
        <is>
          <t>SBA 26/313</t>
        </is>
      </c>
      <c r="C314" s="8" t="n"/>
      <c r="D314" s="8" t="n"/>
      <c r="E314" s="7" t="n"/>
      <c r="F314" s="7" t="n"/>
      <c r="G314" s="13" t="n"/>
      <c r="H314" s="54" t="n"/>
      <c r="I314" s="52" t="n"/>
      <c r="J314" s="8" t="n"/>
      <c r="K314" s="8" t="n"/>
      <c r="L314" s="9" t="n"/>
      <c r="M314" s="9" t="n"/>
      <c r="N314" s="9" t="n"/>
      <c r="O314" s="66" t="n"/>
      <c r="P314" s="9" t="n"/>
      <c r="R314" s="95">
        <f>IF(AND(L314="", B314&lt;&gt;""), B314, "")</f>
        <v/>
      </c>
    </row>
    <row r="315">
      <c r="A315" s="5" t="inlineStr">
        <is>
          <t>314.</t>
        </is>
      </c>
      <c r="B315" s="6" t="inlineStr">
        <is>
          <t>SBA 26/314</t>
        </is>
      </c>
      <c r="C315" s="8" t="n"/>
      <c r="D315" s="8" t="n"/>
      <c r="E315" s="7" t="n"/>
      <c r="F315" s="7" t="n"/>
      <c r="G315" s="13" t="n"/>
      <c r="H315" s="54" t="n"/>
      <c r="I315" s="52" t="n"/>
      <c r="J315" s="8" t="n"/>
      <c r="K315" s="8" t="n"/>
      <c r="L315" s="9" t="n"/>
      <c r="M315" s="9" t="n"/>
      <c r="N315" s="9" t="n"/>
      <c r="O315" s="66" t="n"/>
      <c r="P315" s="9" t="n"/>
      <c r="R315" s="95">
        <f>IF(AND(L315="", B315&lt;&gt;""), B315, "")</f>
        <v/>
      </c>
    </row>
    <row r="316">
      <c r="A316" s="5" t="inlineStr">
        <is>
          <t>315.</t>
        </is>
      </c>
      <c r="B316" s="6" t="inlineStr">
        <is>
          <t>SBA 26/315</t>
        </is>
      </c>
      <c r="C316" s="8" t="n"/>
      <c r="D316" s="8" t="n"/>
      <c r="E316" s="7" t="n"/>
      <c r="F316" s="7" t="n"/>
      <c r="G316" s="13" t="n"/>
      <c r="H316" s="54" t="n"/>
      <c r="I316" s="52" t="n"/>
      <c r="J316" s="8" t="n"/>
      <c r="K316" s="8" t="n"/>
      <c r="L316" s="9" t="n"/>
      <c r="M316" s="9" t="n"/>
      <c r="N316" s="9" t="n"/>
      <c r="O316" s="66" t="n"/>
      <c r="P316" s="9" t="n"/>
      <c r="R316" s="95">
        <f>IF(AND(L316="", B316&lt;&gt;""), B316, "")</f>
        <v/>
      </c>
    </row>
    <row r="317">
      <c r="A317" s="5" t="inlineStr">
        <is>
          <t>316.</t>
        </is>
      </c>
      <c r="B317" s="6" t="inlineStr">
        <is>
          <t>SBA 26/316</t>
        </is>
      </c>
      <c r="C317" s="8" t="n"/>
      <c r="D317" s="8" t="n"/>
      <c r="E317" s="7" t="n"/>
      <c r="F317" s="7" t="n"/>
      <c r="G317" s="13" t="n"/>
      <c r="H317" s="54" t="n"/>
      <c r="I317" s="52" t="n"/>
      <c r="J317" s="8" t="n"/>
      <c r="K317" s="8" t="n"/>
      <c r="L317" s="9" t="n"/>
      <c r="M317" s="9" t="n"/>
      <c r="N317" s="9" t="n"/>
      <c r="O317" s="66" t="n"/>
      <c r="P317" s="9" t="n"/>
      <c r="R317" s="95">
        <f>IF(AND(L317="", B317&lt;&gt;""), B317, "")</f>
        <v/>
      </c>
    </row>
    <row r="318">
      <c r="A318" s="5" t="inlineStr">
        <is>
          <t>317.</t>
        </is>
      </c>
      <c r="B318" s="6" t="inlineStr">
        <is>
          <t>SBA 26/317</t>
        </is>
      </c>
      <c r="C318" s="8" t="n"/>
      <c r="D318" s="8" t="n"/>
      <c r="E318" s="7" t="n"/>
      <c r="F318" s="7" t="n"/>
      <c r="G318" s="13" t="n"/>
      <c r="H318" s="54" t="n"/>
      <c r="I318" s="52" t="n"/>
      <c r="J318" s="8" t="n"/>
      <c r="K318" s="8" t="n"/>
      <c r="L318" s="9" t="n"/>
      <c r="M318" s="9" t="n"/>
      <c r="N318" s="9" t="n"/>
      <c r="O318" s="66" t="n"/>
      <c r="P318" s="9" t="n"/>
      <c r="R318" s="95">
        <f>IF(AND(L318="", B318&lt;&gt;""), B318, "")</f>
        <v/>
      </c>
    </row>
    <row r="319">
      <c r="A319" s="5" t="inlineStr">
        <is>
          <t>318.</t>
        </is>
      </c>
      <c r="B319" s="6" t="inlineStr">
        <is>
          <t>SBA 26/318</t>
        </is>
      </c>
      <c r="C319" s="8" t="n"/>
      <c r="D319" s="8" t="n"/>
      <c r="E319" s="7" t="n"/>
      <c r="F319" s="7" t="n"/>
      <c r="G319" s="13" t="n"/>
      <c r="H319" s="54" t="n"/>
      <c r="I319" s="52" t="n"/>
      <c r="J319" s="8" t="n"/>
      <c r="K319" s="8" t="n"/>
      <c r="L319" s="9" t="n"/>
      <c r="M319" s="9" t="n"/>
      <c r="N319" s="9" t="n"/>
      <c r="O319" s="66" t="n"/>
      <c r="P319" s="9" t="n"/>
      <c r="R319" s="95">
        <f>IF(AND(L319="", B319&lt;&gt;""), B319, "")</f>
        <v/>
      </c>
    </row>
    <row r="320">
      <c r="A320" s="5" t="inlineStr">
        <is>
          <t>319.</t>
        </is>
      </c>
      <c r="B320" s="6" t="inlineStr">
        <is>
          <t>SBA 26/319</t>
        </is>
      </c>
      <c r="C320" s="8" t="n"/>
      <c r="D320" s="8" t="n"/>
      <c r="E320" s="7" t="n"/>
      <c r="F320" s="7" t="n"/>
      <c r="G320" s="13" t="n"/>
      <c r="H320" s="54" t="n"/>
      <c r="I320" s="52" t="n"/>
      <c r="J320" s="8" t="n"/>
      <c r="K320" s="8" t="n"/>
      <c r="L320" s="9" t="n"/>
      <c r="M320" s="9" t="n"/>
      <c r="N320" s="9" t="n"/>
      <c r="O320" s="66" t="n"/>
      <c r="P320" s="9" t="n"/>
      <c r="R320" s="95">
        <f>IF(AND(L320="", B320&lt;&gt;""), B320, "")</f>
        <v/>
      </c>
    </row>
    <row r="321">
      <c r="A321" s="5" t="inlineStr">
        <is>
          <t>320.</t>
        </is>
      </c>
      <c r="B321" s="6" t="inlineStr">
        <is>
          <t>SBA 26/320</t>
        </is>
      </c>
      <c r="C321" s="8" t="n"/>
      <c r="D321" s="8" t="n"/>
      <c r="E321" s="7" t="n"/>
      <c r="F321" s="7" t="n"/>
      <c r="G321" s="13" t="n"/>
      <c r="H321" s="54" t="n"/>
      <c r="I321" s="52" t="n"/>
      <c r="J321" s="8" t="n"/>
      <c r="K321" s="8" t="n"/>
      <c r="L321" s="9" t="n"/>
      <c r="M321" s="9" t="n"/>
      <c r="N321" s="9" t="n"/>
      <c r="O321" s="66" t="n"/>
      <c r="P321" s="9">
        <f>IF(O321&lt;&gt;"",O321, IF(N321&lt;&gt;"",N321, IF(M321&lt;&gt;"",M321, L321)))</f>
        <v/>
      </c>
      <c r="R321" s="95">
        <f>IF(AND(L321="", B321&lt;&gt;""), B321, "")</f>
        <v/>
      </c>
    </row>
    <row r="322">
      <c r="A322" s="5" t="inlineStr">
        <is>
          <t>321.</t>
        </is>
      </c>
      <c r="B322" s="6" t="inlineStr">
        <is>
          <t>SBA 26/321</t>
        </is>
      </c>
      <c r="C322" s="8" t="n"/>
      <c r="D322" s="8" t="n"/>
      <c r="E322" s="7" t="n"/>
      <c r="F322" s="7" t="n"/>
      <c r="G322" s="13" t="n"/>
      <c r="H322" s="54" t="n"/>
      <c r="I322" s="52" t="n"/>
      <c r="J322" s="8" t="n"/>
      <c r="K322" s="8" t="n"/>
      <c r="L322" s="9" t="n"/>
      <c r="M322" s="9" t="n"/>
      <c r="N322" s="9" t="n"/>
      <c r="O322" s="66" t="n"/>
      <c r="P322" s="9">
        <f>IF(O322&lt;&gt;"",O322, IF(N322&lt;&gt;"",N322, IF(M322&lt;&gt;"",M322, L322)))</f>
        <v/>
      </c>
      <c r="R322" s="95">
        <f>IF(AND(L322="", B322&lt;&gt;""), B322, "")</f>
        <v/>
      </c>
    </row>
    <row r="323">
      <c r="A323" s="5" t="inlineStr">
        <is>
          <t>322.</t>
        </is>
      </c>
      <c r="B323" s="6" t="inlineStr">
        <is>
          <t>SBA 26/322</t>
        </is>
      </c>
      <c r="C323" s="8" t="n"/>
      <c r="D323" s="8" t="n"/>
      <c r="E323" s="7" t="n"/>
      <c r="F323" s="7" t="n"/>
      <c r="G323" s="13" t="n"/>
      <c r="H323" s="54" t="n"/>
      <c r="I323" s="52" t="n"/>
      <c r="J323" s="8" t="n"/>
      <c r="K323" s="8" t="n"/>
      <c r="L323" s="9" t="n"/>
      <c r="M323" s="9" t="n"/>
      <c r="N323" s="9" t="n"/>
      <c r="O323" s="66" t="n"/>
      <c r="P323" s="9">
        <f>IF(O323&lt;&gt;"",O323, IF(N323&lt;&gt;"",N323, IF(M323&lt;&gt;"",M323, L323)))</f>
        <v/>
      </c>
      <c r="R323" s="95">
        <f>IF(AND(L323="", B323&lt;&gt;""), B323, "")</f>
        <v/>
      </c>
    </row>
    <row r="324">
      <c r="A324" s="5" t="inlineStr">
        <is>
          <t>323.</t>
        </is>
      </c>
      <c r="B324" s="6" t="inlineStr">
        <is>
          <t>SBA 26/323</t>
        </is>
      </c>
      <c r="C324" s="8" t="n"/>
      <c r="D324" s="8" t="n"/>
      <c r="E324" s="7" t="n"/>
      <c r="F324" s="7" t="n"/>
      <c r="G324" s="13" t="n"/>
      <c r="H324" s="54" t="n"/>
      <c r="I324" s="52" t="n"/>
      <c r="J324" s="8" t="n"/>
      <c r="K324" s="8" t="n"/>
      <c r="L324" s="9" t="n"/>
      <c r="M324" s="9" t="n"/>
      <c r="N324" s="9" t="n"/>
      <c r="O324" s="66" t="n"/>
      <c r="P324" s="9">
        <f>IF(O324&lt;&gt;"",O324, IF(N324&lt;&gt;"",N324, IF(M324&lt;&gt;"",M324, L324)))</f>
        <v/>
      </c>
      <c r="R324" s="95">
        <f>IF(AND(L324="", B324&lt;&gt;""), B324, "")</f>
        <v/>
      </c>
    </row>
    <row r="325">
      <c r="A325" s="5" t="inlineStr">
        <is>
          <t>324.</t>
        </is>
      </c>
      <c r="B325" s="6" t="inlineStr">
        <is>
          <t>SBA 26/324</t>
        </is>
      </c>
      <c r="C325" s="8" t="n"/>
      <c r="D325" s="8" t="n"/>
      <c r="E325" s="7" t="n"/>
      <c r="F325" s="7" t="n"/>
      <c r="G325" s="13" t="n"/>
      <c r="H325" s="54" t="n"/>
      <c r="I325" s="52" t="n"/>
      <c r="J325" s="8" t="n"/>
      <c r="K325" s="8" t="n"/>
      <c r="L325" s="9" t="n"/>
      <c r="M325" s="9" t="n"/>
      <c r="N325" s="9" t="n"/>
      <c r="O325" s="66" t="n"/>
      <c r="P325" s="9">
        <f>IF(O325&lt;&gt;"",O325, IF(N325&lt;&gt;"",N325, IF(M325&lt;&gt;"",M325, L325)))</f>
        <v/>
      </c>
      <c r="R325" s="95">
        <f>IF(AND(L325="", B325&lt;&gt;""), B325, "")</f>
        <v/>
      </c>
    </row>
    <row r="326">
      <c r="A326" s="5" t="inlineStr">
        <is>
          <t>325.</t>
        </is>
      </c>
      <c r="B326" s="6" t="inlineStr">
        <is>
          <t>SBA 26/325</t>
        </is>
      </c>
      <c r="C326" s="8" t="n"/>
      <c r="D326" s="8" t="n"/>
      <c r="E326" s="7" t="n"/>
      <c r="F326" s="7" t="n"/>
      <c r="G326" s="13" t="n"/>
      <c r="H326" s="54" t="n"/>
      <c r="I326" s="52" t="n"/>
      <c r="J326" s="8" t="n"/>
      <c r="K326" s="8" t="n"/>
      <c r="L326" s="9" t="n"/>
      <c r="M326" s="9" t="n"/>
      <c r="N326" s="9" t="n"/>
      <c r="O326" s="66" t="n"/>
      <c r="P326" s="9">
        <f>IF(O326&lt;&gt;"",O326, IF(N326&lt;&gt;"",N326, IF(M326&lt;&gt;"",M326, L326)))</f>
        <v/>
      </c>
      <c r="R326" s="95">
        <f>IF(AND(L326="", B326&lt;&gt;""), B326, "")</f>
        <v/>
      </c>
    </row>
    <row r="327">
      <c r="A327" s="5" t="inlineStr">
        <is>
          <t>326.</t>
        </is>
      </c>
      <c r="B327" s="6" t="inlineStr">
        <is>
          <t>SBA 26/326</t>
        </is>
      </c>
      <c r="C327" s="8" t="n"/>
      <c r="D327" s="8" t="n"/>
      <c r="E327" s="7" t="n"/>
      <c r="F327" s="7" t="n"/>
      <c r="G327" s="13" t="n"/>
      <c r="H327" s="54" t="n"/>
      <c r="I327" s="52" t="n"/>
      <c r="J327" s="8" t="n"/>
      <c r="K327" s="8" t="n"/>
      <c r="L327" s="9" t="n"/>
      <c r="M327" s="9" t="n"/>
      <c r="N327" s="9" t="n"/>
      <c r="O327" s="66" t="n"/>
      <c r="P327" s="9">
        <f>IF(O327&lt;&gt;"",O327, IF(N327&lt;&gt;"",N327, IF(M327&lt;&gt;"",M327, L327)))</f>
        <v/>
      </c>
      <c r="R327" s="95">
        <f>IF(AND(L327="", B327&lt;&gt;""), B327, "")</f>
        <v/>
      </c>
    </row>
    <row r="328">
      <c r="A328" s="5" t="inlineStr">
        <is>
          <t>327.</t>
        </is>
      </c>
      <c r="B328" s="6" t="inlineStr">
        <is>
          <t>SBA 26/327</t>
        </is>
      </c>
      <c r="C328" s="8" t="n"/>
      <c r="D328" s="8" t="n"/>
      <c r="E328" s="7" t="n"/>
      <c r="F328" s="7" t="n"/>
      <c r="G328" s="13" t="n"/>
      <c r="H328" s="54" t="n"/>
      <c r="I328" s="52" t="n"/>
      <c r="J328" s="8" t="n"/>
      <c r="K328" s="8" t="n"/>
      <c r="L328" s="9" t="n"/>
      <c r="M328" s="9" t="n"/>
      <c r="N328" s="9" t="n"/>
      <c r="O328" s="66" t="n"/>
      <c r="P328" s="9">
        <f>IF(O328&lt;&gt;"",O328, IF(N328&lt;&gt;"",N328, IF(M328&lt;&gt;"",M328, L328)))</f>
        <v/>
      </c>
      <c r="R328" s="95">
        <f>IF(AND(L328="", B328&lt;&gt;""), B328, "")</f>
        <v/>
      </c>
    </row>
    <row r="329">
      <c r="A329" s="5" t="inlineStr">
        <is>
          <t>328.</t>
        </is>
      </c>
      <c r="B329" s="6" t="inlineStr">
        <is>
          <t>SBA 26/328</t>
        </is>
      </c>
      <c r="C329" s="8" t="n"/>
      <c r="D329" s="8" t="n"/>
      <c r="E329" s="7" t="n"/>
      <c r="F329" s="7" t="n"/>
      <c r="G329" s="13" t="n"/>
      <c r="H329" s="54" t="n"/>
      <c r="I329" s="52" t="n"/>
      <c r="J329" s="8" t="n"/>
      <c r="K329" s="8" t="n"/>
      <c r="L329" s="9" t="n"/>
      <c r="M329" s="9" t="n"/>
      <c r="N329" s="9" t="n"/>
      <c r="O329" s="66" t="n"/>
      <c r="P329" s="9">
        <f>IF(O329&lt;&gt;"",O329, IF(N329&lt;&gt;"",N329, IF(M329&lt;&gt;"",M329, L329)))</f>
        <v/>
      </c>
      <c r="R329" s="95">
        <f>IF(AND(L329="", B329&lt;&gt;""), B329, "")</f>
        <v/>
      </c>
    </row>
    <row r="330">
      <c r="A330" s="5" t="inlineStr">
        <is>
          <t>329.</t>
        </is>
      </c>
      <c r="B330" s="6" t="inlineStr">
        <is>
          <t>SBA 26/329</t>
        </is>
      </c>
      <c r="C330" s="8" t="n"/>
      <c r="D330" s="8" t="n"/>
      <c r="E330" s="7" t="n"/>
      <c r="F330" s="7" t="n"/>
      <c r="G330" s="13" t="n"/>
      <c r="H330" s="54" t="n"/>
      <c r="I330" s="52" t="n"/>
      <c r="J330" s="8" t="n"/>
      <c r="K330" s="8" t="n"/>
      <c r="L330" s="9" t="n"/>
      <c r="M330" s="9" t="n"/>
      <c r="N330" s="9" t="n"/>
      <c r="O330" s="66" t="n"/>
      <c r="P330" s="9">
        <f>IF(O330&lt;&gt;"",O330, IF(N330&lt;&gt;"",N330, IF(M330&lt;&gt;"",M330, L330)))</f>
        <v/>
      </c>
      <c r="R330" s="95">
        <f>IF(AND(L330="", B330&lt;&gt;""), B330, "")</f>
        <v/>
      </c>
    </row>
    <row r="331">
      <c r="A331" s="5" t="inlineStr">
        <is>
          <t>330.</t>
        </is>
      </c>
      <c r="B331" s="6" t="inlineStr">
        <is>
          <t>SBA 26/330</t>
        </is>
      </c>
      <c r="C331" s="8" t="n"/>
      <c r="D331" s="8" t="n"/>
      <c r="E331" s="7" t="n"/>
      <c r="F331" s="7" t="n"/>
      <c r="G331" s="13" t="n"/>
      <c r="H331" s="54" t="n"/>
      <c r="I331" s="52" t="n"/>
      <c r="J331" s="8" t="n"/>
      <c r="K331" s="8" t="n"/>
      <c r="L331" s="9" t="n"/>
      <c r="M331" s="9" t="n"/>
      <c r="N331" s="9" t="n"/>
      <c r="O331" s="66" t="n"/>
      <c r="P331" s="9">
        <f>IF(O331&lt;&gt;"",O331, IF(N331&lt;&gt;"",N331, IF(M331&lt;&gt;"",M331, L331)))</f>
        <v/>
      </c>
      <c r="R331" s="95">
        <f>IF(AND(L331="", B331&lt;&gt;""), B331, "")</f>
        <v/>
      </c>
    </row>
    <row r="332">
      <c r="A332" s="187" t="n"/>
      <c r="C332" s="10" t="n"/>
      <c r="D332" s="10" t="n"/>
      <c r="E332" s="15" t="n"/>
      <c r="F332" s="15" t="n"/>
      <c r="G332" s="218" t="n"/>
      <c r="H332" s="188" t="n"/>
      <c r="I332" s="189" t="n"/>
      <c r="J332" s="10" t="n"/>
      <c r="K332" s="10" t="n"/>
      <c r="L332" s="69" t="n"/>
      <c r="M332" s="69" t="n"/>
      <c r="N332" s="69" t="n"/>
      <c r="O332" s="69" t="n"/>
    </row>
    <row r="333">
      <c r="R333" s="95">
        <f>IF(AND(L333="", B333&lt;&gt;""), B333, "")</f>
        <v/>
      </c>
    </row>
    <row r="334" ht="31.5" customHeight="1" s="221">
      <c r="F334" s="59" t="inlineStr">
        <is>
          <t>“Üniversite Öğrencilerinde Ekran Zamanının ve Teknoloji Kullanımının Ruh Sağlığı Üzerindeki Etkileri”</t>
        </is>
      </c>
      <c r="K334" s="71" t="inlineStr">
        <is>
          <t>ONAY</t>
        </is>
      </c>
      <c r="L334" s="72">
        <f>COUNTIF(L2:L331,"ONAY")</f>
        <v/>
      </c>
      <c r="M334" s="73">
        <f>COUNTIF(M2:M331,"ONAY")</f>
        <v/>
      </c>
      <c r="N334" s="72">
        <f>COUNTIF(N2:N331,"ONAY")</f>
        <v/>
      </c>
      <c r="O334" s="190">
        <f>COUNTIF(O2:O331,"ONAY")</f>
        <v/>
      </c>
      <c r="P334" s="73">
        <f>COUNTIF(P2:P331,"ONAY")</f>
        <v/>
      </c>
    </row>
    <row r="335" ht="31.5" customHeight="1" s="221">
      <c r="F335" s="59" t="inlineStr">
        <is>
          <t>“Periodontal Durum, Oral Sağlık ve Sosyal Anksiyete Düzeyi Arasındaki İlişkinin İncelenmesi”</t>
        </is>
      </c>
      <c r="K335" s="74" t="inlineStr">
        <is>
          <t>DÜZELTME</t>
        </is>
      </c>
      <c r="L335" s="75">
        <f>COUNTIF(L2:L331,"DÜZELTME")</f>
        <v/>
      </c>
      <c r="M335" s="76">
        <f>COUNTIF(M2:M331,"DÜZELTME")</f>
        <v/>
      </c>
      <c r="N335" s="75">
        <f>COUNTIF(N2:N331,"DÜZELTME")</f>
        <v/>
      </c>
      <c r="O335" s="76">
        <f>COUNTIF(O2:O331,"DÜZELTME")</f>
        <v/>
      </c>
      <c r="P335" s="191">
        <f>COUNTIF(P2:P331,"DÜZELTME")</f>
        <v/>
      </c>
    </row>
    <row r="336" ht="47.25" customHeight="1" s="221">
      <c r="F336" s="59" t="inlineStr">
        <is>
          <t>“65 Yaş Üstü Hastalarda Yaşlı Ayrımcılığına Maruziyet Sıklığı, Yaşlı Ayrımcılığının İlişkili Olduğu Faktörler ve Bakım Verenlerinde Yaşlanma Anksiyetesi”</t>
        </is>
      </c>
      <c r="K336" s="77" t="inlineStr">
        <is>
          <t>KAEK</t>
        </is>
      </c>
      <c r="L336" s="78">
        <f>COUNTIF(L2:L331,"KAEK")</f>
        <v/>
      </c>
      <c r="M336" s="79">
        <f>COUNTIF(M2:M331,"KAEK")</f>
        <v/>
      </c>
      <c r="N336" s="78">
        <f>COUNTIF(N2:N331,"KAEK")</f>
        <v/>
      </c>
      <c r="O336" s="79">
        <f>COUNTIF(O2:O331,"KAEK")</f>
        <v/>
      </c>
      <c r="P336" s="79">
        <f>COUNTIF(P2:P331,"KAEK")</f>
        <v/>
      </c>
    </row>
    <row r="337" ht="63" customHeight="1" s="221">
      <c r="F337" s="59" t="inlineStr">
        <is>
          <t>“Avrupa'da Geriatri Tıbbı Eğitim Programının Tamamlanması: Milenyum Kuşağı ve Z Kuşağı Geriatristlerinin Mesleki Beklentileri- Kesitsel, Avrupa Tabanlı Bir Çalışma”</t>
        </is>
      </c>
      <c r="K337" s="80" t="inlineStr">
        <is>
          <t>GÖRÜŞ</t>
        </is>
      </c>
      <c r="L337" s="81">
        <f>COUNTIF(L2:L331,"GÖRÜŞ")</f>
        <v/>
      </c>
      <c r="M337" s="82">
        <f>COUNTIF(M2:M331,"GÖRÜŞ")</f>
        <v/>
      </c>
      <c r="N337" s="81">
        <f>COUNTIF(N2:N331,"GÖRÜŞ")</f>
        <v/>
      </c>
      <c r="O337" s="82">
        <f>COUNTIF(O2:O331,"GÖRÜŞ")</f>
        <v/>
      </c>
      <c r="P337" s="82">
        <f>COUNTIF(P2:P331,"GÖRÜŞ")</f>
        <v/>
      </c>
    </row>
    <row r="338" ht="47.25" customHeight="1" s="221">
      <c r="F338" s="59" t="inlineStr">
        <is>
          <t>“Sağlık Profesyonellerinin Besin ve İlaç Etkileşimleri Hakkında Bilgi ve Farkındalık Düzeylerinin Değerlendirilmesi”</t>
        </is>
      </c>
      <c r="K338" s="83" t="inlineStr">
        <is>
          <t>KAPSAM DIŞI</t>
        </is>
      </c>
      <c r="L338" s="84">
        <f>COUNTIF(L2:L331,"KAPSAM DIŞI")</f>
        <v/>
      </c>
      <c r="M338" s="85">
        <f>COUNTIF(M2:M331,"KAPSAM DIŞI")</f>
        <v/>
      </c>
      <c r="N338" s="84">
        <f>COUNTIF(N2:N331,"KAPSAM DIŞI")</f>
        <v/>
      </c>
      <c r="O338" s="85">
        <f>COUNTIF(O2:O331,"KAPSAM DIŞI")</f>
        <v/>
      </c>
      <c r="P338" s="85">
        <f>COUNTIF(P2:P331,"KAPSAM DIŞI")</f>
        <v/>
      </c>
    </row>
    <row r="339" ht="31.5" customHeight="1" s="221">
      <c r="F339" s="59" t="inlineStr">
        <is>
          <t>“Çocuklarda Kedi, Köpek ve At Alerjisinde Moleküler Duyarlılık Özellikleri ve Klinik ile İlişkisi”</t>
        </is>
      </c>
      <c r="K339" s="86" t="inlineStr">
        <is>
          <t>RET</t>
        </is>
      </c>
      <c r="L339" s="87">
        <f>COUNTIF(L2:L331,"RET")</f>
        <v/>
      </c>
      <c r="M339" s="88">
        <f>COUNTIF(M2:M331,"RET")</f>
        <v/>
      </c>
      <c r="N339" s="87">
        <f>COUNTIF(N2:N331,"RET")</f>
        <v/>
      </c>
      <c r="O339" s="88">
        <f>COUNTIF(O2:O331,"RET")</f>
        <v/>
      </c>
      <c r="P339" s="88">
        <f>COUNTIF(P2:P331,"RET")</f>
        <v/>
      </c>
    </row>
    <row r="340" ht="31.5" customHeight="1" s="221">
      <c r="F340" s="59" t="inlineStr">
        <is>
          <t>“Denosumab Tedavisinde İnterlökin-6 Düzeyi ve DEXA Yanıtı İlişkisi: Retrospektif Bir Analiz”</t>
        </is>
      </c>
      <c r="K340" s="92" t="inlineStr">
        <is>
          <t>GERİ ÇEKİLDİ</t>
        </is>
      </c>
      <c r="L340" s="93">
        <f>COUNTIF(L2:L331,"GERİ ÇEKİLDİ")</f>
        <v/>
      </c>
      <c r="M340" s="94">
        <f>COUNTIF(M2:M331,"GERİ ÇEKİLDİ")</f>
        <v/>
      </c>
      <c r="N340" s="93">
        <f>COUNTIF(N2:N331,"GERİ ÇEKİLDİ")</f>
        <v/>
      </c>
      <c r="O340" s="94">
        <f>COUNTIF(O2:O331,"GERİ ÇEKİLDİ")</f>
        <v/>
      </c>
      <c r="P340" s="94">
        <f>COUNTIF(P2:P331,"GERİ ÇEKİLDİ")</f>
        <v/>
      </c>
    </row>
    <row r="341" ht="47.25" customHeight="1" s="221">
      <c r="F341" s="59" t="inlineStr">
        <is>
          <t>“Clostridium Difficile Enfeksiyonu Olan Hastanede Yatan 50 Yaş ve Üstü Hastaların Kapsamlı Geriatrik Değerlendirme ile Değerlendirilmesi”</t>
        </is>
      </c>
      <c r="K341" s="89" t="inlineStr">
        <is>
          <t>TOPLAM</t>
        </is>
      </c>
      <c r="L341" s="90">
        <f>SUM(L334:L340)</f>
        <v/>
      </c>
      <c r="M341" s="91">
        <f>SUM(M334:M340)</f>
        <v/>
      </c>
      <c r="N341" s="90">
        <f>SUM(N334:N340)</f>
        <v/>
      </c>
      <c r="O341" s="91">
        <f>SUM(O334:O340)</f>
        <v/>
      </c>
      <c r="P341" s="91">
        <f>SUM(P334:P340)</f>
        <v/>
      </c>
    </row>
    <row r="342" ht="31.5" customHeight="1" s="221">
      <c r="F342" s="59" t="inlineStr">
        <is>
          <t>“İlaca Dirençli Epilepside MikroRNA İfade Değişikliklerinin Değerlendirilmesi”</t>
        </is>
      </c>
    </row>
    <row r="343" ht="47.25" customHeight="1" s="221">
      <c r="F343" s="59" t="inlineStr">
        <is>
          <t>“Emilebilir İp Uygulamaları ile Biyostimülan Ajanların Yüz Anatomisi Şekillendirme Kapasitesinin Değerlendirmesi: Retrospektif Gözlem Çalışması”</t>
        </is>
      </c>
    </row>
    <row r="344" ht="63" customHeight="1" s="221">
      <c r="F344" s="59" t="inlineStr">
        <is>
          <t>“Rozasea Hastalığının Bazı Alt Gruplarında Görülebilen Oküler Tutulumun Belirlenmesinde ve Takibinde Kullanılabilecek Yeni Biyobelirteçlerin Klinik Temelli Metabolomik Çalışmalarla Araştırılması”</t>
        </is>
      </c>
      <c r="L344" s="10">
        <f>COUNTIF(L2:L331,"")</f>
        <v/>
      </c>
    </row>
    <row r="345" ht="31.5" customHeight="1" s="221">
      <c r="F345" s="59" t="inlineStr">
        <is>
          <t>“STAT1 ve STAT3 Mutasyonu olan Hastaların Klinik ve Laboratuvar Özelliklerinin Değerlendirilmesi”</t>
        </is>
      </c>
      <c r="L345" s="10">
        <f t="array" ref="L345">SUMPRODUCT(--(LEN(TRIM(L2:L331))=0))</f>
        <v/>
      </c>
    </row>
    <row r="346" ht="31.5" customHeight="1" s="221">
      <c r="F346" s="59" t="inlineStr">
        <is>
          <t>“Emzirme Döneminde Beslenme: Annelerin İnanç ve Deneyimlerine Yönelik Kalitatif İnceleme”</t>
        </is>
      </c>
      <c r="L346" s="51">
        <f>IF(COUNTIF(L2:L331,"")&gt;0, "⚠ DİKKAT: Boş bırakılan alanlar var!", "✓ Tüm alanlar dolu")</f>
        <v/>
      </c>
      <c r="M346" s="51" t="n"/>
    </row>
    <row r="347" ht="31.5" customHeight="1" s="221">
      <c r="F347" s="59" t="inlineStr">
        <is>
          <t>"Kadın Hastalarda Herediter Anjioödemin Seyri ve Klinik Özellikleri"</t>
        </is>
      </c>
      <c r="L347" s="51">
        <f t="array" ref="L347">IF(SUMPRODUCT(--(LEN(TRIM(L2:L331))=0))&gt;0,
"⚠ DİKKAT: Boş bırakılan alanlar var!",
"✓ Tüm alanlar dolu")</f>
        <v/>
      </c>
      <c r="M347" s="51" t="n"/>
    </row>
    <row r="348" ht="31.5" customHeight="1" s="221">
      <c r="F348" s="59" t="inlineStr">
        <is>
          <t>"Herediter Anjioödem Tanılı Hastalarda Dental İşlemlerin Klinik Sonuçları"</t>
        </is>
      </c>
    </row>
    <row r="349" ht="31.5" customHeight="1" s="221">
      <c r="F349" s="59" t="inlineStr">
        <is>
          <t>"Ağır Astımda Hedefe Yönelik Biyolojik Tedaviler: Benralizumabın Değerlendirilmesi "</t>
        </is>
      </c>
    </row>
    <row r="350" ht="47.25" customHeight="1" s="221">
      <c r="F350" s="59" t="inlineStr">
        <is>
          <t>“Şeffaf Plak Tekniğinde Ramus Plağı veya Bukkal Shelf Minividası Kullanımının Mandibular Molar Distalizasyonuna Etkisinin FEM ile İncelenmesi”</t>
        </is>
      </c>
      <c r="L350" s="10">
        <f t="array" ref="L350:L411">_xlfn._xlws.FILTER("L"&amp;ROW(L2:L331), LEN(TRIM(L2:L331))=0)</f>
        <v/>
      </c>
    </row>
    <row r="351" ht="31.5" customHeight="1" s="221">
      <c r="F351" s="59" t="inlineStr">
        <is>
          <t>“Erken Dönem Yaşa Bağlı Makula Dejenerasyonunda Perimetri ile Makuler Parametrelerin İncelenmesi”</t>
        </is>
      </c>
      <c r="L351" s="10" t="inlineStr">
        <is>
          <t>L250</t>
        </is>
      </c>
    </row>
    <row r="352" ht="47.25" customHeight="1" s="221">
      <c r="F352" s="59" t="inlineStr">
        <is>
          <t>“Babalarda Doğum Korkusu ile Fetal Bağlanma, Depresyon, Anksiyete ve Stres Arasındaki İlişkinin Belirlenmesi”</t>
        </is>
      </c>
      <c r="L352" s="10" t="inlineStr">
        <is>
          <t>L253</t>
        </is>
      </c>
    </row>
    <row r="353" ht="47.25" customHeight="1" s="221">
      <c r="F353" s="59" t="inlineStr">
        <is>
          <t>“Aletli Periton Diyalizi Yapan Hastalarda Uzaktan Erişim Modüllerinin Hastanın Tedavi Uyumuna ve Diyaliz Yeterliliğine Olan Etkisinin İncelenmesi”</t>
        </is>
      </c>
      <c r="L353" s="10" t="inlineStr">
        <is>
          <t>L254</t>
        </is>
      </c>
    </row>
    <row r="354" ht="47.25" customHeight="1" s="221">
      <c r="F354" s="59" t="inlineStr">
        <is>
          <t>“Mandibular Tek Taraflı Kondil Hiperplazisi Olan Hastalarda Eklem Aralığı ve Gonial Açı Ölçümlerinin Retrospektif Analizi”</t>
        </is>
      </c>
      <c r="L354" s="10" t="inlineStr">
        <is>
          <t>L274</t>
        </is>
      </c>
    </row>
    <row r="355" ht="47.25" customHeight="1" s="221">
      <c r="F355" s="59" t="inlineStr">
        <is>
          <t>“Ev Hanımlarında Sosyal Medya Kullanımının Okupasyonel Denge ve Zaman Yönetimi ile İlişkisinin İncelenmesi”</t>
        </is>
      </c>
      <c r="L355" s="10" t="inlineStr">
        <is>
          <t>L275</t>
        </is>
      </c>
    </row>
    <row r="356" ht="31.5" customHeight="1" s="221">
      <c r="F356" s="59" t="inlineStr">
        <is>
          <t>“Yaşlı Bireylerin Yardımcı Teknoloji Kullanımına Bakış Açıları: Nitel Araştırma”</t>
        </is>
      </c>
      <c r="L356" s="10" t="inlineStr">
        <is>
          <t>L276</t>
        </is>
      </c>
    </row>
    <row r="357" ht="31.5" customHeight="1" s="221">
      <c r="F357" s="59" t="inlineStr">
        <is>
          <t>“AKUT Gönüllülerinde Psikolojik Sağlamlığın İş Yaşam Kalitesi ile İlişkisinin İncelenmesi”</t>
        </is>
      </c>
      <c r="L357" s="10" t="inlineStr">
        <is>
          <t>L277</t>
        </is>
      </c>
    </row>
    <row r="358" ht="31.5" customHeight="1" s="221">
      <c r="F358" s="59" t="inlineStr">
        <is>
          <t>“Disleksi Tanısı Alan Üniversite Öğrencilerinin Yükseköğrenim Serüveni: Nitel Bir Çalışma”</t>
        </is>
      </c>
      <c r="L358" s="10" t="inlineStr">
        <is>
          <t>L278</t>
        </is>
      </c>
    </row>
    <row r="359" ht="31.5" customHeight="1" s="221">
      <c r="F359" s="59" t="inlineStr">
        <is>
          <t>“Çocukluk Çağı Başlangıçlı Takayasu Arteritlerinin Romatolojik ve Kardiyolojik Değerlendirilmesi”</t>
        </is>
      </c>
      <c r="L359" s="10" t="inlineStr">
        <is>
          <t>L279</t>
        </is>
      </c>
    </row>
    <row r="360" ht="47.25" customHeight="1" s="221">
      <c r="F360" s="59" t="inlineStr">
        <is>
          <t>“Sigara Bırakma Polikliniğine Başvuran Bireylerde Motivasyonel Görüşmenin Sürece Etkilerinin Nitel Olarak ve Yapay Zeka Resim Analizi ile İncelenmesi”</t>
        </is>
      </c>
      <c r="L360" s="10" t="inlineStr">
        <is>
          <t>L280</t>
        </is>
      </c>
    </row>
    <row r="361" ht="47.25" customHeight="1" s="221">
      <c r="F361" s="59" t="inlineStr">
        <is>
          <t>“Gebelerin ve Postpartum ilk 6 Aydaki Annelerin Topuk Kanı Taraması Hakkındaki Düşünceleri: Kalitatif Çalışma”</t>
        </is>
      </c>
      <c r="L361" s="10" t="inlineStr">
        <is>
          <t>L281</t>
        </is>
      </c>
    </row>
    <row r="362" ht="47.25" customHeight="1" s="221">
      <c r="F362" s="59" t="inlineStr">
        <is>
          <t>“Ataksi Telanjiektazi Hastalarının Klinik Değerlendirmeleri ile Kraniyal Manyetik Rezonans Görüntüleme Bulgularının İlişkisinin Araştırılması”</t>
        </is>
      </c>
      <c r="L362" s="10" t="inlineStr">
        <is>
          <t>L282</t>
        </is>
      </c>
    </row>
    <row r="363" ht="31.5" customHeight="1" s="221">
      <c r="F363" s="59" t="inlineStr">
        <is>
          <t>“Pediatrik Kriptojenik Nörolojik Hastalıklarda İnsizyonel Beyin Biyopsisinin Tanıya Katkısı”</t>
        </is>
      </c>
      <c r="L363" s="10" t="inlineStr">
        <is>
          <t>L283</t>
        </is>
      </c>
    </row>
    <row r="364" ht="63" customHeight="1" s="221">
      <c r="F364" s="59" t="inlineStr">
        <is>
          <t>“Posterior Üvea Nevüsü, Üvea Melanomu ve Sınırlı Koroid Hemanjiyomu Hastalıklarının Ayırıcı Tanısında Makine Öğrenmesi Temelli Yapay Zeka Algoritması Oluşturulması”</t>
        </is>
      </c>
      <c r="L364" s="10" t="inlineStr">
        <is>
          <t>L284</t>
        </is>
      </c>
    </row>
    <row r="365" ht="47.25" customHeight="1" s="221">
      <c r="F365" s="59" t="inlineStr">
        <is>
          <t>" 0-48 ay Arasındaki Çocuklarının Aşılanma Durumları ile Ebeveynlerin E-sağlık Okuryazarlığı Düzeyi Arasındaki İlişkinin İncelenmesi”</t>
        </is>
      </c>
      <c r="L365" s="10" t="inlineStr">
        <is>
          <t>L285</t>
        </is>
      </c>
    </row>
    <row r="366" ht="63" customHeight="1" s="221">
      <c r="F366" s="59" t="inlineStr">
        <is>
          <t>“Sele Bireysel Hazırlık Bilgi ve Davranış Ölçeklerinin Uyarlanarak, Etiyopya’nın Kelafo İlçesinde Yaşayan Risk Altı Nüfusun Hazırlık Düzeyinin ve İlişkili Faktörlerin Belirlenmesi”</t>
        </is>
      </c>
      <c r="L366" s="10" t="inlineStr">
        <is>
          <t>L286</t>
        </is>
      </c>
    </row>
    <row r="367" ht="47.25" customHeight="1" s="221">
      <c r="F367" s="59" t="inlineStr">
        <is>
          <t>“65 Yaş ve Üstündeki Hastalarda Kalp Yetmezliği Semptomları ile Oral Beslenme Desteği İlişkisinin Değerlendirilmesi”</t>
        </is>
      </c>
      <c r="L367" s="10" t="inlineStr">
        <is>
          <t>L287</t>
        </is>
      </c>
    </row>
    <row r="368" ht="47.25" customHeight="1" s="221">
      <c r="F368" s="59" t="inlineStr">
        <is>
          <t>“Alzheimer Hastalığında Disfaji ile Manyetik Rezonans Görüntülemesiyle Beyindeki Atrofi Alanları Arasındaki İlişkinin İncelenmesi”</t>
        </is>
      </c>
      <c r="L368" s="10" t="inlineStr">
        <is>
          <t>L288</t>
        </is>
      </c>
    </row>
    <row r="369" ht="47.25" customHeight="1" s="221">
      <c r="F369" s="59" t="inlineStr">
        <is>
          <t>“Güncel Vestibüler Hastalıkların Tanısında Vestibüler Test Bataryaları ve Vestibüler Rehabilitasyon Yaklaşımlarının Belirlenmesi”</t>
        </is>
      </c>
      <c r="L369" s="10" t="inlineStr">
        <is>
          <t>L289</t>
        </is>
      </c>
    </row>
    <row r="370" ht="47.25" customHeight="1" s="221">
      <c r="F370" s="59" t="inlineStr">
        <is>
          <t>“Multipl Skleroz Hastalarında Hastalık Modifiye Edici Tedavilerin Yan Etkilerinin Yaş ve Cinsiyete Göre İncelenmesi”</t>
        </is>
      </c>
      <c r="L370" s="10" t="inlineStr">
        <is>
          <t>L290</t>
        </is>
      </c>
    </row>
    <row r="371" ht="47.25" customHeight="1" s="221">
      <c r="F371" s="59" t="inlineStr">
        <is>
          <t>“Rituksimabın Santral Sinir Sistemi Demiyelinizan ve Otoimmün Hastalıklarında Etkililik ve Güvenliliği: Tek Merkez Deneyimi”</t>
        </is>
      </c>
      <c r="L371" s="10" t="inlineStr">
        <is>
          <t>L291</t>
        </is>
      </c>
    </row>
    <row r="372" ht="63" customHeight="1" s="221">
      <c r="F372" s="59" t="inlineStr">
        <is>
          <t>“Onkolojik veya Hematolojik Malignitesi Olan Nötropenik Hastalarda Karbapenemaz Üreten Enterobacterales Sebepli Bakteriyemi Tedavisinde Seftazidim/Avibaktam”</t>
        </is>
      </c>
      <c r="L372" s="10" t="inlineStr">
        <is>
          <t>L292</t>
        </is>
      </c>
    </row>
    <row r="373" ht="78.75" customHeight="1" s="221">
      <c r="F373" s="59" t="inlineStr">
        <is>
          <t>“Karbapeneme Dirençli Klebsilla pneumoniae ile Gelişen Kan Dolaşımı Enfeksiyonlarında Risk Faktörleri, Mortalite ve Moleküler Epidemiyolojik Verilerin Araştırılması: Karşılaştırmalı Retrospektif Analiz”</t>
        </is>
      </c>
      <c r="L373" s="10" t="inlineStr">
        <is>
          <t>L293</t>
        </is>
      </c>
    </row>
    <row r="374" ht="31.5" customHeight="1" s="221">
      <c r="F374" s="59" t="inlineStr">
        <is>
          <t>“Tekil Gebeliklerin İlk Trimesterdeki Myometrial Kalınlık Ölçümleriyle Preterm Doğum İlişkisi”</t>
        </is>
      </c>
      <c r="L374" s="10" t="inlineStr">
        <is>
          <t>L294</t>
        </is>
      </c>
    </row>
    <row r="375" ht="47.25" customHeight="1" s="221">
      <c r="F375" s="59" t="inlineStr">
        <is>
          <t>“Terapötik Hikaye İçerikli Bilgilendirici İnteraktif Mobil Uygulamanın Çocuk Kalp Cerrahisi Uygulanacak Hastaların Anksiyete Seviyelerine Etkisi”</t>
        </is>
      </c>
      <c r="L375" s="10" t="inlineStr">
        <is>
          <t>L295</t>
        </is>
      </c>
    </row>
    <row r="376" ht="63" customHeight="1" s="221">
      <c r="F376" s="59" t="inlineStr">
        <is>
          <t>“Karaciğer Transplantasyonu Geçirmiş Bireylerde Kardiyovasküler ve Kassal Parametrelerin, Motor Kognitif Performansın, Bilişsel Fonksiyonun, Kinezyofobinin ve Yaşam Kalitesinin İncelenmesi”</t>
        </is>
      </c>
      <c r="L376" s="10" t="inlineStr">
        <is>
          <t>L296</t>
        </is>
      </c>
    </row>
    <row r="377" ht="63" customHeight="1" s="221">
      <c r="F377" s="59" t="inlineStr">
        <is>
          <t>“Endodontik-Periodontal Lezyonlarda Etyoloji, Prognoz ve Tedavi Yaklaşımlarının Endodontist ve Periodontist Perspektifinden Değerlendirilmesi: Gözlemsel Bir Çalışma”</t>
        </is>
      </c>
      <c r="L377" s="10" t="inlineStr">
        <is>
          <t>L297</t>
        </is>
      </c>
    </row>
    <row r="378" ht="31.5" customHeight="1" s="221">
      <c r="F378" s="59" t="inlineStr">
        <is>
          <t>“Artan Trichophyton İndotineae Vakalarının Retrospektif Değerlendirilmesi”</t>
        </is>
      </c>
      <c r="L378" s="10" t="inlineStr">
        <is>
          <t>L298</t>
        </is>
      </c>
    </row>
    <row r="379" ht="31.5" customHeight="1" s="221">
      <c r="F379" s="59" t="inlineStr">
        <is>
          <t>“Tıp Öğrencilerinde İyilik Hali Düzeyini Arttırmaya Yönelik Bir Program: Pilot Uygulama”</t>
        </is>
      </c>
      <c r="L379" s="10" t="inlineStr">
        <is>
          <t>L299</t>
        </is>
      </c>
    </row>
    <row r="380" ht="31.5" customHeight="1" s="221">
      <c r="F380" s="59" t="inlineStr">
        <is>
          <t>“Tıpta Yan Dal Uzmanlık Eğitimi Tercihlerini Belirleyen Etkenler”</t>
        </is>
      </c>
      <c r="L380" s="10" t="inlineStr">
        <is>
          <t>L300</t>
        </is>
      </c>
    </row>
    <row r="381" ht="31.5" customHeight="1" s="221">
      <c r="F381" s="59" t="inlineStr">
        <is>
          <t>“Erişkin Subklinik Hipotiroidili Hastalarda Kardiyak Fonksiyonların İncelenmesi”</t>
        </is>
      </c>
      <c r="L381" s="10" t="inlineStr">
        <is>
          <t>L301</t>
        </is>
      </c>
    </row>
    <row r="382" ht="31.5" customHeight="1" s="221">
      <c r="F382" s="59" t="inlineStr">
        <is>
          <t>“Oktogenarian Kolon Kanserli Hastalarda Tedavi Etkinliğinin ve Uyumunun Değerlendirilmesi</t>
        </is>
      </c>
      <c r="L382" s="10" t="inlineStr">
        <is>
          <t>L302</t>
        </is>
      </c>
    </row>
    <row r="383" ht="31.5" customHeight="1" s="221">
      <c r="F383" s="59" t="inlineStr">
        <is>
          <t>“Çocuklarda Antimikrobiyal İlaç Desensitizasyonlarının Etkinliği ve Güvenilirliği”</t>
        </is>
      </c>
      <c r="L383" s="10" t="inlineStr">
        <is>
          <t>L303</t>
        </is>
      </c>
    </row>
    <row r="384" ht="31.5" customHeight="1" s="221">
      <c r="F384" s="59" t="inlineStr">
        <is>
          <t>“Çocuklarda Kemoterapötik İlaç Desensitizasyonlarının Etkinliği ve Güvenliği”</t>
        </is>
      </c>
      <c r="L384" s="10" t="inlineStr">
        <is>
          <t>L304</t>
        </is>
      </c>
    </row>
    <row r="385" ht="47.25" customHeight="1" s="221">
      <c r="F385" s="59" t="inlineStr">
        <is>
          <t>“Rezin İnfiltrasyon Tekniğinde Farklı Pürüzlendirme Yöntemlerinin Renk Stabilitesine ve Yüzey Pürüzlülüğüne Etkisi”</t>
        </is>
      </c>
      <c r="L385" s="10" t="inlineStr">
        <is>
          <t>L305</t>
        </is>
      </c>
    </row>
    <row r="386" ht="31.5" customHeight="1" s="221">
      <c r="F386" s="59" t="inlineStr">
        <is>
          <t>“İnfertil Göçmen Kadınların Aile Yaşantılarının Sosyal Hizmet Perspektifiyle İncelenmesi”</t>
        </is>
      </c>
      <c r="L386" s="10" t="inlineStr">
        <is>
          <t>L306</t>
        </is>
      </c>
    </row>
    <row r="387" ht="63" customHeight="1" s="221">
      <c r="F387" s="59" t="inlineStr">
        <is>
          <t>“Dikkat Eksikliği Hiperaktivite Bozukluğu olan Ergenlerde Nikotin Tüketimi, Zihin Gezinmesi, Duygu Düzenleme, Zihinselleştirme ve Yürütücü İşlevlerin İncelenmesi”</t>
        </is>
      </c>
      <c r="L387" s="10" t="inlineStr">
        <is>
          <t>L307</t>
        </is>
      </c>
    </row>
    <row r="388" ht="47.25" customHeight="1" s="221">
      <c r="F388" s="59" t="inlineStr">
        <is>
          <t>“Primer İmmün Yetmezlikli Hastalarda Nutrisyonel Durumun Değerlendirilmesi ve Vücut Kompozisyonu Ölçümü”</t>
        </is>
      </c>
      <c r="L388" s="10" t="inlineStr">
        <is>
          <t>L308</t>
        </is>
      </c>
    </row>
    <row r="389" ht="47.25" customHeight="1" s="221">
      <c r="F389" s="59" t="inlineStr">
        <is>
          <t>“Farklı Kök Kanal Doldurma Teknikleri ile Doldurulmuş Dişlerde Kanal Dolgusu Sökümü Sonrası Apikalden Taşmanın Değerlendirilmesi”</t>
        </is>
      </c>
      <c r="L389" s="10" t="inlineStr">
        <is>
          <t>L309</t>
        </is>
      </c>
    </row>
    <row r="390" ht="31.5" customHeight="1" s="221">
      <c r="F390" s="59" t="inlineStr">
        <is>
          <t>“Son Bir Yılda Türkiye'deki Çocuk Yoğun Bakımlarda Miyokardit”</t>
        </is>
      </c>
      <c r="L390" s="10" t="inlineStr">
        <is>
          <t>L310</t>
        </is>
      </c>
    </row>
    <row r="391" ht="31.5" customHeight="1" s="221">
      <c r="F391" s="59" t="inlineStr">
        <is>
          <t>“Vücudu Dik Pozisyona Getirerek Yerden Ağırlık Kaldırışının (Deadlift) Biyomekanik Modellenmesi”</t>
        </is>
      </c>
      <c r="L391" s="10" t="inlineStr">
        <is>
          <t>L311</t>
        </is>
      </c>
    </row>
    <row r="392" ht="47.25" customHeight="1" s="221">
      <c r="F392" s="59" t="inlineStr">
        <is>
          <t>“Hizmet Alanların Gözünden Boşluk Modeline Dayalı Olarak Hemşirelik Mesleğinin İmajının İncelenmesi: Nöropazarlama Analizi”</t>
        </is>
      </c>
      <c r="L392" s="10" t="inlineStr">
        <is>
          <t>L312</t>
        </is>
      </c>
    </row>
    <row r="393" ht="31.5" customHeight="1" s="221">
      <c r="F393" s="59" t="inlineStr">
        <is>
          <t>“Astım Tanılı Ergenlerde Menstruasyonun Astım Kontrolü Üzerindeki Etkisi”</t>
        </is>
      </c>
      <c r="L393" s="10" t="inlineStr">
        <is>
          <t>L313</t>
        </is>
      </c>
    </row>
    <row r="394" ht="47.25" customHeight="1" s="221">
      <c r="F394" s="59" t="inlineStr">
        <is>
          <t>“Asemptomatik Tansiyon Düşüklüğü Olan Hastalarda Endotel Disfonksiyonu ve Renin-Anjiyotensin-Aldosteron Sistem Fonksiyonlarının Değerlendirilmesi”</t>
        </is>
      </c>
      <c r="L394" s="10" t="inlineStr">
        <is>
          <t>L314</t>
        </is>
      </c>
    </row>
    <row r="395" ht="63" customHeight="1" s="221">
      <c r="F395" s="59" t="inlineStr">
        <is>
          <t>“Uyku Apnesi Olmayan Ancak Nazal Septal Deviasyonu Olan Hastalarda Septoplasti Ameliyatı Öncesi ve Sonrası Serum Melatonin Düzeylerinin Karşılaştırılması”</t>
        </is>
      </c>
      <c r="L395" s="10" t="inlineStr">
        <is>
          <t>L315</t>
        </is>
      </c>
    </row>
    <row r="396" ht="31.5" customHeight="1" s="221">
      <c r="F396" s="59" t="inlineStr">
        <is>
          <t>“Sekonder Hipertansiyon Klinik Özellikleri ve Tanıda Bilgisayarlı Tomografinin Rolü”</t>
        </is>
      </c>
      <c r="L396" s="10" t="inlineStr">
        <is>
          <t>L316</t>
        </is>
      </c>
    </row>
    <row r="397" ht="47.25" customHeight="1" s="221">
      <c r="F397" s="59" t="inlineStr">
        <is>
          <t>“Kronik Hastalığı Olan Çocukların Eğitiminde Yapay Zeka Kullanımına İlişkin Pediatri Hemşirelerinin Metaforlarının Analizi”</t>
        </is>
      </c>
      <c r="L397" s="10" t="inlineStr">
        <is>
          <t>L317</t>
        </is>
      </c>
    </row>
    <row r="398" ht="31.5" customHeight="1" s="221">
      <c r="F398" s="59" t="inlineStr">
        <is>
          <t>“Translasyonel Preklinik Modeller ile Pulmoner Fibrozis İçin Yeni Tedavi Yaklaşımlarının Geliştirilmesi”</t>
        </is>
      </c>
      <c r="L398" s="10" t="inlineStr">
        <is>
          <t>L318</t>
        </is>
      </c>
    </row>
    <row r="399" ht="31.5" customHeight="1" s="221">
      <c r="F399" s="59" t="inlineStr">
        <is>
          <t>“Kronik Spontan Ürtiker Tanılı Adölesan Hastalarda Menstrüel Siklusun Hastalık Aktiviyesi Üzerine Etkisi”</t>
        </is>
      </c>
      <c r="L399" s="10" t="inlineStr">
        <is>
          <t>L319</t>
        </is>
      </c>
    </row>
    <row r="400" ht="63" customHeight="1" s="221">
      <c r="F400" s="59" t="inlineStr">
        <is>
          <t>“Atopik Dermatit Tanılı 1-3 Yaş Arası Çocuklarda Besin Alerjisi Varlığının Lezyonel ve Non-lezyonel Deri Bölgelerindeki Sitokin ve Mikrobiyom Özelliklerine Etkisi”</t>
        </is>
      </c>
      <c r="L400" s="10" t="inlineStr">
        <is>
          <t>L320</t>
        </is>
      </c>
    </row>
    <row r="401" ht="47.25" customHeight="1" s="221">
      <c r="F401" s="59" t="inlineStr">
        <is>
          <t>“Septik Artrit ve Osteomyelit Tanılı 0-18 Yaş Arasındaki Hastaların Klinik, Etiyolojik ve Epidemiyolojik Açıdan İncelenmesi”</t>
        </is>
      </c>
      <c r="L401" s="10" t="inlineStr">
        <is>
          <t>L321</t>
        </is>
      </c>
    </row>
    <row r="402" ht="31.5" customHeight="1" s="221">
      <c r="F402" s="59" t="inlineStr">
        <is>
          <t>“Akciğer Kanserinde Lipid Metabolizması ile İmmün Sistem İlişkisi”</t>
        </is>
      </c>
      <c r="L402" s="10" t="inlineStr">
        <is>
          <t>L322</t>
        </is>
      </c>
    </row>
    <row r="403" ht="31.5" customHeight="1" s="221">
      <c r="F403" s="59" t="inlineStr">
        <is>
          <t>“Farklı Ajanların İmmün Hücre Metabolizması ve Proliferasyonuna Etkileri”</t>
        </is>
      </c>
      <c r="L403" s="10" t="inlineStr">
        <is>
          <t>L323</t>
        </is>
      </c>
    </row>
    <row r="404" ht="31.5" customHeight="1" s="221">
      <c r="F404" s="59" t="inlineStr">
        <is>
          <t>“Baş-boyun, Beyin ve Spinal Tümörlerin CEST Görüntüleme Yöntemi ile Değerlendirilmesi”</t>
        </is>
      </c>
      <c r="L404" s="10" t="inlineStr">
        <is>
          <t>L324</t>
        </is>
      </c>
    </row>
    <row r="405" ht="31.5" customHeight="1" s="221">
      <c r="F405" s="7" t="inlineStr">
        <is>
          <t>“Midpalatal Sütur Olgunlaşmasının Değerlendirilmesinde Yeni Bir Metot”</t>
        </is>
      </c>
      <c r="L405" s="10" t="inlineStr">
        <is>
          <t>L325</t>
        </is>
      </c>
    </row>
    <row r="406" ht="63" customHeight="1" s="221">
      <c r="F406" s="7" t="inlineStr">
        <is>
          <t>“Beyin Tümörünün Postoperatif Tedavisinde Antikanser/Antianjiogenik İlaç ve Kök Hücre İçeren, 3B Yazıcı ile Kişiselleştirilebilir İmplantların Geliştirilmesi ve İnvitro/İnvivo Değerlendirilmesi”</t>
        </is>
      </c>
      <c r="L406" s="10" t="inlineStr">
        <is>
          <t>L326</t>
        </is>
      </c>
    </row>
    <row r="407" ht="63" customHeight="1" s="221">
      <c r="F407" s="7" t="inlineStr">
        <is>
          <t>“Multipl Skleroz Tanılı Hastalarda Telomer Uzunluğu Analizi: Prognoz, Klinik Fenotip, Dizabilite ve Manyetik Rezonans Görüntüleme Beyin Volüm Değişiklikleri ile İlişkisi”</t>
        </is>
      </c>
      <c r="L407" s="10" t="inlineStr">
        <is>
          <t>L327</t>
        </is>
      </c>
    </row>
    <row r="408" ht="31.5" customHeight="1" s="221">
      <c r="F408" s="7" t="inlineStr">
        <is>
          <t>“Psoriatik Tırnak Bulgularının İncelenmesi ve Psoriatik Artrit ile İlişkisi”</t>
        </is>
      </c>
      <c r="L408" s="10" t="inlineStr">
        <is>
          <t>L328</t>
        </is>
      </c>
    </row>
    <row r="409" ht="47.25" customHeight="1" s="221">
      <c r="F409" s="7" t="inlineStr">
        <is>
          <t>“IL-1 İnhibitörü Tedavisi ve Kolşisin Tedavisi Alan Ailevi Akdeniz Ateşi Hastalarında Kemik Dönüşüm Belirteçlerinin Karşılaştırılması”</t>
        </is>
      </c>
      <c r="L409" s="10" t="inlineStr">
        <is>
          <t>L329</t>
        </is>
      </c>
    </row>
    <row r="410" ht="31.5" customHeight="1" s="221">
      <c r="F410" s="7" t="inlineStr">
        <is>
          <t>“Triple Negatif Meme Kanseri Tanılı Hastaların Klinik Özellikleri ve Tedavi Sonuçlarının İncelenmesi”</t>
        </is>
      </c>
      <c r="L410" s="10" t="inlineStr">
        <is>
          <t>L330</t>
        </is>
      </c>
    </row>
    <row r="411" ht="31.5" customHeight="1" s="221">
      <c r="F411" s="7" t="inlineStr">
        <is>
          <t>“WaLIDD Skorunun Türkçe Geçerlik ve Güvenirlik Çalışması”</t>
        </is>
      </c>
      <c r="L411" s="10" t="inlineStr">
        <is>
          <t>L331</t>
        </is>
      </c>
    </row>
    <row r="412" ht="63" customHeight="1" s="221">
      <c r="F412" s="7" t="inlineStr">
        <is>
          <t>“Ulusal Yenidoğan Tarama Programı ile Konjenital Hipotiroidi Tanısı Alarak İzlemde Geçici ve Kalıcı Konjenital Hipotiroidi Tanımlanan Olguların Retrospektif Değerlendirmesi"</t>
        </is>
      </c>
    </row>
    <row r="413" ht="31.5" customHeight="1" s="221">
      <c r="F413" s="7" t="inlineStr">
        <is>
          <t>“Fibromiyalji Tanılı Hastalarda İstenilen Görüntüleme Yöntemleri ile Geçirilmiş Cerrahi Operasyonların Sıklığı"</t>
        </is>
      </c>
    </row>
    <row r="414" ht="47.25" customHeight="1" s="221">
      <c r="F414" s="7" t="inlineStr">
        <is>
          <t>“Üçüncü Basamak Sağlık Merkezinde Pediatrik Osteoporoz Olgularının Etiyolojik Dağılımı, Klinik ve Laboratuvar Özellikleri”</t>
        </is>
      </c>
    </row>
    <row r="415" ht="47.25" customHeight="1" s="221">
      <c r="F415" s="7" t="inlineStr">
        <is>
          <t>“Pediatrik Brakiosefalik Ven Kateterizasyonlarının Komplikasyonlar Açısından Retrospektif Olarak İncelenmesi”</t>
        </is>
      </c>
    </row>
    <row r="416" ht="47.25" customHeight="1" s="221">
      <c r="F416" s="7" t="inlineStr">
        <is>
          <t>“İyon Salan Restoratif Dental Malzemelerin Bazı Mekanik Özellikler ve Mikrosızıntı Açısından İn-Vitro Olarak Değerlendirilmesi”</t>
        </is>
      </c>
    </row>
    <row r="417" ht="47.25" customHeight="1" s="221">
      <c r="F417" s="7" t="inlineStr">
        <is>
          <t>“Glutatyon S Transferaz P1 Enziminin Triple-Negatif Meme Kanser Hücrelerinde Ferroptoz Üzerindeki Rolünün İncelenmesi”</t>
        </is>
      </c>
    </row>
    <row r="418" ht="31.5" customHeight="1" s="221">
      <c r="F418" s="7" t="inlineStr">
        <is>
          <t>"Tip I Diyabet Tanısı Olan Çocukların Sağlıkta Baba Katılımlarının Değerlendirilmesi"</t>
        </is>
      </c>
    </row>
    <row r="419" ht="47.25" customHeight="1" s="221">
      <c r="F419" s="7" t="inlineStr">
        <is>
          <t>“Kronik Myeloid Lösemi Blastik Faz Hastalarının Tek Merkezden Gerçek Yaşam Verileriyle Retrospektif İncelenmesi”</t>
        </is>
      </c>
    </row>
    <row r="420" ht="31.5" customHeight="1" s="221">
      <c r="F420" s="7" t="inlineStr">
        <is>
          <t>“Çocukluk Çağı Eksojen Obezite Tedavisinde Yaşam Tarzı Değişikliği Önerilerinin Etkinliğinin İncelenmesi”</t>
        </is>
      </c>
    </row>
    <row r="421" ht="47.25" customHeight="1" s="221">
      <c r="F421" s="7" t="inlineStr">
        <is>
          <t>“Bifosfonat Kullanan Hastalarda İlaca Bağlı Olarak Çenelerde Görülen Osteonekrozun Etyopatogenezinde Otofaji, Apoptoz ve Nekrozun Rolü”</t>
        </is>
      </c>
    </row>
    <row r="422" ht="47.25" customHeight="1" s="221">
      <c r="F422" s="7" t="inlineStr">
        <is>
          <t>"Kronik Lenfositik Lösemi Hastalarında Ekstrameduller Tutulumunun Prognostik, Klinik, Laboratuvar, Tedavi Yanıtı Açısından Değerlendirmesi"</t>
        </is>
      </c>
    </row>
    <row r="423" ht="47.25" customHeight="1" s="221">
      <c r="F423" s="7" t="inlineStr">
        <is>
          <t>“Kronik Myeloid Lösemi Hastalarının Klinik, Prognostik, Sağkalım ve Tedavilerinin Değerlendirilmesi”</t>
        </is>
      </c>
    </row>
    <row r="424" ht="47.25" customHeight="1" s="221">
      <c r="F424" s="7" t="inlineStr">
        <is>
          <t>“Akut Myeloid Lösemi Hastalarında Konsolidasyon Tedavisinde Kullanılan Sitarabin Doz Yoğunluğunun Hastalığın Prognozu ve Sağkalımı Üzerine Etkisi”</t>
        </is>
      </c>
    </row>
    <row r="425" ht="47.25" customHeight="1" s="221">
      <c r="F425" s="7" t="inlineStr">
        <is>
          <t>“Fertilite Koruyucu Tedavi Uygulanan Endometrium Kanseri ve Endometrial İntraepitelyal Neoplazi Tanılı Hastalarda Moleküler Sınıflandırmanın Prognoza Etkisi”</t>
        </is>
      </c>
    </row>
    <row r="426" ht="78.75" customHeight="1" s="221">
      <c r="F426" s="7" t="inlineStr">
        <is>
          <t>“Özgül Öğrenme Bozukluğu ve Dikkat Eksikliği Hiperaktivite Bozukluğu Komorbiditesi Olan Çocuklarda Okuma-Yazma Performansının Yönetici İşlevler, Nörobilişsel Profil ve İşlevsellik ile İlişkisinin İncelenmesi”</t>
        </is>
      </c>
    </row>
    <row r="427" ht="78.75" customHeight="1" s="221">
      <c r="F427" s="7" t="inlineStr">
        <is>
          <t>“Pediatrik Akciğer Enfeksiyonlarında Toraks BT Bulgularının Klinik Verilerle Birleştirilmesi Sonucunda Mantar ve Diğer Etkenlerin Derin Öğrenme ve Makine Öğrenmesi Yöntemleriyle Erken Dönemde Ayırt Edilmesi”</t>
        </is>
      </c>
    </row>
    <row r="428" ht="31.5" customHeight="1" s="221">
      <c r="F428" s="7" t="inlineStr">
        <is>
          <t>“İnsan Hareketinin Biyomekanik Analizi İçin Bilgisayar Benzeşim Modeli Geliştirilmesi”</t>
        </is>
      </c>
    </row>
    <row r="429" ht="31.5" customHeight="1" s="221">
      <c r="F429" s="7" t="inlineStr">
        <is>
          <t>“Amelogenezis İmperfectalı Hastaların Mandibula Kemik Yapısının Fraktal Analizi”</t>
        </is>
      </c>
    </row>
    <row r="430" ht="63" customHeight="1" s="221">
      <c r="F430" s="7" t="inlineStr">
        <is>
          <t>“Göğüs Hastalıkları Hekimlerinin Kistik Fibrozis Transmembran Düzenleyici (KFTR) Modülatör Tedaviler-İlaç Etkileşimleri Hakkında Bilgi ve Tutumlarının Değerlendirilmesi"</t>
        </is>
      </c>
    </row>
    <row r="431" ht="31.5" customHeight="1" s="221">
      <c r="F431" s="7" t="inlineStr">
        <is>
          <t>Osteogenezis İmperfekta Hastalarında Ağız Diş Sağlığı Durumunun Değerlendirilmesi</t>
        </is>
      </c>
    </row>
    <row r="432" ht="47.25" customHeight="1" s="221">
      <c r="F432" s="7" t="inlineStr">
        <is>
          <t>“Çalışan Kadın Sağlığı: Genel Sağlık, Koruyucu Sağlık Hizmetlerinden Faydalanma ve İş-Yaşam Dengesi Durumları”</t>
        </is>
      </c>
    </row>
    <row r="433" ht="47.25" customHeight="1" s="221">
      <c r="F433" s="7" t="inlineStr">
        <is>
          <t>“65 Yaş ve Üzeri Tip 2 Diabetes Mellituslu Bireylerde İlaç Kullanım Uygunluğunun Retrospektif Değerlendirilmesi”</t>
        </is>
      </c>
    </row>
    <row r="434" ht="63" customHeight="1" s="221">
      <c r="F434" s="7" t="inlineStr">
        <is>
          <t>“Hacettepe Üniversitesi Erişkin Hastanesi İç Hastalıkları Servislerinde İstem Dışı Kilo Kaybı Nedeni ile Yatırılmış Hastalarda Tetkik Süreçlerinin ve Etiyoloji Dağılımlarının Retrospektif İncelenmesi”</t>
        </is>
      </c>
    </row>
    <row r="435" ht="31.5" customHeight="1" s="221">
      <c r="F435" s="7" t="inlineStr">
        <is>
          <t>“Akut Lösemi Hastalarında Tanı Öncesi Kan Değerlerinin Etkinliği”</t>
        </is>
      </c>
    </row>
    <row r="436" ht="47.25" customHeight="1" s="221">
      <c r="F436" s="7" t="inlineStr">
        <is>
          <t>“Relaps/ Refrakter Akut Myeloid Lösemi Hastalarında Reindüksiyonda Venetoklaks İçeren Tedavi Rejimlerinin Diğer Tedavilerle Karşılaştırılması”</t>
        </is>
      </c>
    </row>
    <row r="437" ht="63" customHeight="1" s="221">
      <c r="F437" s="7" t="inlineStr">
        <is>
          <t>“Distal-Orta Yerleşimli Lokal İleri Evre Rektum Adenokanser Tanılı Hastalarda Radyoterapi Müdahalelerinin Patolojik ve Klinik Tümör Yanıt Oranlarına Etkisinin Araştırılması”</t>
        </is>
      </c>
    </row>
    <row r="438" ht="47.25" customHeight="1" s="221">
      <c r="F438" s="7" t="inlineStr">
        <is>
          <t>''Kawasaki Hastalığı Tanısı Koymaya Yardımcı Yapay Zeka Modeli 'Galadriel'in Tanı Koyma Başarısının Retrospektif Değerlendirilmesi''</t>
        </is>
      </c>
    </row>
    <row r="439" ht="47.25" customHeight="1" s="221">
      <c r="F439" s="7" t="inlineStr">
        <is>
          <t>''Çocukluk Çağı Sistemik Lupus Eritematozus Tanısı Koymaya Yardımcı Yapay Zeka Modeli 'Morgaf''ın Tanı Koyma Başarısının Retrospektif Değerlendirilmesi''</t>
        </is>
      </c>
    </row>
    <row r="440" ht="47.25" customHeight="1" s="221">
      <c r="F440" s="7" t="inlineStr">
        <is>
          <t>“Çocukluk Çağı İnflamatuvar Doku Hastalıkları Tanılı Çocuk ve Ergenlerde Yaşam Kalitesi ve İlişkili Faktörlerin Değerlendirilmesi”</t>
        </is>
      </c>
    </row>
    <row r="441" ht="47.25" customHeight="1" s="221">
      <c r="F441" s="7" t="inlineStr">
        <is>
          <t>“Çocukluk Çağı Otoimmün Romatolojik Hastalıklar Tanılı Çocuk ve Ergenlerde Yaşam Kalitesi ve İlişkili Faktörlerin Değerlendirilmesi”</t>
        </is>
      </c>
    </row>
    <row r="442" ht="47.25" customHeight="1" s="221">
      <c r="F442" s="7" t="inlineStr">
        <is>
          <t>“Ergenlerde Dijital Bağımlılık Düzeyleri ile Yaşam Tarzı İnancı Arasındaki İlişkinin İncelenmesi: Bir Aile Sağlığı Merkezi Örneği”</t>
        </is>
      </c>
    </row>
    <row r="443" ht="31.5" customHeight="1" s="221">
      <c r="F443" s="7" t="inlineStr">
        <is>
          <t>"Referans Merkezi Servikal Distoni Botulinum Toksin Uygulamaları Değerlendirmesi"</t>
        </is>
      </c>
    </row>
    <row r="444" ht="31.5" customHeight="1" s="221">
      <c r="F444" s="7" t="inlineStr">
        <is>
          <t>"Motor İletim Blokları Parametrelerinin Retrospektif Olarak Analizi"</t>
        </is>
      </c>
    </row>
    <row r="445" ht="63" customHeight="1" s="221">
      <c r="F445" s="7" t="inlineStr">
        <is>
          <t>“Geriatri Eğitimi, Uzmanlık Alanı ve Sosyo-Demografik Faktörlerin Geriatrik Hasta Yaklaşımına Etkisi:Türkiye'deki Uzman Doktorlar Arasında Çok Yönlü Bir Analiz”</t>
        </is>
      </c>
    </row>
    <row r="446" ht="47.25" customHeight="1" s="221">
      <c r="F446" s="7" t="inlineStr">
        <is>
          <t>“Sınıf II Malokluzyona Sahip Bireylerde Temporomandibular Eklem Bozukluklarının Panoramik Radyografiler Kullanılarak Yapay Zeka ile Teşhisi”</t>
        </is>
      </c>
    </row>
    <row r="447" ht="47.25" customHeight="1" s="221">
      <c r="F447" s="7" t="inlineStr">
        <is>
          <t>“Mesleksel ve Çevresel İç Ortam Hava Kirleticileri ile Akciğer Adenokarsinomu Arasındaki İlişkinin Biyolojik Kanıtlar ile Değerlendirilmesi”</t>
        </is>
      </c>
    </row>
    <row r="448" ht="47.25" customHeight="1" s="221">
      <c r="F448" s="7" t="inlineStr">
        <is>
          <t>“Kronik Karaciğer Hastalarında Sarkopeninin Non-İnvaziv Yöntemlerle Değerlendirilmesi ve Sarkopenin Uzun Dönem Morbidite ve Mortaliteye Etkisi”</t>
        </is>
      </c>
    </row>
    <row r="449" ht="63" customHeight="1" s="221">
      <c r="F449" s="7" t="inlineStr">
        <is>
          <t>“Noninvazif Pulmoner Aspergillozis ve Allerjik Bronkopulmoner Aspergillozis Tanılı Kistik Fibrozis Hastalarında Vorikonazol Serum Düzeyi Ölçümünün Tedaviye Katkısı”</t>
        </is>
      </c>
    </row>
    <row r="450" ht="31.5" customHeight="1" s="221">
      <c r="F450" s="7" t="inlineStr">
        <is>
          <t>“Primer İntratorasik Nörojenik Tümörlere Multidisipliner Yaklaşım”</t>
        </is>
      </c>
    </row>
    <row r="451" ht="31.5" customHeight="1" s="221">
      <c r="F451" s="7" t="inlineStr">
        <is>
          <t>“Papiller Tiroid Kanseri Tanısında Prediktif Değeri Olan Moleküllerin Tespit Edilmesi”</t>
        </is>
      </c>
    </row>
    <row r="452" ht="63" customHeight="1" s="221">
      <c r="F452" s="7" t="inlineStr">
        <is>
          <t>“Allojenik Kök Hücre Nakli Yapılan Hastalarda Sitomegalovirüs Reaktivasyonu Sıklığının Risk Faktörlerinin ve Sağ Kalıma Etkisinin Retrospektif Değerlendirilmesi”</t>
        </is>
      </c>
    </row>
    <row r="453" ht="47.25" customHeight="1" s="221">
      <c r="F453" s="7" t="inlineStr">
        <is>
          <t>“Hız Temelli Antrenmanın Aktivasyon Sonrası Performans Artışına Etkisinin Sirkadiyen Ritme göre İncelenmesi”</t>
        </is>
      </c>
    </row>
    <row r="454" ht="47.25" customHeight="1" s="221">
      <c r="F454" s="7" t="inlineStr">
        <is>
          <t>“Oral İmmunoglobulin Replasmanı Almış Olan Primer İmmün Yetmezlik Hastalarının Demografik, Klinik ve Laboratuvar Özelliklerinin Değerlendirilmesi”</t>
        </is>
      </c>
    </row>
    <row r="455" ht="31.5" customHeight="1" s="221">
      <c r="F455" s="7" t="inlineStr">
        <is>
          <t>“Antimikrobiyal Dirençle Mücadeleye Yönelik Nanopartiküler Aşı Formülasyonlarının Geliştirilmesi”</t>
        </is>
      </c>
    </row>
    <row r="456" ht="63" customHeight="1" s="221">
      <c r="F456" s="7" t="inlineStr">
        <is>
          <t>“Polikistik Over Sendromlu Hastaların Açlık ve Tokluk Durumunda Beyin Fonksiyonel Durum Değişiminin İnkretin Hormonlarla İlişkisinin İncelenmesi ve Sağlıklı Gönüllüler ile Karşılaştırılması”</t>
        </is>
      </c>
    </row>
    <row r="457" ht="78.75" customHeight="1" s="221">
      <c r="F457" s="7" t="inlineStr">
        <is>
          <t>“Kritik Hastalarda Yatak Başında Nabız Basıncı Değerlendirmesi Strok Volümdeki Düşük Değerleri Tespit Edebilir mi veya Değişiklikleri Takip Edebilir mi? Çok Merkezli, Kesitsel, Gözlemsel ANDROMEDA-PEGASUS Çalışması”</t>
        </is>
      </c>
    </row>
    <row r="458" ht="31.5" customHeight="1" s="221">
      <c r="F458" s="7" t="inlineStr">
        <is>
          <t>“Preseptal, Orbital ve Bukkal Sellülit Nedeniyle Hastanede Yatan Çocukların Değerlendirilmesi”</t>
        </is>
      </c>
    </row>
    <row r="459" ht="31.5" customHeight="1" s="221">
      <c r="F459" s="7" t="inlineStr">
        <is>
          <t>“Çocuk Hastalarda Kombine Antibiyotik Tedavilerinin Yan Etkilerinin Retrospektif Olarak İncelenmesi”</t>
        </is>
      </c>
    </row>
    <row r="460" ht="31.5" customHeight="1" s="221">
      <c r="F460" s="7" t="inlineStr">
        <is>
          <t>“Kistik Hava Boşlukları ile İlişkili Akciğer Kanseri: Klinik, RadyolojikVe Patolojik Özellikler”</t>
        </is>
      </c>
    </row>
    <row r="461" ht="31.5" customHeight="1" s="221">
      <c r="F461" s="7" t="inlineStr">
        <is>
          <t>“Artistik Buz Pateninde Başarılı ve Başarısız Salchow Sıçrayışlarının Kinematik Analizi”</t>
        </is>
      </c>
    </row>
    <row r="462" ht="31.5" customHeight="1" s="221">
      <c r="F462" s="7" t="inlineStr">
        <is>
          <t>“Yön Değiştirme Mesafesine Göre 5-0-5 Testinin Geçerliliği ve Alt Ekstremite Kuvveti ile İlişkisi”</t>
        </is>
      </c>
    </row>
    <row r="463" ht="31.5" customHeight="1" s="221">
      <c r="F463" s="7" t="inlineStr">
        <is>
          <t>“Ataksi-Telanjiektazi Hastalığının Patogenezinin Moleküler Boyutta Sistemik Analizi”</t>
        </is>
      </c>
    </row>
    <row r="464" ht="47.25" customHeight="1" s="221">
      <c r="F464" s="7" t="inlineStr">
        <is>
          <t>"Adipozite İlişkili Ateroskleroz Patogenezinde Rol Oynayan Periferik Mononükleer Hücrelerdeki İnflamasyon Yolaklarının Belirlenmesi"</t>
        </is>
      </c>
    </row>
    <row r="465" ht="47.25" customHeight="1" s="221">
      <c r="F465" s="7" t="inlineStr">
        <is>
          <t>“Yenidoğan Yoğun Bakım Ünitesinde Sürekli Elektroensefalografi ile Değerlendirilmiş Olan Kritik Hastaların Sonuçlarının İncelenmesi”</t>
        </is>
      </c>
    </row>
    <row r="466" ht="47.25" customHeight="1" s="221">
      <c r="F466" s="7" t="inlineStr">
        <is>
          <t>“Çocuk Yoğun Bakım Servisinde Sürekli Elektroensefalografi ile Değerlendirilmiş Olan Kritik Hastaların Sonuçlarının İncelenmesi”</t>
        </is>
      </c>
    </row>
    <row r="467" ht="78.75" customHeight="1" s="221">
      <c r="F467" s="7" t="inlineStr">
        <is>
          <t>“Konservatif Tedaviye Dirençli Periartiküler Kas İskelet Sistemi Hastalıklarında Fonksiyon Kısıtlayıcı Semptomların Transarteryal Periartiküler Embolizasyonu (TAPE) Tedavisi Sonrası Yanıt Değerlendirilmesi”</t>
        </is>
      </c>
    </row>
    <row r="468" ht="47.25" customHeight="1" s="221">
      <c r="F468" s="7" t="inlineStr">
        <is>
          <t>“ALL BFM IC 2009 Protokolü ile Tedavi Edilen Akut Lenfoblastik Lösemili Çocuk Hastalarda Yaşam Süresi Analizi"</t>
        </is>
      </c>
    </row>
    <row r="469" ht="47.25" customHeight="1" s="221">
      <c r="F469" s="7" t="inlineStr">
        <is>
          <t>“Yoğun Bakmda Hizmet veren Hekim Hemşire ve Klinik Eczacıların İntravenöz Sıvı Tedavisi Hakkında Bilgi ve Tutumlarının Değerlendirilmesi”</t>
        </is>
      </c>
    </row>
    <row r="470" ht="47.25" customHeight="1" s="221">
      <c r="F470" s="7" t="inlineStr">
        <is>
          <t>“Hastalarda Var Olan Uyku Bozukluklarının Diş Çekimi Sonrası Rahatsızlıklara Olan Etkisinin İncelenmesi”</t>
        </is>
      </c>
    </row>
    <row r="471" ht="47.25" customHeight="1" s="221">
      <c r="F471" s="7" t="inlineStr">
        <is>
          <t>“Ağız, Diş ve Çene Cerrahisi Alanında Yapay Zekâ Destekli Teknolojilere Yönelik Hasta İlgi ve Bilgi Seviyesi: Anket Çalışması”</t>
        </is>
      </c>
    </row>
    <row r="472" ht="31.5" customHeight="1" s="221">
      <c r="F472" s="7" t="inlineStr">
        <is>
          <t>“Demiryolu ile İlişkili Ölümlerin Değerlendirilmesi: Bölgesel Bir Otopsi Çalışması”</t>
        </is>
      </c>
    </row>
    <row r="473" ht="47.25" customHeight="1" s="221">
      <c r="F473" s="7" t="inlineStr">
        <is>
          <t>“Ankara Bölgesinde 2014-2023 Yılları Arasında Otopsisi Yapılmış Elektrik Akımına Bağlı Ölüm Olgularının Değerlendirilmesi”</t>
        </is>
      </c>
    </row>
    <row r="474" ht="31.5" customHeight="1" s="221">
      <c r="F474" s="7" t="inlineStr">
        <is>
          <t>“Ankara Bölgesinde Otopsisi Yapılmış İkili Ölüm Olgularının Değerlendirilmesi”</t>
        </is>
      </c>
    </row>
    <row r="475" ht="110.25" customHeight="1" s="221">
      <c r="F475" s="7" t="inlineStr">
        <is>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is>
      </c>
    </row>
    <row r="476" ht="31.5" customHeight="1" s="221">
      <c r="F476" s="7" t="inlineStr">
        <is>
          <t>“Teikoplanin Terapötik İlaç Düzey İzlemi: Tek Merkezli Retrospektif Analiz”</t>
        </is>
      </c>
    </row>
    <row r="477" ht="47.25" customHeight="1" s="221">
      <c r="F477" s="7" t="inlineStr">
        <is>
          <t>“Uzun Süren Nötropeniye Bağlı Ciddi Enfeksiyon Olan Hastalarda Granülosit Transfüzyonu Tedavisinin Değerlendirilmesi”</t>
        </is>
      </c>
    </row>
    <row r="478" ht="31.5" customHeight="1" s="221">
      <c r="F478" s="7" t="inlineStr">
        <is>
          <t>“Yetişkin Hemofili A ve B Hastaları ile Aile Üyesi Bakım Verenlerde Yaşam Kalitesi ve Bakım Yükü”</t>
        </is>
      </c>
    </row>
    <row r="479" ht="47.25" customHeight="1" s="221">
      <c r="F479" s="7" t="inlineStr">
        <is>
          <t>“Orak Hücreli Anemi Hastalarının Kanama ve Tromboz Sıklıkları ile Klinik Özelliklerinin ve Tedavi Yöntemlerinin İncelenmesi”</t>
        </is>
      </c>
    </row>
    <row r="480" ht="63" customHeight="1" s="221">
      <c r="F480" s="7" t="inlineStr">
        <is>
          <t>“Mitokondriyal Hastalıklarda Mitokondri Fonksiyon Bozukluğunun Çoklu-Omik Platformları ile Değerlendirilmesi ve Girişimsel Olmayan Yeni Tanı ve İzlem Yöntemlerinin Geliştirilmesi”</t>
        </is>
      </c>
    </row>
    <row r="481" ht="63" customHeight="1" s="221">
      <c r="F481" s="7" t="inlineStr">
        <is>
          <t>“Mekanik Aort ve Mitral Kapak Protezi Bulunan Hastalarda Ventriküler Taşikardi Ablasyonunda Sol Ventriküle Transapikal ve Trans-Sağ Atriyal Erişimin Etkinliği ve Sonuçları”</t>
        </is>
      </c>
    </row>
    <row r="482" ht="31.5" customHeight="1" s="221">
      <c r="F482" s="7" t="inlineStr">
        <is>
          <t>“Subkortikal Bant Heterotopisi: Klinik Özellikler ve Epilepsi Yükü”</t>
        </is>
      </c>
    </row>
    <row r="483" ht="47.25" customHeight="1" s="221">
      <c r="F483" s="7" t="inlineStr">
        <is>
          <t>“Standart AP ve Lateral Diz Grafilerinin Değerlendirilmesi ve Radyolojik Ölçümlerin Yapay Zeka ile Analizi”</t>
        </is>
      </c>
    </row>
    <row r="484" ht="47.25" customHeight="1" s="221">
      <c r="F484" s="7" t="inlineStr">
        <is>
          <t>“6 Şubat 2023 Depremzedelerinde Uzun Dönemdeki Ruhsal Sorunları Belirleyen Faktörler: Bölge Dışına Göçün Etkileri”</t>
        </is>
      </c>
    </row>
    <row r="485" ht="47.25" customHeight="1" s="221">
      <c r="F485" s="7" t="inlineStr">
        <is>
          <t>“Akromegali Hastalarında Serebral Küçük Damar Hastalığı ve Vasküler Kognitif Bozuklukların Değerlendirilmesi”</t>
        </is>
      </c>
    </row>
    <row r="486" ht="47.25" customHeight="1" s="221">
      <c r="F486" s="7" t="inlineStr">
        <is>
          <t>“Omuz Yaralanması Geçiren Sporcularda Spora Dönüş Evrelerinde Psikolojik Hazıroluşluğun İncelenmesi: Boylamsal Karma Desen Çalışması”</t>
        </is>
      </c>
    </row>
    <row r="487" ht="47.25" customHeight="1" s="221">
      <c r="F487" s="7" t="inlineStr">
        <is>
          <t>“Diyabet Dışı Kronik Böbrek Hastalığında Sodyum-Glukoz Kotransporter 2 İnhibitörünün Proteinüri Üzerine Etkisi”</t>
        </is>
      </c>
    </row>
    <row r="488" ht="47.25" customHeight="1" s="221">
      <c r="F488" s="7" t="inlineStr">
        <is>
          <t>“Gordon Sendromu Tanılı Bir Çocukta Saptanan Yeni WNK1 Varyantının Aile İçi Hastalıkla Segregasyonunun Araştırılması”</t>
        </is>
      </c>
    </row>
    <row r="489" ht="63" customHeight="1" s="221">
      <c r="F489" s="7" t="inlineStr">
        <is>
          <t>“Malignite Nedeniyle Yapılan Gastrointestinal Sistem Cerrahisi Sonrası Görülen İntraabdominal Kanamaların Tedavisinde Cerrahi ve Vasküler Girişimsel Radyolojik Yöntem Sonuçlarının Karşılaştırılması”</t>
        </is>
      </c>
    </row>
    <row r="490" ht="63" customHeight="1" s="221">
      <c r="F490" s="7" t="inlineStr">
        <is>
          <t>“Konjenital Hipotiroidi İçin Ulusal Ölçekli Yenidoğan Tarama Testi Sonucuyla Çocuk Endokrinoloji Bölümüne Yönlendirilen Olguların Klinik, Laboratuvar, Radyolojik Özelliklerinin İncelenmesi”</t>
        </is>
      </c>
    </row>
    <row r="491" ht="78.75" customHeight="1" s="221">
      <c r="F491" s="7" t="inlineStr">
        <is>
          <t>“Optik Disk Druzeni Tanılı Hastalar ve Kontrol Gruplarında, Optik Koherens Tomografı-Anjiyografı (OCT-A) Tetkiki ile Optik Sinir Başı ve Peripapiller Mikrovasküler Değişikliklerin Karşılaştırılması ve Klinik Bulgular ile Korelasyonu”</t>
        </is>
      </c>
    </row>
    <row r="492" ht="47.25" customHeight="1" s="221">
      <c r="F492" s="7" t="inlineStr">
        <is>
          <t>“Manyetik Rezonans Görüntüleme ile Serebellum, Beyin Sapı, Bazal Gangliyon ve Talamusta Saptanan Insidentalomaların Görüntüleme Bulguları”</t>
        </is>
      </c>
    </row>
    <row r="493" ht="31.5" customHeight="1" s="221">
      <c r="F493" s="7" t="inlineStr">
        <is>
          <t>"Alt Premolar Dişlere Ait Gubernakular Kanalın Konik Işınlı Bilgisayarlı Tomografi Görüntülerinde İncelenmesi"</t>
        </is>
      </c>
    </row>
    <row r="494" ht="31.5" customHeight="1" s="221">
      <c r="F494" s="7" t="inlineStr">
        <is>
          <t>“PIK3CG Eksikliğinin Doğal ve Kazanılmış Bağışıklık Sistemi Üzerindeki Etkilerinin Araştırılması”</t>
        </is>
      </c>
    </row>
    <row r="495">
      <c r="F495" s="7" t="inlineStr">
        <is>
          <t>“GPT-4 ile Patoloji Raporlarında Veri Analizi”</t>
        </is>
      </c>
    </row>
    <row r="496" ht="31.5" customHeight="1" s="221">
      <c r="F496" s="7" t="inlineStr">
        <is>
          <t>“Geçirilmiş Oral Cerrahi İşlemlerin Hastaların Dental Anksiyete ve Ağrı Üzerine Etkisinin Değerlendirilmesi”</t>
        </is>
      </c>
    </row>
    <row r="497" ht="47.25" customHeight="1" s="221">
      <c r="F497" s="7" t="inlineStr">
        <is>
          <t>“Temporomandibular Eklem Bozukluklarında Çene Fonksiyon Kısıtlanmasının ve Yaşam Kalitesinin Değerlendirilmesi”</t>
        </is>
      </c>
    </row>
    <row r="498" ht="47.25" customHeight="1" s="221">
      <c r="F498" s="7" t="inlineStr">
        <is>
          <t>“Endometrium Adenokarsinom Hastalarında Retrospektif Yetersiz ve Negatif Biyopsilerinin Klinikopatolojik Açıdan Değerlendirilmesi”</t>
        </is>
      </c>
    </row>
    <row r="499" ht="47.25" customHeight="1" s="221">
      <c r="F499" s="7" t="inlineStr">
        <is>
          <t>“Çocuk Kalp Cerrahisi Uygulanan Hastalarda Postoperatif İntraabdominal Hipertansiyonun Cerrahi Sonuçlara Etkisinin İncelenmesi”</t>
        </is>
      </c>
    </row>
    <row r="500" ht="47.25" customHeight="1" s="221">
      <c r="F500" s="7" t="inlineStr">
        <is>
          <t>“Aort Kapak Protezi olan Hastalarda Transtorasik Ekokardiyografik ve İnvaziv Ölçümlerle Transvalvüler Aort Gradientlerinin Karşılaştırılması”</t>
        </is>
      </c>
    </row>
    <row r="501" ht="47.25" customHeight="1" s="221">
      <c r="F501" s="7" t="inlineStr">
        <is>
          <t>“Body Roundness Index ve Body Shape Index'in Sarkopenik Obezite ile Yaşayanlarda Geriatrik Sendromlar ve Kognitif Fonksiyonlarla İlişkisi</t>
        </is>
      </c>
    </row>
    <row r="502" ht="47.25" customHeight="1" s="221">
      <c r="F502" s="7" t="inlineStr">
        <is>
          <t>“Primer Dismenoreden Etkilenme Düzeyine Göre Başvurulan Tamamlayıcı ve Alternatif Tedavi Yöntemlerinin Değerlendirilmesi”</t>
        </is>
      </c>
    </row>
    <row r="503" ht="31.5" customHeight="1" s="221">
      <c r="F503" s="7" t="inlineStr">
        <is>
          <t>“Kullanılmayan İlaçların İadesi ve İmhası Anketinin Türkçe Geçerlik ve Güvenirlik Çalışması</t>
        </is>
      </c>
    </row>
    <row r="504" ht="47.25" customHeight="1" s="221">
      <c r="F504" s="7" t="inlineStr">
        <is>
          <t>“Nörofibromatozis Tip 1 Hastalarının Beyin Manyetik Rezonans Görüntüleme Bulgularının Retrospektif Degerlendirilmesi”</t>
        </is>
      </c>
    </row>
    <row r="505" ht="47.25" customHeight="1" s="221">
      <c r="F505" s="7" t="inlineStr">
        <is>
          <t>“Kalıtsal Metabolik Hastalıklar ile ROS-Aracılı Hücresel Stres Arasındaki İlişkinin Metabolizma Açısından Değerlendirilmesi”</t>
        </is>
      </c>
    </row>
    <row r="506" ht="47.25" customHeight="1" s="221">
      <c r="F506" s="7" t="inlineStr">
        <is>
          <t>“İmmün Trombositopeni Hastalarında Splenektomi ile Alternatif Tedaviler Arasında Tedavi Etkinliği ve Trombositk Olay Sıklığının Karşılaştırılması”</t>
        </is>
      </c>
    </row>
    <row r="507" ht="47.25" customHeight="1" s="221">
      <c r="F507" s="7" t="inlineStr">
        <is>
          <t>“İnflamatuar Bağırsak Hastalığında Sarkopeni Değerlendirmesinde Optimal Yönteminin Belirlenmesi ve Nütrisyonel Değerlendirme”</t>
        </is>
      </c>
    </row>
    <row r="508" ht="31.5" customHeight="1" s="221">
      <c r="F508" s="7" t="inlineStr">
        <is>
          <t>“Hipertrofik Kardiyomiyopati Hastalarında Ventriküler Taşikardi Ablasyonunun Etkinliği ve Sonuçları”</t>
        </is>
      </c>
    </row>
    <row r="509" ht="31.5" customHeight="1" s="221">
      <c r="F509" s="7" t="inlineStr">
        <is>
          <t>“Statin Tedavisi Altındaki Pediatrik Hiperlipidemi Hastalarında Glikolizasyon Profili Karşılaştırması”</t>
        </is>
      </c>
    </row>
    <row r="510" ht="47.25" customHeight="1" s="221">
      <c r="F510" s="7" t="inlineStr">
        <is>
          <t>“Gecikmiş Kord Klemplenmesinin Erken Dönem Yenidoğan Komplikasyonları Üzerine Etkisinin Değerlendirilmesi”</t>
        </is>
      </c>
    </row>
    <row r="511" ht="63" customHeight="1" s="221">
      <c r="F511" s="7" t="inlineStr">
        <is>
          <t>“Tirozinemi Tip 1 Tanılı Pediatrik Yaş Grubu Hastalarda Metabolomik Profilin Hastalığın Klinik ve Laboratuvar Bulguları ve Tedavisi ile İlişkisinin Değerlendirilmesi”</t>
        </is>
      </c>
    </row>
    <row r="512" ht="31.5" customHeight="1" s="221">
      <c r="F512" s="7" t="inlineStr">
        <is>
          <t>“Amyotrofik Lateral Skleroz Hastalarının MRG ile Degerlendirilmesi”</t>
        </is>
      </c>
    </row>
    <row r="513" ht="31.5" customHeight="1" s="221">
      <c r="F513" s="7" t="inlineStr">
        <is>
          <t>“Benign Paroksizimal Pozisyonel Vertigo Hastalarında Klinik Tecrübemiz”</t>
        </is>
      </c>
    </row>
    <row r="514" ht="63" customHeight="1" s="221">
      <c r="F514" s="7" t="inlineStr">
        <is>
          <t>“Acil Servise Başvuran Febril Nötropeni Hastalarında MASCC Skorlaması ile Yapılan Hasta Yönetiminin FRAİL Kırılganlık İndeksi Skorları ile Karşılaştırılması ve Değerlendirilmesi: Gözlemsel Çalışma”</t>
        </is>
      </c>
    </row>
    <row r="515" ht="47.25" customHeight="1" s="221">
      <c r="F515" s="7" t="inlineStr">
        <is>
          <t>“Erişkin Hastalarda Glenoid Versiyonlarının ve Morfolojilerinin Bilgisayarlı Tomografi (BT) ile Değerlendirilmesi”</t>
        </is>
      </c>
    </row>
    <row r="516" ht="31.5" customHeight="1" s="221">
      <c r="F516" s="7" t="inlineStr">
        <is>
          <t>“Dirsek Lateral Epikondilit Tanılı Hastalarda Uyku Kalitesinin Değerlendirilmesi”</t>
        </is>
      </c>
    </row>
    <row r="517" ht="47.25" customHeight="1" s="221">
      <c r="F517" s="7" t="inlineStr">
        <is>
          <t>“Ulusal Kistik Fibrozis Hasta Kayıt Sisteminde Kayıtlı Hastalarda Kistik Fibrozis İlişkili Karaciğer Hastalığının Bağımsız Belirleyicilerinin Saptanması”</t>
        </is>
      </c>
    </row>
    <row r="518" ht="47.25" customHeight="1" s="221">
      <c r="F518" s="7" t="inlineStr">
        <is>
          <t>“Yoğun Bakım Ünitelerinde Endotrakeal Tüp İlişkili Oral Mukoz Membran Basınç Yaralanması: Tek Merkezde Boylamsal Bir Nokta Prevalans Çalışması”</t>
        </is>
      </c>
    </row>
    <row r="519" ht="31.5" customHeight="1" s="221">
      <c r="F519" s="7" t="inlineStr">
        <is>
          <t>“HPV Aşısının Sosyal Medyadaki İnfodemisi: Nitel Çalışma”</t>
        </is>
      </c>
    </row>
    <row r="520" ht="31.5" customHeight="1" s="221">
      <c r="F520" s="7" t="inlineStr">
        <is>
          <t>“X, Y ve Z Kuşağında Beslenme Alışkanlıklarındaki Farklılıkların Araştırılması”</t>
        </is>
      </c>
    </row>
    <row r="521" ht="63" customHeight="1" s="221">
      <c r="F521" s="7" t="inlineStr">
        <is>
          <t>“Ameliyathane Dışı İrreversible Elektroporasyon Uygulanan Onkolojik Hastalarda Anestezi Yönetimi ve Komplikasyonların İncelenmesi: Retrospektif Gözlemsel Çalışma”</t>
        </is>
      </c>
    </row>
    <row r="522" ht="31.5" customHeight="1" s="221">
      <c r="F522" s="7" t="inlineStr">
        <is>
          <t>“Kalça Artroplastisinde Constrained Asetabular İnsertlerin Uzun Dönem Sonuçları”</t>
        </is>
      </c>
    </row>
    <row r="523" ht="47.25" customHeight="1" s="221">
      <c r="F523" s="7" t="inlineStr">
        <is>
          <t>“Tıp Fakültesi Öğrencileri İçin Geliştirilen Bir Elektronik Performans Destek Sisteminin Akademik Başarı ve Performansa Etkisi”</t>
        </is>
      </c>
    </row>
    <row r="524" ht="31.5" customHeight="1" s="221">
      <c r="F524" s="7" t="inlineStr">
        <is>
          <t>“Mikozis Fungoides, Psöriasis ve Atopik Dermatit Hastalarında Dermoskopik Bulguların İncelenmesi”</t>
        </is>
      </c>
    </row>
    <row r="525" ht="63" customHeight="1" s="221">
      <c r="F525" s="7" t="inlineStr">
        <is>
          <t>“Kistik Nötrofilik Granülomatöz Mastit ve İdiopatik Granülomatöz Mastitin Radyolojik Görüntüleme Bulgularının Klinik ve Patolojik Veriler Eşliğinde Karşılaştırılması”</t>
        </is>
      </c>
    </row>
    <row r="526" ht="78.75" customHeight="1" s="221">
      <c r="F526" s="7" t="inlineStr">
        <is>
          <t>“Baş Boyun Kanserli Olgularda European Organisation for Research and Treatment of Cancer (EORTC) H&amp;N43 Modülünün Türkçe Validasyonu, Kronoradyoterapinin Hayat Kalitesi ve Akut Toksisiteler Üzerine Etkisi”</t>
        </is>
      </c>
    </row>
    <row r="527" ht="31.5" customHeight="1" s="221">
      <c r="F527" s="7" t="inlineStr">
        <is>
          <t>“Tendon Transferi Uygulanan Hastalarda Etiyolojik Faktörlerin Retrospektif Analizi”</t>
        </is>
      </c>
    </row>
    <row r="528" ht="63" customHeight="1" s="221">
      <c r="F528" s="7" t="inlineStr">
        <is>
          <t>"Nonsteroid Anti-İnflamatuar İlaçlar ile Alevlenen Hava Yolu Hastalığında Aspirin Kullanımının Kardiyovasküler Olaylar ve Kanama ile İlişkisini Değerlendirmek"</t>
        </is>
      </c>
    </row>
    <row r="529" ht="47.25" customHeight="1" s="221">
      <c r="F529" s="7" t="inlineStr">
        <is>
          <t>"Nonsteroidal Anti-İnflamatuar ilaçlarla Alevlenen Solunum Yolu Hastalığında (N-ERD) Biyolojik ve Aspirin Tedavilerinin Karşılaştırmalı Etkileri "</t>
        </is>
      </c>
    </row>
    <row r="530" ht="47.25" customHeight="1" s="221">
      <c r="F530" s="7" t="inlineStr">
        <is>
          <t>“Proteinüri Nedeniyle Çocuk Nefrolojisi Bilim Dalı'nda Değerlendirilen Diabetes Mellitus Tanılı Çocuk Hastaların Retrospektif Değerlendirilmesi”</t>
        </is>
      </c>
    </row>
    <row r="531" ht="31.5" customHeight="1" s="221">
      <c r="F531" s="7" t="inlineStr">
        <is>
          <t>“Türk Erişkinlerde El Sıkma Kuvveti Referans Değerlerinin Belirlenmesi”</t>
        </is>
      </c>
    </row>
    <row r="532" ht="31.5" customHeight="1" s="221">
      <c r="F532" s="7" t="inlineStr">
        <is>
          <t>“Çocuk ve Adolesan Tüberküloz Vakalarında Göçün Etkisi”</t>
        </is>
      </c>
    </row>
    <row r="533" ht="31.5" customHeight="1" s="221">
      <c r="F533" s="7" t="inlineStr">
        <is>
          <t>“Erişkinlerin Aromaterapi Hakkında Bilgi, Tutum ve Davranışlarının Araştırılması: Kesitsel Çalışma”</t>
        </is>
      </c>
    </row>
    <row r="534" ht="31.5" customHeight="1" s="221">
      <c r="F534" s="7" t="inlineStr">
        <is>
          <t>“Nörofibromatosis Tip 1 Vakalarında Gebelik Öncesi Dönemden Çocukluk Dönemine Çevresel Etkilenimler”</t>
        </is>
      </c>
    </row>
    <row r="535" ht="47.25" customHeight="1" s="221">
      <c r="F535" s="7" t="inlineStr">
        <is>
          <t>“Sıfır Eko Zamanlı Manyetik Rezonans Görüntüleme ile Ölçülen Kritik Omuz Açısının Rotator Kılıf Anormallikleri ve Glenohumeral Osteoartrit ile İlişkisi”</t>
        </is>
      </c>
    </row>
    <row r="536" ht="47.25" customHeight="1" s="221">
      <c r="F536" s="7" t="inlineStr">
        <is>
          <t>“Küçük/Orta Damar Vaskülitli Hastaların Kutanöz Prezentasyonları: Dermoskopik ve Histopatolojik Benzerlik ve Farklılıkların İncelenmesi”</t>
        </is>
      </c>
    </row>
    <row r="537" ht="63" customHeight="1" s="221">
      <c r="F537" s="7" t="inlineStr">
        <is>
          <t>“Fonksiyonel Nöbet ve Epilepsi Hastalarında Faillik ve Sahiplik Hissi Parametrelerinin Değerlendirilmesi, Epilepsi Hastalarında Fonksiyonel Nöbet Gelişimini Yordayan Etmenlerin İncelenmesi”</t>
        </is>
      </c>
    </row>
    <row r="538" ht="63" customHeight="1" s="221">
      <c r="F538" s="7" t="inlineStr">
        <is>
          <t>“Yoğun Bakımda Takip Edilen Geriatrik Hasta Grubunun Klinik Özellikleri ve Klinik Skorların Yoğun Bakım Sonuçlarına Etkisi: Çok Merkezli Prospektif Çalışma”</t>
        </is>
      </c>
    </row>
    <row r="539" ht="31.5" customHeight="1" s="221">
      <c r="F539" s="7" t="inlineStr">
        <is>
          <t>"Preterm Doğum Öyküsü Olan Çocukların Okula Hazır Bulunuşluklarının Değerlendirilmesi"</t>
        </is>
      </c>
    </row>
    <row r="540" ht="31.5" customHeight="1" s="221">
      <c r="F540" s="7" t="inlineStr">
        <is>
          <t>“Hastaneye Yatan Ergenlerde Hastalıkların Siberkondri Üzerindeki Etkisi”</t>
        </is>
      </c>
    </row>
    <row r="541" ht="47.25" customHeight="1" s="221">
      <c r="F541" s="7" t="inlineStr">
        <is>
          <t>“Türkiye’de Aile Sağlığı Merkezlerinde Yapılan Okul Sağlık Taramalarına Yönelik Öğretmenlerin Farkındalık ve Tutumlarının Araştırılması: Nitel Çalışma”</t>
        </is>
      </c>
    </row>
    <row r="542" ht="31.5" customHeight="1" s="221">
      <c r="F542" s="7" t="inlineStr">
        <is>
          <t>“Bilgisayarlı Tomografi Anjiyografide Hepatik Arter Aterosklerozu Prevalansının Araştırılması”</t>
        </is>
      </c>
    </row>
    <row r="543" ht="31.5" customHeight="1" s="221">
      <c r="F543" s="7" t="inlineStr">
        <is>
          <t>“Farklı Diş Macunları ve Er,Cr:YSGG Lazerin Süt Dişi Remineralizasyonuna Etkisi”</t>
        </is>
      </c>
    </row>
    <row r="544" ht="63" customHeight="1" s="221">
      <c r="F544" s="7" t="inlineStr">
        <is>
          <t>“Biyoprostetik Kalp Kapağı İmplantasyonu Geçiren Hastalarda Trombo-profilaksi İçin Warfarin ile Non–Vitamin K Oral Antikoagülanların Karşılaştırılması”</t>
        </is>
      </c>
    </row>
    <row r="545" ht="31.5" customHeight="1" s="221">
      <c r="F545" s="7" t="inlineStr">
        <is>
          <t>“Farklı Miyeloid Neoplazilerde Tanı ve İzlemde İnflamasyon Parametreleri”</t>
        </is>
      </c>
    </row>
    <row r="546" ht="47.25" customHeight="1" s="221">
      <c r="F546" s="7" t="inlineStr">
        <is>
          <t>“Erken Evre Glottik Kanserlerde Radyoterapi Sonuçları ve Ön Komissür Tutulumunun Radyoterapi Tekniği ile İlişkisi”</t>
        </is>
      </c>
    </row>
    <row r="547" ht="47.25" customHeight="1" s="221">
      <c r="F547" s="7" t="inlineStr">
        <is>
          <t>"IKZF1 Gen Varyantı Saptanan Primer İmmün Yetmezlik Hastalarının Demografik, Klinik ve Laboratuvar Özelliklerinin Değerlendirilmesi"</t>
        </is>
      </c>
    </row>
    <row r="548" ht="47.25" customHeight="1" s="221">
      <c r="F548" s="7" t="inlineStr">
        <is>
          <t>“Kardiyopulmoner Bypass Sırasında Hemadsorbsiyon Uygulamasının Pediyatrik Hastaların Mortalite ve Morbiditesi Üzerine Etkileri”</t>
        </is>
      </c>
    </row>
    <row r="549" ht="47.25" customHeight="1" s="221">
      <c r="F549" s="7" t="inlineStr">
        <is>
          <t>“İleri Blefaropitoz Olgularında Yeni Bir Cerrahi Yaklaşım: Kontralateral Corrugatör Supercilii Kas Transpozisyonu ve Topografik-Mikroskopik Analizi”</t>
        </is>
      </c>
    </row>
    <row r="550" ht="47.25" customHeight="1" s="221">
      <c r="F550" s="7" t="inlineStr">
        <is>
          <t>“Kan Akımı Kısıtlanmasına Bağlı Aerobik Egzersizin Metabolik Değişiklikler Üzerindeki Etkisinin Çoklu Omiks Teknikler ile Belirlenmesi”</t>
        </is>
      </c>
    </row>
    <row r="551" ht="47.25" customHeight="1" s="221">
      <c r="F551" s="7" t="inlineStr">
        <is>
          <t>“Toplumda Tarama İçin Risk Aracının (RISC) Hospitalize Yaşlı Hastada Geçerlik ve Güvenirliğinin Değerlendirilmesi”</t>
        </is>
      </c>
    </row>
    <row r="552" ht="47.25" customHeight="1" s="221">
      <c r="F552" s="7" t="inlineStr">
        <is>
          <t>“Osteoporozu Olan Geriatrik Hastalarda Kırık Riskinin FI-Lab Skoru ve Kapsamlı Geriatrik Değerlendirme ile Değerlendirilmesi”</t>
        </is>
      </c>
    </row>
    <row r="553" ht="63" customHeight="1" s="221">
      <c r="F553" s="7" t="inlineStr">
        <is>
          <t>"İşitsel Üçlü Sessiz Harf Sıralaması Testi’nin Hafif Bilişsel Bozukluk ve Alzheimer Hastalarında Psikometrik Özelliklerinin Belirlenmesi: Ayırtedicilik, Geçerlik ve Güvenirlik Çalışması”</t>
        </is>
      </c>
    </row>
    <row r="554" ht="47.25" customHeight="1" s="221">
      <c r="F554" s="7" t="inlineStr">
        <is>
          <t>“Çocuk Acil Servise İlaç İntoksikasyonu ile Başvuran ve Çocuk ve Ergen Ruh Sağlığı Tarafından Takip Edilen Bireylerin Geriye Dönük Değerlendirilmesi”</t>
        </is>
      </c>
    </row>
    <row r="555" ht="47.25" customHeight="1" s="221">
      <c r="F555" s="7" t="inlineStr">
        <is>
          <t>“Palyatif Bakım Hastalarına Bakım Verenlerin Deneyimlerinde Cinsiyet Rollerinin Etkilerinin İncelenmesi”</t>
        </is>
      </c>
    </row>
    <row r="556" ht="31.5" customHeight="1" s="221">
      <c r="F556" s="7" t="inlineStr">
        <is>
          <t>“Brakial Pleksus Doğum Paralizisi Olan Hastalarda Gövde ve Alt Ekstremite Dengesinin Değerlendirilmesi”</t>
        </is>
      </c>
    </row>
    <row r="557" ht="31.5" customHeight="1" s="221">
      <c r="F557" s="7" t="inlineStr">
        <is>
          <t>“Ergen ve Genç Yetişkinlerde Menstrüasyon Farkındalığı”</t>
        </is>
      </c>
    </row>
    <row r="558" ht="47.25" customHeight="1" s="221">
      <c r="F558" s="7" t="inlineStr">
        <is>
          <t>“Viral Solunum Yolu Enfeksiyonu Tanısı ile Takip Edilen Çocuk Hastaların Klinik Verilerinin Retrospektif Olarak İncelenmesi”</t>
        </is>
      </c>
    </row>
    <row r="559" ht="47.25" customHeight="1" s="221">
      <c r="F559" s="7" t="inlineStr">
        <is>
          <t>“Astım Tanılı Çocuklarda Çekirdek Aile ve Çekirdek Aile Dışı Akrabalarda Alerjik Hastalık Sıklığının Belirlenmesi"</t>
        </is>
      </c>
    </row>
    <row r="560" ht="31.5" customHeight="1" s="221">
      <c r="F560" s="7" t="inlineStr">
        <is>
          <t>“Proksimal Tibia Rekonstrüksiyonu ile Tedavi Edilen Hastaların Klinik Sonuçları”</t>
        </is>
      </c>
    </row>
    <row r="561" ht="31.5" customHeight="1" s="221">
      <c r="F561" s="7" t="inlineStr">
        <is>
          <t>"Diş Hekimliğinde Yapay Zeka Destekli Teşhis ve Tedavilere Güven: Hasta Perspektifinden Bir Analiz"</t>
        </is>
      </c>
    </row>
    <row r="562" ht="31.5" customHeight="1" s="221">
      <c r="F562" s="7" t="inlineStr">
        <is>
          <t>"Akut Poststreptokoksik Glomerulonefrit Tanılı Hastaların Retrospektif Olarak İncelenmesi"</t>
        </is>
      </c>
    </row>
    <row r="563" ht="31.5" customHeight="1" s="221">
      <c r="F563" s="7" t="inlineStr">
        <is>
          <t>“İnsan Göbek Kordonu Temelli Yapay Timüs Organoidlerinin Geliştirilmesi ve Karakterize Edilmesi”</t>
        </is>
      </c>
    </row>
    <row r="564" ht="31.5" customHeight="1" s="221">
      <c r="F564" s="7" t="inlineStr">
        <is>
          <t>“Wilms Tümörü ve Nefrojenik Artıklardaki Moleküler Değişiklikler”</t>
        </is>
      </c>
    </row>
    <row r="565" ht="63" customHeight="1" s="221">
      <c r="F565" s="7" t="inlineStr">
        <is>
          <t>“Erişkin Popülasyonda Ayak Bileği Kırıklarının Deplasman ve Yumuşak Doku Hasarlarının ZTE sekanslı MRG ile Değerlendirilmesi ve BT ile Karşılaştırılması”</t>
        </is>
      </c>
    </row>
    <row r="566" ht="31.5" customHeight="1" s="221">
      <c r="F566" s="7" t="inlineStr">
        <is>
          <t>“Yeni Nesil Antikoagülan İlaçların İlaç Etkileşimleri Hakkında Farkındalık Düzeyinin Ölçülmesi”</t>
        </is>
      </c>
    </row>
    <row r="567" ht="47.25" customHeight="1" s="221">
      <c r="F567" s="7" t="inlineStr">
        <is>
          <t>“Dental Tedavi Sırasında veya Reçetelendirmede Gelişebilecek İlaç Etkileşimleri Hakkında Farkındalık Düzeyinin Ölçülmesi”</t>
        </is>
      </c>
    </row>
    <row r="568" ht="47.25" customHeight="1" s="221">
      <c r="F568" s="7" t="inlineStr">
        <is>
          <t>"İmmünoterapi ile Tedavi Edilen Kanser Hastalarında Tedavi Öncesi Serbest T3/T4 Oranı ile Sağkalım İlişkisi”</t>
        </is>
      </c>
    </row>
    <row r="569" ht="47.25" customHeight="1" s="221">
      <c r="F569" s="7" t="inlineStr">
        <is>
          <t>“Rotasyon Profilli Bilgisayarlı Tomografi Kullanılarak Oluşturulan Parametreler ile Radyografide Proksimal Femur Rotasyonunun Değerlendirilmesi”</t>
        </is>
      </c>
    </row>
    <row r="570" ht="47.25" customHeight="1" s="221">
      <c r="F570" s="7" t="inlineStr">
        <is>
          <t>"Vegan Beslenmenin Oral Mukoza Üzerindeki Sitolojik, Genotoksik ve Antioksidan Etkilerinin İncelenmesi”</t>
        </is>
      </c>
    </row>
    <row r="571" ht="47.25" customHeight="1" s="221">
      <c r="F571" s="7" t="inlineStr">
        <is>
          <t>"Hospitalize Edilen Kanser Hastalarında Mortaliteye ve Hastanede Yeniden Yatışa Etki Eden Klinik Faktörlerin İncelenmesi"</t>
        </is>
      </c>
    </row>
    <row r="572" ht="47.25" customHeight="1" s="221">
      <c r="F572" s="7" t="inlineStr">
        <is>
          <t>"BRCA Mutant Meme ve Over Kanseri Hastaların Birinci Derece Erkek ve Kadın Yakınlarında Genetik Test Oranlarının ve Sonuçlarının Değerlendirilmesi"</t>
        </is>
      </c>
    </row>
    <row r="573" ht="47.25" customHeight="1" s="221">
      <c r="F573" s="7" t="inlineStr">
        <is>
          <t>“Çocuklarda Doğal İmmünite Kaynaklı Santral Sinir Sistemi İnflamasyonunda Beyin Büyümesini ve Sağlığını Haritalama”</t>
        </is>
      </c>
    </row>
    <row r="574" ht="31.5" customHeight="1" s="221">
      <c r="F574" s="7" t="inlineStr">
        <is>
          <t>“Geriatrik Sendromlarla C Reaktif-Albumin-Lenfosit İndeksinin İlişkisinin İncelenmesi”</t>
        </is>
      </c>
    </row>
    <row r="575" ht="31.5" customHeight="1" s="221">
      <c r="F575" s="7" t="inlineStr">
        <is>
          <t>"Kristal Artropatilerde Klinik ve Radyolojik Değerlendirmenin İncelenmesi"</t>
        </is>
      </c>
    </row>
    <row r="576" ht="47.25" customHeight="1" s="221">
      <c r="F576" s="7" t="inlineStr">
        <is>
          <t>"Bakteriyel Enfeksiyon Tanısı ile Yatarak Tedavi Olan Çocuk Hastaların Verilerinin Retrospektif Olarak İncelenmesi"</t>
        </is>
      </c>
    </row>
    <row r="577" ht="31.5" customHeight="1" s="221">
      <c r="F577" s="7" t="inlineStr">
        <is>
          <t>“Genç Yetişkin Erkeklerde Cinsiyet Rolü Gerilimi ve Problemli Kumar Oynama”</t>
        </is>
      </c>
    </row>
    <row r="578" ht="47.25" customHeight="1" s="221">
      <c r="F578" s="7" t="inlineStr">
        <is>
          <t>“Koroner Arter Hastalığı Tanılı Geriatrik Hastalarda Elektif Perkütan Koroner Girişiminin Geriatrik Sendromlarla İlişkisi”</t>
        </is>
      </c>
    </row>
    <row r="579" ht="47.25" customHeight="1" s="221">
      <c r="F579" s="7" t="inlineStr">
        <is>
          <t>“Rinoplasti Ameliyatlarında Piezoelektrik Yardımlı Osteotomi ve Konvansiyonel Osteotomilerin Periorbital Ödem ve Ekimoz Üzerine Etkisi”</t>
        </is>
      </c>
    </row>
    <row r="580" ht="31.5" customHeight="1" s="221">
      <c r="F580" s="7" t="inlineStr">
        <is>
          <t>“Yeme Bozukluğu Olan Ergenlerde Ebeveyn-Ergen Sınırlarının İncelenmesi”</t>
        </is>
      </c>
    </row>
    <row r="581" ht="47.25" customHeight="1" s="221">
      <c r="F581" s="7" t="inlineStr">
        <is>
          <t>“Ciddi Pnömokokkal Enfeksiyon Geçiren Hastaların Retrospektif Olarak İmmün Yetmezlik Açısından Değerlendirilmesi”</t>
        </is>
      </c>
    </row>
    <row r="582" ht="31.5" customHeight="1" s="221">
      <c r="F582" s="7" t="inlineStr">
        <is>
          <t>“Borderline Kişilik Özellikleri ve Çocuklukta Onaylamayan Çevre Arasındaki İlişki: Bir Model Testi”</t>
        </is>
      </c>
    </row>
    <row r="583" ht="47.25" customHeight="1" s="221">
      <c r="F583" s="7" t="inlineStr">
        <is>
          <t>“Serbest Dişeti Grefti Alınan Lateral Damak Bölgesine Farklı Ajanlar Uygulanarak Yara İyileşmesinin Karşılaştırılması”</t>
        </is>
      </c>
    </row>
    <row r="584" ht="31.5" customHeight="1" s="221">
      <c r="F584" s="7" t="inlineStr">
        <is>
          <t>“Heterozigot FMF Hastalarının Tedavi Kesildikten Sonraki İzleminin Değerlendirilmesi”</t>
        </is>
      </c>
    </row>
    <row r="585" ht="31.5" customHeight="1" s="221">
      <c r="F585" s="7" t="inlineStr">
        <is>
          <t>“PFAPA Tanılı Hastalarda Kullanılan Tedavilerin Retrospektif Olarak Değerlendirilmesi”</t>
        </is>
      </c>
    </row>
    <row r="586" ht="31.5" customHeight="1" s="221">
      <c r="F586" s="7" t="inlineStr">
        <is>
          <t>“Geriatrik Popülasyonda Prurigo Nodülaris Hastalarında Etyolojik Faktörlerin Araştırılması”</t>
        </is>
      </c>
    </row>
    <row r="587" ht="63" customHeight="1" s="221">
      <c r="F587" s="7" t="inlineStr">
        <is>
          <t>“İntravitreal Enjeksiyon Yapılan Yaşa Bağlı Makula Dejenerasyonuna Sahip Olan Hastalarda Non Kontakt Speküler Konfokal Mikroskopi İle Korneal Parametrelerin Değerlendirilmesi”</t>
        </is>
      </c>
    </row>
    <row r="588" ht="31.5" customHeight="1" s="221">
      <c r="F588" s="7" t="inlineStr">
        <is>
          <t>“Çocuklarda Post Enfeksiyöz Bronşiolitis Obliterans Gelişmesinin Genetik Temellerinin Belirlenmesi”</t>
        </is>
      </c>
    </row>
    <row r="589" ht="31.5" customHeight="1" s="221">
      <c r="F589" s="7" t="inlineStr">
        <is>
          <t>“Kemoterapötik İlaç Hazırlayan ve Uygulayan Hemşirelerde Olası Toksik Etkilerin Değerlendirilmesi”</t>
        </is>
      </c>
    </row>
    <row r="590" ht="47.25" customHeight="1" s="221">
      <c r="F590" s="7" t="inlineStr">
        <is>
          <t>“Metastatik Kolorektal Adenokarsinomunda Karaciğer Metastazektomisi Sonrası Adjuvan Tedavilerin Etkinliğinin Değerlendirilmesi”</t>
        </is>
      </c>
    </row>
    <row r="591" ht="31.5" customHeight="1" s="221">
      <c r="F591" s="7" t="inlineStr">
        <is>
          <t>"Çocukluk Çağı Aşılarına Karşı Antikor Düzeylerinin Değerlendirilmesi"</t>
        </is>
      </c>
    </row>
    <row r="592" ht="31.5" customHeight="1" s="221">
      <c r="F592" s="7" t="inlineStr">
        <is>
          <t>“Pediatrik Ampiyemde Streptococcus Pneumoniae’nin Rolü: Tanıdaki Gelişmeler ve Epidemiyolojik Bulgular”</t>
        </is>
      </c>
    </row>
    <row r="593" ht="31.5" customHeight="1" s="221">
      <c r="F593" s="7" t="inlineStr">
        <is>
          <t>“Superior Mezenter Arter Sendromu Tedavisinde Beslenme Desteği ve Sonuçları”</t>
        </is>
      </c>
    </row>
    <row r="594" ht="47.25" customHeight="1" s="221">
      <c r="F594" s="7" t="inlineStr">
        <is>
          <t>“Eozinofilik Özofajit Gelişen Özofagus Atrezili Olgularda Oral Mikrobiyom ve Metabolomik Profillerinin İncelenmesi”</t>
        </is>
      </c>
    </row>
    <row r="595" ht="47.25" customHeight="1" s="221">
      <c r="F595" s="7" t="inlineStr">
        <is>
          <t>“Septal Perforasyon Onarımı Sonrası Mukosiliyer Klirens değerlendirilmesi: Rinosintigrafi ve Sakkarin Testi ile Karşılaştırmalı Analiz”</t>
        </is>
      </c>
    </row>
    <row r="596" ht="47.25" customHeight="1" s="221">
      <c r="F596" s="7" t="inlineStr">
        <is>
          <t>“Ortognatik Cerrahi Takiplerinde Karşılaşılan Nörosensoriyel Bozuklukların Klinik Testler ile Değerlendirilmesi ve Yaşam Kalitesi Üzerine Etkisi”</t>
        </is>
      </c>
    </row>
    <row r="597" ht="78.75" customHeight="1" s="221">
      <c r="F597" s="7" t="inlineStr">
        <is>
          <t>“Cinsiyet Olumlayıcı Hormon Tedavisi Alan Transgender Erkekler ve Endojen Hiperandrojenizmi Olan Polikistik Over Sendromlu Kadınlarda İnsülin Direnci ile İlişkili Laboratuvar ve Vücut Kompozisyon Parametrelerinin Karşılaştırılması”</t>
        </is>
      </c>
    </row>
    <row r="598" ht="31.5" customHeight="1" s="221">
      <c r="F598" s="7" t="inlineStr">
        <is>
          <t>“Sarkoidoz Hastalarının İmmünolojik Açıdan Değerlendirilmesi”</t>
        </is>
      </c>
    </row>
    <row r="599" ht="47.25" customHeight="1" s="221">
      <c r="F599" s="7" t="inlineStr">
        <is>
          <t>“Rejeneratif Endodontik Tedavide Kullanılan Materyallerin Simüle Dişlerin Kırılma Dayanımına Etkisi: Laboratuvar Çalışması”</t>
        </is>
      </c>
    </row>
    <row r="600" ht="63" customHeight="1" s="221">
      <c r="F600" s="7" t="inlineStr">
        <is>
          <t>“Fertil Yaş Grubunda Myomektomi Sonrası Gerçekleşen Gebeliklerin Myomektomi Zamanı ile Gebelik Zamanı Arasında Geçen Sürelerin ve Gebelik Sonuçlarının Retrospektif Olarak Araştırılması”</t>
        </is>
      </c>
    </row>
    <row r="601" ht="47.25" customHeight="1" s="221">
      <c r="F601" s="7" t="inlineStr">
        <is>
          <t>“Titanyum Tabanlı Monolitik Zirkonya Köprülerin Klinik Değerlendirmesi: Bir Retrospektif Takip Çalışması”</t>
        </is>
      </c>
    </row>
    <row r="602" ht="47.25" customHeight="1" s="221">
      <c r="F602" s="7" t="inlineStr">
        <is>
          <t>“Testiküler Germ Hücreli Tümörlerde Tedavi Yanıtı ve Prognoz ile İlişkilendirilebilecek Biyobelirteçlerin Araştırılması”</t>
        </is>
      </c>
    </row>
    <row r="603" ht="63" customHeight="1" s="221">
      <c r="F603" s="7" t="inlineStr">
        <is>
          <t>“Anoreksiya Nervoza Hastalarında Solunum Fonksiyonları ile Kas Kalınlığı ve Kuvveti Arasındaki İlişkinin Araştırılması: Vaka-Kontrol ve İzlem Çalışması”</t>
        </is>
      </c>
    </row>
    <row r="604" ht="47.25" customHeight="1" s="221">
      <c r="F604" s="7" t="inlineStr">
        <is>
          <t>“Kalsiyum Silikat ve Kalsiyum Hidroksit Kontaminasyonunun Universal Adezivlerin Dentin Yüzeylerine Bağlanma Dayanımı Üzerindeki Etkisi”</t>
        </is>
      </c>
    </row>
    <row r="605" ht="31.5" customHeight="1" s="221">
      <c r="F605" s="7" t="inlineStr">
        <is>
          <t>“Pediatrik Hiperlipidemi Hastalarında Glikolizasyon Profil  Karşılaştırması”</t>
        </is>
      </c>
    </row>
    <row r="606" ht="47.25" customHeight="1" s="221">
      <c r="F606" s="7" t="inlineStr">
        <is>
          <t>“Türkiye'de Steril Vücut Sıvılarında Streptococcus Pneumoniae Serogruplarının Prevalansı: Çok Merkezli, Prospektif Çalışma”</t>
        </is>
      </c>
    </row>
    <row r="607" ht="78.75" customHeight="1" s="221">
      <c r="F607" s="7" t="inlineStr">
        <is>
          <t>“Kullanılmış İnsülin İğnelerinin İmha Yöntemlerinin Tespiti: Türkiye’de Bir Aile Sağlığı Merkezi’nde Yapılandırılmış Hasta Eğitimi Müdahalesinin Sürdürülebilir Evsel Tıbbi Atık Yönetimine Etkisinin Değerlendirilmesi”</t>
        </is>
      </c>
    </row>
    <row r="608" ht="47.25" customHeight="1" s="221">
      <c r="F608" s="7" t="inlineStr">
        <is>
          <t>“Ambulans Çağrısı Sonrası Hastaneye Nakledilmeyen Hasta Özelliklerinin İncelenmesi ve Alternatif Bakım Önerilerinin Değerlendirilmesi”</t>
        </is>
      </c>
    </row>
    <row r="609" ht="47.25" customHeight="1" s="221">
      <c r="F609" s="7" t="inlineStr">
        <is>
          <t>“Orta Dönemde Bakılan Serum ve İdrar Metal İyon Seviyeleri, Metal-Metal Kalça Artroplastisinin On İki Yıllık Sağkalımım Öngörebilir mi?”</t>
        </is>
      </c>
    </row>
    <row r="610" ht="47.25" customHeight="1" s="221">
      <c r="F610" s="7" t="inlineStr">
        <is>
          <t>"Rekreasyonel Sporcuların Maksimal Oksijen Tüketim Düzeyleri ile Vücut Kompozisyonu Arasındaki İlişkinin Belirlenmesi"</t>
        </is>
      </c>
    </row>
    <row r="611" ht="31.5" customHeight="1" s="221">
      <c r="F611" s="7" t="inlineStr">
        <is>
          <t>“Uyku Sağlığı Okuryazarlığı Ölçeğinin Türkçe Geçerlik ve Güvenirlik Çalışması"</t>
        </is>
      </c>
    </row>
    <row r="612" ht="63" customHeight="1" s="221">
      <c r="F612" s="7" t="inlineStr">
        <is>
          <t>“Videoürodinami Tetkiki Öncesi Hastanın Skopi İşlemi Sırasında Maruz Kalacağı Radyasyon Miktarını Öngörücü Faktörlerin ve Videoürodinami Tetkiki ile Kadın İşeme Fonksiyonun Tanımlanması”</t>
        </is>
      </c>
    </row>
    <row r="613" ht="47.25" customHeight="1" s="221">
      <c r="F613" s="7" t="inlineStr">
        <is>
          <t>“Rekürren Glial Tümörlerde Robotik Jiroskopik Lattice Tedavisi ile Reirradyasyon: Klinik Sonuçlar ve Yaşam Kalitesinin Değerlendirilmesi”</t>
        </is>
      </c>
    </row>
    <row r="614" ht="47.25" customHeight="1" s="221">
      <c r="F614" s="7" t="inlineStr">
        <is>
          <t>“Total Kalça Protezi Yapılan Hastalarda Gelişen Periprostetik Kırıkların Uzun Dönem Sonuçları ve Sağkalım Analizi”</t>
        </is>
      </c>
    </row>
    <row r="615" ht="47.25" customHeight="1" s="221">
      <c r="F615" s="7" t="inlineStr">
        <is>
          <t>“Acil Serviste Fraktür Şüphesi Taşıyan Hastalara Çekilen Pelvis Bilgisayarlı              Tomografi Görüntülerinin Yapay Zeka ile Değerlendirilmesi”</t>
        </is>
      </c>
    </row>
    <row r="616" ht="47.25" customHeight="1" s="221">
      <c r="F616" s="7" t="inlineStr">
        <is>
          <t>“Bir Aile Sağlığı Merkezi’ne Başvuran Erişkin Bireylerin Hipnoterapi Konusundaki Bilgi ve Tutumlarının İncelenmesi”</t>
        </is>
      </c>
    </row>
    <row r="617" ht="31.5" customHeight="1" s="221">
      <c r="F617" s="7" t="inlineStr">
        <is>
          <t>“Otoinflamatuvar Hastalıklarda Akciğer Tutulumunun Değerlendirilmesi”</t>
        </is>
      </c>
    </row>
    <row r="618" ht="31.5" customHeight="1" s="221">
      <c r="F618" s="7" t="inlineStr">
        <is>
          <t>“Psöriatik Artrit ve Psöriasis Tanılı Hastaların Tırnak Yatağı Kapilleroskopi Değerlendirmesi”</t>
        </is>
      </c>
    </row>
    <row r="619" ht="31.5" customHeight="1" s="221">
      <c r="F619" s="7" t="inlineStr">
        <is>
          <t>“Otoimmün Hastalıklarda Eşlik Eden Ek Otoimmün Hastalıkların İncelenmesi”</t>
        </is>
      </c>
    </row>
    <row r="620" ht="31.5" customHeight="1" s="221">
      <c r="F620" s="7" t="inlineStr">
        <is>
          <t>“Juvenil İdiyopatik Artritte Hastalık Gidişatının Değerlendirilmesinde Kalprotektinin Yeri”</t>
        </is>
      </c>
    </row>
    <row r="621" ht="31.5" customHeight="1" s="221">
      <c r="F621" s="7" t="inlineStr">
        <is>
          <t>“6-18 Yaş Arası Besin İlişkili IgE Aracılı Reaksiyonu Olan Hastaların Değerlendirilmesi”</t>
        </is>
      </c>
    </row>
    <row r="622" ht="31.5" customHeight="1" s="221">
      <c r="F622" s="7" t="inlineStr">
        <is>
          <t>“Astım Hastalarında Yorgunluk Düzeyinin Astım Kontrol Durumu ile İlişkisinin Değerlendirilmesi”</t>
        </is>
      </c>
    </row>
    <row r="623" ht="47.25" customHeight="1" s="221">
      <c r="F623" s="7" t="inlineStr">
        <is>
          <t>“Antiepileptik İlaç Aşırı Duyarlılık Reaksiyonlarının Klinik ve Laboratuvar Özelliklerinin Risk Analizi ile Değerlendirilmesi”</t>
        </is>
      </c>
    </row>
    <row r="624" ht="31.5" customHeight="1" s="221">
      <c r="F624" s="7" t="inlineStr">
        <is>
          <t>“Çocukluk Çağı IgG4 İlişkili Hastalık: Çok Merkezli Uluslararası Çalışma”</t>
        </is>
      </c>
    </row>
    <row r="625" ht="31.5" customHeight="1" s="221">
      <c r="F625" s="7" t="inlineStr">
        <is>
          <t>“Kronik Böbrek Hastalarında Glisemik Değişkenlik ve Metabolik Profilin İncelenmesi”</t>
        </is>
      </c>
    </row>
    <row r="626" ht="31.5" customHeight="1" s="221">
      <c r="F626" s="7" t="inlineStr">
        <is>
          <t>“Adli Tıp Araştırma Görevlilerinin İstifalarına Yönelik Değerlendirme: Bir Anket Çalışması”</t>
        </is>
      </c>
    </row>
    <row r="627" ht="63" customHeight="1" s="221">
      <c r="F627" s="7" t="inlineStr">
        <is>
          <t>“Abdominal ve Torasik Aort Anevrizma Olgularında Endovasküler Onarım Sırasındaki Anestezi Yaklaşımının Klinik Sonuçlar Üzerine Etkilerinin Retrospektif Olarak İncelenmesi”</t>
        </is>
      </c>
    </row>
    <row r="628" ht="31.5" customHeight="1" s="221">
      <c r="F628" s="7" t="inlineStr">
        <is>
          <t>“Ortodontik Tedavi Sürecinin Keratinize Diş Eti Özellikleri Üzerine Etkisinin İncelenmesi”</t>
        </is>
      </c>
    </row>
    <row r="629" ht="63" customHeight="1" s="221">
      <c r="F629" s="7" t="inlineStr">
        <is>
          <t>“Ankara’da Çalışan Aile Hekimlerinin Çalıştıkları İlçenin Sosyo-Ekonomik Gelişmişlik Düzeyi ile Tükenmişlik Durumları Arasındaki İlişkinin Değerlendirilmesi”</t>
        </is>
      </c>
    </row>
    <row r="630" ht="47.25" customHeight="1" s="221">
      <c r="F630" s="7" t="inlineStr">
        <is>
          <t>“Ankilozan Spondiliti Olan ve Olmayan Bireylerde Aşil, Plantar Fasya, Supraspinatus Entez Bölgelerinin Shear Wave Elastografi ile Değerlendirilmesi”</t>
        </is>
      </c>
    </row>
    <row r="631" ht="63" customHeight="1" s="221">
      <c r="F631" s="7" t="inlineStr">
        <is>
          <t>“Erken Başlangıçlı Skolyozda Tweener Grubunun Cerrahi Tedavisinde Büyüyen Rod Uygulamaları ile Posterior Spinal Füzyonun Orta-Uzun Dönem Sonuçlarının Karşılaştırılması”</t>
        </is>
      </c>
    </row>
    <row r="632" ht="31.5" customHeight="1" s="221">
      <c r="F632" s="7" t="inlineStr">
        <is>
          <t>“Serebral Palsili Çocuklarda Kalça Cerrahisi Sonrası Tekrar Çıkık Gelişimini Etkileyen Faktörler”</t>
        </is>
      </c>
    </row>
    <row r="633" ht="63" customHeight="1" s="221">
      <c r="F633" s="7" t="inlineStr">
        <is>
          <t>“Pediatrik Popülasyonda Pelvik BT ile Asetabular Sektör Açıları ve Femoroasetabular Parametreler Arasındaki Korelasyonun Değerlendirilmesi ve Normatif Referans Değerlerin Belirlenmesi”</t>
        </is>
      </c>
    </row>
    <row r="634" ht="63" customHeight="1" s="221">
      <c r="F634" s="7" t="inlineStr">
        <is>
          <t>“Panoramik Radyograflarda Derin Öğrenme Yöntemiyle Gelistirilen Yapay Zeka Algoritmasıyla Mandibulada Idiyopatik Osteoskleroz ile Kondensing Osteitisin Tespitinin ve Ayrımının Yapılması”</t>
        </is>
      </c>
    </row>
    <row r="635" ht="31.5" customHeight="1" s="221">
      <c r="F635" s="7" t="inlineStr">
        <is>
          <t>“Geriatrik Jinekolojik Hastalarda Cerrahi Morbiditenin İncelenmesi”</t>
        </is>
      </c>
    </row>
    <row r="636" ht="31.5" customHeight="1" s="221">
      <c r="F636" s="7" t="inlineStr">
        <is>
          <t>“İzole Humerus Kırığı İle Prezente Olan Endometrium Kanseri Vaka Raporu”</t>
        </is>
      </c>
    </row>
    <row r="637" ht="31.5" customHeight="1" s="221">
      <c r="F637" s="7" t="inlineStr">
        <is>
          <t>“Kanıta Dayalı Eğitim Müdahaleleri ile Lipid Profili Test İstemlerinin Optimizasyonu: Kalite Geliştirme Çalışması”</t>
        </is>
      </c>
    </row>
    <row r="638" ht="47.25" customHeight="1" s="221">
      <c r="F638" s="7" t="inlineStr">
        <is>
          <t>“Aile Sağlığı Merkezlerinde Aile Hekimleri Tarafından Yapılacak Bakım Noktası Ultrasonografisi: Erişkin Bireylerin Tutum ve Güveni”</t>
        </is>
      </c>
    </row>
    <row r="639" ht="31.5" customHeight="1" s="221">
      <c r="F639" s="7" t="inlineStr">
        <is>
          <t>“Borderline Over Tümörlerinde Histerektominin Prognoza Etkisi”</t>
        </is>
      </c>
    </row>
    <row r="640" ht="31.5" customHeight="1" s="221">
      <c r="F640" s="7" t="inlineStr">
        <is>
          <t>“IL-23 İnhibitörü Kullanan Hastalarda Üçüncü Ay Yanıtlarının Birinci Yıl Yanıtlarıyla Korelasyonu”</t>
        </is>
      </c>
    </row>
    <row r="641" ht="31.5" customHeight="1" s="221">
      <c r="F641" s="7" t="inlineStr">
        <is>
          <t>“Kol Salınımının Derinlik Sıçraması Optimal Düşüş Yüksekliğine Etkisinin İncelenmesi”</t>
        </is>
      </c>
    </row>
    <row r="642" ht="31.5" customHeight="1" s="221">
      <c r="F642" s="7" t="inlineStr">
        <is>
          <t>“Yardımcı Üreme Tekniklerine Başvuran Kadınlarla Güçlendirme Odaklı Sosyal Hizmet Grup Müdahalesi”</t>
        </is>
      </c>
    </row>
    <row r="643" ht="47.25" customHeight="1" s="221">
      <c r="F643" s="7" t="inlineStr">
        <is>
          <t>“Kalsiyum Silikat Esaslı Kök Kanal Dolgu Maddelerinin Kanal Tedavili Dişlerin Kırılma Dayanımına Etkisinde Kalsiyum Hidroksitin Rolü”</t>
        </is>
      </c>
    </row>
    <row r="644" ht="63" customHeight="1" s="221">
      <c r="F644" s="7" t="inlineStr">
        <is>
          <t>“Kök Kanalında Kırılan Farklı Döner Eğelerin Kanaldan Uzaklaştırılması Sırasındaki Dentin Kalınlığındaki Değişimin ve Apikalden Taşan Debrisin Değerlendirilmesi”</t>
        </is>
      </c>
    </row>
    <row r="645" ht="63" customHeight="1" s="221">
      <c r="F645" s="7" t="inlineStr">
        <is>
          <t>“Retroperitoneal Fibrozisli IgG4 İlişkili Hastalığı Bulunan Hastaların Romatolojik ve Ürolojik Açıdan Mortalite, Morbitide, Prognozlarının ve Tedavi Yaklaşımlarının Değerlendirilendirilmesi”</t>
        </is>
      </c>
    </row>
    <row r="646" ht="47.25" customHeight="1" s="221">
      <c r="F646" s="7" t="inlineStr">
        <is>
          <t>"Fertilite Koruyucu Tedavi Uygulanan Endometrium Kanseri ve Endometrial İntraepitelyal Neoplazi Tanılı Hastalarda Moleküler Sınıflandırmanın Prognoza Etkisi”</t>
        </is>
      </c>
    </row>
    <row r="647" ht="47.25" customHeight="1" s="221">
      <c r="F647" s="7" t="inlineStr">
        <is>
          <t>“Mandibuler Distraktör Takılan Pediatrik Hastalarda Perioperatif Komlikasyonların Retrospektrif İncelenmesi”</t>
        </is>
      </c>
    </row>
    <row r="648" ht="47.25" customHeight="1" s="221">
      <c r="F648" s="7" t="inlineStr">
        <is>
          <t>“Pnömosistis Jirovecii Pnömonisi Tanısı Koyulan Hastalarda Risk Faktörleri ve Tedavi Yanıtlarının Değerlendirilmesi”</t>
        </is>
      </c>
    </row>
    <row r="649" ht="31.5" customHeight="1" s="221">
      <c r="F649" s="7" t="inlineStr">
        <is>
          <t>“Kök Kanal Tedavili Dişlerin Kırılma Dayanımında Gütaperkanın Tavsiye Edilen Tüketim Tarihinin Rolü”</t>
        </is>
      </c>
    </row>
    <row r="650" ht="47.25" customHeight="1" s="221">
      <c r="F650" s="7" t="inlineStr">
        <is>
          <t>“Cinsel Yolla Bulaşan Enfeksiyonlarda Risk Paternlerinin Veri Odaklı Keşfi: Makine Öğrenimi Yaklaşımı”</t>
        </is>
      </c>
    </row>
    <row r="651" ht="31.5" customHeight="1" s="221">
      <c r="F651" s="7" t="inlineStr">
        <is>
          <t>“Adipozite İndeksleri İle Geriatrik Sendromlar Arasındaki İlişki”</t>
        </is>
      </c>
    </row>
    <row r="652" ht="47.25" customHeight="1" s="221">
      <c r="F652" s="7" t="inlineStr">
        <is>
          <t>“Kişiye Özel İmplantlar İle Yapılan Le Fort 1 Cerrahisinde Maksilla Pozisyonunun Doğruluğunun İncelenmesi”</t>
        </is>
      </c>
    </row>
    <row r="653" ht="31.5" customHeight="1" s="221">
      <c r="F653" s="7" t="inlineStr">
        <is>
          <t>“Migren Tedavisi Optimizasyon Anketi (MTOQ)-4"ün Türkçe Geçerlik ve Güvenirlik Çalışması”</t>
        </is>
      </c>
    </row>
    <row r="654" ht="31.5" customHeight="1" s="221">
      <c r="F654" s="7" t="inlineStr">
        <is>
          <t>“Kronik Hastalıklarda Doktor-Hasta İlişkisi Ölçeği’nin Türkçe Geçerlik ve Güvenirlik Çalışması”</t>
        </is>
      </c>
    </row>
    <row r="655" ht="94.5" customHeight="1" s="221">
      <c r="F655" s="7" t="inlineStr">
        <is>
          <t>“Deoksiriboz Nükleik Asit Yanlış Eşleşme Tamir Proteinlerinde İmmunohistokimyasal Olarak Kayıp Gözlenen Endometrium Kanserlerinde, Lynch Sendromu İçin Uygulanan Algoritmanın ve Çalışma Kohortunda Lynch Sendromu Saptanan Olguların Değerlendirilmesi”</t>
        </is>
      </c>
    </row>
    <row r="656" ht="31.5" customHeight="1" s="221">
      <c r="F656" s="7" t="inlineStr">
        <is>
          <t>“Prostat ve Mesane Kanserlerinde DNA Hasar Yanıtının Hedeflenmesi: Preklinik Modelleme"</t>
        </is>
      </c>
    </row>
    <row r="657" ht="47.25" customHeight="1" s="221">
      <c r="F657" s="7" t="inlineStr">
        <is>
          <t>“Leiomyoma Tanısıyla Opere Edilen Ve Fumarat Hidrataz Eksikliği Saptanan Hastaların Klinik Sonuçlarının Değerlendirilmesi”</t>
        </is>
      </c>
    </row>
    <row r="658" ht="47.25" customHeight="1" s="221">
      <c r="F658" s="7" t="inlineStr">
        <is>
          <t>“Bir Üniversite Hastanesindeki Diş Hekimlerinin Dental Anksiyete Konusundaki Bilgi, Farkındalık ve Yönetim Stratejilerinin Değerlendirilmesi”</t>
        </is>
      </c>
    </row>
    <row r="659" ht="31.5" customHeight="1" s="221">
      <c r="F659" s="7" t="inlineStr">
        <is>
          <t>“Aktive Fosfoinositid 3-Kinaz Delta| Sendromu Tanısında Laboratuvar Testlerinin Karşılaştırılması”</t>
        </is>
      </c>
    </row>
    <row r="660" ht="63" customHeight="1" s="221">
      <c r="F660" s="7" t="inlineStr">
        <is>
          <t>“Kistik Fibrozisli Çocuklarda İlk Asemptomatik Metisilin Dirençli Staphylococcus aureus Üremesine Yönelik Antibiyotik Tedavisi Verilmesinin Klinik Duruma Etkisi”</t>
        </is>
      </c>
    </row>
    <row r="661" ht="31.5" customHeight="1" s="221">
      <c r="F661" s="7" t="inlineStr">
        <is>
          <t>“46,XY Cinsiyet Gelişim Bozukluğu Tanılı Hastalarda Moleküler Etiyolojinin Araştırılması”</t>
        </is>
      </c>
    </row>
    <row r="662" ht="47.25" customHeight="1" s="221">
      <c r="F662" s="7" t="inlineStr">
        <is>
          <t>“İnek Sütü Alerjisi Olan Çocuklarda Serum Albümin Duyarlılığı ve Sığır Eti Alerjisi Birlikteliğinin Değerlendirilmesi”</t>
        </is>
      </c>
    </row>
    <row r="663" ht="31.5" customHeight="1" s="221">
      <c r="F663" s="7" t="inlineStr">
        <is>
          <t>“Psödohipoparatiroidizmin Klinik ve Laboratuvar Özellikleri ile Genotip-Fenotip İlişkisi”</t>
        </is>
      </c>
    </row>
    <row r="664" ht="31.5" customHeight="1" s="221">
      <c r="F664" s="7" t="inlineStr">
        <is>
          <t>“Fossa Vermiana’nın Morfolojik ve Morfometrik Olarak İncelenmesi”</t>
        </is>
      </c>
    </row>
    <row r="665" ht="47.25" customHeight="1" s="221">
      <c r="F665" s="7" t="inlineStr">
        <is>
          <t>“Çocukluk Çağında Dirençli Epilepside Uyku Bozuklukları ve Diğer Komorbid Durumların Değerlendirilmesi”</t>
        </is>
      </c>
    </row>
    <row r="666" ht="47.25" customHeight="1" s="221">
      <c r="F666" s="7" t="inlineStr">
        <is>
          <t>“Kornea Endotelini Etkileyen Hastalıklarda İnvivo Konfokal Mikroskopi Görüntülerinin Derin Öğrenme Tabanlı Bilgisayarlı Görü Yöntemleriyle Sınıflandırılması”</t>
        </is>
      </c>
    </row>
    <row r="667" ht="47.25" customHeight="1" s="221">
      <c r="F667" s="7" t="inlineStr">
        <is>
          <t>“Yaşlı Bireylerde Farklı Formüllerle Hesaplanan Glomerüler Filtrasyon Hızı ile Kognitif Fonksiyonların ilişkisi”</t>
        </is>
      </c>
    </row>
    <row r="668" ht="47.25" customHeight="1" s="221">
      <c r="F668" s="7" t="inlineStr">
        <is>
          <t>“Kök Kanalında Farklı Uzunluklarda Kırılan Nikel-Titanyum Eğelerin Farklı Yöntemler ile Uzaklaştırılmasının Apikalden Taşan Debrise Etkisi”</t>
        </is>
      </c>
    </row>
    <row r="669" ht="47.25" customHeight="1" s="221">
      <c r="F669" s="7" t="inlineStr">
        <is>
          <t>“Türkiye 65 Yaş Üstü Popülasyonunda Yaşa ve Cinsiyete Göre Baldır Çevresi Persentil Eğrilerinin Oluşturulması: Tek Merkezli Kesitsel Bir Çalışma”</t>
        </is>
      </c>
    </row>
    <row r="670" ht="31.5" customHeight="1" s="221">
      <c r="F670" s="7" t="inlineStr">
        <is>
          <t>“Kartilaj Slop ve Ön Çapraz Bağı Rüptürü Risk Faktörlerinin Merge MRG ile Değerlendirilmesi”</t>
        </is>
      </c>
    </row>
    <row r="671" ht="47.25" customHeight="1" s="221">
      <c r="F671" s="7" t="inlineStr">
        <is>
          <t>“Sigara İçen ve İçmeyen Bireylerde D Vitamini Seviyeleri ile İnflamatuar Biyobelirteçler (CRP, IL-17, IL-19) Arasındaki İlişkinin Değerlendirilmesi”</t>
        </is>
      </c>
    </row>
    <row r="672" ht="47.25" customHeight="1" s="221">
      <c r="F672" s="7" t="inlineStr">
        <is>
          <t>“Farklı Konsantrasyonlarda ve Taşıyıcılarla Hazırlanan Kalsiyum Hidroksitin Apikalden Taşma Miktarının İn Vitro Değerlendirilmesi”</t>
        </is>
      </c>
    </row>
    <row r="673" ht="31.5" customHeight="1" s="221">
      <c r="F673" s="7" t="inlineStr">
        <is>
          <t>“Çocuklarda Duodenogastrik Reflü Hastalığı: Bu Bir Fonksiyonel Gastrointestinal Hastalık mıdır?”</t>
        </is>
      </c>
    </row>
    <row r="674" ht="31.5" customHeight="1" s="221">
      <c r="F674" s="7" t="inlineStr">
        <is>
          <t>“AtopikDermatit Tanılı Adölesan Hastalarda Uyku ve Yasam Kalitesinin Değerlendirilmesi”</t>
        </is>
      </c>
    </row>
    <row r="675" ht="31.5" customHeight="1" s="221">
      <c r="F675" s="7" t="inlineStr">
        <is>
          <t>“Schwartz Jampel Sendromunda Metabolik Yolakların Araştırılması ve Terapötik Yaklaşım Hedefleri”</t>
        </is>
      </c>
    </row>
    <row r="676" ht="47.25" customHeight="1" s="221">
      <c r="F676" s="7" t="inlineStr">
        <is>
          <t>"Erişkinlerde Yaş Tayini İçin Pulpanın Radyolojik Değişikliklerinin İncelendiği Yeni Bir Yöntemin Değerlendirilmesi"</t>
        </is>
      </c>
    </row>
    <row r="677" ht="31.5" customHeight="1" s="221">
      <c r="F677" s="7" t="inlineStr">
        <is>
          <t>“Elektrofizyoloji Laboratuvarında Miyotonik Boşalımlar: Tanı, Klinik ve Elektrofizyoloji”</t>
        </is>
      </c>
    </row>
    <row r="678" ht="31.5" customHeight="1" s="221">
      <c r="F678" s="7" t="inlineStr">
        <is>
          <t>“Herediter Miyelin Hastalıklarında Periferik Sinir Sistemi Tutulumunun Elektrofizyolojik Özellikleri”</t>
        </is>
      </c>
    </row>
    <row r="679" ht="63" customHeight="1" s="221">
      <c r="F679" s="7" t="inlineStr">
        <is>
          <t>“Dudak Damak Yarığı Hastalarında Temporomandibuler Eklem Patolojilerinin Konik Işınlı Bilgisayarlı Tomografi (KIBT) Görüntüleri Üzerinden Araştırılması”</t>
        </is>
      </c>
    </row>
    <row r="680" ht="47.25" customHeight="1" s="221">
      <c r="F680" s="7" t="inlineStr">
        <is>
          <t>“Baş Boyun Yassı Hücreli Kanserlerinde DNA Metilasyonunun Gen Ekspresyonu Üzerinden Prognoza Etkisi”</t>
        </is>
      </c>
    </row>
    <row r="681" ht="47.25" customHeight="1" s="221">
      <c r="F681" s="7" t="inlineStr">
        <is>
          <t>“Radyasyon Yönetim Sistemleri ile Bilgisayarlı Tomografi Tetkiklerinin Lokal Tanısal Referans Seviyelerinin Belirlenmesi”</t>
        </is>
      </c>
    </row>
    <row r="682" ht="47.25" customHeight="1" s="221">
      <c r="F682" s="7" t="inlineStr">
        <is>
          <t>“Primer Hiperparatiroidi Hastalarında Cerrahi Tedavi ile Sağlanan Kürün Miyokin Profili Üzerindeki Etkilerinin İncelenmesi”</t>
        </is>
      </c>
    </row>
    <row r="683" ht="47.25" customHeight="1" s="221">
      <c r="F683" s="7" t="inlineStr">
        <is>
          <t>“Lateral Epikondilit Tedavisinde Steroid Enjeksiyonu ile Kombine Lateral Antebrakial Kutanöz Sinir Pulsed Radyofrekans Tedavisinin Etkinliğinin Değerlendirilmesi”</t>
        </is>
      </c>
    </row>
    <row r="684" ht="63" customHeight="1" s="221">
      <c r="F684" s="7" t="inlineStr">
        <is>
          <t>“Medial Diz Ağrısı Olan Diz Osteoartritli Hastalarda Safen ve Medial Geniküler Sinirlerin Pulsed Radyofrekans Tedavilerinin Etkinliklerinin Karşılaştırılması”</t>
        </is>
      </c>
    </row>
    <row r="685" ht="63" customHeight="1" s="221">
      <c r="F685" s="7" t="inlineStr">
        <is>
          <t>“Küresel Bir Halk Sağlığı Problemi Olan Antibiyotik Direncini Aşmak için Antisense Oligonükleotit Temelli Yenilikçi Formülasyonların Geliştirilmesi ve Değerlendirilmesi”</t>
        </is>
      </c>
    </row>
    <row r="686" ht="47.25" customHeight="1" s="221">
      <c r="F686" s="7" t="inlineStr">
        <is>
          <t>“Multiple Miyelom Etiyolojisinde Kopya Sayısı Değişikliklerinin Dijital Multipleks Ligasyon Bağımlı Prob Amplifikasyonu (MLPA) ile Araştırılması”</t>
        </is>
      </c>
    </row>
    <row r="687" ht="63" customHeight="1" s="221">
      <c r="F687" s="7" t="inlineStr">
        <is>
          <t>“Çocuklarda Laparoskopik Kolesistektomilerde İndosiyaninyeşil (ICG) destekli Floresan Görüntülemenin Cerrahi Sonuçlara Etkisinin Belirlenmesi”</t>
        </is>
      </c>
    </row>
    <row r="688" ht="78.75" customHeight="1" s="221">
      <c r="F688" s="7" t="inlineStr">
        <is>
          <t>“Maksiller Darlığa Sahip İleri Sutural Maturasyon Evresinde Olan Hastalarda Modifiye Glassman Tekniği ile Cortico-Puncture Tekniği Uygulanarak Yapılan Mini Vida Destekli Genişletme Tedavisinin Etkilerinin Karşılaştırılması”</t>
        </is>
      </c>
    </row>
    <row r="689" ht="31.5" customHeight="1" s="221">
      <c r="F689" s="7" t="inlineStr">
        <is>
          <t>"İntraoküler Retinoblastomun Geç Nükslerinin Retrospektif Olarak Değerlendirilmesi"</t>
        </is>
      </c>
    </row>
    <row r="690" ht="78.75" customHeight="1" s="221">
      <c r="F690" s="7" t="inlineStr">
        <is>
          <t>“Temporomandibular Eklem Bozukluklarında Ağız Açma Sırasında Disk Morfolojisinde Meydana Gelen Pozisyonel Transformasyonun Klinik Bulgular ve Manyetik Rezonans Görüntüleme Parametreleri ile İlişkisinin Değerlendirilmesi”</t>
        </is>
      </c>
    </row>
    <row r="691" ht="47.25" customHeight="1" s="221">
      <c r="F691" s="7" t="inlineStr">
        <is>
          <t>“Nörodejeneratif Hastalıkların Erken Tanısında Göz Hareketleri Kullanılabilir mi?: Yapay Zeka Aracılıklı Vaka-Kontrol Çalışması”</t>
        </is>
      </c>
    </row>
    <row r="692" ht="31.5" customHeight="1" s="221">
      <c r="F692" s="7" t="inlineStr">
        <is>
          <t>“Kritik Hastalarda Rutin Mikrodolaşım Değerlendirmesinin Şok Erken Tanısına Etkisi”</t>
        </is>
      </c>
    </row>
    <row r="693" ht="78.75" customHeight="1" s="221">
      <c r="F693" s="7" t="inlineStr">
        <is>
          <t>“İskemik Ventriküler Taşikardi Ablasyon Tedavisinde Kritik Koridorların Değerlendirilmesi: Üç Boyutlu Elektroanatomik Haritalama ve Kardiyak Manyetik Rezonans Görüntüleme Bulgularının Karşılaştırılması ve Sonlanımlar Üzerine Etkisi”</t>
        </is>
      </c>
    </row>
    <row r="694" ht="31.5" customHeight="1" s="221">
      <c r="F694" s="7" t="inlineStr">
        <is>
          <t>“Şiddetli Ülseratif Kolit Hastalarında Aleksitimi Varlığının Değerlendirilmesi”</t>
        </is>
      </c>
    </row>
    <row r="695" ht="47.25" customHeight="1" s="221">
      <c r="F695" s="7" t="inlineStr">
        <is>
          <t>“İnflamatuar Bağırsak Hastalıklarında Kullanılan Biyolojik Ajanlarda Tedavi Persistensinin Değerlendirilmesi ”</t>
        </is>
      </c>
    </row>
    <row r="696" ht="31.5" customHeight="1" s="221">
      <c r="F696" s="7" t="inlineStr">
        <is>
          <t>“Meme Kanseri Hastalarında Gustave Roussy İmmün Skorunun Sağ Kalım ile İlişkisi”</t>
        </is>
      </c>
    </row>
    <row r="697" ht="63" customHeight="1" s="221">
      <c r="F697" s="7" t="inlineStr">
        <is>
          <t>“Endometrioma Nedeniyle Skleroterapi Uygulanan Hastalarda Over Rezervi, Fertilite, Gebelik Sonuçları ve Endometrioma Prognozu Üzerine Etkisinin Retrospektif Analizi”</t>
        </is>
      </c>
    </row>
    <row r="698" ht="78.75" customHeight="1" s="221">
      <c r="F698" s="7" t="inlineStr">
        <is>
          <t>"Steroid Olmayan Anti-İnflamatuar İlaçlarla Alevlenen Hava Yolu Hastalığı (NERD) Hastalarında Aspirin Desensitizasyonu Sonrası Düzenli Aspirin Tedavisinin (ATAD) Serum Lipit Mediyatörleri Üzerine Etkilerinin Araştırılması"</t>
        </is>
      </c>
    </row>
    <row r="699" ht="63" customHeight="1" s="221">
      <c r="F699" s="7" t="inlineStr">
        <is>
          <t>“Keratokonus Evresi ile Retina Sinir Lifi Tabakası, Makula Kalınlığı, Ganglion Hücre Tabakası Parametrelerindeki Değişikliklerin İlişkisinin Optik Koherens Tomografi Kullanarak İncelenmesi”</t>
        </is>
      </c>
    </row>
    <row r="700" ht="31.5" customHeight="1" s="221">
      <c r="F700" s="7" t="inlineStr">
        <is>
          <t>“Yeni Hepatit B Biyobelirteçlerinin Kronik Hepatit B Hastalığının Fazlarındaki Değişiminin İncelenmesi”</t>
        </is>
      </c>
    </row>
    <row r="701" ht="31.5" customHeight="1" s="221">
      <c r="F701" s="7" t="inlineStr">
        <is>
          <t>“Rekreasyonel ve Elit Kadın Sporcularda İnkontinans Sıklığının ve Etiyolojisinin Belirlenmesi”</t>
        </is>
      </c>
    </row>
    <row r="702" ht="31.5" customHeight="1" s="221">
      <c r="F702" s="7" t="inlineStr">
        <is>
          <t>“Eklem İçi Ortobiyolojik Uygulanmış Diz Osteoartritli Hastaların Hareket Analizi”</t>
        </is>
      </c>
    </row>
    <row r="703" ht="47.25" customHeight="1" s="221">
      <c r="F703" s="7" t="inlineStr">
        <is>
          <t>''Tam Çift Sistemler İçin Yapılan Üst Kutuplu Heminefrektomi Sonrası Hasta Takiplerinde Alt Üriner Sistem Cerrahisi Gerekliliğinin Değerlendirilmesi”</t>
        </is>
      </c>
    </row>
    <row r="704" ht="47.25" customHeight="1" s="221">
      <c r="F704" s="7" t="inlineStr">
        <is>
          <t>“Farklı Cinsteki Üriner Sistem Taşlarının Evriminin Cerrahi Bulgular ve Laboratuar Tetkikleri ile Araştırılması”</t>
        </is>
      </c>
    </row>
    <row r="705" ht="31.5" customHeight="1" s="221">
      <c r="F705" s="7" t="inlineStr">
        <is>
          <t>“Post-travmatik Epilepsi: Hastaların Klinik Özellikleri, MRGve EEG Bulgularının Prognozla İlişkisi”</t>
        </is>
      </c>
    </row>
    <row r="706" ht="31.5" customHeight="1" s="221">
      <c r="F706" s="7" t="inlineStr">
        <is>
          <t>“Mikrosatellit İnstabilitesi Yüksek Olan Mide Kanseri Olgularında Tedavi Yaklaşımı ve Prognoz İncelenmesi”</t>
        </is>
      </c>
    </row>
    <row r="707">
      <c r="F707" s="7" t="inlineStr">
        <is>
          <t>“Elektrofizyoloji Laboratuvannda Pleksus Hasarı Tanısı”</t>
        </is>
      </c>
    </row>
    <row r="708" ht="31.5" customHeight="1" s="221">
      <c r="F708" s="7" t="inlineStr">
        <is>
          <t>“Yoğun Bakım Hastalarında Vücut Yağ ve Kas Dağılımının Organ Sonlanımı ve Mortaliteye Etkisi”</t>
        </is>
      </c>
    </row>
    <row r="709" ht="31.5" customHeight="1" s="221">
      <c r="F709" s="7" t="inlineStr">
        <is>
          <t>“Kalıtsal Kanser Sendromlarında Gelişmiş Genomik Yaklaşımlarla Yeni Genetik Faktörlerin Tanımlanması”</t>
        </is>
      </c>
    </row>
    <row r="710" ht="31.5" customHeight="1" s="221">
      <c r="F710" s="7" t="inlineStr">
        <is>
          <t>“Opere Temporal Lob Epilepsili Hastalarda Jeneralize İnteriktal Epileptiform Deşarj Varlığı ve Önemi”</t>
        </is>
      </c>
    </row>
    <row r="711" ht="63" customHeight="1" s="221">
      <c r="F711" s="7" t="inlineStr">
        <is>
          <t>"Üniversite Öğrencileri Arasında Sosyal Medyada Karşılaştıkları Beslenme ve Gıda ile İlgili İçeriklerin Öğrencilerin Beslenme Davranışlarını Etkileme Durumlarına İlişkin Görüşlerinin Belirlenmesi"</t>
        </is>
      </c>
    </row>
    <row r="712" ht="47.25" customHeight="1" s="221">
      <c r="F712" s="7" t="inlineStr">
        <is>
          <t>“Üçüncü Molar Dişlerle İlişkili Perikoronal Foliküllerin Radyografik ve Patolojik Özelliklerinin Retrospektif İncelenmesi”</t>
        </is>
      </c>
    </row>
    <row r="713" ht="47.25" customHeight="1" s="221">
      <c r="F713" s="7" t="inlineStr">
        <is>
          <t>“İç Hastalıkları Uzmanları ve Araştırma Görevlilerinde Obezite Farkındalığı ve Bilgi Düzeyi ile Eğitim İhtiyacının Belirlenmesi”</t>
        </is>
      </c>
    </row>
    <row r="714" ht="31.5" customHeight="1" s="221">
      <c r="F714" s="7" t="inlineStr">
        <is>
          <t>“Mitral Anüler Disjunction Saptanan Hastalarda Genetik Etiyolojinin Araştırılması ”</t>
        </is>
      </c>
    </row>
    <row r="715" ht="31.5" customHeight="1" s="221">
      <c r="F715" s="7" t="inlineStr">
        <is>
          <t>“POS-VAP: Sürekli Gözlemsel Çalışma- Ventilatör İlişkili Pnömoni”</t>
        </is>
      </c>
    </row>
    <row r="716" ht="31.5" customHeight="1" s="221">
      <c r="F716" s="7" t="inlineStr">
        <is>
          <t>“Dahiliye Servislerinde İlaç Uygulama Zamanlarının Değerlendirilmesi ve Klinik Eczacının Rolü”</t>
        </is>
      </c>
    </row>
    <row r="717" ht="47.25" customHeight="1" s="221">
      <c r="F717" s="7" t="inlineStr">
        <is>
          <t>“Kalça Osteoartritli Hastalarda Floroskopi ve Ultrasonografi Kılavuzluğunda İntraartiküler Kalça Enjeksiyonlarının Etkinliklerinin Karşılaştırılması”</t>
        </is>
      </c>
    </row>
    <row r="718" ht="47.25" customHeight="1" s="221">
      <c r="F718" s="7" t="inlineStr">
        <is>
          <t>“Diz Osteoartritli Hastalarda Floroskopi ve Ultrasonografi Kılavuzluğunda İntraartiküler Diz Enjeksiyonlarının Etkinliklerinin Karşılaştırılması"</t>
        </is>
      </c>
    </row>
    <row r="719" ht="31.5" customHeight="1" s="221">
      <c r="F719" s="7" t="inlineStr">
        <is>
          <t>“Laringotrakeal Stenoz Cerrahi Tedavisinde Uzun Dönem Sonuçlarımız: 15 Yıllık Hacettepe Tecrübesi”</t>
        </is>
      </c>
    </row>
    <row r="720" ht="47.25" customHeight="1" s="221">
      <c r="F720" s="7" t="inlineStr">
        <is>
          <t>“Soliter Fibröz Tümör/Hemanjioperisitoma Tanılı Hastaların Demografik, Klinikopatolojik, Prognostik Özelliklerinin ve Tedavi Yanıtlarının Değerlendirilmesi”</t>
        </is>
      </c>
    </row>
    <row r="721" ht="31.5" customHeight="1" s="221">
      <c r="F721" s="7" t="inlineStr">
        <is>
          <t>“B12 Vitamini Eksikliği Tedavisinin Kılavuza Uygunluğunun Değerlendirilmes”</t>
        </is>
      </c>
    </row>
    <row r="722" ht="47.25" customHeight="1" s="221">
      <c r="F722" s="7" t="inlineStr">
        <is>
          <t>“Obez Hastalarda Meropenem ve Vankomisin Terapötik İlaç Düzeyi İzlemi: Retrospektif Bir Kohort Çalışması”</t>
        </is>
      </c>
    </row>
    <row r="723" ht="31.5" customHeight="1" s="221">
      <c r="F723" s="7" t="inlineStr">
        <is>
          <t>“İlaca Dirençli Fokal Epilepsili Çocuklarda İktal Otonomik Bulguların Değerlendirilmesi”</t>
        </is>
      </c>
    </row>
    <row r="724" ht="63" customHeight="1" s="221">
      <c r="F724" s="7" t="inlineStr">
        <is>
          <t>“Türkiye’de Deri ve Zührevi Hastalıklar Uzmanları ve Uzmanlık Öğrencilerinin Hekimlik Uygulamalarında Chat GPT Kullanımını ve Bu Uygulamaya Güvenini Değerlendiren Anket Çalışması”</t>
        </is>
      </c>
    </row>
    <row r="725" ht="47.25" customHeight="1" s="221">
      <c r="F725" s="7" t="inlineStr">
        <is>
          <t>"Biyolojik Tedavilerin Otoenjektor ve Kullanıma Hazır Enjektörler Formlarının Evde Kullanımının Degerlendirilmesi"</t>
        </is>
      </c>
    </row>
    <row r="726" ht="47.25" customHeight="1" s="221">
      <c r="F726" s="7" t="inlineStr">
        <is>
          <t>“Paranazal Sinüs Pnömotizasyonu ile Nazal Muayene Bulguları ve Rinomanometrik Parametreler Arasındaki İlişkinin Değerlendirilmesi”</t>
        </is>
      </c>
    </row>
    <row r="727" ht="31.5" customHeight="1" s="221">
      <c r="F727" s="7" t="inlineStr">
        <is>
          <t>“Ortognatik Cerrahide ERAS Yaklaşımının Operatif Parametreler ve Nörosensoryel İyileşmeye Etkisi”</t>
        </is>
      </c>
    </row>
    <row r="728" ht="47.25" customHeight="1" s="221">
      <c r="F728" s="7" t="inlineStr">
        <is>
          <t>“Tıp Fakültesi Öğrencilerinin Zona Hastalığı ve Zona Aşısıyla İlgili Bilgi Düzeyinin Değerlendirilmesi: Tanımlayıcı Kesitsel Çalışma”</t>
        </is>
      </c>
    </row>
    <row r="729" ht="31.5" customHeight="1" s="221">
      <c r="F729" s="7" t="inlineStr">
        <is>
          <t>“Yumurta Alerjisi Olan Çocuk Hastalarda Yumurta Merdiveninin Güvenlik ve Etkinliğinin Değerlendirilmesi”</t>
        </is>
      </c>
    </row>
    <row r="730" ht="63" customHeight="1" s="221">
      <c r="F730" s="7" t="inlineStr">
        <is>
          <t>“Ön Çapraz Bağ Rekonstrüksiyonu Yapılan Hastalarda Kemik Tünel Genişliklerinin Zero Time Echo Sekans Manyetik Rezonans Görüntülemeve Bilgisayarlı Tomografi ile Karşılaştırılması”</t>
        </is>
      </c>
    </row>
    <row r="731" ht="63" customHeight="1" s="221">
      <c r="F731" s="7" t="inlineStr">
        <is>
          <t>“Aril Hidrokarbon Reseptör (AhR) Yolağının Mezenkimal Kök Hücreden İn Vitro Adiposit Farklılaşmasındaki ve Olgun Adipositlerdeki Rolünün İncelenmesi”</t>
        </is>
      </c>
    </row>
    <row r="732" ht="47.25" customHeight="1" s="221">
      <c r="F732" s="7" t="inlineStr">
        <is>
          <t>“Metabolik Disfonsiyon ile İlişkili Steatotik Karaciğer Hastalığında Serum ve İdrar Uromodulin Düzeylerinin Böbrek Fonksiyonlarıyla İlişkisi”</t>
        </is>
      </c>
    </row>
    <row r="733" ht="31.5" customHeight="1" s="221">
      <c r="F733" s="7" t="inlineStr">
        <is>
          <t>“Kırım- Kongo Kanamalı Ateşi Olan Çocuk Hastaların Klinik Verilerinin Retrospektif Değerlendirilmesi”</t>
        </is>
      </c>
    </row>
    <row r="734" ht="47.25" customHeight="1" s="221">
      <c r="F734" s="7" t="inlineStr">
        <is>
          <t>“Kalıcı Kalp Pili İmplantasyonunda Venöz Oklüzyon İzlenen Hastalarda Venoplasti Sonuçlarının Değerlendirilmesi”</t>
        </is>
      </c>
    </row>
    <row r="735" ht="47.25" customHeight="1" s="221">
      <c r="F735" s="7" t="inlineStr">
        <is>
          <t>“Transfemoral Yol ile Yapılan Girişimsel İşlemlerde Yüzeyel Ultrasonografinin Prognoz ve Mortaliteye Etkisinin Değerlendirilmesi”</t>
        </is>
      </c>
    </row>
    <row r="736" ht="63" customHeight="1" s="221">
      <c r="F736" s="7" t="inlineStr">
        <is>
          <t>“Yapay Zekanın Ventriküler Ekstrasistollerin Elektrokardiyografik Özelliklerine Göre Anatomik Lokalizasyonlarının Değerlendirilmesindeki Rolünün İncelenmesi”</t>
        </is>
      </c>
    </row>
    <row r="737" ht="47.25" customHeight="1" s="221">
      <c r="F737" s="7" t="inlineStr">
        <is>
          <t>“Hastanede Yatan 65 Yaş ve Üstü Bireylerde Sosyal Kırılganlığın Değerlendirilmesi ve Geriatrik Sendromlarla İlişkisi”</t>
        </is>
      </c>
    </row>
    <row r="738" ht="31.5" customHeight="1" s="221">
      <c r="F738" s="7" t="inlineStr">
        <is>
          <t>“Polikistik Over Sendromuna İlişkin Bilgi ve Algının Çok Dilli Video Tabanlı Eğitim ile Değerlendirilmesi”</t>
        </is>
      </c>
    </row>
    <row r="739" ht="47.25" customHeight="1" s="221">
      <c r="F739" s="7" t="inlineStr">
        <is>
          <t>“Periapikal Patolojisi Bulunan Dişlerde Primer Endodontik Tedavinin Başarısızlık Nedenlerinin İncelenmesi”</t>
        </is>
      </c>
    </row>
    <row r="740" ht="47.25" customHeight="1" s="221">
      <c r="F740" s="7" t="inlineStr">
        <is>
          <t>“Morganellaceae Ailesinde Antibiyotik Direnç Mekanizmalarının ve Virülans Faktörlerinin Fenotipik ve Genotipik Yöntemlerle İncelenmesi”</t>
        </is>
      </c>
    </row>
    <row r="741" ht="31.5" customHeight="1" s="221">
      <c r="F741" s="7" t="inlineStr">
        <is>
          <t>“Güncel Üniversal Kompozit Rezinlerin Polimerizasyon Büzülmesi ve Mikrosızıntı Açısından Karşılaştırılması”</t>
        </is>
      </c>
    </row>
    <row r="742" ht="63" customHeight="1" s="221">
      <c r="F742" s="7" t="inlineStr">
        <is>
          <t>“Peri-implantitis ve Periodontitiste İnflamatuvar ve Koruyucu Yanıt: Dişeti Islaklığı, Dişeti Oluğu Sıvısı ve Peri-implant Oluk Sıvısının TNF-α, IL-10, MUC4 Düzeylerinin İncelenmesi”</t>
        </is>
      </c>
    </row>
    <row r="743" ht="47.25" customHeight="1" s="221">
      <c r="F743" s="7" t="inlineStr">
        <is>
          <t>“Fasiyal Reanimasyonda Yeni Bir Donör Sinir: Servikal Sinirin Topografik ve Mikroanatomik Özelliklerinin İncelenmesi, Kadavra Çalışması”</t>
        </is>
      </c>
    </row>
    <row r="744" ht="47.25" customHeight="1" s="221">
      <c r="F744" s="7" t="inlineStr">
        <is>
          <t>“Sezon Öncesi Antrenman Yükü, Kuvvet Parametreleri ve Performans İlişkisinin Antrenman Takibi Yöntemleri ile Değerlendirmesi”</t>
        </is>
      </c>
    </row>
    <row r="745" ht="47.25" customHeight="1" s="221">
      <c r="F745" s="7" t="inlineStr">
        <is>
          <t>“Multipıl Skleroz Hastalarındaki Demiyelinizan Lezyonların, Non-demiyelinizan Lezyonlardan Duyarlılık Ağırlıklı MR Görüntüleme ile Ayrımı”</t>
        </is>
      </c>
    </row>
    <row r="746" ht="31.5" customHeight="1" s="221">
      <c r="F746" s="7" t="inlineStr">
        <is>
          <t>"Santral Sinir Sistemi’nde T Hücreli Lenfomaların Görüntüleme Bulguları"</t>
        </is>
      </c>
    </row>
    <row r="747" ht="47.25" customHeight="1" s="221">
      <c r="F747" s="7" t="inlineStr">
        <is>
          <t>“Torasik Outlet Sendromu Hastalarında Stellat Ganglion Bloğu ile Torasik Sempatik Bloğun Ağrı Yönetimindeki Etkinliğinin Karşılaştırılması”</t>
        </is>
      </c>
    </row>
    <row r="748" ht="31.5" customHeight="1" s="221">
      <c r="F748" s="7" t="inlineStr">
        <is>
          <t>“Türkiye'de Aile Hekimlerinin Kronik Ağrısı Olan Hastalara Yaklaşımı: Tanımlayıcı Çalışma”</t>
        </is>
      </c>
    </row>
    <row r="749" ht="31.5" customHeight="1" s="221">
      <c r="F749" s="7" t="inlineStr">
        <is>
          <t>“Koroner Arteriovenöz Fistül Hastalarının Tanı, Tedavi ve Takip Süreçlerinin Retrospektif Değerlendirilmesi”</t>
        </is>
      </c>
    </row>
    <row r="750" ht="47.25" customHeight="1" s="221">
      <c r="F750" s="7" t="inlineStr">
        <is>
          <t>“Yaş ve Cinsiyete Özgü Baldır Çevresi Persentilleri ile Geriatri Polikliniği Hastalarında Olası Sarkopeni Arasındaki İlişki”</t>
        </is>
      </c>
    </row>
    <row r="751" ht="63" customHeight="1" s="221">
      <c r="F751" s="7" t="inlineStr">
        <is>
          <t>“Aril Hidrokarbon Reseptörü İnhibisyonunun Kemik İliği Yağ Mezenkimal Kök Hücreleri Kaynaklı Ekstraselüler Veziküller Aracılığıyla Kemik İliği Nişine Olan Etkilerinin Araştırılması”</t>
        </is>
      </c>
    </row>
    <row r="752" ht="47.25" customHeight="1" s="221">
      <c r="F752" s="7" t="inlineStr">
        <is>
          <t>“Femoral ve Karotis Plak Yükünün Uzun Dönem Takipte Aterosklerotik Vasküler Olaylar ile İlişkisinin Değerlendirilmesi”</t>
        </is>
      </c>
    </row>
    <row r="753" ht="63" customHeight="1" s="221">
      <c r="F753" s="7" t="inlineStr">
        <is>
          <t>“Düşük İmmün Reaktif Tripsinojen (IRT) Değerleri Nedeniyle Yenidoğan Taramasından Kaçan Kistik Fibrozisli Çocukların Özellikleri ve Taramada Yakalanan Hasta Grubu ile Karşılaştırılması”</t>
        </is>
      </c>
    </row>
    <row r="754" ht="47.25" customHeight="1" s="221">
      <c r="F754" s="7" t="inlineStr">
        <is>
          <t>“Kafein ve L-Karnitin Takviyesinin Koşucularda Substrat Oksidasyonu ve Solunumsal Eşik Şiddeti Üzerindeki Koşu Performansýna Etkisi”</t>
        </is>
      </c>
    </row>
    <row r="755" ht="47.25" customHeight="1" s="221">
      <c r="F755" s="7" t="inlineStr">
        <is>
          <t>“Psöriazis Tanılı Biyolojik Tedavi Alan Kronik Hepatit B Enfeksiyonu Olan Hastalarda Hepatik Fibrozisin Transient Elastografi ile Değerlendirilmesi”</t>
        </is>
      </c>
    </row>
    <row r="756" ht="31.5" customHeight="1" s="221">
      <c r="F756" s="7" t="inlineStr">
        <is>
          <t>“Kolşisin Dirençli Ailevi Akdeniz Ateşinin Yönetiminde Klinisyen Yaklaşımlarının Anket ile Araştırılması”</t>
        </is>
      </c>
    </row>
    <row r="757" ht="63" customHeight="1" s="221">
      <c r="F757" s="7" t="inlineStr">
        <is>
          <t>"Ankilozan Spondiliti Olan ve Olmayan Bireylerde Asil ve Supraspinatus Entez Bölgelerinin Karşılaştırılması ve Ankilozan Spondilit Hastalik Aktivitesi ve Fonksiyonel Durumu ile İlişkilendirilmesi"</t>
        </is>
      </c>
    </row>
    <row r="758" ht="31.5" customHeight="1" s="221">
      <c r="F758" s="7" t="inlineStr">
        <is>
          <t>“Juvenil Skleroderma Tanılı Hastaların Özelliklerinin Belirlenmesi”</t>
        </is>
      </c>
    </row>
    <row r="759" ht="63" customHeight="1" s="221">
      <c r="F759" s="7" t="inlineStr">
        <is>
          <t>“Major Depresyon Bozukluğunda SSRI Tedavisinin Başarısını Öngören, Emosyonel EEG Tabanlı, Çizge Kuramsal ve Nedensel Bir Prognostik Belirteç Araştırması”</t>
        </is>
      </c>
    </row>
    <row r="760" ht="47.25" customHeight="1" s="221">
      <c r="F760" s="7" t="inlineStr">
        <is>
          <t>“İskelet Displazili Çocuklarda Geçici Hemiepifizyodez Cerrahisi Sonrası Radyolojik Sonuçlar ve Rekürrens Eğilimleri”</t>
        </is>
      </c>
    </row>
    <row r="761" ht="47.25" customHeight="1" s="221">
      <c r="F761" s="7" t="inlineStr">
        <is>
          <t>“Pierre Robin Sekanslı Hastalarda Distraksiyon Osteogenezis Uygulamasının Dentofasiyal Yapılara Uzun Dönemdeki Etkisi”</t>
        </is>
      </c>
    </row>
    <row r="762" ht="47.25" customHeight="1" s="221">
      <c r="F762" s="7" t="inlineStr">
        <is>
          <t>"Şeffaf Plak Tedavilerinde Kullanılan Ataşmanların Hastaların Estetik ve Fonksiyon Algılarının Üzerine Etkisinin Değerlendirilmesi"</t>
        </is>
      </c>
    </row>
    <row r="763" ht="47.25" customHeight="1" s="221">
      <c r="F763" s="7" t="inlineStr">
        <is>
          <t>"Yüz Dikey Yüksekliği Farklı Olan Kadınlarda Degişen Üst Lateral Diş Boyutlarınım Gülümseme Estetiğine Etkisi”</t>
        </is>
      </c>
    </row>
    <row r="764" ht="47.25" customHeight="1" s="221">
      <c r="F764" s="7" t="inlineStr">
        <is>
          <t>“Neoadjuvan Kemoterapi, Cerrahi ve Adjuvan Radyoterapi Uygulanan Meme Kanserli Olgularda HER2- Düzeyi ile Sağkalım İlişkisi ”</t>
        </is>
      </c>
    </row>
    <row r="765" ht="47.25" customHeight="1" s="221">
      <c r="F765" s="7" t="inlineStr">
        <is>
          <t>“İnvaziv Lobüler Meme Kanserinde Pozitron Emisyon Tomografisi / Bilgisayarlı Tomografi Görüntüleme Yöntemi ile Hastalık Heterojenitesinin Değerlendirmesi”</t>
        </is>
      </c>
    </row>
    <row r="766" ht="47.25" customHeight="1" s="221">
      <c r="F766" s="7" t="inlineStr">
        <is>
          <t>“Cerrahi Olarak Tedavi Edilen Pelvik Fragilite Kırığı Olan Hastaların Retrospektif Olarak Değerlendirilmesi: Fonksiyonel ve Radyolojik Bulgular”</t>
        </is>
      </c>
    </row>
    <row r="767" ht="31.5" customHeight="1" s="221">
      <c r="F767" s="7" t="inlineStr">
        <is>
          <t>“ICIQ-FLUTS ve ICIQ-MLUTS Skorlarının Ürodinamik Tanılarla İlişkisi: Retrospektif Bir Analiz”</t>
        </is>
      </c>
    </row>
    <row r="768" ht="63" customHeight="1" s="221">
      <c r="F768" s="7" t="inlineStr">
        <is>
          <t>“Nöroloji ve Çocuk Nöroloji Bölümlerinden Çocuk İmmünoloji Bölümüne Konsulte Edilen ve Primer İmmün Yetmezlik Tanısı Konulan Hastaların İncelenmesi”</t>
        </is>
      </c>
    </row>
    <row r="769" ht="63" customHeight="1" s="221">
      <c r="F769" s="7" t="inlineStr">
        <is>
          <t>“2500 Hastalık Vaka Serisiyle Primer Dudak ve Damak Yarıkları: Epidemiyolojik, Cerrahi ve Postoperatif Komplikasyonların Erken ve Geç Dönem İlişkisinin Analizi”</t>
        </is>
      </c>
    </row>
    <row r="770" ht="63" customHeight="1" s="221">
      <c r="F770" s="7" t="inlineStr">
        <is>
          <t>"Manyetik Rezonans Görüntülemede Difüzyon Ağırlıklı Görüntüleme Ovaryan ve Adneksal Lezyonları Raporlama ve Veri Sistemi– Manyetik Rezonans Skorlama Skalasının İsabetine Katkısı"</t>
        </is>
      </c>
    </row>
    <row r="771" ht="47.25" customHeight="1" s="221">
      <c r="F771" s="7" t="inlineStr">
        <is>
          <t>“Yenidoğan Taraması ile Tanı Alan Spinal Musküler Atrofili Çocukların Tedavi Altında +2. Yıl Fonksiyonel İzlem Sonuçları: Hacettepe Örneği”</t>
        </is>
      </c>
    </row>
    <row r="772" ht="31.5" customHeight="1" s="221">
      <c r="F772" s="7" t="inlineStr">
        <is>
          <t>“Çocukluk Çağı Tümörleri İlişkili Trombüslerde Cerrahi Tedavi Yöntemleri”</t>
        </is>
      </c>
    </row>
    <row r="773" ht="47.25" customHeight="1" s="221">
      <c r="F773" s="7" t="inlineStr">
        <is>
          <t>“Çocuk Hastalarda Ekstragonadal Germ Hücreli Tümörlerin Klinik, Patolojik Özellikleri ve LIN28 ile İmmunohistokimyasal Analizi”</t>
        </is>
      </c>
    </row>
    <row r="774" ht="47.25" customHeight="1" s="221">
      <c r="F774" s="7" t="inlineStr">
        <is>
          <t>“Primer Dudak Damak Yarıklı Hastalarda Eşlik Eden Anomalilerin Operasyon Yaşı ve Erken Dönem Postoperatif Komplikasyonlarla İlişkisi</t>
        </is>
      </c>
    </row>
    <row r="775" ht="31.5" customHeight="1" s="221">
      <c r="F775" s="7" t="inlineStr">
        <is>
          <t>“Erişkin Kistik Fibrozis Hastalarında Genotiplere Göre Modülatör Tedavi Etkinliğinin Değerlendirilmesi”</t>
        </is>
      </c>
    </row>
    <row r="776" ht="94.5" customHeight="1" s="221">
      <c r="F776" s="7" t="inlineStr">
        <is>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is>
      </c>
    </row>
    <row r="777" ht="31.5" customHeight="1" s="221">
      <c r="F777" s="7" t="inlineStr">
        <is>
          <t>“Pediatrik Wilson Hastalarında Nörotoksisitenin Değerlendirilmesi”</t>
        </is>
      </c>
    </row>
    <row r="778" ht="31.5" customHeight="1" s="221">
      <c r="F778" s="7" t="inlineStr">
        <is>
          <t>“Abdominal Patolojilerin Radyolojik Tanısına Yönelik Derin Öğrenme Modeli Geliştirilmesi.”</t>
        </is>
      </c>
    </row>
    <row r="779">
      <c r="F779" s="7" t="inlineStr">
        <is>
          <t>“Çocukluk Çağında Pankreatit”</t>
        </is>
      </c>
    </row>
    <row r="780" ht="47.25" customHeight="1" s="221">
      <c r="F780" s="7" t="inlineStr">
        <is>
          <t>“Farklı Materyaller ve Kalınlıklar ile Taklit Edilen Periodontal Ligamentin Kök Kanal Tedavili Dişlerde Kırılma Dayanımı Üzerindeki Etkisi: İn Vitro Çalışma”</t>
        </is>
      </c>
    </row>
    <row r="781" ht="31.5" customHeight="1" s="221">
      <c r="F781" s="7" t="inlineStr">
        <is>
          <t>“İmmünoterapi Alan Hastalarda İmmün Yan Etki Gelişimini Predikte Eden Klinik ve Genetik Belirteçler”</t>
        </is>
      </c>
    </row>
    <row r="782" ht="47.25" customHeight="1" s="221">
      <c r="F782" s="7" t="inlineStr">
        <is>
          <t>“Üst Aerodigestif Sistem Mukozal Lezyonların Analizinde Dar Bant Görüntülemenin Yeri, Verilerin Histopatolojik İnceleme ile Karşılaştırılması”</t>
        </is>
      </c>
    </row>
    <row r="783" ht="47.25" customHeight="1" s="221">
      <c r="F783" s="7" t="inlineStr">
        <is>
          <t>“Çocuklarda Cerrahi Sonrası Geliştirilmiş İyileştirme (Enhanced Recovery After Surgery: ERAS) Programı Uygulamaları”</t>
        </is>
      </c>
    </row>
    <row r="784" ht="47.25" customHeight="1" s="221">
      <c r="F784" s="7" t="inlineStr">
        <is>
          <t>“Kırım- Kongo Kanamalı Ateşi Tanılı Çocuk ve Erişkin Hastaların Sitokin ve Kemokin Yanıtlarının Değerlendirilmesi”</t>
        </is>
      </c>
    </row>
    <row r="785" ht="47.25" customHeight="1" s="221">
      <c r="F785" s="7" t="inlineStr">
        <is>
          <t>“Toraks BT Görüntülerinde İnterstisyel Akciğer Hastalığı Tespiti Amacıyla Akciğer Desen Analizine Yönelik Yapay Zeka Uygulaması”</t>
        </is>
      </c>
    </row>
    <row r="786" ht="47.25" customHeight="1" s="221">
      <c r="F786" s="56" t="inlineStr">
        <is>
          <t>'Mitral Kapak Replasmanı Sonrası Postoperatif Mitral Gradient ile Kapak Boyutu, Vücut Kitle İndeksi ve Sol Atrium Çapı Arasındakı İlişkinin Retrospektif Analizi''</t>
        </is>
      </c>
    </row>
    <row r="787" ht="47.25" customHeight="1" s="221">
      <c r="F787" s="7" t="inlineStr">
        <is>
          <t>“Preoperatif Uyku Kalitesinin Mandibular Gömülü Üçüncü Molar Diş Çekimi Sonrası Ağrı ve Ödem Üzerine Etkisi”</t>
        </is>
      </c>
    </row>
    <row r="788" ht="63" customHeight="1" s="221">
      <c r="F788" s="7" t="inlineStr">
        <is>
          <t>“Aile Hekimliği Uzmanlık Öğrencileri İçin EASM Rotasyonu Öncesi Çevrimiçi Bir Oryantasyon Eğitimi Programının Geliştirilmesi ve Etkinliğinin Değerlendirilmesi”</t>
        </is>
      </c>
    </row>
    <row r="789" ht="47.25" customHeight="1" s="221">
      <c r="F789" s="7" t="inlineStr">
        <is>
          <t>“Nemalin Miyopatisi Olan Hastalar için Çok Merkezli, Prospektif, Uzunlamasına ve Gözlemsel Bir Doğal Seyir Çalışması”</t>
        </is>
      </c>
    </row>
    <row r="790" ht="47.25" customHeight="1" s="221">
      <c r="F790" s="7" t="inlineStr">
        <is>
          <t>“Femur Başı Avasküler Nekrozu Olan Hastalarda Tedavi Modalitelerinin ve Sağkalımın Retrospektif Olarak Değerlendirilmesi”</t>
        </is>
      </c>
    </row>
    <row r="791" ht="31.5" customHeight="1" s="221">
      <c r="F791" s="7" t="inlineStr">
        <is>
          <t>“Çocukluk Çağında Nintedanib Kullanımı: Tek Merkez Deneyimi”</t>
        </is>
      </c>
    </row>
    <row r="792" ht="63" customHeight="1" s="221">
      <c r="F792" s="7" t="inlineStr">
        <is>
          <t>“Emzirme Danışmanlığı Merkezi’ne Başvuran Ebeveynlerde Postpartum Depresyon Saptanma Durumunun ve İlişkili Faktörlerin Değerlendirilmesi: Retrospektif Kohort Çalışması”</t>
        </is>
      </c>
    </row>
    <row r="793" ht="47.25" customHeight="1" s="221">
      <c r="F793" s="7" t="inlineStr">
        <is>
          <t>“Tıp Fakültesi ve Beslenme ve Diyetetik Bölümü Öğrencilerinin Hasta Güvenliği ve Mesleklerarası İşbirliği Programına Yönelik Görüşleri”</t>
        </is>
      </c>
    </row>
    <row r="794" ht="47.25" customHeight="1" s="221">
      <c r="F794" s="7" t="inlineStr">
        <is>
          <t>“Çocukluk Çağı Akut Arteriyel İskemik İnme Tanısı Alan Hastalarda Etiyoloji, Tedavi Yaklaşımı ve Nörolojik Sonuçlarının Değerlendirilmesi”</t>
        </is>
      </c>
    </row>
    <row r="795" ht="47.25" customHeight="1" s="221">
      <c r="F795" s="7" t="inlineStr">
        <is>
          <t>“18-49 Yaş Arası Kadınların Birinci Basamakta Yapılan Jinekolojik Muayene Hakkındaki Görüş ve Deneyimleri”</t>
        </is>
      </c>
    </row>
    <row r="796" ht="31.5" customHeight="1" s="221">
      <c r="F796" s="7" t="inlineStr">
        <is>
          <t>“Mesleklerarası İşbirliği Programına Yönelik Öğrenci ve Eğitici Görüşleri: Program Değerlendirme Çalışması”</t>
        </is>
      </c>
    </row>
    <row r="797" ht="47.25" customHeight="1" s="221">
      <c r="F797" s="7" t="inlineStr">
        <is>
          <t>“Asitretin Tedavisi Almış Psoriazis Vulgaris Tanılı Hastalarda FIB-4 Skorunun Retrospektif Değerlendirilmesi”</t>
        </is>
      </c>
    </row>
    <row r="798" ht="31.5" customHeight="1" s="221">
      <c r="F798" s="7" t="inlineStr">
        <is>
          <t>“Klinik Nütrisyon Tedavisinde Hedefe Ulaşmada Önemli Bir Bariyer: Refeedin Sendromu”</t>
        </is>
      </c>
    </row>
    <row r="799" ht="31.5" customHeight="1" s="221">
      <c r="F799" s="7" t="inlineStr">
        <is>
          <t>"İleri Yaşlı Bireylerde Trombosit Lenfosit Oranı ile Disfaji Arasındaki İlişki”</t>
        </is>
      </c>
    </row>
    <row r="800" ht="31.5" customHeight="1" s="221">
      <c r="F800" s="7" t="inlineStr">
        <is>
          <t>“Bruselloz Tanılı Çocukların Sitokin ve Kemokin Yanıtlarının Değerlendirilmesi”</t>
        </is>
      </c>
    </row>
    <row r="801" ht="31.5" customHeight="1" s="221">
      <c r="F801" s="7" t="inlineStr">
        <is>
          <t>“Acil İstenen EEG’lerin Tanısal Değeri ve Tedaviye Katkısı”</t>
        </is>
      </c>
    </row>
    <row r="802" ht="47.25" customHeight="1" s="221">
      <c r="F802" s="7" t="inlineStr">
        <is>
          <t>“Anne Adaylarının İşitme Kaybı Risk Faktörleri ve Erken Korunma Hakkındaki Farkındalıklarının Belirlenmesi ve Eğitimi”</t>
        </is>
      </c>
    </row>
    <row r="803" ht="47.25" customHeight="1" s="221">
      <c r="F803" s="7" t="inlineStr">
        <is>
          <t>“Ekran Maruziyetinin Çocukların İşitme, Konuşma ve Dil Becerilerine Etkisi Konusunda Ebeveyn Farkındalığının İncelenmesi ve Bilgilendirilmesi”</t>
        </is>
      </c>
    </row>
    <row r="804" ht="63" customHeight="1" s="221">
      <c r="F804" s="7" t="inlineStr">
        <is>
          <t>“Panoramik Radyografik Görüntüler Kullanılarak Angle Sınıf I, II ve III Malokluzyona Sahip Hastalarda Mandibular Kemik Dansite ve Morfolojisinin Karşılaştırılması”</t>
        </is>
      </c>
    </row>
    <row r="805" ht="63" customHeight="1" s="221">
      <c r="F805" s="7" t="inlineStr">
        <is>
          <t>“Uyku Apnesinde Cerrahi Tedavi Olan ve  Pozitif Havayolu Basıncı(CPAP) Cihazı Kullanan Hastalarla, Amelyat Olmadan CPAP Tedavisi Kullanan Hastaların CPAP Basınç ve Titrasyon  Farklılıklarının Saptanması”</t>
        </is>
      </c>
    </row>
    <row r="806" ht="31.5" customHeight="1" s="221">
      <c r="F806" s="7" t="inlineStr">
        <is>
          <t>“Kurtarıcı Kardeş Uygulamasının Etik Boyutları: Uzman Hekimlerin Yaklaşımları”</t>
        </is>
      </c>
    </row>
    <row r="807" ht="31.5" customHeight="1" s="221">
      <c r="F807" s="7" t="inlineStr">
        <is>
          <t>“Membranöz Nefropati Hastalarında Tiroid Kanseri Taramasının Önemi”</t>
        </is>
      </c>
    </row>
    <row r="808" ht="31.5" customHeight="1" s="221">
      <c r="F808" s="7" t="inlineStr">
        <is>
          <t>“Pediatrik Nöroloji Polikliniğinde Nörogenetik Hastalıkların Dağılımı”</t>
        </is>
      </c>
    </row>
    <row r="809" ht="31.5" customHeight="1" s="221">
      <c r="F809" s="7" t="inlineStr">
        <is>
          <t>“ Santral Sinir Sistemi Atipik Demiyelinizan Olgularında Klinik, Radyolojik ve Patolojik Değerlendirme ”</t>
        </is>
      </c>
    </row>
    <row r="810" ht="63" customHeight="1" s="221">
      <c r="F810" s="7" t="inlineStr">
        <is>
          <t>"Zigomatikomaksiller Kompleks Fraktürlerinde 2 Nokta ve 3 Nokta Fiksasyonunun Uzun Dönem Stabilite ve Orbital Hacim Açısından Kraniyometrik Analizi"</t>
        </is>
      </c>
    </row>
    <row r="811" ht="31.5" customHeight="1" s="221">
      <c r="F811" s="7" t="inlineStr">
        <is>
          <t>“Kistik Fibrozis Yenidoğan Tarama Programı: 10 Yıllık Retrospektif Analiz ve Tanısal Değerlendirme”</t>
        </is>
      </c>
    </row>
    <row r="812" ht="31.5" customHeight="1" s="221">
      <c r="F812" s="7" t="inlineStr">
        <is>
          <t>“Arttırılmış Eksantrik Yük Uygulamasının Derinlik Sıçraması Üzerine Akut Etkisinin İncelenmesi”</t>
        </is>
      </c>
    </row>
    <row r="813" ht="47.25" customHeight="1" s="221">
      <c r="F813" s="7" t="inlineStr">
        <is>
          <t>“Atopik Dermatit Tanılı Adölesan Hastalarda Menstrüasyon Siklusun Hastalık Aktivitesi Üzerine Etkisi”</t>
        </is>
      </c>
    </row>
    <row r="814" ht="47.25" customHeight="1" s="221">
      <c r="F814" s="7" t="inlineStr">
        <is>
          <t>“Duygusal Zekâ Temelli Etkinliklerin Konuşma Akıcılığına, Duygusal Zekâya ve Beyin Bağlantısallık Ağlarına Etkisi”</t>
        </is>
      </c>
    </row>
    <row r="815" ht="47.25" customHeight="1" s="221">
      <c r="F815" s="7" t="inlineStr">
        <is>
          <t>“Tıp Fakültesi Öğrencilerinin Anatomi Eğitiminde Kullandıkları Yapay Zeka Araçları Hakkındaki Tutum ve Görüşleri”</t>
        </is>
      </c>
    </row>
    <row r="816" ht="31.5" customHeight="1" s="221">
      <c r="F816" s="7" t="inlineStr">
        <is>
          <t>“Erişkin Özofagus Atrezilere Özgü Hayat Kalitesi Anketi”</t>
        </is>
      </c>
    </row>
    <row r="817" ht="63" customHeight="1" s="221">
      <c r="F817" s="7" t="inlineStr">
        <is>
          <t>“Atipik Alzheimer Varyantlarında Glimfatik Sistem, Serebral Perfüzyon ve APOE Genotipinin Bütüncül Değerlendirmesi: Pilot Nörogörüntüleme ve Genetik Çalışma”</t>
        </is>
      </c>
    </row>
    <row r="818" ht="31.5" customHeight="1" s="221">
      <c r="F818" s="7" t="inlineStr">
        <is>
          <t>“Özofagus Atrezili Çocuklarda Tekrarlayan Trakeoözofageal Fistüllerin Yönetimi”</t>
        </is>
      </c>
    </row>
    <row r="819" ht="63" customHeight="1" s="221">
      <c r="F819" s="7" t="inlineStr">
        <is>
          <t>“Ağır Akciğer Hastalığı Olan Kistik Fibrozis Hastalarında Modulatör Tedavinin Akciğer Nakil Gereksinimine Etkisi: Ulusal Kistik Fibrozis Kayıt Sistemi Verilerinin İncelenmesi”</t>
        </is>
      </c>
    </row>
    <row r="820" ht="47.25" customHeight="1" s="221">
      <c r="F820" s="7" t="inlineStr">
        <is>
          <t>“Tiroid Göz Hastalığında Hastalık Şiddetinin Oftalmolojik ve Ortoptik Klinik Bulgular ile Korelasyonu”</t>
        </is>
      </c>
    </row>
    <row r="821" ht="63" customHeight="1" s="221">
      <c r="F821" s="7" t="inlineStr">
        <is>
          <t>“Kemik Tümörleri Nedeniyle Yapılan Segmental Kemik Rezeksiyonları Sonrası Oluşan Defektlerin Otogreft ve Tümör Protezi Yöntemleriyle Rekonstrüksiyonlarının Karşılaştırılması”</t>
        </is>
      </c>
    </row>
    <row r="822" ht="31.5" customHeight="1" s="221">
      <c r="F822" s="7" t="inlineStr">
        <is>
          <t>“5 Yaş Altı Hastalarda İstismar ve İhmal Değerlendirilmesi, Sandığımız Kadar Nadir Mi?”</t>
        </is>
      </c>
    </row>
    <row r="823" ht="47.25" customHeight="1" s="221">
      <c r="F823" s="7" t="inlineStr">
        <is>
          <t>“Konjenital Tibia Psödoartrozunda Ilizarov Tekniği ile Vaskülarize Fibula Grefti Kombinasyonunun Cerrahi Sonuçlarının Değerlendirilmesi”</t>
        </is>
      </c>
    </row>
    <row r="824" ht="47.25" customHeight="1" s="221">
      <c r="F824" s="7" t="inlineStr">
        <is>
          <t>“Geriatrik Popülasyonda Uykusuzluğu Ölçmeye Yönelik Bergen Uykusuzluk Ölçeğinin Türkçe Geçerlik ve Güvenirlik Çalışması”</t>
        </is>
      </c>
    </row>
    <row r="825" ht="47.25" customHeight="1" s="221">
      <c r="F825" s="7" t="inlineStr">
        <is>
          <t>“Legg-Calve-Perthes Hastalığı Olan Çocukların Kalça Eklem Sıvısından Alınan Örneklerinde Mikroorganizma Araştırılması: Karşılaştırmalı Prospektif Çalışma”</t>
        </is>
      </c>
    </row>
    <row r="826" ht="31.5" customHeight="1" s="221">
      <c r="F826" s="7" t="inlineStr">
        <is>
          <t>“Sarkopenik Obezite ile Serum İlişkili İnflamasyon Belirteçlerin İlişkisinin İncelenmesi”</t>
        </is>
      </c>
    </row>
    <row r="827" ht="31.5" customHeight="1" s="221">
      <c r="F827" s="7" t="inlineStr">
        <is>
          <t>“Psoriatik Tırnak ve Onikomikozda Klinik ve Dermoskopik Özelliklerin Karşılaştırılması”</t>
        </is>
      </c>
    </row>
    <row r="828" ht="47.25" customHeight="1" s="221">
      <c r="F828" s="7" t="inlineStr">
        <is>
          <t>“Alerjik ve Alerjik Olmayan Astımlı Çocuklardan İzole Edilen Eozinofillerde Oksidatif Stres Cevap Mekanizmalarının Araştırılması”</t>
        </is>
      </c>
    </row>
    <row r="829" ht="47.25" customHeight="1" s="221">
      <c r="F829" s="7" t="inlineStr">
        <is>
          <t>“İşitme Kayıplı Hastalarda Multidisipliner İmplant Konseyi Kararları ile ChatGPT Yanıtlarının Karşılaştırılması”</t>
        </is>
      </c>
    </row>
    <row r="830" ht="47.25" customHeight="1" s="221">
      <c r="F830" s="7" t="inlineStr">
        <is>
          <t>“Fetal Anemi Nedeniyle İntrauterin Kan Transfüzyonu Yapılan Bebeklerin Kısa ve Uzun Dönem Nörolojik Sonuçlarının Değerlendirmesi”</t>
        </is>
      </c>
    </row>
    <row r="831" ht="47.25" customHeight="1" s="221">
      <c r="F831" s="7" t="inlineStr">
        <is>
          <t>“Pre-menopozal ve Post-menopozal Kadınlarda Odyolojik ve Vestibüler Fonksiyonların Karşılaştırılması”</t>
        </is>
      </c>
    </row>
    <row r="832" ht="31.5" customHeight="1" s="221">
      <c r="F832" s="7" t="inlineStr">
        <is>
          <t>"Serviks Kanserinde Kemoradyoterapi Öncesi ve Sürecindeki Sarkopeni ve Klinik Önemi"</t>
        </is>
      </c>
    </row>
    <row r="833" ht="63" customHeight="1" s="221">
      <c r="F833" s="7" t="inlineStr">
        <is>
          <t>“İç Hastalıkları Servislerinde İntravenöz Diüretik Tedavisi Amacıyla Yatan Hipervolemik Hastaların Diüretik Doz Etkinliğinin İdrar Sodyumu İle Değerlendirilmesi”</t>
        </is>
      </c>
    </row>
    <row r="834" ht="31.5" customHeight="1" s="221">
      <c r="F834" s="7" t="inlineStr">
        <is>
          <t>“Yoğun Bakım Ünitesinde İntravenöz Sıvı Kullanımının Değerlendirilmesi”</t>
        </is>
      </c>
    </row>
    <row r="835" ht="78.75" customHeight="1" s="221">
      <c r="F835" s="7" t="inlineStr">
        <is>
          <t>“Konservatif Tedaviye Dirençli Periartiküler Kas İskelet Sistemi Hastalıklarında Fonksiyon Kısıtlayıcı Semptomların Transarteriyel Periartiküler Embolizasyon (TAPE) Tedavisi Sonrası Yanıt Değerlendirilemesi ”</t>
        </is>
      </c>
    </row>
    <row r="836" ht="31.5" customHeight="1" s="221">
      <c r="F836" s="7" t="inlineStr">
        <is>
          <t>“Klasik Hodgkin Lenfoma Hastalarında İlk Basamak ve Kurtarma Tedavilerinin Karşılaştırılması”</t>
        </is>
      </c>
    </row>
    <row r="837" ht="47.25" customHeight="1" s="221">
      <c r="F837" s="7" t="inlineStr">
        <is>
          <t>''Pulmoner Kapak Replasmanı Yapılan Hastaların Uzun Dönem Sonuçlarının İzlenmesi ve Bunların Maliyet Analizi Sonuçlarının Araştırılması''</t>
        </is>
      </c>
    </row>
    <row r="838" ht="31.5" customHeight="1" s="221">
      <c r="F838" s="7" t="inlineStr">
        <is>
          <t>“Klozapinle İlişkili Nötropeni İçin Aday İmmun Biyobelirteçlerin Araştırılması”</t>
        </is>
      </c>
    </row>
    <row r="839" ht="63" customHeight="1" s="221">
      <c r="F839" s="7" t="inlineStr">
        <is>
          <t>“Kronik Plak Tip Psöriazis Vulgaris Tanılı Çoklu Biyolojik Tedavi Dirençli Hastaların Demografik Özellikleri, Klinik Özellikleri ve Komorbiditelerinin İncelenmesinın”</t>
        </is>
      </c>
    </row>
    <row r="840" ht="31.5" customHeight="1" s="221">
      <c r="F840" s="7" t="inlineStr">
        <is>
          <t>“Mylohyoid Kas Transpozisyonunun Fasial Reanimasyondaki Potansiyeli: Kadavra Çalışması”</t>
        </is>
      </c>
    </row>
    <row r="841" ht="47.25" customHeight="1" s="221">
      <c r="F841" s="7" t="inlineStr">
        <is>
          <t>“Superior ve İnferior Labial Arterlerin Vermilion Sınırındaki Derinliklerinin ve Konumunun Ölçümü: Kadavra Çalışması”</t>
        </is>
      </c>
    </row>
    <row r="842" ht="63" customHeight="1" s="221">
      <c r="F842" s="7" t="inlineStr">
        <is>
          <t>“İmmünsüpresif Tedavi Öncesi HBV Serolojik Durumuna Göre Alınan Klinik Kararların ve Antiviral Kullanımının Uluslararası ve Ulusal Rehberlerle Uyumu: Tek Merkez Gerçek Yaşam Verilerinin Analizi”</t>
        </is>
      </c>
    </row>
    <row r="843" ht="47.25" customHeight="1" s="221">
      <c r="F843" s="7" t="inlineStr">
        <is>
          <t>"Astımlı Hastalarda Otonom Disfonksiyon ve Termoregülasyon Bozukluklarının Klinik ve Proteomik Etkileri”</t>
        </is>
      </c>
    </row>
    <row r="844" ht="78.75" customHeight="1" s="221">
      <c r="F844" s="7" t="inlineStr">
        <is>
          <t>“Over Kanseri Hastalarında Primer Debulking Cerrahisi Yapılan ve Neoadjuvan Kemoterapi Alanlarda Gelişen Venöz Tromboembolik Olaylar, Risk Faktörleri, Sağkalım ve Profilaksi Uygulamalarının Retrospektif Olarak Araştırılması”</t>
        </is>
      </c>
    </row>
    <row r="845" ht="63" customHeight="1" s="221">
      <c r="F845" s="7" t="inlineStr">
        <is>
          <t>“Kistik Fibrozis Hastalarında Balgam Kültüründe Kronik Candida Kolonizasyonunun Solunum Fonksiyonları, Klinik ve Laboratuar Parametreleri Üzerine Olan Etkilerinin Değerlendirilmesi”</t>
        </is>
      </c>
    </row>
    <row r="846" ht="63" customHeight="1" s="221">
      <c r="F846" s="7" t="inlineStr">
        <is>
          <t>“İleri Evre Over Kanserinde Pelvik Sitoredüksiyon için Pelvik Peritonektomi Yapılan Hastalar ile Rektosigmoid Rezeksiyon Yapılan Hastalar Arasındaki Pelvik Nüks ve Sağ Kalım Oranlarının Karşılaştırılması”</t>
        </is>
      </c>
    </row>
    <row r="847" ht="31.5" customHeight="1" s="221">
      <c r="F847" s="7" t="inlineStr">
        <is>
          <t>“Obezite Hastalığının Oküler Yüzey Üzerindeki Etkilerinin Değerlendirilmesi”</t>
        </is>
      </c>
    </row>
    <row r="848" ht="31.5" customHeight="1" s="221">
      <c r="F848" s="7" t="inlineStr">
        <is>
          <t>“Ergenlerde Dayanıklılık ile İlişkili Etkenlerin İncelenmesi”</t>
        </is>
      </c>
    </row>
    <row r="849" ht="31.5" customHeight="1" s="221">
      <c r="F849" s="7" t="inlineStr">
        <is>
          <t>“Renal Amiloidozda Prognozu Etkileyen Faktörler: 25 Yıllık Tek Merkez Deneyimi”</t>
        </is>
      </c>
    </row>
    <row r="850" ht="31.5" customHeight="1" s="221">
      <c r="F850" s="7" t="inlineStr">
        <is>
          <t>“Glomerulonefritlerin Gebelik Süreci, Maternal ve Fetal Sonlanıma Etkisi”</t>
        </is>
      </c>
    </row>
    <row r="851" ht="47.25" customHeight="1" s="221">
      <c r="F851" s="7" t="inlineStr">
        <is>
          <t>“Serbest Diş Eti Grefti Alınan Lateral Damak Bölgesine Farklı Ajanlar Uygulanmış Hastaların Verilerinin Karşılaştırılmalı Olarak İncelenmesi”</t>
        </is>
      </c>
    </row>
    <row r="852" ht="31.5" customHeight="1" s="221">
      <c r="F852" s="7" t="inlineStr">
        <is>
          <t>“Klozapine Yanıt ile Yan Etkiler Arasındaki İlişkinin İncelenmesi: Geriye Dönük Bir Çalışma”</t>
        </is>
      </c>
    </row>
    <row r="853" ht="47.25" customHeight="1" s="221">
      <c r="F853" s="7" t="inlineStr">
        <is>
          <t>“Metabolik Disfonksiyonla İlişkili Steatotik Karaciğer Hastalığı (MASLD) Etiyopatogenezinde Safra Asidi Metabolitleri ve Metabolomik Analizi”</t>
        </is>
      </c>
    </row>
    <row r="854" ht="31.5" customHeight="1" s="221">
      <c r="F854" s="7" t="inlineStr">
        <is>
          <t>"U14 Su Topu Oyuncularında Enerji Dengesi ve Bazı Performans Parametrelerinin Belirlenmesi"</t>
        </is>
      </c>
    </row>
    <row r="855" ht="47.25" customHeight="1" s="221">
      <c r="F855" s="7" t="inlineStr">
        <is>
          <t>“Gıda Sağlığı ile İlgili Olan Profesyonellerin Gıda İnfodemisi Hakkındaki Görüş ve Deneyimleri: Niteliksel Bir Çalışma”</t>
        </is>
      </c>
    </row>
    <row r="856" ht="31.5" customHeight="1" s="221">
      <c r="F856" s="7" t="inlineStr">
        <is>
          <t>“Larinks Patolojilerinin Malignleşme Sürecinde SERPİNE1'in Rolü”</t>
        </is>
      </c>
    </row>
    <row r="857" ht="47.25" customHeight="1" s="221">
      <c r="F857" s="7" t="inlineStr">
        <is>
          <t>“Kalsiyum (Ca2+) ve Magnezyum (Mg2+) İlişkili İmmün Yetmezliklerde Fonksiyonel ve Klinik Özellikler”</t>
        </is>
      </c>
    </row>
    <row r="858" ht="31.5" customHeight="1" s="221">
      <c r="F858" s="7" t="inlineStr">
        <is>
          <t>“SCN5A Varyantı Saptanan Hastaların Klinik ve Moleküler Bulgularının Değerlendirilmesi”</t>
        </is>
      </c>
    </row>
    <row r="859" ht="47.25" customHeight="1" s="221">
      <c r="F859" s="7" t="inlineStr">
        <is>
          <t>“Gelişimsel Açıdan Riskli Çocuklarda 4–6 Yaş Arasında Öğrenme Güçlüğü Belirtilerinin Taranması ve Risk Etkenleriyle İlişkisinin Belirlenmesi”</t>
        </is>
      </c>
    </row>
    <row r="860" ht="47.25" customHeight="1" s="221">
      <c r="F860" s="7" t="inlineStr">
        <is>
          <t>“Akondroplazili Çocuk Hastalarda Uyku ile İlişkili Solunum Bozukluklarının ve Polisomnografi Bulgularının Değerlendirilmesi”</t>
        </is>
      </c>
    </row>
    <row r="861" ht="47.25" customHeight="1" s="221">
      <c r="F861" s="7" t="inlineStr">
        <is>
          <t>“Skleroderma Tanılı Olgu ve Bireylerin Biyopsikososyal Durumları ile Çiğneme-Yutma Performansları Arasındaki İlişkinin Araştırılması”</t>
        </is>
      </c>
    </row>
    <row r="862" ht="47.25" customHeight="1" s="221">
      <c r="F862" s="7" t="inlineStr">
        <is>
          <t>“Skleroderma Tanılı Olgu ve Bireylerin Biyopsikososyal Durumları ile Fiziksel Performans ve Fonksiyonellikleri Arasındaki İlişkinin Araştırılması”</t>
        </is>
      </c>
    </row>
    <row r="863" ht="47.25" customHeight="1" s="221">
      <c r="F863" s="7" t="inlineStr">
        <is>
          <t>“JİA Tanılı Olgularda Ebeveynlerin Bildirdiği Ağrıyı Felaketleştirme Durumuna Göre Biyopsikososyal Özelliklerin İncelenmesi”</t>
        </is>
      </c>
    </row>
    <row r="864" ht="63" customHeight="1" s="221">
      <c r="F864" s="7" t="inlineStr">
        <is>
          <t>“Üst Ekstremite Deri Kalınlığının Hasta Tarafından Kendi Kendine Değerlendirilmesi Anketinin Türkçe Versiyonunun Kültürel Adaptasyonu, Geçerliği ve Güvenirliğinin İncelenmesi”</t>
        </is>
      </c>
    </row>
    <row r="865" ht="47.25" customHeight="1" s="221">
      <c r="F865" s="7" t="inlineStr">
        <is>
          <t>“Nazal Septal Perforasyon Onarımının Hastaların Nazal Hava Akımı ve Yaşam Kalitesi Üzerine Olan Etkisinin Değerlendirilmesi”</t>
        </is>
      </c>
    </row>
    <row r="866" ht="47.25" customHeight="1" s="221">
      <c r="F866" s="7" t="inlineStr">
        <is>
          <t>“Kistik Fibrozis Transmembran Regülatör Protein-İlişkili Hastalık Tanılı Çocuk Hastalarımızın Klinik ve Radyolojik Özellikleri”</t>
        </is>
      </c>
    </row>
    <row r="867" ht="31.5" customHeight="1" s="221">
      <c r="F867" s="7" t="inlineStr">
        <is>
          <t>“Çocukluk Çağı Sinoviyal Sarkom Olgularının Retrospektif Değerlendrilmesi”</t>
        </is>
      </c>
    </row>
    <row r="868" ht="31.5" customHeight="1" s="221">
      <c r="F868" s="7" t="inlineStr">
        <is>
          <t>“Spinal Musküler Atrofi Tanılı Hastalarda Kemik Sağlığının Retrospektif Olarak Değerlendirilmesi”</t>
        </is>
      </c>
    </row>
    <row r="869" ht="31.5" customHeight="1" s="221">
      <c r="F869" s="7" t="inlineStr">
        <is>
          <t>“Griscelli Sendromu Tanısı Alan Hastaların Klinik ve Laboratuvar Özelliklerinin Değerelnedirilmesi”</t>
        </is>
      </c>
    </row>
    <row r="870" ht="47.25" customHeight="1" s="221">
      <c r="F870" s="7" t="inlineStr">
        <is>
          <t>“Stres, Cinsiyet ve Menstrual Döngünün, Tıkınırcasına Yeme Bozukluğu ve Uyku Kalitesi ile İlişkisinin İncelenmesi”</t>
        </is>
      </c>
    </row>
    <row r="871" ht="47.25" customHeight="1" s="221">
      <c r="F871" s="7" t="inlineStr">
        <is>
          <t>“Otizm Tanılı Ergenlerin Ebeveynlerinin Tükenmişlik ve Damgalanma Algısının Bilinçli Farkındalık Aracılığıyla Ergenlerin Psikososyal İyilik Hali Üzerine Etkisi”</t>
        </is>
      </c>
    </row>
    <row r="872" ht="47.25" customHeight="1" s="221">
      <c r="F872" s="7" t="inlineStr">
        <is>
          <t>“LeFort I Cerrahisi Uygulanan Hastalarda Maksiller Sinüs Membran Kalınlığı ve Sinüs Sağlığının Değerlendirilmesi”</t>
        </is>
      </c>
    </row>
    <row r="873" ht="63" customHeight="1" s="221">
      <c r="F873" s="7" t="inlineStr">
        <is>
          <t>"Tiroid İnce İğne Aspirasyon Sitolojisinde Dijital Sitopatoloji ile Konvansiyonel Işık Mikroskobu Değerlendirmesinin Karşılaştırmalı Analizi: Belirsiz Kategorilere Odaklanarak"</t>
        </is>
      </c>
    </row>
    <row r="874" ht="47.25" customHeight="1" s="221">
      <c r="F874" s="7" t="inlineStr">
        <is>
          <t>"Yoğun Bakım Sonrası İzlem Polikliniğinde Takip Edilen Hastaların Demografik ve Klinik Özelliklerinin İncelenmesi "</t>
        </is>
      </c>
    </row>
    <row r="875" ht="31.5" customHeight="1" s="221">
      <c r="F875" s="7" t="inlineStr">
        <is>
          <t>“Benign Histerektomi Öncesi Video Bilgilendirmesinin Anksiyete Düzeyine Etkisi”</t>
        </is>
      </c>
    </row>
    <row r="876" ht="63" customHeight="1" s="221">
      <c r="F876" s="7" t="inlineStr">
        <is>
          <t>“Ankara, Türkiye'deki Sahra Altı Afrikalı Üniversite Öğrencileri Arasında Sağlık Durumu, Sağlık Hizmetlerine Erişim, Sağlık Okuryazarlığı Düzeyi ve İlişkili Faktörlerin Belirlenmesi Araştırması”</t>
        </is>
      </c>
    </row>
    <row r="877" ht="31.5" customHeight="1" s="221">
      <c r="F877" s="7" t="inlineStr">
        <is>
          <t>“PIDCAP Skorlama Sisteminin Kronik Granülomatöz Hastalık Tanısı Olan Hastalarda Değerlendirilmesi”</t>
        </is>
      </c>
    </row>
    <row r="878" ht="47.25" customHeight="1" s="221">
      <c r="F878" s="7" t="inlineStr">
        <is>
          <t>“İmmünoterapilere Bağlı Endokrin Yan Etkiler ve Endokrinolojiye Yönlendirme Pratiklerinin Değerlendirilmesi”</t>
        </is>
      </c>
    </row>
    <row r="879" ht="47.25" customHeight="1" s="221">
      <c r="F879" s="7" t="inlineStr">
        <is>
          <t>“Yeme Bozukluğu Olan Ergende Tütün, Alkol ve Madde Kullanım Sıklığı ile Hastalık Şiddeti Arasındaki İlişkinin İncelenmesi”</t>
        </is>
      </c>
    </row>
    <row r="880" ht="47.25" customHeight="1" s="221">
      <c r="F880" s="7" t="inlineStr">
        <is>
          <t>“Uterin Serviksin İnvaziv Stratifiye Müsin Üreten Karsinomu: Klinikopatolojik Bulguların ve Prognostik Faktörlerin Değerlendirilmesi”</t>
        </is>
      </c>
    </row>
    <row r="881" ht="47.25" customHeight="1" s="221">
      <c r="F881" s="7" t="inlineStr">
        <is>
          <t>“Uluslararası İnkontinans Konsültasyonu– Az Aktif Mesane Anketi’nin Türkçe Geçerlik ve Güvenirlik Çalışması”</t>
        </is>
      </c>
    </row>
    <row r="882" ht="47.25" customHeight="1" s="221">
      <c r="F882" s="7" t="inlineStr">
        <is>
          <t>“Böbrek Biyopsilerinde Lupus Nefriti NIH Skorlamasının Dil Modeli ile Otomatikleştirilmesi ve Patolog Değerlendirmesi ile Karşılaştırılması”</t>
        </is>
      </c>
    </row>
    <row r="883" ht="63" customHeight="1" s="221">
      <c r="F883" s="7" t="inlineStr">
        <is>
          <t>“Şeffaf Plak Tedavilerinde Refinement Aşamasında Tekrarlayan Ataşman Debonding İşleminin Mine Yüzeyine Etkilerinin 3 Boyutlu Olarak İncelenmesi: In-Vitro Çalışma”</t>
        </is>
      </c>
    </row>
    <row r="884" ht="78.75" customHeight="1" s="221">
      <c r="F884" s="7" t="inlineStr">
        <is>
          <t>“Kistik Fibrozis, Primer Siliyer Diskinezi ve Astım Tanılı Çocukların Solunum Fonksiyon Testlerinin; Spirometri, Akciğer Temizleme İndeksi ve İmpuls Osilometri ile Değerlendirilmesi ve Parametreler Arasındaki İlişkilerin İncelenmesi”</t>
        </is>
      </c>
    </row>
    <row r="885" ht="63" customHeight="1" s="221">
      <c r="F885" s="7" t="inlineStr">
        <is>
          <t>“IgA Nefropatisi Oxford (MEST-C) Skorlamasında Dil Modeli Çıktılarının Patolog Değerlendirmeleriyle Karşılaştırılması ve Standardizasyona Yönelik Potansiyelinin Araştırılması”</t>
        </is>
      </c>
    </row>
    <row r="886" ht="47.25" customHeight="1" s="221">
      <c r="F886" s="7" t="inlineStr">
        <is>
          <t>“Üst Aerodigestif Sistem Mukozal Lezyonların Analizinde Dar Bant Görüntülemenin Yeri, Verilerin Histopatolojik İnceleme ile Karşılaştırılması”</t>
        </is>
      </c>
    </row>
    <row r="887" ht="47.25" customHeight="1" s="221">
      <c r="F887" s="7" t="inlineStr">
        <is>
          <t>“Fetal Kardiyak Girişim Yapılan Fetuslarda Prenatal Dönemde Yapılan Ekstremite Dopplerlerinin Longitudinal İzlemi ve Perinatal Sonuçlarla İlişkisi”</t>
        </is>
      </c>
    </row>
    <row r="888" ht="63" customHeight="1" s="221">
      <c r="F888" s="7" t="inlineStr">
        <is>
          <t>“Anti-TNF Tedavi Sürecinde Çekilen Akciğer Grafilerinin Yapay Zeka Destekli Değerlendirmesinin, Klinisyen Değerlendirmesi ile Karşılaştırması ve Klinik Uygulamalara Entegrasyonunun İncelenmesi”</t>
        </is>
      </c>
    </row>
    <row r="889" ht="63" customHeight="1" s="221">
      <c r="F889" s="7" t="inlineStr">
        <is>
          <t>“Küçük Hücreli Akciğer Karsinomunda Moleküler Alt Tiplerin ASCL1, NEUROD1, POU2F3 ve YAP1 İmmünohistokimyasal Ekspresyonuna Göre Sınıflandırılması ve Klinik Önemi”</t>
        </is>
      </c>
    </row>
    <row r="890" ht="63" customHeight="1" s="221">
      <c r="F890" s="7" t="inlineStr">
        <is>
          <t>“Multipl Sklerozda Telomer Uzunluğu, p16INK4a İfadesi ve İleri Beyin MR Görüntülemeleri ile Hastalık Progresyonu Arasındaki İlişkinin Prospektif İncelenmesi”</t>
        </is>
      </c>
    </row>
    <row r="891" ht="78.75" customHeight="1" s="221">
      <c r="F891" s="7" t="inlineStr">
        <is>
          <t>“Türkiye’deki Çocukluk Çağı İnterstisiyel Akciğer Hastalığı Tanısıyla İzlenen Hastaların Demografik ve Klinik Özelliklerinin REDCap Veri Tabanına Kaydedilmesi (chILD Türkiye) ve Verilerin Değerlendirilmesi”</t>
        </is>
      </c>
    </row>
    <row r="892" ht="31.5" customHeight="1" s="221">
      <c r="F892" s="7" t="inlineStr">
        <is>
          <t>“Taburculuk Sonrası Bakım Geçiş Kalitesinin Değerlendirilmesi: Çok Boyutlu Bir Ölçüm Yaklaşımı”</t>
        </is>
      </c>
    </row>
    <row r="893" ht="47.25" customHeight="1" s="221">
      <c r="F893" s="7" t="inlineStr">
        <is>
          <t>“Geç Preterm Gebeliklerde Antenatal Kortikosteroid Uygulamasının Neonatal Hipoglisemi ve Klinik Sonuçlara Etkisi”</t>
        </is>
      </c>
    </row>
    <row r="894" ht="31.5" customHeight="1" s="221">
      <c r="F894" s="7" t="inlineStr">
        <is>
          <t>“Oral Biyopsi Uygulanan Hastalarda Anksiyete ve Ağrı Düzeylerinin Değerlendirilmesi”</t>
        </is>
      </c>
    </row>
    <row r="895" ht="47.25" customHeight="1" s="221">
      <c r="F895" s="7" t="inlineStr">
        <is>
          <t>“İdiopatik İzole Ekstrakraniyal İnternal Karotis Arter Vazospazmında Tedavi Seçenekleri ve Prognoza Etkileri”</t>
        </is>
      </c>
    </row>
    <row r="896" ht="31.5" customHeight="1" s="221">
      <c r="F896" s="7" t="inlineStr">
        <is>
          <t>“Yüzücülerde Ultrason ve Güç Ölçümleri ile Omuz Yaralanma Profili Çıkarılması”</t>
        </is>
      </c>
    </row>
    <row r="897" ht="31.5" customHeight="1" s="221">
      <c r="F897" s="7" t="inlineStr">
        <is>
          <t>“Seçilmiş Nöroloji Olgularının Klinik Seyir ve Tedavi-Prognozuna Yönelik Olgu Temelli Derlemesi”</t>
        </is>
      </c>
    </row>
    <row r="898" ht="31.5" customHeight="1" s="221">
      <c r="F898" s="7" t="inlineStr">
        <is>
          <t>“Büllöz Pemfigoid Tanılı Hastalarda Omalizumab Tedavisinin Yanıtlarının Değerlendirilmesi"</t>
        </is>
      </c>
    </row>
    <row r="899" ht="31.5" customHeight="1" s="221">
      <c r="F899" s="7" t="inlineStr">
        <is>
          <t>"Çocukluk Çağında Matür T/NK Hücreli Lenfomalar : Hacettepe Deneyimi"</t>
        </is>
      </c>
    </row>
    <row r="900" ht="47.25" customHeight="1" s="221">
      <c r="F900" s="7" t="inlineStr">
        <is>
          <t>“Kronik Miyeloid Lösemi Hastalarında Tirozin Kinaz Kullanımı İlişkili Proteinüri Gelişimini Etkileyen Faktörlerin İncelenmesi”</t>
        </is>
      </c>
    </row>
    <row r="901" ht="31.5" customHeight="1" s="221">
      <c r="F901" s="7" t="inlineStr">
        <is>
          <t>“Stajyer Diş Hekimlerinde Maket Üzerinde Sütur Eğitiminin Etkinliği ve Memnuniyetinin Değerlendirilmesi"</t>
        </is>
      </c>
    </row>
    <row r="902" ht="31.5" customHeight="1" s="221">
      <c r="F902" s="7" t="inlineStr">
        <is>
          <t>“Preklinik Endodonti Eğitiminde 3D Baskılı Modeller: Öğrenci Perspektifinden Bir Değerlendirme”</t>
        </is>
      </c>
    </row>
    <row r="903" ht="47.25" customHeight="1" s="221">
      <c r="F903" s="7" t="inlineStr">
        <is>
          <t>“Koklear İmplant ile İlgili Tüm Soruların ChatGPT Yanıtlarının Kulak Burun Boğaz Uzmanları Tarafından Değerlendirilmesi”</t>
        </is>
      </c>
    </row>
    <row r="904" ht="47.25" customHeight="1" s="221">
      <c r="F904" s="7" t="inlineStr">
        <is>
          <t>“Susam Alerjisi Olan Çocuklarda Oral İmmünoterapinin Güvenliği ve Yaşam Kalitesi Üzerine Etkilerinin Değerlendirilmesi''</t>
        </is>
      </c>
    </row>
    <row r="905" ht="31.5" customHeight="1" s="221">
      <c r="F905" s="7" t="inlineStr">
        <is>
          <t>“Çocukluk Çağı Over Kistadenomları: Hacettepe Deneyimi”</t>
        </is>
      </c>
    </row>
    <row r="906" ht="63" customHeight="1" s="221">
      <c r="F906" s="7" t="inlineStr">
        <is>
          <t>“Sigara İçen Bireylerde Fonksiyonel Yakın Kızılötesi Spektroskopisi Kullanılarak Fonksiyonel Bağlantısallığın ve Kalp Hızı Değişkenliğinin İncelenmesi”</t>
        </is>
      </c>
    </row>
    <row r="907" ht="47.25" customHeight="1" s="221">
      <c r="F907" s="7" t="inlineStr">
        <is>
          <t>“Malignite Tanısı Alan Primer İmmün Yetmezlikli Hastaların Klinik ve Laboratuvar Özelliklerinin Değerlendirilmesi ”</t>
        </is>
      </c>
    </row>
    <row r="908" ht="47.25" customHeight="1" s="221">
      <c r="F908" s="7" t="inlineStr">
        <is>
          <t>“Çene Bölgesi Patolojik Lezyonların CBCT Görüntülerinde Yapay Zeka Tabanlı Otomatik Tanısı: Derin Öğrenme Yaklaşımı”</t>
        </is>
      </c>
    </row>
    <row r="909" ht="63" customHeight="1" s="221">
      <c r="F909" s="7" t="inlineStr">
        <is>
          <t>“Endoskopik Endonazal ya da Transkonjonktival Yaklaşımla Optik Sinir Dekompresyonu ve/veya Optik Sinir Kılıf Fenestrasyonu Yapılan Olgularda Sonuçların Karşılaştırılması”</t>
        </is>
      </c>
    </row>
    <row r="910" ht="94.5" customHeight="1" s="221">
      <c r="F910" s="7" t="inlineStr">
        <is>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is>
      </c>
    </row>
    <row r="911" ht="110.25" customHeight="1" s="221">
      <c r="F911" s="7" t="inlineStr">
        <is>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is>
      </c>
    </row>
    <row r="912" ht="47.25" customHeight="1" s="221">
      <c r="F912" s="7" t="inlineStr">
        <is>
          <t>“Dijital Fotoğraf Tabanlı Renk Analizi ile Gingival İndeksin Belirlenmesi: Klinik Sağlık, Gingivitis ve Periodontitis Vakalarının Karşılaştırılması”</t>
        </is>
      </c>
    </row>
    <row r="913" ht="63" customHeight="1" s="221">
      <c r="F913" s="7" t="inlineStr">
        <is>
          <t>“İnme Hastalarında Kardiyak Risk Faktörleri: Sol Atriyum Morfolojisi, Koroner Kalsifikasyon Skoru ve Mitral Kazeöz Kalsifikasyonun Kardiyak Bilgisayarlı Tomografi ile Değerlendirilmesi”</t>
        </is>
      </c>
    </row>
    <row r="914" ht="31.5" customHeight="1" s="221">
      <c r="F914" s="7" t="inlineStr">
        <is>
          <t>“Pediatrik Popülasyonda Yaşla Değişen Alerjene Özgü Duyarlanma Dinamikleri</t>
        </is>
      </c>
    </row>
    <row r="915" ht="47.25" customHeight="1" s="221">
      <c r="F915" s="7" t="inlineStr">
        <is>
          <t>“Minimal İnvaziv Kardiyak Cerrahide Anestezi Yönetimi Deneyimimiz Tek Merkezli Gözlemsel Çalışma-Bireysel Araştırma”</t>
        </is>
      </c>
    </row>
    <row r="916" ht="47.25" customHeight="1" s="221">
      <c r="F916" s="7" t="inlineStr">
        <is>
          <t>“Primer Hiperparatiroidi Tanılı Hastaların Demografik, Klinik, Biyokimyasal ve Görüntüleme Bulgularının Değerlendirilmesi”</t>
        </is>
      </c>
    </row>
    <row r="917" ht="47.25" customHeight="1" s="221">
      <c r="F917" s="7" t="inlineStr">
        <is>
          <t>“.Yüksek Dereceli Majör Tükürük Bezleri Malignitelerinin Sonuçlarının Retrospektif İncelenmesi: Uluslararası Çok Merkezli Bir Çalışma”</t>
        </is>
      </c>
    </row>
    <row r="918" ht="63" customHeight="1" s="221">
      <c r="F918" s="7" t="inlineStr">
        <is>
          <t>“Prostat Kanserinde Sistemik Tedavi Yanıt Değerlendirilmesinde Ga-68 İşaretli PSMA PET-BT ile Biyokimyasal Belirteçlerin Rolü ve Prognostik Önemi”</t>
        </is>
      </c>
    </row>
    <row r="919" ht="63" customHeight="1" s="221">
      <c r="F919" s="7" t="inlineStr">
        <is>
          <t>“Metastatik Prostat Kanseri Olan Hastalarda Androjen Reseptör Yolak İnhibitörlerinin Etkinliğini Tahmin Etmede Klinik-Biyokimyasal ve Moleküler Görüntüleme Parametrelerinin Rolü”</t>
        </is>
      </c>
    </row>
    <row r="920" ht="31.5" customHeight="1" s="221">
      <c r="F920" s="7" t="inlineStr">
        <is>
          <t>“Nöromusküler Hastalıklarda Tüm Ekzom Dizileme Yöntemi ile Genetik Etyolojinin Belirlenmesi”</t>
        </is>
      </c>
    </row>
    <row r="921" ht="63" customHeight="1" s="221">
      <c r="F921" s="7" t="inlineStr">
        <is>
          <t>“Örgün ve Mesleki Öğretimde Olmayan veya Çalışmayan (NEET) Gençlerin Ruh Sağlığının Sosyal Eşitsizlikler Açısından İncelenmesi: Nitel ve Nicel bir Derleme”</t>
        </is>
      </c>
    </row>
    <row r="922" ht="47.25" customHeight="1" s="221">
      <c r="F922" s="7" t="inlineStr">
        <is>
          <t>“Pseudo-Bartter Sendromu Olan Kistik Fibrozis Transmembran Regülatör-İlişkili Hastalık Tanılı Çocuklarda Epitel İyon Kanallarının İfade Analizi”</t>
        </is>
      </c>
    </row>
    <row r="923" ht="31.5" customHeight="1" s="221">
      <c r="F923" s="7" t="inlineStr">
        <is>
          <t>“Anaplastik Tiroid Kanserli Olguların Tanı, Tedavi ve Takip Açısından Retrospektif Değerlendirilmesi”</t>
        </is>
      </c>
    </row>
    <row r="924" ht="47.25" customHeight="1" s="221">
      <c r="F924" s="7" t="inlineStr">
        <is>
          <t>“Yeni Bir İrrigasyon Solüsyonu Triton’un Epoksi Rezin ve Kalsiyum Silikat Esaslı Kök Kanal Dolgu Materyallerinin İtme Bağlanma Dayanımına Etkisi”</t>
        </is>
      </c>
    </row>
    <row r="925" ht="47.25" customHeight="1" s="221">
      <c r="F925" s="7" t="inlineStr">
        <is>
          <t>“Pitoz Cerrahisinde Yeni Bir Teknik: Procerus Kas Transferi ile Üst Göz Kapağının Dinamik Reanimasyonu, Kadavra Çalışması”</t>
        </is>
      </c>
    </row>
    <row r="926" ht="47.25" customHeight="1" s="221">
      <c r="F926" s="7" t="inlineStr">
        <is>
          <t>“Türkiye'de Konjenital Miyastenik Sendromların Genetik Profili: Yeni Mutasyonlar ve Klinik Perspektifler”</t>
        </is>
      </c>
    </row>
    <row r="927" ht="47.25" customHeight="1" s="221">
      <c r="F927" s="7" t="inlineStr">
        <is>
          <t>“Menstrüel Kanama Dışı Risk Faktörü Olmayan Genç Kadınlarda Demir Eksikliği ile Menstrüel Kanama Özellikleri Arasındaki İlişkinin Değerlendirilmesi”</t>
        </is>
      </c>
    </row>
    <row r="928" ht="31.5" customHeight="1" s="221">
      <c r="F928" s="7" t="inlineStr">
        <is>
          <t>“Yakınını Kaybetmiş Yaşlılarda Uzamış Yas Belirtilerini Yordayan Faktörler”</t>
        </is>
      </c>
    </row>
    <row r="929" ht="63" customHeight="1" s="221">
      <c r="F929" s="7" t="inlineStr">
        <is>
          <t>“Gonadotropin Salgılatıcı Hormon Analoglarının Endometriyal İntraepitelyal Neoplazi ve Erken Evre Endometrium Kanserinde Fertilite Koruyucu Tedaviye Etkisi”</t>
        </is>
      </c>
    </row>
    <row r="930" ht="31.5" customHeight="1" s="221">
      <c r="F930" s="7" t="inlineStr">
        <is>
          <t>“Teikoplanin ile Tedavi Edilen Hastalarda Terapötik İlaç Düzey İzlemi: Retrospektif Bir Analiz”</t>
        </is>
      </c>
    </row>
    <row r="931" ht="63" customHeight="1" s="221">
      <c r="F931" s="7" t="inlineStr">
        <is>
          <t>“Vorikonazol Serum Düzeyi İzlemi Yapılan Hastalarda Terapötik Aralığı Etkileyen Faktörlerin Retrospektif Değerlendirilmesi ve Klinik Bir Skorlama Modelinin Geliştirilmesi”</t>
        </is>
      </c>
    </row>
    <row r="932" ht="31.5" customHeight="1" s="221">
      <c r="F932" s="7" t="inlineStr">
        <is>
          <t>“Periventriküler Nodüler Heterotopi İlişkili Epilepside Klinik Özellikler”</t>
        </is>
      </c>
    </row>
    <row r="933" ht="31.5" customHeight="1" s="221">
      <c r="F933" s="7" t="inlineStr">
        <is>
          <t>“Polimikrogiri İlişkili Epilepsi Hastalarında Klinik ve Laboratuvar Bulgular: Tek Merkez Deneyimi”</t>
        </is>
      </c>
    </row>
    <row r="934" ht="47.25" customHeight="1" s="221">
      <c r="F934" s="7" t="inlineStr">
        <is>
          <t>“Diş Hekimliği Fakültesine Başvuran Çocukların Ebeveynlerinin Ağız Sağlığı Okuryazarlık Durumlarının Değerlendirilmesi”</t>
        </is>
      </c>
    </row>
    <row r="935" ht="31.5" customHeight="1" s="221">
      <c r="F935" s="7" t="inlineStr">
        <is>
          <t>“Bronkopulmoner Displazi Tanılı Hastaların İzleminde Akciğer Ultrasonografisinin Yeri”</t>
        </is>
      </c>
    </row>
    <row r="936" ht="31.5" customHeight="1" s="221">
      <c r="F936" s="7" t="inlineStr">
        <is>
          <t>“Ara Değer Ter Testi Olan Kistik Fibrozisli Çocukların Klinik Özellikleri”</t>
        </is>
      </c>
    </row>
    <row r="937" ht="31.5" customHeight="1" s="221">
      <c r="F937" s="7" t="inlineStr">
        <is>
          <t>“Multipl Myelomda Fonksiyonel Görüntüleme: MRG ve PET-BT Yöntemlerinin Karşılaştırılması”</t>
        </is>
      </c>
    </row>
    <row r="938" ht="31.5" customHeight="1" s="221">
      <c r="F938" s="7" t="inlineStr">
        <is>
          <t>“Wolfram Sendromlu ve Midline Anomalili Hastaların Klinik Özelliklerinin Retrospektif Değerlendirilmesi”</t>
        </is>
      </c>
    </row>
    <row r="939" ht="31.5" customHeight="1" s="221">
      <c r="F939" s="7" t="inlineStr">
        <is>
          <t>“MEN1 ve MEN4 Sendromlu Hastaların Klinik Özelliklerinin Retrospektif Değerlendirilmesi”</t>
        </is>
      </c>
    </row>
    <row r="940" ht="47.25" customHeight="1" s="221">
      <c r="F940" s="7" t="inlineStr">
        <is>
          <t>“Yetişkin Bireylerde Sedanter Davranışın Kesintiye Uğratma Sıklığı, Fiziksel Aktivite ve Sedanter Davranış Sürelerinin İncelenmesi”</t>
        </is>
      </c>
    </row>
    <row r="941" ht="31.5" customHeight="1" s="221">
      <c r="F941" s="7" t="inlineStr">
        <is>
          <t>“Clavicula'nin Morfometrik Analizi ve Ortopedik İmplant Planlamasina Yönelik Katkıları”</t>
        </is>
      </c>
    </row>
    <row r="942" ht="47.25" customHeight="1" s="221">
      <c r="F942" s="7" t="inlineStr">
        <is>
          <t>“KBB Hastalarında Farklı Yapay Zekâ Modellerinin Tanı ve Tedavi Önerilerinin Değerlendirip Karşılaştırılması”</t>
        </is>
      </c>
    </row>
    <row r="943" ht="31.5" customHeight="1" s="221">
      <c r="F943" s="7" t="inlineStr">
        <is>
          <t>“Papiller Tiroid Kanserinin Tükürükteki Moleküler Belirteçler ile Tanısı”</t>
        </is>
      </c>
    </row>
    <row r="944" ht="47.25" customHeight="1" s="221">
      <c r="F944" s="7" t="inlineStr">
        <is>
          <t>"Diş Hekimliği Fakültesine Konsülte Edilen Hastalarda Konik Işınlı Bilgisayarlı Tomografi Endikasyonları ve Saptanan Bulgular"</t>
        </is>
      </c>
    </row>
    <row r="945" ht="47.25" customHeight="1" s="221">
      <c r="F945" s="7" t="inlineStr">
        <is>
          <t>"Kadınlarda Spor Türü ve Yaşın Alt Ekstremite de Mekanik Sertlik Üzerine Etkisi: İki Farklı Sıçrama Türü için Karşılaştırmalı Bir Analiz"</t>
        </is>
      </c>
    </row>
    <row r="946" ht="47.25" customHeight="1" s="221">
      <c r="F946" s="7" t="inlineStr">
        <is>
          <t>"Serum Triptaz Düzeyinin Mast Hücre İlişkili Hastalıklardaki Rolünün Retrospektif Olarak Değerlendirilmesi"</t>
        </is>
      </c>
    </row>
    <row r="947" ht="31.5" customHeight="1" s="221">
      <c r="F947" s="7" t="inlineStr">
        <is>
          <t>“Behçet Hastalarının Serum Nörofilaman Seviyelerinin Belirlenmesi”</t>
        </is>
      </c>
    </row>
    <row r="948" ht="31.5" customHeight="1" s="221">
      <c r="F948" s="7" t="inlineStr">
        <is>
          <t>“Topikal Ürünlerde Mikroyapı Benzerliğini Aydınlatmaya Yönelik In Vitro Permeasyon Çalışması”</t>
        </is>
      </c>
    </row>
    <row r="949" ht="47.25" customHeight="1" s="221">
      <c r="F949" s="7" t="inlineStr">
        <is>
          <t>“Bronkopulmoner Displazili Çocuklarda Solunum Fonksiyonlarının Değerlendirilmesinde İmpuls Osilometri ve Spirometrinin Karşılaştırılması”</t>
        </is>
      </c>
    </row>
    <row r="950" ht="31.5" customHeight="1" s="221">
      <c r="F950" s="7" t="inlineStr">
        <is>
          <t>“Metilmalonik Asidemi ve Propiyonik Asidemide Akut Metabolik Dekompanzasyonun Acil Tanı ve Tedavisi”</t>
        </is>
      </c>
    </row>
    <row r="951" ht="31.5" customHeight="1" s="221">
      <c r="F951" s="7" t="inlineStr">
        <is>
          <t>“Pediatrik Proksimal Humerus Kırıklarında Konservatif ve Cerrahi Tedavinin Uzun Dönem Sonuçları”</t>
        </is>
      </c>
    </row>
    <row r="952" ht="78.75" customHeight="1" s="221">
      <c r="F952" s="7" t="inlineStr">
        <is>
          <t>“Yeni Terapötiklerin ve Biyobelirteçlerin Keşfi İçin Metabolik Fonksiyon Bozukluğu ile İlişkili Steatotik Karaciğer Hastalığının (MASLD) Patobiyolojisinin Açığa Çıkarılması(UNMASK- EP PerMed Horizon 2020 Projesi)”</t>
        </is>
      </c>
    </row>
    <row r="953" ht="47.25" customHeight="1" s="221">
      <c r="F953" s="7" t="inlineStr">
        <is>
          <t>“Adölesan Nöromüsküler Kalça Displazisi için Asetabuloplasti ile Kombine Üçlü Pelvik Osteotominin Güvenliği ve Uygulanabilirliği"</t>
        </is>
      </c>
    </row>
    <row r="954" ht="47.25" customHeight="1" s="221">
      <c r="F954" s="7" t="inlineStr">
        <is>
          <t>“Polikistik Böbrek Hastalığı Olan Renal Transplant Alıcılarında Postoperatif Sağkalım ve Komplikasyonların Değerlendirilmesi''</t>
        </is>
      </c>
    </row>
    <row r="955" ht="31.5" customHeight="1" s="221">
      <c r="F955" s="7" t="inlineStr">
        <is>
          <t>“Jüvenil Sistemik Skleroz için Uluslararası Başlangıç Kohortu”</t>
        </is>
      </c>
    </row>
    <row r="956" ht="63" customHeight="1" s="221">
      <c r="F956" s="7" t="inlineStr">
        <is>
          <t>“Tiroid Kanserinde Metabolik Çeşitliliğin Açığa Çıkarılması: Fiber Tabanlı, İşaretsiz Orta Dalgaboylu Kızılötesi Optoakustik Prob Teknolojisinin Geliştirilmesi”</t>
        </is>
      </c>
    </row>
    <row r="957" ht="47.25" customHeight="1" s="221">
      <c r="F957" s="7" t="inlineStr">
        <is>
          <t>“Çocuk Kardiyoloji ÜnitesiTransvenöz Lead Çıkarılması Deneyimlerinin Retrospektif Değerlendirilmesi”</t>
        </is>
      </c>
    </row>
    <row r="958" ht="47.25" customHeight="1" s="221">
      <c r="F958" s="7" t="inlineStr">
        <is>
          <t>“Çocuk Acile Başvuran Kritik HastalardaHiperglisemi Sıklığı, Hastalıklara Göre Dağılımı ve Hasta Sonuçlarına Etkisi”</t>
        </is>
      </c>
    </row>
    <row r="959" ht="47.25" customHeight="1" s="221">
      <c r="F959" s="7" t="inlineStr">
        <is>
          <t>“Farklı Branşlardaki Erkek Sporcularda DXA ile Değerlendirilen Vücut Kompozisyonu İndekslerinin Karşılaştırılması”</t>
        </is>
      </c>
    </row>
    <row r="960" ht="31.5" customHeight="1" s="221">
      <c r="F960" s="7" t="inlineStr">
        <is>
          <t>“Melazma Hastalarında Vasküler Endotelyal Büyüme Faktörü Polimorfizminin Değerlendirilmesi”</t>
        </is>
      </c>
    </row>
    <row r="961" ht="31.5" customHeight="1" s="221">
      <c r="F961" s="7" t="inlineStr">
        <is>
          <t>“Platisma KasTranspozisyonunun Fonksiyonel ve Rekonstrüktif Kullanımı: Kadavra Çalışması”</t>
        </is>
      </c>
    </row>
    <row r="962" ht="47.25" customHeight="1" s="221">
      <c r="F962" s="7" t="inlineStr">
        <is>
          <t>“Doğumsal Brakiyal Pleksus Yaralanmalarında Önkol Cerrahi Sonrası Fonksiyonel Başarıyı Etkileyen Radyolojik Parametreler: Radius Anatomisinin Rolü”</t>
        </is>
      </c>
    </row>
    <row r="963" ht="47.25" customHeight="1" s="221">
      <c r="F963" s="7" t="inlineStr">
        <is>
          <t>“Gerçek Yaşam Verileriyle Romatoid Artritli Hastalarda Hedefe Yönelik Tedavi Zamanlaması ve Diz-Kalça Protez Cerrahisi İlişkisi”</t>
        </is>
      </c>
    </row>
    <row r="964" ht="63" customHeight="1" s="221">
      <c r="F964" s="7" t="inlineStr">
        <is>
          <t>“Kronik Böbrek Hastalığı İlişkili Bilişsel Bozukluk Patofizyolojisinin Radyolojik, Biyokimyasal ve Metabolomik Biyobelirteçler Işığında Karşılaştırmalı Bir Sistem Biyolojisi Analizi”</t>
        </is>
      </c>
    </row>
    <row r="965" ht="47.25" customHeight="1" s="221">
      <c r="F965" s="7" t="inlineStr">
        <is>
          <t>“Şeffaf Plak Tedavilerinde Kullanılan Ataşmanların Bağlanma ve Uzaklaştırılma Yöntemlerinin Diş Rengi Üzerine Etkileri”</t>
        </is>
      </c>
    </row>
    <row r="966" ht="63" customHeight="1" s="221">
      <c r="F966" s="7" t="inlineStr">
        <is>
          <t>“Ottawa Kriz Kaynak Yönetimi Küresel Değerlendirme Ölçeği ve Ottawa Kriz Kaynak Yönetimi Becerileri Kontrol Listesinin Türkçeye Uyarlanması”</t>
        </is>
      </c>
    </row>
    <row r="967" ht="31.5" customHeight="1" s="221">
      <c r="F967" s="7" t="inlineStr">
        <is>
          <t>“Polimiksin Nefrotoksisitesi için Makine Öğrenme Tabanlı Prediktif Skor Geliştirilmesi”</t>
        </is>
      </c>
    </row>
    <row r="968" ht="31.5" customHeight="1" s="221">
      <c r="F968" s="7" t="inlineStr">
        <is>
          <t>“Antrenman Maskesi ile Uygulanan Dar Alan Oyunlarına Verilen İç ve Dış Yük Yanıtlar"</t>
        </is>
      </c>
    </row>
    <row r="969" ht="31.5" customHeight="1" s="221">
      <c r="F969" s="7" t="inlineStr">
        <is>
          <t>“Yorgunluğun Farklı Açısal Hızlarda Alt Ekstremite İzokinetik Kas Kuvvet Çıktıları Üzerine Etkisi”</t>
        </is>
      </c>
    </row>
    <row r="970" ht="63" customHeight="1" s="221">
      <c r="F970" s="7" t="inlineStr">
        <is>
          <t>“İç Hastalıkları Servislerinde Yatan ve Eksizyonel Lenf Nodu Biyopsisi Yapılan Hastaların Klinik, Laboratuvar ve Radyolojik Görüntülemelerinin Tanı Süreci ile İlişkili Analizi ve Prediktörlerin Belirlenmesi”</t>
        </is>
      </c>
    </row>
    <row r="971" ht="31.5" customHeight="1" s="221">
      <c r="F971" s="7" t="inlineStr">
        <is>
          <t>“Os Parietale Kalınlığının Bölgesel Değişkenliğinin Analizi ve Klinik Önemi”</t>
        </is>
      </c>
    </row>
    <row r="972" ht="63" customHeight="1" s="221">
      <c r="F972" s="7" t="inlineStr">
        <is>
          <t>“Hacettepe Üniversitesi Hastanesinde Solid Tümörlü Kanser Hastalarının Tedaviye Ulaşmak İçin Geçirdikleri Sürenin ve Zaman Toksisitesinin Değerlendirilmesi”</t>
        </is>
      </c>
    </row>
    <row r="973" ht="47.25" customHeight="1" s="221">
      <c r="F973" s="7" t="inlineStr">
        <is>
          <t>“İntihar Davranışı Ayrımı: Ası Vakalarında Proteomik Analiz ve İmmünflöresan İnceleme ile Nörobiyolojik Belirteç Belirlenmesi”</t>
        </is>
      </c>
    </row>
    <row r="974" ht="47.25" customHeight="1" s="221">
      <c r="F974" s="7" t="inlineStr">
        <is>
          <t>“Hücresizleştirilmiş İnsan Amniyotik Membran Temelli Küçük Çaplı Vasküler Greft Geliştirilmesi ve Cerrahi Anastomoz Uygulamalarında Değerlendirilmesi”</t>
        </is>
      </c>
    </row>
    <row r="975" ht="47.25" customHeight="1" s="221">
      <c r="F975" s="7" t="inlineStr">
        <is>
          <t>“Farklı Elektrikli Testere Sistemlerinin Cerrahi Verimlilik, Termal Etki ve Kullanıcı Deneyimi Açısından Kemik Modelinde Karşılaştırılması”</t>
        </is>
      </c>
    </row>
    <row r="976" ht="47.25" customHeight="1" s="221">
      <c r="F976" s="7" t="inlineStr">
        <is>
          <t>“İlaca Dirençli Ekstratemporal Lob Epilepsisi Cerrahisi Geçiren Hastalarda Cerrahi Sonuçlar ve Prognozu Etkileyen Faktörlerin Retrospektif Analizi”</t>
        </is>
      </c>
    </row>
    <row r="977" ht="63" customHeight="1" s="221">
      <c r="F977" s="7" t="inlineStr">
        <is>
          <t>“Matematik ve Türkçe Derslerinde Kullanılan Fiziksel Aktivite Tabanlı Aktif ve Pasif Zihin Molalarının Akademik Başarı, Bilişsel İşlevler, Fiziksel Aktivite Düzeyi ve Sınıf İçi Davranışlar Üzerindeki Etkisi”</t>
        </is>
      </c>
    </row>
    <row r="978" ht="94.5" customHeight="1" s="221">
      <c r="F978" s="7" t="inlineStr">
        <is>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is>
      </c>
    </row>
    <row r="979" ht="47.25" customHeight="1" s="221">
      <c r="F979" s="7" t="inlineStr">
        <is>
          <t>“Komplikasyonların Azaltılmasında Distraksiyon Tabanlı Büyüme Dostu Teknikler İçin Uygun Cerrahi Yaş”</t>
        </is>
      </c>
    </row>
    <row r="980" ht="63" customHeight="1" s="221">
      <c r="F980" s="7" t="inlineStr">
        <is>
          <t>“Meningomiyesel ve Diğer Nöromusküler Erken Başlangıçlı Skolyozlarda Büyüyen Rod Tedavisini Tekiben Uygulanan Definitif Cerrahinin Klinik ve Radyolojik Sonuçlarının Karşılaştırılması”</t>
        </is>
      </c>
    </row>
    <row r="981">
      <c r="F981" s="7" t="inlineStr">
        <is>
          <t>“Vulva Kanseri ve HER-2 İlişkisi”</t>
        </is>
      </c>
    </row>
    <row r="982" ht="47.25" customHeight="1" s="221">
      <c r="F982" s="7" t="inlineStr">
        <is>
          <t>“Artan Renal Klirensi Olan Hastalarda Meropenem Kan Düzeylerinin Retrospektif Olarak Değerlendirilmesi”</t>
        </is>
      </c>
    </row>
    <row r="983" ht="47.25" customHeight="1" s="221">
      <c r="F983" s="7" t="inlineStr">
        <is>
          <t>“Kanserli Hastalarda Serum Albumin-Kreatin Oranının Sağkalım ve Progresyonsu Sağkalım ile İlişkisinin Araştırılması”</t>
        </is>
      </c>
    </row>
    <row r="984" ht="47.25" customHeight="1" s="221">
      <c r="F984" s="7" t="inlineStr">
        <is>
          <t>“Biyopsi ile Tanımlanmış Lakrimal Bez Patolojilerine Sahip Hastaların Demografik ve Klinik Özelliklerinin Belirlenmesi”</t>
        </is>
      </c>
    </row>
    <row r="985" ht="63" customHeight="1" s="221">
      <c r="F985" s="7" t="inlineStr">
        <is>
          <t>“REM Uyku Davranış Bozukluğunun Prodromal, İdiopatik ve Sekonder Alt Tiplerinde Klinik, Polisomnografik Özellikler ve Tedavi Yanıtlarının Karşılaştırılması”</t>
        </is>
      </c>
    </row>
    <row r="986" ht="63" customHeight="1" s="221">
      <c r="F986" s="7" t="inlineStr">
        <is>
          <t>“Hipokampal Sklerozlu Mezial Temporal Lob Epilepsisinde Skalp EEG’de İktal Yayılım Özelliklerinin Cerrahi Sonrası Prognozu Öngörmede Rolü: Retrospektif Bir Analiz”</t>
        </is>
      </c>
    </row>
    <row r="987" ht="47.25" customHeight="1" s="221">
      <c r="F987" s="7" t="inlineStr">
        <is>
          <t>“Kronik Çok İlaca Dirençli Pseudomonas Aeruginosa Enfeksiyonu Olan Kistik Fibrozisli Çocuk Hastalarımızın Retrospektif Değerlendirilmesi</t>
        </is>
      </c>
    </row>
    <row r="988" ht="47.25" customHeight="1" s="221">
      <c r="F988" s="7" t="inlineStr">
        <is>
          <t>“Hemoptizi Sebebiyle Fleksible Fiberoptik Bronkoskopi Yaptiğimiz Çocuk Hastalarımızın Retrospektif Değerlendirilmesi”</t>
        </is>
      </c>
    </row>
    <row r="989" ht="31.5" customHeight="1" s="221">
      <c r="F989" s="7" t="inlineStr">
        <is>
          <t>“Pediyatrik Orbital Rabdomyosarkomun Görüntüleme Bulguları”</t>
        </is>
      </c>
    </row>
    <row r="990" ht="47.25" customHeight="1" s="221">
      <c r="F990" s="7" t="inlineStr">
        <is>
          <t>“Sanal Cerrahi Planlamanın Kişiye Özel Plak ve Geleneksel Miniplak Fiksasyonu Yapılmış Hastalardaki Doğruluğunun İncelenmesi”</t>
        </is>
      </c>
    </row>
    <row r="991" ht="63" customHeight="1" s="221">
      <c r="F991" s="7" t="inlineStr">
        <is>
          <t>“.Huzurevinde Yaşayan Yaşlı Bireylerin Ağız Sağlığı Durumu ile Bakımevi Personelinin Ağız Sağlığına Yönelik Bilgi Düzeyi Arasındaki İlişkinin Değerlendirilmesi.”</t>
        </is>
      </c>
    </row>
    <row r="992" ht="47.25" customHeight="1" s="221">
      <c r="F992" s="7" t="inlineStr">
        <is>
          <t>“İdiyopatik Jeneralize Epilepside Klinik ve Tanısal Özelliklerin Saptanması ve Tedavi Sonuçlarıyla İlişkisinin Retrospektif Olarak Değerlendirilmesi”</t>
        </is>
      </c>
    </row>
    <row r="993" ht="31.5" customHeight="1" s="221">
      <c r="F993" s="7" t="inlineStr">
        <is>
          <t>“Çevresel Sensör Reseptör Uyarımı ile Koşullandırılmış İnflamasyon Baskılayıcı”</t>
        </is>
      </c>
    </row>
    <row r="994" ht="47.25" customHeight="1" s="221">
      <c r="F994" s="7" t="inlineStr">
        <is>
          <t>“Evre 3 ve 4 Kronik Böbrek Hastalarında Hastalık Farkındalık Ölçeği Geliştirilmesi: Ekolojik Model Temelli Bir Yaklaşım”</t>
        </is>
      </c>
    </row>
    <row r="995" ht="31.5" customHeight="1" s="221">
      <c r="F995" s="7" t="inlineStr">
        <is>
          <t>“Kolorektal Kanserli Hastaların Klinopatolojik Özellikleri”</t>
        </is>
      </c>
    </row>
    <row r="996" ht="31.5" customHeight="1" s="221">
      <c r="F996" s="7" t="inlineStr">
        <is>
          <t>“Kronik Granülomatoz Hastalık Tanılı Çocukların Akciğer Bulgularının Değerlendirilmesi”</t>
        </is>
      </c>
    </row>
    <row r="997" ht="47.25" customHeight="1" s="221">
      <c r="F997" s="7" t="inlineStr">
        <is>
          <t>“Diyabet Tarama Test İstemlerinin Kanıta Dayalı Eğitim Müdahaleleri ile Rasyonel Kullanımının Arttırılması: Kalite Geliştirme Çalışması”</t>
        </is>
      </c>
    </row>
    <row r="998" ht="31.5" customHeight="1" s="221">
      <c r="F998" s="7" t="inlineStr">
        <is>
          <t>“Eczacılıkta Uzmanlık Sınavı Başarısı Açısından Yapay Zeka Tabanlı Büyük Dil Modellerinin Karşılaştırması”</t>
        </is>
      </c>
    </row>
    <row r="999" ht="47.25" customHeight="1" s="221">
      <c r="F999" s="7" t="inlineStr">
        <is>
          <t>“HIV ile Yaşayan Kişilerde HIV Viral Yükün ve İmmünolojik Parametrelerin Quantiferon-TB Gold Plus Testi Sonucuna Etkisi”</t>
        </is>
      </c>
    </row>
    <row r="1000" ht="47.25" customHeight="1" s="221">
      <c r="F1000" s="7" t="inlineStr">
        <is>
          <t>“40 Yaş ve Üstü HIV Pozitif Bireylerde Kırılganlık Riskinin Tahmini ve Dijital Risk Değerlendirmede Web R Shiny Uygulaması”</t>
        </is>
      </c>
    </row>
    <row r="1001" ht="63" customHeight="1" s="221">
      <c r="F1001" s="7" t="inlineStr">
        <is>
          <t>“İmmunoglobulin-E Aracılı Besin Alerjisi Tanılı Hastalarda Besin Yükleme Testinde Pozitif Reaksiyon Gelişen Eşik Değeri Öngörmek Amacıyla Kullanılabilecek Faktörlerin Belirlenmesi”</t>
        </is>
      </c>
    </row>
    <row r="1002" ht="31.5" customHeight="1" s="221">
      <c r="F1002" s="7" t="inlineStr">
        <is>
          <t>“Balık İlişkili Besin Proteininin İndüklediği Enterokolit Sendromunda İlk Provakasyon Zamanının Belirlenmesi”</t>
        </is>
      </c>
    </row>
    <row r="1003" ht="31.5" customHeight="1" s="221">
      <c r="F1003" s="7" t="inlineStr">
        <is>
          <t>“L-Sitrülin Malat Takviyesinin Dövüş Sporcularında Aerobik Egzersiz Performansı Üzerine Etkisi”</t>
        </is>
      </c>
    </row>
    <row r="1004" ht="31.5" customHeight="1" s="221">
      <c r="F1004" s="7" t="inlineStr">
        <is>
          <t>“Fibrodisplazi Ossifikans Progressiva Tanılı Hastaların Klinik ve Moleküler Özelliklerinin Gözden Geçirilmesi”</t>
        </is>
      </c>
    </row>
    <row r="1005" ht="63" customHeight="1" s="221">
      <c r="F1005" s="7" t="inlineStr">
        <is>
          <t>“İmmün Kontrol Noktası İnhibitörü Alan Kanser Hastalarında Vücut Kompozisyonu, Psikososyal Faktörler ve İlaç İlişkili Sorunların Klinik Seyirle İlişkisinin Değerlendirilmesi”</t>
        </is>
      </c>
    </row>
    <row r="1006" ht="47.25" customHeight="1" s="221">
      <c r="F1006" s="7" t="inlineStr">
        <is>
          <t>“Oral Bakteri Kaynaklı Ekstraselüler Veziküllerin İnsan Mikroçevre Hücreleri Üzerindeki Etkilerinin Araştırılması”</t>
        </is>
      </c>
    </row>
    <row r="1007" ht="63" customHeight="1" s="221">
      <c r="F1007" s="7" t="inlineStr">
        <is>
          <t>“Amyotrofik Lateral Skleroz Hastalarında trapez Kasına Uygulanan Repetetif Sinir Stimülasyonunun Tanısal Değerlendirilmesi: Kontrollü Prospektif Bir Çalışma”</t>
        </is>
      </c>
    </row>
    <row r="1008" ht="63" customHeight="1" s="221">
      <c r="F1008" s="7" t="inlineStr">
        <is>
          <t>“SOD1 Mutasyonu Taşıyan Amyotrofik Lateral Skleroz Hastalarında Kalp Hızı Değişkenliği ve Sempatik Deri Yanıtı ile Otonomik Disfonksiyonun Değerlendirilmesi”</t>
        </is>
      </c>
    </row>
    <row r="1009" ht="47.25" customHeight="1" s="221">
      <c r="F1009" s="7" t="inlineStr">
        <is>
          <t>“Susam Alerjisi Olan Çocuklarda Oral İmmünoterapi ve Besinden Kaçınma Yaklaşımlarının Yaşam Kalitesi Üzerine Etkileri”</t>
        </is>
      </c>
    </row>
    <row r="1010" ht="31.5" customHeight="1" s="221">
      <c r="F1010" s="7" t="inlineStr">
        <is>
          <t>“İdrar Kaçıran Kadınlarda Yapay Zeka Yardımlı Görüntüleme Analizi ile Tanı Süreçlerinin Geliştirilmesi”</t>
        </is>
      </c>
    </row>
    <row r="1011" ht="31.5" customHeight="1" s="221">
      <c r="F1011" s="7" t="inlineStr">
        <is>
          <t>“Astım Tanılı Çocuklarda Tedavi Edilebilir Özelliklerin İncelenmesi”</t>
        </is>
      </c>
    </row>
    <row r="1012" ht="47.25" customHeight="1" s="221">
      <c r="F1012" s="7" t="inlineStr">
        <is>
          <t>“Sedanter Davranışın Farklı Şiddette Egzersizlerle Kesintiye Uğratılmasının Postprandiyal Kardiyometabolik Etkileri”</t>
        </is>
      </c>
    </row>
    <row r="1013" ht="31.5" customHeight="1" s="221">
      <c r="F1013" s="7" t="inlineStr">
        <is>
          <t>“Polikistik Over Sendromu Tanılı Hastaların Endokrinolojik İzlemi ve Veri Tabanı Oluşturulması”</t>
        </is>
      </c>
    </row>
    <row r="1014" ht="47.25" customHeight="1" s="221">
      <c r="F1014" s="7" t="inlineStr">
        <is>
          <t>"Nörofibromatozis Tip1 İlişkili Pleksiform Nörofibromlarda Selümetinib Kullanımı: Hacettepe Deneyimi”</t>
        </is>
      </c>
    </row>
    <row r="1015" ht="31.5" customHeight="1" s="221">
      <c r="F1015" s="7" t="inlineStr">
        <is>
          <t>“Proksimal Tibia İntraartiküler Kırıklarının Retrospektif Analizi ve Tedavi Sonuçları”</t>
        </is>
      </c>
    </row>
    <row r="1016" ht="31.5" customHeight="1" s="221">
      <c r="F1016" s="7" t="inlineStr">
        <is>
          <t>“Graves Hastalarında Beslenme Alışkanlıkları ve Vücut Kompozisyonunun İncelenmesi”</t>
        </is>
      </c>
    </row>
    <row r="1017" ht="31.5" customHeight="1" s="221">
      <c r="F1017" s="7" t="inlineStr">
        <is>
          <t>“Sekonder İmmün Yetmezlik İçin Farkındalığın Değerlendirilmesi: Pediatri ve İmmünoloji Perspektifi”</t>
        </is>
      </c>
    </row>
    <row r="1018" ht="31.5" customHeight="1" s="221">
      <c r="F1018" s="7" t="inlineStr">
        <is>
          <t>“ALPACA Tanısı İle İzlenen Hastaların Değerlendirilmesi”</t>
        </is>
      </c>
    </row>
    <row r="1019" ht="31.5" customHeight="1" s="221">
      <c r="F1019" s="7" t="inlineStr">
        <is>
          <t>“Şeffaf Plak Kompozit Ataşmanlarının Renk Stabilitesi ve Diş Rengi Üzerine Etkileri”</t>
        </is>
      </c>
    </row>
    <row r="1020" ht="47.25" customHeight="1" s="221">
      <c r="F1020" s="7" t="inlineStr">
        <is>
          <t>“Hacettepe Üniversitesi Hastanesi Ameliyathanesinde Çalışan Cerrahlarda Kas İskelet Sistemi Problemlerinin Tespiti"</t>
        </is>
      </c>
    </row>
    <row r="1021" ht="47.25" customHeight="1" s="221">
      <c r="F1021" s="7" t="inlineStr">
        <is>
          <t>“Eozinofilik Gastrointestinal Hastalık Tanısı Alan Primer İmmün Yetmezlikli Hastaların Klinik ve Laboratuvar Özelliklerinin Değerlendirilmesi”</t>
        </is>
      </c>
    </row>
    <row r="1022" ht="47.25" customHeight="1" s="221">
      <c r="F1022" s="7" t="inlineStr">
        <is>
          <t>“Süt Azı Dişlerinde Fizyolojik ve Patolojik Rezorpsiyonun Derin Öğrenme ile Otomatik Sınıflandırılması”</t>
        </is>
      </c>
    </row>
    <row r="1023" ht="63" customHeight="1" s="221">
      <c r="F1023" s="7" t="inlineStr">
        <is>
          <t>“Tip 2 Diyabet Hastalarında Karar Verme Çatışması, Kronik Hastalık Bakım Değerlendirmesi, Diyabet Distresi ve Tedaviye Uyum Arasındaki İlişkilerin Değrlendirilmesi”</t>
        </is>
      </c>
    </row>
    <row r="1024" ht="47.25" customHeight="1" s="221">
      <c r="F1024" s="7" t="inlineStr">
        <is>
          <t>“LeFort 1 Cerrahisinde Maksillaya Yaptırılan Çeşitli Hareketlerin Dudak ve Burun Estetik Bölgelerindeki Etkilerinin İncelenmesi”</t>
        </is>
      </c>
    </row>
    <row r="1025" ht="47.25" customHeight="1" s="221">
      <c r="F1025" s="7" t="inlineStr">
        <is>
          <t>“Primer İmmün Yetmezlik Tanısı ile İzlenen Hastalarda Karaciğerde Gelişebilen Fokal Nodüler Hiperplazi Lezyonlarmin Değerlendirilmesi ”</t>
        </is>
      </c>
    </row>
    <row r="1026" ht="63" customHeight="1" s="221">
      <c r="F1026" s="7" t="inlineStr">
        <is>
          <t>“Kronik Tromboembolik Pulmoner Hipertansiyonun Tanisonda ve Tedavi Yanıtı Değerlendirmesinde Akciğer Ventilasyon/Perfüzyon Sintigrafisinin Prognostik Gücü”</t>
        </is>
      </c>
    </row>
    <row r="1027" ht="47.25" customHeight="1" s="221">
      <c r="F1027" s="7" t="inlineStr">
        <is>
          <t>“Axial ve Koronal Düzlemde Koklear Apertür Ölçümlerinin İnternal Akustik Kanal ve Koklear Sinir ile İlişkisi”</t>
        </is>
      </c>
    </row>
    <row r="1028" ht="47.25" customHeight="1" s="221">
      <c r="F1028" s="7" t="inlineStr">
        <is>
          <t>“Sigara Kullanan Erişkinlerin Sigaraya Ayırdıkları Bütçeye Dair Farkındalıklarının Sigara Bırakma Motivasyonlarıyla İlişkisi”</t>
        </is>
      </c>
    </row>
    <row r="1029" ht="63" customHeight="1" s="221">
      <c r="F1029" s="7" t="inlineStr">
        <is>
          <t>“Çene Kemiklerinde Multipl Miyeloma Bağlı Mikroyapısal Bozulmaların Kantitatif Analizi: Fraktal, Lakünerite ve Entropi Parametrelerinin Karşılaştırmalı İncelemesi”</t>
        </is>
      </c>
    </row>
    <row r="1030" ht="63" customHeight="1" s="221">
      <c r="F1030" s="7" t="inlineStr">
        <is>
          <t>"Ailesel Akdeniz Ateşi’nde MEFV Genotipine Göre Klinik Özelliklerin Karşılaştırılması: Homozigot, Heterozigot ve Klinik Önemi Bilinmeyen Varyant Taşıyıcıları"</t>
        </is>
      </c>
    </row>
    <row r="1031" ht="47.25" customHeight="1" s="221">
      <c r="F1031" s="7" t="inlineStr">
        <is>
          <t>"Çocukluk Çağı Kronik Non-Bakteriyel Osteomiyelit Hastalarında Tedaviye Yanıtlar ve Relapsı Öngören Faktörler"</t>
        </is>
      </c>
    </row>
    <row r="1032" ht="47.25" customHeight="1" s="221">
      <c r="F1032" s="7" t="inlineStr">
        <is>
          <t>“Tablet Tabanlı Mikroperimetri ile Yaşa Bağlı Makula Dejenerasyonunda Görme Keskinliği Değişiminin Ev Ortamında Saptanması”</t>
        </is>
      </c>
    </row>
    <row r="1033" ht="31.5" customHeight="1" s="221">
      <c r="F1033" s="7" t="inlineStr">
        <is>
          <t>“Humerus Şaft Kırıklarının Retrospektif Analizi ve Tedavi Sonuçları”</t>
        </is>
      </c>
    </row>
    <row r="1034" ht="47.25" customHeight="1" s="221">
      <c r="F1034" s="7" t="inlineStr">
        <is>
          <t>“Mitokondriyal Hastalık Tanılı Hastaların Semptom ve Bulgularının Mitokondriyal Hastalık Tanı Kriterleri ile Değerlendirilmesi”</t>
        </is>
      </c>
    </row>
    <row r="1035" ht="63" customHeight="1" s="221">
      <c r="F1035" s="7" t="inlineStr">
        <is>
          <t>“Kırım-Kongo Kanamalı Ateşinin Moleküler İmzalarının Ortaya Konması: mRNA, lncRNA, sRNA ve circRNA Profilleri Üzerine Transkriptomik ve Biyoinformatik Yaklaşım”</t>
        </is>
      </c>
    </row>
    <row r="1036" ht="31.5" customHeight="1" s="221">
      <c r="F1036" s="7" t="inlineStr">
        <is>
          <t>“Konjenital Kalp Hastalığı Nedeniyle Opere Edilen Yenidoğanlarda Mortaliteyi Etkileyen Klinik Faktörler”</t>
        </is>
      </c>
    </row>
    <row r="1037" ht="31.5" customHeight="1" s="221">
      <c r="F1037" s="7" t="inlineStr">
        <is>
          <t>“Pediatrik Cerrahi Hastalarında Postoperatif Ağrı Yönetimi Başarısının Değerlendirilmesi”</t>
        </is>
      </c>
    </row>
    <row r="1038" ht="63" customHeight="1" s="221">
      <c r="F1038" s="7" t="inlineStr">
        <is>
          <t>“Bilateral Sagital Split Ramus Osteotomisi ve Genioplasti ile Mandibulaya Yaptırılan Çeşitli Hareketlerin Dudak, Çene Ucu ve Angulus Estetik Bölgelerindeki Etkilerinin İncelenmesi”</t>
        </is>
      </c>
    </row>
    <row r="1039" ht="31.5" customHeight="1" s="221">
      <c r="F1039" s="7" t="inlineStr">
        <is>
          <t>“Üst Ekstremitede Ön Kondisyonlanma ile “Aktivasyon Sonrası Performans Artışı” mümkün mü?”</t>
        </is>
      </c>
    </row>
    <row r="1040" ht="63" customHeight="1" s="221">
      <c r="F1040" s="7" t="inlineStr">
        <is>
          <t>“Tüm Beyin Radyoterapisi Sırasında Hipokampüsün Dentat Girus ve Cornu Ammonis Bölgelerinin Korunduğu Hastalarda Nörokognitif Fonksiyon Durumunun Değerlendirilmesi”</t>
        </is>
      </c>
    </row>
    <row r="1041" ht="47.25" customHeight="1" s="221">
      <c r="F1041" s="7" t="inlineStr">
        <is>
          <t>“Tek Taraflı Dudak-Damak Yarıklı Dental Modellerde Farklı Ağız İçi Tarayıcıların Karşılaştırılması: İn-vitro Çalışma”</t>
        </is>
      </c>
    </row>
    <row r="1042" ht="31.5" customHeight="1" s="221">
      <c r="F1042" s="7" t="inlineStr">
        <is>
          <t>“Luminal A Meme Kanseri: Genç Yaşa Özgü Kötü Prognozun Moleküler Temelleri”</t>
        </is>
      </c>
    </row>
    <row r="1043" ht="63" customHeight="1" s="221">
      <c r="F1043" s="7" t="inlineStr">
        <is>
          <t>“Sol Dal Alan Uyarım Metodu ile İmplante Edilen Kardiyak Cihazların Hastalar Üzerideki Takip Verilerinin İncelenmesi ve Konvansiyonel Metodoloji ile Karşılaştırılması”</t>
        </is>
      </c>
    </row>
    <row r="1044" ht="47.25" customHeight="1" s="221">
      <c r="F1044" s="7" t="inlineStr">
        <is>
          <t>“Periferik Fasiyal Paralizili Hastalarda Kulak MRG Bulguları ve 3D-FLAIR Sekansın Tanıya Katkısının Araştırılması”</t>
        </is>
      </c>
    </row>
    <row r="1045" ht="31.5" customHeight="1" s="221">
      <c r="F1045" s="7" t="inlineStr">
        <is>
          <t>“İleri Derecede Kemik Kaybı Olan Lezyonlarda Oral Protozoa Varlığının Değerlendirilmesi”</t>
        </is>
      </c>
    </row>
    <row r="1046" ht="47.25" customHeight="1" s="221">
      <c r="F1046" s="7" t="inlineStr">
        <is>
          <t>“Pemfigus Vulgaris Hastalarında Rituksimab Tedavisinden Sonrası Relaps İle İlişkili Laboratuar ve Klinik Parametrelerin Araştırılması”</t>
        </is>
      </c>
    </row>
    <row r="1047" ht="31.5" customHeight="1" s="221">
      <c r="F1047" s="7" t="inlineStr">
        <is>
          <t>“PAX1 Gen Mutasyonunun Timus Gelişimi ve Fonksiyonu Üzerinde Etkilerinin Araştırılması”</t>
        </is>
      </c>
    </row>
    <row r="1048" ht="78.75" customHeight="1" s="221">
      <c r="F1048" s="7" t="inlineStr">
        <is>
          <t>“Mikozis Fungoides ve Ayırıcı Tanısına Giren Lezyonlarda TRPS1, RBC1, TOX ve PDCD1 Ekspresyonlarının Karşılaştırmalı Değerlendirilmesi: Tanısal Algoritma Geliştirmeye Yönelik Klinikopatolojik Yaklaşım”</t>
        </is>
      </c>
    </row>
    <row r="1049" ht="47.25" customHeight="1" s="221">
      <c r="F1049" s="7" t="inlineStr">
        <is>
          <t>“Başlangıç Yaşına Göre Atopik Dermatit Olgularının Klinik ve Laboratuvar Parametrelerinin Karşılaştırılması”</t>
        </is>
      </c>
    </row>
    <row r="1050" ht="31.5" customHeight="1" s="221">
      <c r="F1050" s="7" t="inlineStr">
        <is>
          <t>“Metastatik Kolorektal, Over ve Serviks Hastalarında Renal Sonlanımların Değerlendirilmesi”</t>
        </is>
      </c>
    </row>
    <row r="1051" ht="31.5" customHeight="1" s="221">
      <c r="F1051" s="7" t="inlineStr">
        <is>
          <t>“Pediyatrik Sarkomlarda Metabolik ve Radyomik Parametreler ile Prognostik Modelleme”</t>
        </is>
      </c>
    </row>
    <row r="1052" ht="47.25" customHeight="1" s="221">
      <c r="F1052" s="7" t="inlineStr">
        <is>
          <t>“Paraservikal Blok Uygulamasının Histeroskopi Sonrası Postoperatif Ağrı Üzerine Etkisi: Anket Çalışması”</t>
        </is>
      </c>
    </row>
    <row r="1053" ht="63" customHeight="1" s="221">
      <c r="F1053" s="7" t="inlineStr">
        <is>
          <t>“Jinekolojik Onkoloji Konsey Kararlarının Yapay Zekâ Destekli Kararlarla Karşılaştırılması: Over, Endometrium ve Serviks Kanseri Üzerine Retrospektif Bir Analiz”</t>
        </is>
      </c>
    </row>
    <row r="1054" ht="47.25" customHeight="1" s="221">
      <c r="F1054" s="7" t="inlineStr">
        <is>
          <t>“Nazal Dermoid Kistlere Multidisipliner Yaklaşım: Konjenital Vakaların Klinik, Görüntüleme ve Cerrahi Bulguları Üzerine Tek Merkezli Bir Analiz ”</t>
        </is>
      </c>
    </row>
    <row r="1055" ht="47.25" customHeight="1" s="221">
      <c r="F1055" s="7" t="inlineStr">
        <is>
          <t>''Besin Alerjili Çocuklarda Kazara Alerjen Maruziyeti: Sıklığı, Risk Faktörleri ve Yaşam Kalitesi Üzerindeki Etkileri''</t>
        </is>
      </c>
    </row>
    <row r="1056" ht="47.25" customHeight="1" s="221">
      <c r="F1056" s="7" t="inlineStr">
        <is>
          <t>“Manyetik Rezonans Görüntüleme ile Belirlenen Pankreas Yağlanmasının ERCP Sonrası Komplikasyonlarla İlişkisinin Değerlendirilmesi”</t>
        </is>
      </c>
    </row>
    <row r="1057" ht="47.25" customHeight="1" s="221">
      <c r="F1057" s="7" t="inlineStr">
        <is>
          <t>“Triküspid Kapak Cerrahisi Uygulanmış Hastalarda Bradikardi Tedavisinde Kalıcı Kalp Pilinin Koroner Sinüs Yoluyla Uygulanması”</t>
        </is>
      </c>
    </row>
    <row r="1058" ht="47.25" customHeight="1" s="221">
      <c r="F1058" s="7" t="inlineStr">
        <is>
          <t>“Kardiyak Bilgisayarlı Tomografi Anjiyografi Bulguları ile Koroner Arter Hastalığının Seyri ve Stent İçi Restenoz Arasındaki İlişkinin Degerlendirilmesi”</t>
        </is>
      </c>
    </row>
    <row r="1059" ht="63" customHeight="1" s="221">
      <c r="F1059" s="7" t="inlineStr">
        <is>
          <t>“Türkiye’de 2022–2024 Yılları Arasında Gerçekleştirilen Aile Hekimliği Uyum Eğitimlerinin Etkililiğinin Değerlendirilmesi: Ön Test ve Son Test Sonuçları Üzerinden Bir Analiz”</t>
        </is>
      </c>
    </row>
    <row r="1060" ht="31.5" customHeight="1" s="221">
      <c r="F1060" s="7" t="inlineStr">
        <is>
          <t>“Yüksek Enerjili Patlayıcılara Bağlı Gelişen İşitme Kayıplarının Adli Tıbbi Değerlendirilmesi”</t>
        </is>
      </c>
    </row>
    <row r="1061" ht="31.5" customHeight="1" s="221">
      <c r="F1061" s="7" t="inlineStr">
        <is>
          <t>“Travma İlişkili Venöz Tromboembolizm Olgularının Medikolegal Açıdan İncelenmesi”</t>
        </is>
      </c>
    </row>
    <row r="1062" ht="31.5" customHeight="1" s="221">
      <c r="F1062" s="7" t="inlineStr">
        <is>
          <t>“Santral Sinir Sistemi Lenfomalarında Sentinel Lezyonların Görüntüleme Bulguları ve Tanısal Önemi”</t>
        </is>
      </c>
    </row>
    <row r="1063" ht="47.25" customHeight="1" s="221">
      <c r="F1063" s="7" t="inlineStr">
        <is>
          <t>"Diş Hekimliği Lisans Eğitiminde Total Protez Konulu Açık Uçlu Sınav Sorularının Büyük Dil Modelleri ve Uzman Puanlamaları ile Karşılaştırılması.”</t>
        </is>
      </c>
    </row>
    <row r="1064" ht="31.5" customHeight="1" s="221">
      <c r="F1064" s="7" t="inlineStr">
        <is>
          <t>“Gastrointestinal Sistem İlişkili Ani Beklenmedik Ölümler: Retrospektif Otopsi Çalışması”</t>
        </is>
      </c>
    </row>
    <row r="1065" ht="31.5" customHeight="1" s="221">
      <c r="F1065" s="7" t="inlineStr">
        <is>
          <t>“Çocukluk ve Ergenlik Döneminde Gerçekleşen Doğal Olmayan Ölüm Olgularının Değerlendirilmesi”</t>
        </is>
      </c>
    </row>
    <row r="1066" ht="47.25" customHeight="1" s="221">
      <c r="F1066" s="7" t="inlineStr">
        <is>
          <t>“El Osteoartriti ve İnflamatuar Artritlerde Transarteriyel Periartiküler Embolizasyon: Teknik Uygulanabilirlik ve Klinik Sonuçları”</t>
        </is>
      </c>
    </row>
    <row r="1067" ht="31.5" customHeight="1" s="221">
      <c r="F1067" s="7" t="inlineStr">
        <is>
          <t>“Fankoni Anemisinde Büyüme Hormonu Eksikliği Olan Olguların Özelliklerinin İncelenmesi”</t>
        </is>
      </c>
    </row>
    <row r="1068" ht="31.5" customHeight="1" s="221">
      <c r="F1068" s="7" t="inlineStr">
        <is>
          <t>“Humerus'un Proksimal Kısmının Morfometrik Özelliklerinin Değerlendirilmesi ve Klinik Önemi"</t>
        </is>
      </c>
    </row>
    <row r="1069" ht="31.5" customHeight="1" s="221">
      <c r="F1069" s="7" t="inlineStr">
        <is>
          <t>“Matür T Hücreli Lenfomalarda INI-1 (SMARCB1) Ekspresyon Kaybının Değerlendirilmesi”</t>
        </is>
      </c>
    </row>
    <row r="1070" ht="31.5" customHeight="1" s="221">
      <c r="F1070" s="7" t="inlineStr">
        <is>
          <t>“Tip-1 Diyabeti Olan Çocuklarda Sağlıkta Baba Katılımı ve İlişkili Faktörler"</t>
        </is>
      </c>
    </row>
    <row r="1071" ht="47.25" customHeight="1" s="221">
      <c r="F1071" s="7" t="inlineStr">
        <is>
          <t>“Kronik Oklüzif İliofemoral Hastalıkta Rekanalizasyon: Endovasküler Tedavi Sonuçları ve Venöz Giriş Akımının Asendan Venografi ile Değerlendirilmesi”</t>
        </is>
      </c>
    </row>
    <row r="1072" ht="31.5" customHeight="1" s="221">
      <c r="F1072" s="7" t="inlineStr">
        <is>
          <t>“Down Sendromu Tanısı Almış Çocuk Hastaların Mandibula Kemik Yapısının Fraktal Analizi”</t>
        </is>
      </c>
    </row>
    <row r="1073" ht="31.5" customHeight="1" s="221">
      <c r="F1073" s="7" t="inlineStr">
        <is>
          <t>“DiGeorge Sendromu Tanısı Almış Çocuk Hastaların Mandibula Kemik Yapısının Fraktal Analizi”</t>
        </is>
      </c>
    </row>
    <row r="1074" ht="31.5" customHeight="1" s="221">
      <c r="F1074" s="7" t="inlineStr">
        <is>
          <t>“Disfonili Hastalarda Multidisipliner Ses Konseyi Kararları ile ChatGPT Yanıtlarının Karşılaştırılması”</t>
        </is>
      </c>
    </row>
    <row r="1075" ht="47.25" customHeight="1" s="221">
      <c r="F1075" s="7" t="inlineStr">
        <is>
          <t>“3D Modelleme ile Cerrahi Planlama'nın Sakral Nöromodülasyon Cerrahisine ve Başarıya Olan Katkısının Değerlendirilmesi”</t>
        </is>
      </c>
    </row>
    <row r="1076" ht="31.5" customHeight="1" s="221">
      <c r="F1076" s="7" t="inlineStr">
        <is>
          <t>"İmmünoterapi Alan Hastalarda Serum Vitamin D Düzeylerinin Prognostik Önemi "</t>
        </is>
      </c>
    </row>
    <row r="1077" ht="78.75" customHeight="1" s="221">
      <c r="F1077" s="7" t="inlineStr">
        <is>
          <t>“Ektopik Gebelik Tanısı Alan Hastalarda Metotreksat Tedavisinin mg/m2 veya mg/kg Dozuna Göre Uygulanıp Etkinliğin Değerlendirilmesi ve Cerrahi Müdahale Gerektiren Vakaları Retrospektif Olarak Belirlenmesi”</t>
        </is>
      </c>
    </row>
    <row r="1078" ht="31.5" customHeight="1" s="221">
      <c r="F1078" s="7" t="inlineStr">
        <is>
          <t>“Pediatrik Pankreas Cerrahisinde Postoperatif Komplikasyonlar: On Yılda Ne Öğrendik?”</t>
        </is>
      </c>
    </row>
    <row r="1079" ht="63" customHeight="1" s="221">
      <c r="F1079" s="7" t="inlineStr">
        <is>
          <t>“Transkateter Aort Kapak İmplantasyonu Yapılan Hastalarda Kapak Fonksiyonlarının, Kalıcı Pil İhtiyacı Prediktörlerinin, Periprosedürel Komplikasyonların ve Takip Verilerinin Retrospektif Değerlendirilmesi”</t>
        </is>
      </c>
    </row>
    <row r="1080" ht="31.5" customHeight="1" s="221">
      <c r="F1080" s="7" t="inlineStr">
        <is>
          <t>“Hipertrofik Kardiyomiyopati Tanılı Hastalarda Atriyal Fibrilasyon Ablasyonu Sonrası Klinik Sonlanımlar”</t>
        </is>
      </c>
    </row>
    <row r="1081" ht="31.5" customHeight="1" s="221">
      <c r="F1081" s="7" t="inlineStr">
        <is>
          <t>“Tropomiyozin ve Arjinin Kinaz Duyarlılıkları Arasındaki İlişkilerin İncelenmesi”</t>
        </is>
      </c>
    </row>
    <row r="1082" ht="47.25" customHeight="1" s="221">
      <c r="F1082" s="7" t="inlineStr">
        <is>
          <t>“CDK 4/6 İnhibitörü Kullanan Metastik Meme Kanseri Hastalarında Sağkalıma Etki Eden Faktörlerin Yapay Zeka Aracılığıy Belirlenmesi”</t>
        </is>
      </c>
    </row>
    <row r="1083" ht="47.25" customHeight="1" s="221">
      <c r="F1083" s="7" t="inlineStr">
        <is>
          <t>“Kas Ultrasonografisi ile Yapılan Kas Kütlesi Ölçümleri ile Geriatri Populasyonda Referans Kas Kütlesi Değerlerinin Belirlenmesi”</t>
        </is>
      </c>
    </row>
    <row r="1084" ht="47.25" customHeight="1" s="221">
      <c r="F1084" s="7" t="inlineStr">
        <is>
          <t>“Küçük Hücreli Dışı Akciğer Kanseri Tanılı Hastalarda Venöz Tromboembolizm Riskini Öngören Tahmin Modelinin Geliştirilmesi”</t>
        </is>
      </c>
    </row>
    <row r="1085" ht="31.5" customHeight="1" s="221">
      <c r="F1085" s="7" t="inlineStr">
        <is>
          <t>“Sistemik Otoinflamatuvar Hastalıklarda Üçüncü Nesil Dizileme ile Genetik Etiyolojinin Belirlenmesi”</t>
        </is>
      </c>
    </row>
    <row r="1086" ht="47.25" customHeight="1" s="221">
      <c r="F1086" s="7" t="inlineStr">
        <is>
          <t>“Yapay Zekanın Odontojenik Olmayan Ağrı Tanısındaki Başarısının Diş Hekimleri ile Karşılaştırılması: Senaryo Temelli Bir Veri Analizi”</t>
        </is>
      </c>
    </row>
    <row r="1087" ht="31.5" customHeight="1" s="221">
      <c r="F1087" s="7" t="inlineStr">
        <is>
          <t>“Şok Hastalarında Mikrodolaşım ve Makrodolaşımın Eş Zamanlı Değerlendirilmesi”</t>
        </is>
      </c>
    </row>
    <row r="1088" ht="31.5" customHeight="1" s="221">
      <c r="F1088" s="7" t="inlineStr">
        <is>
          <t>“Non-Metrik Kraniyal Özelliklerin Cinsiyet Ayrımında Makine Öğrenmesi ve Uzman Değerlendirmeleri”</t>
        </is>
      </c>
    </row>
    <row r="1089" ht="47.25" customHeight="1" s="221">
      <c r="F1089" s="7" t="inlineStr">
        <is>
          <t>"Anne ve Babaların Olumsuz Çocukluk Çağı Deneyimlerinin Erken Doğum Öyküsü Olan Çocukların Gelişimlerine Etkileri"</t>
        </is>
      </c>
    </row>
    <row r="1090" ht="31.5" customHeight="1" s="221">
      <c r="F1090" s="7" t="inlineStr">
        <is>
          <t>“Os Naviculare Cerrahi Fiksasyonu İçin İmplant Boyutlarının Optimizasyonu: Morfometrik Çalışma”</t>
        </is>
      </c>
    </row>
    <row r="1091" ht="63" customHeight="1" s="221">
      <c r="F1091" s="7" t="inlineStr">
        <is>
          <t>“Ağız Diş Ve Çene Cerrahisi Kliniğine Başvuran Hastaların Yapay Zeka Farkındalik Düzeyi İle Ağız Sağlığı ile İliskili Yaşam Kalitesi Arasındaki Korelasyonun Değerlendirilmesi”</t>
        </is>
      </c>
    </row>
    <row r="1092" ht="47.25" customHeight="1" s="221">
      <c r="F1092" s="7" t="inlineStr">
        <is>
          <t>“Kronik Obstrüktif Akciğer Hastalığı Tanılı İleri Yaş Hastalarda Anksiyete ve Depresyonun İnhaler Uyumuyla İlişkisinin İncelenmesi”</t>
        </is>
      </c>
    </row>
    <row r="1093" ht="47.25" customHeight="1" s="221">
      <c r="F1093" s="7" t="inlineStr">
        <is>
          <t>“Erişkin Kistik Fibrozis Hastalarında Modülatör Tedaviye Erişim Sürecinin Psikososyal ve Ekonomik Etkilerinin Değerlendirilmesi”</t>
        </is>
      </c>
    </row>
    <row r="1094" ht="47.25" customHeight="1" s="221">
      <c r="F1094" s="7" t="inlineStr">
        <is>
          <t>“Spinal Musküler Atrofi (SMA) Tip 1 ve 2 Hastalarında İntratekal Nusinersenin Ultrasonografi Eşliğinde Uygulanmasının Değerlendirilmesi”</t>
        </is>
      </c>
    </row>
    <row r="1095" ht="31.5" customHeight="1" s="221">
      <c r="F1095" s="7" t="inlineStr">
        <is>
          <t>“Metafizyel Displazi Olgularında Klinik Spektrumun ve Genetik Etiyolojinin İncelenmesi”</t>
        </is>
      </c>
    </row>
    <row r="1096" ht="47.25" customHeight="1" s="221">
      <c r="F1096" s="7" t="inlineStr">
        <is>
          <t>“Cerrahi Zorluğu Ölçmenin Yeni Yolu: VESPA skoru ile DIEP Fleplerde Anatomik Karmaşıklığın Sayısallaştırılması”</t>
        </is>
      </c>
    </row>
    <row r="1097" ht="31.5" customHeight="1" s="221">
      <c r="F1097" s="7" t="inlineStr">
        <is>
          <t>“Karaciğer Hastalıkları ile İlgili Stigmatizasyon Ölçeği Geliştirme Çalışması: Metodolojik Araştırma”</t>
        </is>
      </c>
    </row>
    <row r="1098" ht="31.5" customHeight="1" s="221">
      <c r="F1098" s="7" t="inlineStr">
        <is>
          <t>“SLC2943 Gen Defekti Olan Hastalarda Otofajinin İncelenmesi”</t>
        </is>
      </c>
    </row>
    <row r="1099" ht="47.25" customHeight="1" s="221">
      <c r="F1099" s="7" t="inlineStr">
        <is>
          <t>“Cerrahi veya Perkütan Yolla Atriyal Septal Defekt Kapatılan Hastalarda Atriyal Taşikardinin Kateter Ablasyonunun Sonlanım Noktalarının İncelenmesi”</t>
        </is>
      </c>
    </row>
    <row r="1100" ht="31.5" customHeight="1" s="221">
      <c r="F1100" s="7" t="inlineStr">
        <is>
          <t>“Bir Kamu Hastanesinin Acil Servisinde Yalın Yönetim Uygulaması”</t>
        </is>
      </c>
    </row>
    <row r="1101" ht="47.25" customHeight="1" s="221">
      <c r="F1101" s="7" t="inlineStr">
        <is>
          <t>“Ankara’da Bir İlçe Belediyesi Ana Hizmet Binasında Görev Yapan Belediye Çalışanlarının İklim Değişikliği Risk Algısının Değerlendirilmesi”</t>
        </is>
      </c>
    </row>
    <row r="1102" ht="47.25" customHeight="1" s="221">
      <c r="F1102" s="7" t="inlineStr">
        <is>
          <t>“Kalp Hastalığı Olan Çocukların Sağlık Durumları ile Ebeveynlerinin Yaşantılarının Uyum ve Mücadele Dinamiklerinin Nitel Analizi”</t>
        </is>
      </c>
    </row>
    <row r="1103" ht="31.5" customHeight="1" s="221">
      <c r="F1103" s="7" t="inlineStr">
        <is>
          <t>"Diferansiye Tiroid Kanserlerinde Tedavi Öncesi Kan Sonuçlarının Prognostik Değerlendirmesi"</t>
        </is>
      </c>
    </row>
    <row r="1104" ht="63" customHeight="1" s="221">
      <c r="F1104" s="7" t="inlineStr">
        <is>
          <t>“Hacettepe Üniversitesi Genel Dahiliye Polikliniğine Başvuran 40-65 Yaş Arası Bireylerde Kardiyovasküler Riskin Değerlendirilmesi ve Risk Farkındalığının İncelenmesi”</t>
        </is>
      </c>
    </row>
    <row r="1105" ht="47.25" customHeight="1" s="221">
      <c r="F1105" s="7" t="inlineStr">
        <is>
          <t>“Susam veya Kabuklu Ağaç Yemişi Alerjisi Olan Hastalarda Deri Prick Testi, Besin Spesifik IgE ve Dudak Teması Testine Dayalı Risk Skorlaması”</t>
        </is>
      </c>
    </row>
    <row r="1106" ht="31.5" customHeight="1" s="221">
      <c r="F1106" s="7" t="inlineStr">
        <is>
          <t>“Çocuk Acile Başvuran İdrar Toksikolojisi Gönderilen Ergenlerin Ergen Sağlığı İzlemi”</t>
        </is>
      </c>
    </row>
    <row r="1107" ht="47.25" customHeight="1" s="221">
      <c r="F1107" s="7" t="inlineStr">
        <is>
          <t>“Farklı Kök Kanal Dolgu Materyallerinin Devital Beyazlatma Sonrası Renk Stabilitesi ve Fraktür Direnci Üzerine Etkileri: Laboratuvar Çalışması”</t>
        </is>
      </c>
    </row>
    <row r="1108" ht="47.25" customHeight="1" s="221">
      <c r="F1108" s="7" t="inlineStr">
        <is>
          <t>“Bronkopulmoner Displazinin Erken Tanı ve Tedavi Sürecinin İzleminde Yapay Zeka Destekli Metabolomik Yaklaşımlar”</t>
        </is>
      </c>
    </row>
    <row r="1109" ht="47.25" customHeight="1" s="221">
      <c r="F1109" s="7" t="inlineStr">
        <is>
          <t>“Kök Kanal Dolgu Materyalleri ve İntraorifis Bariyer Materyali Etkileşiminin İntrakoronal Beyazlatma ve Kırılma Dayanımı Üzerindeki Etkisi: İn Vitro Çalışma”</t>
        </is>
      </c>
    </row>
    <row r="1110" ht="63" customHeight="1" s="221">
      <c r="F1110" s="7" t="inlineStr">
        <is>
          <t>“Atriyal Septal Defekt Tanısı Olan Pediatrik Hastalarda Demografik, Klinik ve Ekokardiyografik Bulguların Değerlendirilmesi ile İzlem Sürecinde Bu Parametrelerdeki Değişikliklerin Araştırılması”</t>
        </is>
      </c>
    </row>
    <row r="1111" ht="63" customHeight="1" s="221">
      <c r="F1111" s="7" t="inlineStr">
        <is>
          <t>“Glioblastoma Multiforme Hastalarında Venöz Tromboembolizm ve Hidrosefali Risk Faktörlerinin Anlaşılması ve Rekürren Cerrahi Sonrası Komplikasyonların Belirlenmesi”</t>
        </is>
      </c>
    </row>
    <row r="1112" ht="31.5" customHeight="1" s="221">
      <c r="F1112" s="7" t="inlineStr">
        <is>
          <t>“Çocukluk Başlangıçlı Monogenik Sendromik Obezitenin Erişkin Dönem Klinik Seyri”</t>
        </is>
      </c>
    </row>
    <row r="1113" ht="31.5" customHeight="1" s="221">
      <c r="F1113" s="7" t="inlineStr">
        <is>
          <t>“Rasgrp1 Mutasyonu Olan Hastaların Klinik ve Laboratuvar Özelliklerinin Değerlendirilmesi ”</t>
        </is>
      </c>
    </row>
    <row r="1114" ht="47.25" customHeight="1" s="221">
      <c r="F1114" s="7" t="inlineStr">
        <is>
          <t>“İnflamatuar Barsak Hastalıklarında Komplikasyon ve Tedavi Direncinin Retrospektif Veriler Üzerinden Büyük Dil Modeli (LLM) ile Değerlendirilmesi”</t>
        </is>
      </c>
    </row>
    <row r="1115" ht="47.25" customHeight="1" s="221">
      <c r="F1115" s="7" t="inlineStr">
        <is>
          <t>“IDH Mutant Düşük Gradeli Gliomların Cerrahi Tedavisi Sonrasıda Kullanılan Adjuvan Tedavi Modalitelirinin Karşılaştırılması”</t>
        </is>
      </c>
    </row>
    <row r="1116" ht="31.5" customHeight="1" s="221">
      <c r="F1116" s="7" t="inlineStr">
        <is>
          <t>“İskelet Siliyopatisi Hastalarında Ağız Sağlığı Durumu Değerlendirilmesi”</t>
        </is>
      </c>
    </row>
    <row r="1117" ht="47.25" customHeight="1" s="221">
      <c r="F1117" s="7" t="inlineStr">
        <is>
          <t>“Os Hyoideum Anatomik Değerlendirmesi: Şekil, Füzyon, Gövde Genişliği ve Bunların Birbirleriyle Olan İlişkileri, Basit Bir Sınıflandırma Önerisiyle”</t>
        </is>
      </c>
    </row>
    <row r="1118" ht="31.5" customHeight="1" s="221">
      <c r="F1118" s="7" t="inlineStr">
        <is>
          <t>“Klinefelter Sendromlu Hastalarda Klinik, Gelişimsel, Genetik ve Reprodüktif Özelliklerin Değerlendirilmesi”</t>
        </is>
      </c>
    </row>
    <row r="1119" ht="47.25" customHeight="1" s="221">
      <c r="F1119" s="7" t="inlineStr">
        <is>
          <t>“Geriatri Hekimlerinin Reçeteleme Kaskadı Hakkında Farkındalığı ve Yönetim Yaklaşımlarının Değerlendirilmesi: Ulusal Düzeyde Bir Çalışma”</t>
        </is>
      </c>
    </row>
    <row r="1120" ht="47.25" customHeight="1" s="221">
      <c r="F1120" s="7" t="inlineStr">
        <is>
          <t>“Çocuk Romatoloji Hastalarında Tümör Nekroz Faktör Alfa Blokör Tedavisinin Tiroid Fonksiyonu Üzerine Etkisinin Değerlendirilmesi”</t>
        </is>
      </c>
    </row>
    <row r="1121" ht="47.25" customHeight="1" s="221">
      <c r="F1121" s="7" t="inlineStr">
        <is>
          <t>Minimal İnvaziv Kardiyak Cerrahi Uygulanan Pediatrik Hastalarda Anestezi Yönetimi: Tek Merkezli Olgu Serisi-Bireysel Araştırma”</t>
        </is>
      </c>
    </row>
    <row r="1122" ht="31.5" customHeight="1" s="221">
      <c r="F1122" s="7" t="inlineStr">
        <is>
          <t>“Kritik Hastalarda Enteral Beslenme Hedeflerine Ulaşma Durumu ve Klinik Sonuçlarla İlişkisi”</t>
        </is>
      </c>
    </row>
    <row r="1123" ht="47.25" customHeight="1" s="221">
      <c r="F1123" s="7" t="inlineStr">
        <is>
          <t>“Mizofoninin Klinik Alt Türleri: Demografik Özellikler, Ruhsal ve Bedensel Ek Tanıların İki Aşamalı İncelenmesi”</t>
        </is>
      </c>
    </row>
    <row r="1124" ht="31.5" customHeight="1" s="221">
      <c r="F1124" s="7" t="inlineStr">
        <is>
          <t>“Bireysel Sodyum Sitrat Tüketiminin Kadın Futbolcularda Tekrarlı Sprint Performansına Etkisi”</t>
        </is>
      </c>
    </row>
    <row r="1125" ht="47.25" customHeight="1" s="221">
      <c r="F1125" s="7" t="inlineStr">
        <is>
          <t>“Radikal Prostatektomiye Bağlı Erektil Disfonksiyon ve Preoperatif Hasta Bilgilendirme Düzeyinin Değerlendirilmesi”</t>
        </is>
      </c>
    </row>
    <row r="1126" ht="47.25" customHeight="1" s="221">
      <c r="F1126" s="7" t="inlineStr">
        <is>
          <t>“Konjenital Kalp Hastalıkları Ameliyatlarından Sonra Gelişen Akut Böbrek Hasarına Etki Eden Faktörlerin İncelenmesi”</t>
        </is>
      </c>
    </row>
    <row r="1127" ht="63" customHeight="1" s="221">
      <c r="F1127" s="7" t="inlineStr">
        <is>
          <t>“Sanal Mentorluğun Dinamiklerini Keşfetmek: WONCA Araştırma Çalışma Grubu Programındaki Engeller, Kolaylaştırıcılar ve Mentor ve Danışanların Beklentileri Üzerine Betimleyici Bir Çalışma”</t>
        </is>
      </c>
    </row>
    <row r="1128" ht="63" customHeight="1" s="221">
      <c r="F1128" s="7" t="inlineStr">
        <is>
          <t>“Akromegali ve Prolaktinoma Hastalarında Hepsidin, Eritroferron, Eritropoietin, Soluble Transferrin Reseptör ve Fibroblast Growth Faktör-23 Düzeyleri İle Hematolojik Parametrelerin İlişkisi”</t>
        </is>
      </c>
    </row>
    <row r="1129" ht="47.25" customHeight="1" s="221">
      <c r="F1129" s="7" t="inlineStr">
        <is>
          <t>“Şeffaf Plak Ataşmanlarında Kullanılan Kompozit Rezinin Renklendirme Ajanı Uygulanması Sonrası Dayanıklılık ve Yüzey Özelliklerinin Karşılaştırılması”</t>
        </is>
      </c>
    </row>
    <row r="1130" ht="78.75" customHeight="1" s="221">
      <c r="F1130" s="7" t="inlineStr">
        <is>
          <t>“Multipl Skleroz (MS) Tanılı Hastalarda MS Mesane Kontrol Aracı Kullanılarak Alt Üriner Sistem Semptomlarının Ön Değerlendirmesi ve Fonksiyonel Üroloji Polikliniğine Yönlendirme Kriterlerinin Belirlenmesi”</t>
        </is>
      </c>
    </row>
    <row r="1131" ht="63" customHeight="1" s="221">
      <c r="F1131" s="7" t="inlineStr">
        <is>
          <t>“Antenatal Kortikosteroid Uygulanan Fetüslerde Fetal Pulmoner Ven Dopplerinin Longitudinal İzlemi ve Perinatal Sonuçlarla İlişkisi: Prospektif Kohort Çalışması”</t>
        </is>
      </c>
    </row>
    <row r="1132" ht="31.5" customHeight="1" s="221">
      <c r="F1132" s="7" t="inlineStr">
        <is>
          <t>“Tip 1 Interferonopati Tanılı Pediatrik Hastalarda Klinik ve Laboratuvar Bulguların Degerlendirilmesi”</t>
        </is>
      </c>
    </row>
    <row r="1133" ht="31.5" customHeight="1" s="221">
      <c r="F1133" s="7" t="inlineStr">
        <is>
          <t>“Türkiye'de Dudak ve Damak Yarıklarının Epidemiyoloji”</t>
        </is>
      </c>
    </row>
    <row r="1134" ht="47.25" customHeight="1" s="221">
      <c r="F1134" s="7" t="inlineStr">
        <is>
          <t>“Nadir Bir Over Tümörü: Ovaryen Fibrosarkom ve Mitotik Aktif Fibrom Olgularının Klinikopatolojik İncelemesi”</t>
        </is>
      </c>
    </row>
    <row r="1135" ht="31.5" customHeight="1" s="221">
      <c r="F1135" s="7" t="inlineStr">
        <is>
          <t>“Adneksiyel Torsiyon Tanısında Manyetik Rezonans Görüntülemenin Yeri”</t>
        </is>
      </c>
    </row>
    <row r="1136" ht="47.25" customHeight="1" s="221">
      <c r="F1136" s="7" t="inlineStr">
        <is>
          <t>“Patient Enablement Instrument (PEI)” Hasta Yetkilendirme Ölçeğinin Türkçe Geçerlilik ve Güvenilirlik Çalışması”</t>
        </is>
      </c>
    </row>
    <row r="1137" ht="47.25" customHeight="1" s="221">
      <c r="F1137" s="7" t="inlineStr">
        <is>
          <t>“Primer Atopik Hastalıklarda Yardımcı T Hücre 2 Yanıtının Multiomik Yaklaşımla Ayrıntılı Olarak Değerlendirilmesi”</t>
        </is>
      </c>
    </row>
    <row r="1138" ht="47.25" customHeight="1" s="221">
      <c r="F1138" s="7" t="inlineStr">
        <is>
          <t>“Monogenik Obezite ile İlişkili Varyant Saptanmış Erken Başlangıçlı Ciddi Obezitesi Olan Çocuklarda Klinik Ayırıcı Özelliklerin Belirlenmesi”</t>
        </is>
      </c>
    </row>
    <row r="1139" ht="47.25" customHeight="1" s="221">
      <c r="F1139" s="7" t="inlineStr">
        <is>
          <t>“Sağır ve İşitme Yetersizliği Olan Bireylerin Sağlıkla İlgili Bilgi Gereksinimlerini Karşılamaya Yönelik Görsel ve İşitsel Medya İçeriklerinin Geliştirilmesi Projesi”</t>
        </is>
      </c>
    </row>
    <row r="1140" ht="63" customHeight="1" s="221">
      <c r="F1140" s="7" t="inlineStr">
        <is>
          <t>“Üroloji Aalnında Çalışan Erkek Sağlık Profesyonellerinde Oturarak ve Ayakta İşeme Pozisyonlarının Üroflovmetrik Parametrelere Etkisinin Değerlendirilmesi”</t>
        </is>
      </c>
    </row>
    <row r="1141" ht="47.25" customHeight="1" s="221">
      <c r="F1141" s="7" t="inlineStr">
        <is>
          <t>“Kronik Obstrüktif Akciğer Hastalığının Oküler Mikrovasküler ParametrelerÜzerine Etkilerinin Değerlendirilmesi”</t>
        </is>
      </c>
    </row>
    <row r="1142" ht="47.25" customHeight="1" s="221">
      <c r="F1142" s="7" t="inlineStr">
        <is>
          <t>“Hepatosellüler Karsinom Tanılı Hastalarda Küratif Tedavi Al(a)mamasına Rağmen Uzun Süre Sağkalım Sağlanabilmiş Hastaların Klinik Özellikleri”</t>
        </is>
      </c>
    </row>
    <row r="1143" ht="47.25" customHeight="1" s="221">
      <c r="F1143" s="7" t="inlineStr">
        <is>
          <t>“Çocukluk Çağında Tanı Alan Adrenokortikal Tümörlerde Mitotan Kullanımının Endokrin Yan Etkilerinin İncelenmesi”</t>
        </is>
      </c>
    </row>
    <row r="1144" ht="47.25" customHeight="1" s="221">
      <c r="F1144" s="7" t="inlineStr">
        <is>
          <t>“Hastanede Yatan ve Nütrisyon Tedavisi alan Hastalarda Aspirasyon Pnömonisi ile İlişkili Faktörler: Retrospektif Kohort Çalışması”</t>
        </is>
      </c>
    </row>
    <row r="1145" ht="47.25" customHeight="1" s="221">
      <c r="F1145" s="7" t="inlineStr">
        <is>
          <t>“Pediatrik AdrenokortikalTümörler İçin Avrupa-Çapında Araştırma İnisiyatifi-Hastalığı Kavrama ve Tedavi Sonuçlarını Geliştirme”</t>
        </is>
      </c>
    </row>
    <row r="1146" ht="63" customHeight="1" s="221">
      <c r="F1146" s="7" t="inlineStr">
        <is>
          <t>“Nükleer Tıp Görüntüleme Yöntemleri ile Saptanan İnsidental Papiller Tiroid Mikrokarsinomlarının Klinikopatolojik Özelliklerinin Diğer Saptanma Yöntemleriyle Karşılaştırıması”</t>
        </is>
      </c>
    </row>
    <row r="1147" ht="31.5" customHeight="1" s="221">
      <c r="F1147" s="7" t="inlineStr">
        <is>
          <t>“Alerjik Çocuklarda Bileşene Dayalı Moleküler Test ile Alerjene Özgü IgE Duyarlılık Profilinin İncelenmesi”</t>
        </is>
      </c>
    </row>
    <row r="1148" ht="78.75" customHeight="1" s="221">
      <c r="F1148" s="7" t="inlineStr">
        <is>
          <t>“Sonografik Sol Ventrikül Çıkış Yolu Hız Zaman İntegrali Değerlendirmesi ile Hesaplanan Kalp Debisinin Akut Kalp Yetmezliği Tedavisinde Diüretik Direnci Göstergesi Olan Spot İdrar Sodyumu Ölçümü ile İlişkisinin İncelenmesi”</t>
        </is>
      </c>
    </row>
    <row r="1149" ht="63" customHeight="1" s="221">
      <c r="F1149" s="7" t="inlineStr">
        <is>
          <t>“Akut İskemik İnme Hastalarında “Genel Obezite”, “Santral Obezite” ve “Adipozite” İndekslerinin İnme Fenotipi, Aterosklerotik Arter Hastalıkları ve Prognoza Etkisi: Prospektif Çalışma”</t>
        </is>
      </c>
    </row>
    <row r="1150" ht="78.75" customHeight="1" s="221">
      <c r="F1150" s="7" t="inlineStr">
        <is>
          <t>“1 Ocak 2016 - 31 Temmuz 2024 Yılları Arasında Doğum Yapmış Çoğul Gebeliği Olan Hastalarda; Gebeliklerinin Spontan ve Yardımcı Üreme Teknikleri Sonrası Gelişmesi Durumuna Göre Prenatal ve Postnatal Sonuçlarının Değerlendirilmesi”</t>
        </is>
      </c>
    </row>
    <row r="1151" ht="31.5" customHeight="1" s="221">
      <c r="F1151" s="7" t="inlineStr">
        <is>
          <t>“Çocukluk Çağı Malign Karaciğer Tümörlü Hastalarının Retrospektif Analizi”</t>
        </is>
      </c>
    </row>
    <row r="1152" ht="31.5" customHeight="1" s="221">
      <c r="F1152" s="7" t="inlineStr">
        <is>
          <t>“IgE Aracılı Kabak Çekirdeği Alerjisinin Moleküler Karakterizasyonu”</t>
        </is>
      </c>
    </row>
    <row r="1153" ht="47.25" customHeight="1" s="221">
      <c r="F1153" s="7" t="inlineStr">
        <is>
          <t>“Atriyal Fibrilasyon Ablasyonu Planlanan Hastalarda Sol Atriyal Apendikste Trombüs Oluşumunun Öngorülmesi”</t>
        </is>
      </c>
    </row>
    <row r="1154" ht="63" customHeight="1" s="221">
      <c r="F1154" s="7" t="inlineStr">
        <is>
          <t>“Madde Kullanım Bozukluğu Hastalarında Yaygın Tek Nükleotid Polimorfizmlerinin Sıklığının Belirlenmesi ve Bunların Madde Kullanımını Yordayan Alt Özelliklerle İlişkileri”</t>
        </is>
      </c>
    </row>
    <row r="1155" ht="31.5" customHeight="1" s="221">
      <c r="F1155" s="7" t="inlineStr">
        <is>
          <t>“Koklear Hipoplazili Hastalarda Fasiyal Sinir Seyrinin Değerlendirilmesi”</t>
        </is>
      </c>
    </row>
    <row r="1156" ht="31.5" customHeight="1" s="221">
      <c r="F1156" s="7" t="inlineStr">
        <is>
          <t>“Çocuklarda Mantar Duyarlılık Profili ve Klinik ile İlişkisi”</t>
        </is>
      </c>
    </row>
    <row r="1157">
      <c r="F1157" s="7" t="inlineStr">
        <is>
          <t>“Molibden Kofaktor Eksikligi-Tek Merkez Deneyimi”</t>
        </is>
      </c>
    </row>
    <row r="1158" ht="31.5" customHeight="1" s="221">
      <c r="F1158" s="7" t="inlineStr">
        <is>
          <t>“CHARGE Sendromlu Hastalarda Kokleanın Yerleşiminin Değerlendirilmesi”</t>
        </is>
      </c>
    </row>
    <row r="1159" ht="63" customHeight="1" s="221">
      <c r="F1159" s="7" t="inlineStr">
        <is>
          <t>“Major Depresif Bozukluğu Olan Ergenlerde Kendine Zarar Verme Davranışı ile Ebeveynlerinin Duygu Düzenleme Becerileri ve Aile İşlevselliği Arasındaki İlişki”</t>
        </is>
      </c>
    </row>
    <row r="1160" ht="78.75" customHeight="1" s="221">
      <c r="F1160" s="7" t="inlineStr">
        <is>
          <t>“Katarakt Cerrahisinde Preoperatif Chord mu ve Chord alpha Referansı ile Yerleştirilen İntraoküler Göz İçi Mercek Santralizasyonunun Postoperatif Mikroperimetrik İki Değişkenli Eliptik Kontur Alan Sapma Açısı ile Değerlendirilmesi”</t>
        </is>
      </c>
    </row>
    <row r="1161" ht="47.25" customHeight="1" s="221">
      <c r="F1161" s="7" t="inlineStr">
        <is>
          <t>“Sınıf 3 Uzun Yüz Tipine Sahip Hastalarda Cerrahi Planlamanın Barcelona Çizgisi ve Gerçek Dikey Çizgi Açısından Karşılaştırmalı Değerlendirilmesi”</t>
        </is>
      </c>
    </row>
    <row r="1162" ht="31.5" customHeight="1" s="221">
      <c r="F1162" s="7" t="inlineStr">
        <is>
          <t>“Abdominal Tüberküloz Tanısı ile İzlenen Çocukların Klinik ve Laboratuar Özelliklerinin Değerlendirilmesi”</t>
        </is>
      </c>
    </row>
    <row r="1163" ht="63" customHeight="1" s="221">
      <c r="F1163" s="7" t="inlineStr">
        <is>
          <t>“Dikkat Eksikliği Hiperaktivite Bozukluğu Olan Ergenlerde Duyusal İşlemleme Özellikleri, Zihin Kuramı Becerileri ve Bilinçli Farkındalık Düzeylerinin Akran Zorbalığı İle İlişkisi”</t>
        </is>
      </c>
    </row>
    <row r="1164" ht="47.25" customHeight="1" s="221">
      <c r="F1164" s="7" t="inlineStr">
        <is>
          <t>“Covid-19 Pandemisinin Toplumdan Kazanılmış Pnömoni Etkenlerinin Epidemiyolojisine Etkisi: Retrospektif Bir Gözlemsel Çalışma”</t>
        </is>
      </c>
    </row>
    <row r="1165" ht="63" customHeight="1" s="221">
      <c r="F1165" s="7" t="inlineStr">
        <is>
          <t>“Malign Potansiyeli Belirsiz Uterus Düz Kas Tümörleri ile Erken Evre Leiomyosarkomda Rekürrensi ve Prognozu Öngörmede Klinik ve Histopatolojik Prediktörler”</t>
        </is>
      </c>
    </row>
    <row r="1166" ht="31.5" customHeight="1" s="221">
      <c r="F1166" s="7" t="inlineStr">
        <is>
          <t>“Papivir Kullanımının HPV Pozitif Kadınlarda Viral Klirense Etkisi”</t>
        </is>
      </c>
    </row>
    <row r="1167" ht="31.5" customHeight="1" s="221">
      <c r="F1167" s="7" t="inlineStr">
        <is>
          <t>“Pediatri Günübirlik Tedavi Servisinde İzlenen Tıbbi Olarak Karmaşık Çocukların Değerlendirilmesi”</t>
        </is>
      </c>
    </row>
    <row r="1168" ht="47.25" customHeight="1" s="221">
      <c r="F1168" s="7" t="inlineStr">
        <is>
          <t>“Tıp Fakültesi Öğrencilerinde İleri Kardiyak Yaşam Desteği Eğitiminde Oyun Kartları ile Öğrenmenin Değerlendirilmesi”</t>
        </is>
      </c>
    </row>
    <row r="1169" ht="47.25" customHeight="1" s="221">
      <c r="F1169" s="7" t="inlineStr">
        <is>
          <t>“Kistik Fibroziste Kistik Fibrozis Transmembran Regülator Modülatör Tedavinin Etkili Olmama Nedenlerinin İncelenmesi”</t>
        </is>
      </c>
    </row>
    <row r="1170" ht="63" customHeight="1" s="221">
      <c r="F1170" s="7" t="inlineStr">
        <is>
          <t>“Büyüme Hormonu Salgılama Hormonu ve Analoglarının İdrarda Nano Sıvı Kromatografisi Kuadrupol/Orbitrap Kütle Spektrometrisi Kullanılarak Analizi”</t>
        </is>
      </c>
    </row>
    <row r="1171" ht="31.5" customHeight="1" s="221">
      <c r="F1171" s="7" t="inlineStr">
        <is>
          <t>“Arteria Hepatica Sınıflamasının Radyolojik Olarak İncelenmesi”</t>
        </is>
      </c>
    </row>
    <row r="1172" ht="47.25" customHeight="1" s="221">
      <c r="F1172" s="7" t="inlineStr">
        <is>
          <t>“Malign Kemik Lezyonlarının Tedavisinde Perkütan Osteosentez ve Sementoplastinin Rolü ve Tedavi Sonuçlarının Değerlendirilmesi”</t>
        </is>
      </c>
    </row>
    <row r="1173" ht="31.5" customHeight="1" s="221">
      <c r="F1173" s="7" t="inlineStr">
        <is>
          <t>“Ligamentum Falciforme Hepatis Radyolojik Anatomisi: Morfometri ve Yağ Dokusu İlişkisi”</t>
        </is>
      </c>
    </row>
    <row r="1174" ht="63" customHeight="1" s="221">
      <c r="F1174" s="7" t="inlineStr">
        <is>
          <t>“Kulak Burun Boğaz Hastalarının Cerrahi Müdahaleler Hakkında Sık Sordukları Sorulara Büyük Dil Modelleri ve Uzmanlarının Verdiği Cevapların Hasta Bakış Açısından Karşılaştırılması”</t>
        </is>
      </c>
    </row>
    <row r="1175" ht="47.25" customHeight="1" s="221">
      <c r="F1175" s="7" t="inlineStr">
        <is>
          <t>“Farklı Büyük Dil Modellerinin Benign Larinks Patolojileri Hakkındaki Sorulara Verdiği Cevapların Doğruluklarının Araştırılması”</t>
        </is>
      </c>
    </row>
    <row r="1176" ht="63" customHeight="1" s="221">
      <c r="F1176" s="7" t="inlineStr">
        <is>
          <t>“Plöroparenkimal Fibroelastozis Tanılı Pediatrik Olguların Klinik, Radyolojik ve Tanı Süreçlerinin Değerlendirilmesi: Üç Olguluk Retrospektif Vaka Serisi”</t>
        </is>
      </c>
    </row>
    <row r="1177" ht="31.5" customHeight="1" s="221">
      <c r="F1177" s="7" t="inlineStr">
        <is>
          <t>“İlaca Dirençli Epilepsisi Olan Erişkin Hastalarda Korpus Kallozotominin Uzun Dönem Sonuçları”</t>
        </is>
      </c>
    </row>
    <row r="1178" ht="31.5" customHeight="1" s="221">
      <c r="F1178" s="7" t="inlineStr">
        <is>
          <t>“Çocuk Yoğun Bakım Hastalarında Ferritin Yüksekliği Tespit Edilen Olguların İncelenmesi”</t>
        </is>
      </c>
    </row>
    <row r="1179" ht="63" customHeight="1" s="221">
      <c r="F1179" s="7" t="inlineStr">
        <is>
          <t>“Hacettepe Üniversitesi Tıp Fakültesi Genel Dahiliye Bilim Dalı Polikliniklerine Başvuran Diyabet, Hipertansiyon ve Hiperlipidemi Hastalarında İlaç Uyumunun Değerlendirilmesi”</t>
        </is>
      </c>
    </row>
    <row r="1180" ht="31.5" customHeight="1" s="221">
      <c r="F1180" s="7" t="inlineStr">
        <is>
          <t>“Ev Tipi İnvaziv Mekanik Ventilatör ile İzlenen Hastaların Değerlendirilmesi”</t>
        </is>
      </c>
    </row>
    <row r="1181" ht="47.25" customHeight="1" s="221">
      <c r="F1181" s="7" t="inlineStr">
        <is>
          <t>“Çocukluk Çağı Romatolojik Hastalıkları Nedeniyle Biyolojik Ajan Kullanan Hastalarda Pnömokok ve Meningokok Taşıyıcılığı”</t>
        </is>
      </c>
    </row>
    <row r="1182" ht="31.5" customHeight="1" s="221">
      <c r="F1182" s="7" t="inlineStr">
        <is>
          <t>“ECMO Uygulanan Hastalarda Akut Böbrek Hasarı Açısından Risk Faktörlerinin Değerlendirilmesi”</t>
        </is>
      </c>
    </row>
    <row r="1183" ht="31.5" customHeight="1" s="221">
      <c r="F1183" s="7" t="inlineStr">
        <is>
          <t>“Travma Olgularının Endovasküler Tedavilerle Yönetimi; Neredeyiz?”</t>
        </is>
      </c>
    </row>
    <row r="1184" ht="47.25" customHeight="1" s="221">
      <c r="F1184" s="7" t="inlineStr">
        <is>
          <t>“Kanal Tedavili Dişlerin Fraktür Direncinde Servikal Bariyer ve Kroniçi Ağartma Materyallerinin Rolü: Laboratuvar Çalışması”</t>
        </is>
      </c>
    </row>
    <row r="1185" ht="31.5" customHeight="1" s="221">
      <c r="F1185" s="7" t="inlineStr">
        <is>
          <t>“Akçaağaç Şurubu İdrar Hastalığında Nöropsikiyatrik Özellikler”</t>
        </is>
      </c>
    </row>
    <row r="1186" ht="63" customHeight="1" s="221">
      <c r="F1186" s="7" t="inlineStr">
        <is>
          <t>“Küçük Hücreli Dışı Akciğer Kanseri Hastalannda Pulmoner Rezeksiyonu Takiben Göğüs Tüpünün Erken Dönemde Çıkanlmasının Güvenlik ve Uygulama Yönünden Değerlendirilmesi”</t>
        </is>
      </c>
    </row>
    <row r="1187" ht="31.5" customHeight="1" s="221">
      <c r="F1187" s="7" t="inlineStr">
        <is>
          <t>“Portal Hipertansiyon Tanılı Çocuk Hastaların Uzun Süreli Klinik İzlem Sonuçları”</t>
        </is>
      </c>
    </row>
    <row r="1188" ht="31.5" customHeight="1" s="221">
      <c r="F1188" s="7" t="inlineStr">
        <is>
          <t>“Klinik Eczacıların Geriatrik Sendromlar Konusundaki Yaklaşımlarının Değerlendirilmesi”</t>
        </is>
      </c>
    </row>
    <row r="1189" ht="47.25" customHeight="1" s="221">
      <c r="F1189" s="7" t="inlineStr">
        <is>
          <t>“Primer Siliyer Diskinezi Hastalarında Beslenme Durumu ve Solunum Parametreleri İlişkisi: Kesitesel ve Takip Çalışması”</t>
        </is>
      </c>
    </row>
    <row r="1190" ht="63" customHeight="1" s="221">
      <c r="F1190" s="7" t="inlineStr">
        <is>
          <t>“2012 Revize Atlanta Sınıflamasına Göre Şiddetli Akut Pankreatitin Öngörülmesinde Ranson, BISAP ve APACHE-II Skorlarının Karşılaştırmalı Prognostik Doğruluğu: Sistematik Derleme ve Meta-Analiz”</t>
        </is>
      </c>
    </row>
    <row r="1191" ht="31.5" customHeight="1" s="221">
      <c r="F1191" s="7" t="inlineStr">
        <is>
          <t>“Eczacıların Farmakogenetik Testlere Yaklaşımı: Bilgi, Farkındalık ve Tutum Analizi”</t>
        </is>
      </c>
    </row>
    <row r="1192" ht="47.25" customHeight="1" s="221">
      <c r="F1192" s="7" t="inlineStr">
        <is>
          <t>“Belirsiz Gastrointestinal Kanaması Olan Hastalarda Kapsül Endoskopisinin Tanısal Sensitivitesi-Kapsamlı Tek Merkez Veri Analizi”</t>
        </is>
      </c>
    </row>
    <row r="1193" ht="47.25" customHeight="1" s="221">
      <c r="F1193" s="7" t="inlineStr">
        <is>
          <t>“Küçük Hücreli Dışı Akciğer Kanseri Tanılı Hastalarda Cerrahi Kapsam ve Tekniğin Postoperatif Akciğer Fonksiyonları Üzerine Etkisi”</t>
        </is>
      </c>
    </row>
    <row r="1194" ht="31.5" customHeight="1" s="221">
      <c r="F1194" s="7" t="inlineStr">
        <is>
          <t>“Mahrum Edilmiş Yas: Kürtaj Sonrası Kayıp Sürecinin Anlamlandırılması”</t>
        </is>
      </c>
    </row>
    <row r="1195" ht="47.25" customHeight="1" s="221">
      <c r="F1195" s="7" t="inlineStr">
        <is>
          <t>“Cinsiyet Uyuşmazlığı Nedeniyle Başvuran Kişilerin Sosyodemografik ve Klinik Özelliklerinin Zaman İçerisindeki Değişiminin İncelenmesi”</t>
        </is>
      </c>
    </row>
    <row r="1196" ht="47.25" customHeight="1" s="221">
      <c r="F1196" s="7" t="inlineStr">
        <is>
          <t>“Kistik Fibrozis Hastalarında CFTR Modülatör Tedavilerine Bağlı Yan Etkilerin Değerlendirilmesi: Üçüncü Basamak Bir Merkezden Deneyimler”</t>
        </is>
      </c>
    </row>
    <row r="1197" ht="31.5" customHeight="1" s="221">
      <c r="F1197" s="7" t="inlineStr">
        <is>
          <t>“Koklear İmplant Cerrahisi Sonrası Revizyon Geçirmiş Olgularda Revizyon Nedenlerinin İncelenmesi”</t>
        </is>
      </c>
    </row>
    <row r="1198" ht="31.5" customHeight="1" s="221">
      <c r="F1198" s="7" t="inlineStr">
        <is>
          <t>“Agresif ve Metastatik Pituiter Nöroendokrin Tümör Tanısı Alan Olguların Retrospektif İncelenmesi”</t>
        </is>
      </c>
    </row>
    <row r="1199" ht="47.25" customHeight="1" s="221">
      <c r="F1199" s="7" t="inlineStr">
        <is>
          <t>“Kistik Fibrozisli Cocuklarda Balgam Kolonizasyonu ile Ailelerin Enfeksiyon Kontrol Bilgi Düzeyi ve Sosyoekonomik Durumu Arasindaki İlişki”</t>
        </is>
      </c>
    </row>
    <row r="1200" ht="47.25" customHeight="1" s="221">
      <c r="F1200" s="7" t="inlineStr">
        <is>
          <t>“Coğrafik Atrofi Tanılı Hastalarda Derin Öğrenme Tabanlı Bilgisayarlı Görü Yöntemleriyle Bölütlenmesi ve 5 Yıllık Progresyonun Kestiriminin Değerlendirilmesi”</t>
        </is>
      </c>
    </row>
    <row r="1201" ht="63" customHeight="1" s="221">
      <c r="F1201" s="7" t="inlineStr">
        <is>
          <t>“Erişkin Kistik Fibrozis ve Primer Siliyer Diskinezi Olgularında Solunum Yolu Örneklerinden Nadir Küf Türlerinin İzolasyon Sıklığının ve Klinik Yansımalarının Değerlendirilmesi ”</t>
        </is>
      </c>
    </row>
    <row r="1202" ht="47.25" customHeight="1" s="221">
      <c r="F1202" s="7" t="inlineStr">
        <is>
          <t>“Trakeotomi Dekanülasyonu Yapılan Hastalarda Havayolu Basınçlarındaki ve Solunum İş Yükündeki Değişimin Bilgisayar Simülasyonu ile Değerlendirilmesi”</t>
        </is>
      </c>
    </row>
    <row r="1203" ht="31.5" customHeight="1" s="221">
      <c r="F1203" s="7" t="inlineStr">
        <is>
          <t>“Ani İdiyopatik İşitme Kaybı ile Koklear Ossifikasyonun İlişkisinin İncelenmesi”</t>
        </is>
      </c>
    </row>
    <row r="1204" ht="31.5" customHeight="1" s="221">
      <c r="F1204" s="7" t="inlineStr">
        <is>
          <t>“65 Yaş Üzeri Hastalarda Gereksiz Betahistin Kullanımının Araştırılması”</t>
        </is>
      </c>
    </row>
    <row r="1205" ht="31.5" customHeight="1" s="221">
      <c r="F1205" s="7" t="inlineStr">
        <is>
          <t>“Kafa Tabanı Osteomyeliti Hastalığının Tedavisinin Finansal Analizi”</t>
        </is>
      </c>
    </row>
    <row r="1206" ht="31.5" customHeight="1" s="221">
      <c r="F1206" s="7" t="inlineStr">
        <is>
          <t>“65 Yaş ve Üzeri Hastalarda Kısa Nütrisyonel İndekslerinin Tüm Nedenlere Bağlı Mortalite ile İlişkisi”</t>
        </is>
      </c>
    </row>
    <row r="1207" ht="47.25" customHeight="1" s="221">
      <c r="F1207" s="7" t="inlineStr">
        <is>
          <t>“Geriatri Polikliniği Hastalarında Farklı Kırılganlık İndekslerinin Tüm Nedenlere Bağlı Mortaliteyi Öngörme Etkilerinin Karşılaştırılması”</t>
        </is>
      </c>
    </row>
    <row r="1208" ht="31.5" customHeight="1" s="221">
      <c r="F1208" s="7" t="inlineStr">
        <is>
          <t>“Migrende Fonksiyonel Transkranial Doppler ultrasonografi”</t>
        </is>
      </c>
    </row>
    <row r="1209" ht="47.25" customHeight="1" s="221">
      <c r="F1209" s="7" t="inlineStr">
        <is>
          <t>“Avrupa Uyuşturucu Madde Acilleri İletişim Ağı Projesi - ‘European Drug Emergencies Network Plus (Euro-DEN Plus) Proiect’”</t>
        </is>
      </c>
    </row>
    <row r="1210" ht="31.5" customHeight="1" s="221">
      <c r="F1210" s="7" t="inlineStr">
        <is>
          <t>“D110H Mutasyonu Varhginda; Klinik Seyir Nasil Sekilleniyor?”</t>
        </is>
      </c>
    </row>
    <row r="1211" ht="47.25" customHeight="1" s="221">
      <c r="F1211" s="7" t="inlineStr">
        <is>
          <t>"Jak İnhibitörlerinin Labaratuvar Parametreleri Üzerindeki Etkilerinin Zaman İçindeki Değişimi: 0., 3. ve 6. Ay Değerlendirmeleri"</t>
        </is>
      </c>
    </row>
    <row r="1212" ht="63" customHeight="1" s="221">
      <c r="F1212" s="7" t="inlineStr">
        <is>
          <t>“Gebelikte Boğmaca Aşısının Uygulanma Haftası ile Doğumda Kord Kanında Anti-PT ve Anti-FHA IgG Düzeylerinin Karşılaştırılması: Prospektif Gözlemsel Çalışma”</t>
        </is>
      </c>
    </row>
    <row r="1213" ht="63" customHeight="1" s="221">
      <c r="F1213" s="7" t="inlineStr">
        <is>
          <t>“Neovasküler Yaşa Bağlı Makula Dejenerasyonunda Fibrotik Skar Özellikleri ve Tedavi Parametrelerinin Görme Keskinliği Üzerine Etkileri: Retrospektif Gözlemsel Bir Çalışma”</t>
        </is>
      </c>
    </row>
    <row r="1214" ht="63" customHeight="1" s="221">
      <c r="F1214" s="7" t="inlineStr">
        <is>
          <t>“Otoimmün Demiyelinizan Hastalıklar (MS, NMO, MOGAD)'a Bağlı Optik Nörit Geçiren Olgularda Mikroperimetri ve Patern Elektroretinografi ile Optik Sinir ile Makula Fonksiyonunun Değerlendirilmesi</t>
        </is>
      </c>
    </row>
    <row r="1215" ht="63" customHeight="1" s="221">
      <c r="F1215" s="7" t="inlineStr">
        <is>
          <t>“Doğal İmmünite Defektleri, Kombine İmmün Yetmezlikler ve İmmün Disregülasyonla Giden Primer İmmün Yetmezliklerin Genetik ve İleri İmmünolojik Yöntemlerle Araştırılması”</t>
        </is>
      </c>
    </row>
    <row r="1216" ht="63" customHeight="1" s="221">
      <c r="F1216" s="7" t="inlineStr">
        <is>
          <t>“Otizm Spektrum Bozukluğu ve Dikkat Eksikliği Hiperaktivite Bozukluğu Tanılı Çocuklarda İnflamasyon Hipotezinin Tam Kan Sayımı Parametreleri ile İncelenmesi”</t>
        </is>
      </c>
    </row>
    <row r="1217" ht="47.25" customHeight="1" s="221">
      <c r="F1217" s="7" t="inlineStr">
        <is>
          <t>“Kalıtsal Metabolik Hastalıklarda 1,5 Anhidroglusitol (1,5-AG) ve 1,5-Anhidroglusitol-fosfat (1,5-AG6P) Düzeylerinin Araştırılması''</t>
        </is>
      </c>
    </row>
    <row r="1218" ht="47.25" customHeight="1" s="221">
      <c r="F1218" s="7" t="inlineStr">
        <is>
          <t>“AVNRT Tanısı ile Ablasyon Uygulanan Çocuklarda Transozefagial Elektrofizyolojik Çalışmanin Nüksü Belirlemedeki Rolü''</t>
        </is>
      </c>
    </row>
    <row r="1219" ht="47.25" customHeight="1" s="221">
      <c r="F1219" s="7" t="inlineStr">
        <is>
          <t>“Çocuk Kardiyoloji Ünitesinde Uygulanan Farmakolojik Provakasyon Testlerinin Tanı Sürecindeki Rolü"</t>
        </is>
      </c>
    </row>
    <row r="1220" ht="31.5" customHeight="1" s="221">
      <c r="F1220" s="7" t="inlineStr">
        <is>
          <t>“Çocuk Acil Polikliniğine Başvuran Skuter Kazalarının Retrospektif Değerlendirilmesi”</t>
        </is>
      </c>
    </row>
    <row r="1221" ht="31.5" customHeight="1" s="221">
      <c r="F1221" s="7" t="inlineStr">
        <is>
          <t>“Ankara Grup Başkanlığında Doğal Olmayan Yabancı Uyruklu Ölümlerin Değerlendirilmesi”</t>
        </is>
      </c>
    </row>
    <row r="1222" ht="31.5" customHeight="1" s="221">
      <c r="F1222" s="7" t="inlineStr">
        <is>
          <t>“Tıbbi Uygulama Hatası İddiası Bulunan Otopsi Vakalarının Medikolegal Açıdan Değerlendirilmesi”</t>
        </is>
      </c>
    </row>
    <row r="1223" ht="31.5" customHeight="1" s="221">
      <c r="F1223" s="7" t="inlineStr">
        <is>
          <t>“Aort Diseksiyonu ve Anevrizma Rüptürüne Bağlı Ölümler: Otopsi Çalışması”</t>
        </is>
      </c>
    </row>
    <row r="1224" ht="31.5" customHeight="1" s="221">
      <c r="F1224" s="7" t="inlineStr">
        <is>
          <t>“Asıya Bağlı Ölüm Olgularında Retina Kanamalarının İndirekt Fundoskopi ile Değerlendirilmesi”</t>
        </is>
      </c>
    </row>
    <row r="1225" ht="47.25" customHeight="1" s="221">
      <c r="F1225" s="7" t="inlineStr">
        <is>
          <t>“Boyun Diseksiyonu Yapılan Hastalarda En-Bloc Rezeksiyon Yöntemi ile Juguler Ven Split Rezeksiyon Yönteminin Karşılaştırılması”</t>
        </is>
      </c>
    </row>
    <row r="1226" ht="47.25" customHeight="1" s="221">
      <c r="F1226" s="7" t="inlineStr">
        <is>
          <t>“Human Papilloma Virus Aşısı Uygulanan Kadınlarda Serum Anti-Müllerian Hormon Düzeylerindeki Değişimin Değerlendirilmesi”</t>
        </is>
      </c>
    </row>
    <row r="1227" ht="31.5" customHeight="1" s="221">
      <c r="F1227" s="7" t="inlineStr">
        <is>
          <t>“Santral Sinir Sistemi Hastalıklarında Kappa Serbest Hafif Zincir İndeksinin Tanısal Değeri”</t>
        </is>
      </c>
    </row>
    <row r="1228" ht="63" customHeight="1" s="221">
      <c r="F1228" s="7" t="inlineStr">
        <is>
          <t>“Rotasyon Profilli Bilgisayarlı Tomografi Kullanılarak Oluşturulan Parametreler ile Radyografide Proksimal Femur Rotasyonunun Değerlendirilmesi ve Yapay Zekâ ile Analizi”</t>
        </is>
      </c>
    </row>
    <row r="1229" ht="47.25" customHeight="1" s="221">
      <c r="F1229" s="7" t="inlineStr">
        <is>
          <t>“Üniversite Öğrencilerinde Akıllı Telefon Bağımlılığı ile Dijital Sağlık Okuryazarlığı Arasındaki İlişkinin İncelenmesi: Tanımlayıcı Araştırma”</t>
        </is>
      </c>
    </row>
    <row r="1230" ht="47.25" customHeight="1" s="221">
      <c r="F1230" s="7" t="inlineStr">
        <is>
          <t>“Psikotik Bozukluklarda Tedaviye Direnç ve Klozapine Dirençle İlişkili Doğal Dil İşleme Değişkenlerinin ve Düşünce Süreci Bozukluklarının Değerlendirilmesi”</t>
        </is>
      </c>
    </row>
    <row r="1231" ht="63" customHeight="1" s="221">
      <c r="F1231" s="7" t="inlineStr">
        <is>
          <t>“Tek Taraflı Dudak ve Damak Yarığına Sahip Hastalarda Maksiller Ekspansiyon ve Yüz Maskesi Sonrası Oklüzyonun Değerlendirilmesinde İki Farklı İndeksin Karşılaştırılması”</t>
        </is>
      </c>
    </row>
    <row r="1232" ht="47.25" customHeight="1" s="221">
      <c r="F1232" s="7" t="inlineStr">
        <is>
          <t>“Relapsing Remitting Multipl Skleroz Tanılı Hastalarda Yaş Gruplarına Göre Kognitif Profil ve Görüntüleme Bulgularının Karşılaştırılması”</t>
        </is>
      </c>
    </row>
    <row r="1233" ht="47.25" customHeight="1" s="221">
      <c r="F1233" s="7" t="inlineStr">
        <is>
          <t>“Odontojenik Kist ve Tümörlerde Kortikal Perforasyon, Kemik Dolumu ve Rekürrens Oranlarının Volümetrik ve Kantitatif Değerlendirilmesi”</t>
        </is>
      </c>
    </row>
    <row r="1234" ht="31.5" customHeight="1" s="221">
      <c r="F1234" s="7" t="inlineStr">
        <is>
          <t>“Antimikrobiyal Dirençteki Değişimler: Bir Üçüncü Basamak Hastanesindeki 11 Yıllık Deneyim”</t>
        </is>
      </c>
    </row>
    <row r="1235" ht="63" customHeight="1" s="221">
      <c r="F1235" s="7" t="inlineStr">
        <is>
          <t>“Fertilite Koruyucu Tedavi Sonrası In Vitro Fertilizasyon Başarısını Etkileyen Faktörler: Endometrium Kanseri ve Endometrial Intraepitelyal Neoplazi Hastalarına Ait Retrospektif Veri Analizi”</t>
        </is>
      </c>
    </row>
    <row r="1236" ht="47.25" customHeight="1" s="221">
      <c r="F1236" s="7" t="inlineStr">
        <is>
          <t>“Temporomandibular Eklem Hipermobilitesinde Dekstroz Proloterapisinin Uzun Dönem Klinik Sonuçlarının Retrospektif Değerlendirilmesi”</t>
        </is>
      </c>
    </row>
    <row r="1237" ht="47.25" customHeight="1" s="221">
      <c r="F1237" s="7" t="inlineStr">
        <is>
          <t>“Duchenne Musküler Distrofi Tanısı ile Pediatrik Yaş Grubunda İzlenen Hastaların Solunum Bulgularının Retrospektif Olarak Değerlendirilmesi”</t>
        </is>
      </c>
    </row>
    <row r="1238" ht="47.25" customHeight="1" s="221">
      <c r="F1238" s="7" t="inlineStr">
        <is>
          <t>“Ergenlik Döneminde Yeme Bozukluğu Tanısı Almış Yetişkinlerde Ruhsal Hastalık Kimliği ve İyileşme: Nitel Bir Çalışma”</t>
        </is>
      </c>
    </row>
    <row r="1239" ht="31.5" customHeight="1" s="221">
      <c r="F1239" s="7" t="inlineStr">
        <is>
          <t>“Triple X Sendromlu Hastalarda Demografik, Fenotipik ve Gelişimsel Özelliklerin Değerlendirilmesi”</t>
        </is>
      </c>
    </row>
    <row r="1240" ht="31.5" customHeight="1" s="221">
      <c r="F1240" s="7" t="inlineStr">
        <is>
          <t>“Yaşlı Yetişkinlerde İnflamasyon Belirteçleri ile Bilişsel İşlevler Arasındaki İlişki”</t>
        </is>
      </c>
    </row>
    <row r="1241" ht="47.25" customHeight="1" s="221">
      <c r="F1241" s="7" t="inlineStr">
        <is>
          <t>“Erişkinlerde HPV Aşısına Yönelik Tutum, Okuryazarlık ve Ulusal Programa Dahil Edilmesine İlişkin Görüşler”</t>
        </is>
      </c>
    </row>
    <row r="1242" ht="78.75" customHeight="1" s="221">
      <c r="F1242" s="7" t="inlineStr">
        <is>
          <t>“.Hacettepe Üniversitesi Erişkin ve Onkoloji Hastanelerinde 2017-2025 Yılları Arasında Karbapenem Dirençli Enterobacteriacea Kolonizasyonu ve Takiben İnfeksiyonu Gelişen Hastaların Analizi”</t>
        </is>
      </c>
    </row>
    <row r="1243" ht="31.5" customHeight="1" s="221">
      <c r="F1243" s="7" t="inlineStr">
        <is>
          <t>"Senil Presbiakuzi ve Sarkopeni Arasındaki İlişkinin İncelenmesi”</t>
        </is>
      </c>
    </row>
    <row r="1244" ht="47.25" customHeight="1" s="221">
      <c r="F1244" s="7" t="inlineStr">
        <is>
          <t>“Fallot Tetralojisi Hastalarında Kardiyolojik Özellikler ve Uzun Dönem Sonuçlarının Retrospektif Değerlendirilmesi”</t>
        </is>
      </c>
    </row>
    <row r="1245" ht="31.5" customHeight="1" s="221">
      <c r="F1245" s="7" t="inlineStr">
        <is>
          <t>“Propionik Asidemi Tanılı Hastaların Kardiyak Özelliklerinin Retrospektif Değerlendirilmesi”</t>
        </is>
      </c>
    </row>
    <row r="1246" ht="31.5" customHeight="1" s="221">
      <c r="F1246" s="7" t="inlineStr">
        <is>
          <t>“Pulmoner Arter Agenezisi ve/veya Hipoplazisi Olan Hastaların Retrospektif Değerlendirilmesi”</t>
        </is>
      </c>
    </row>
    <row r="1247" ht="31.5" customHeight="1" s="221">
      <c r="F1247" s="7" t="inlineStr">
        <is>
          <t>“Sistemik Venöz Dönüş Anomalisi Olan Hastaların Retrospektif Değerlendirilmesi”</t>
        </is>
      </c>
    </row>
    <row r="1248" ht="47.25" customHeight="1" s="221">
      <c r="F1248" s="7" t="inlineStr">
        <is>
          <t>“Transkateter Pulmoner Kapak İmplantasyonunun Kardiyopulmoner Egzersiz Kapasitesi Üzerine Etkisinin Retrospektif Analizi''</t>
        </is>
      </c>
    </row>
    <row r="1249" ht="31.5" customHeight="1" s="221">
      <c r="F1249" s="7" t="inlineStr">
        <is>
          <t>“Kardiyovasküler-Renal-Metabolik Sendromda Malnütrisyon ve Sarkopeni”</t>
        </is>
      </c>
    </row>
    <row r="1250" ht="31.5" customHeight="1" s="221">
      <c r="F1250" s="7" t="inlineStr">
        <is>
          <t>"Platin Bazlı Kemoterapi Ajanları ile Hızlı İlaç Desensitizasyonuna İlişkin Tek Merkez Deneyimimiz "</t>
        </is>
      </c>
    </row>
    <row r="1251" ht="47.25" customHeight="1" s="221">
      <c r="F1251" s="7" t="inlineStr">
        <is>
          <t>“Bilateral Vokal Kord Paralizisi Nedeniyle Parsiyel veya Total Aritenoidektomi Yapılan Hastalarda Vücut Kitle Endeksinin Dispne Üzerine Etkisi”</t>
        </is>
      </c>
    </row>
    <row r="1252" ht="31.5" customHeight="1" s="221">
      <c r="F1252" s="7" t="inlineStr">
        <is>
          <t>“Patolojik Miyopi Hastalarının Retina Bulgularının Uzun Dönem Takip Sonuçları”</t>
        </is>
      </c>
    </row>
    <row r="1253" ht="31.5" customHeight="1" s="221">
      <c r="F1253" s="7" t="inlineStr">
        <is>
          <t>“Kolorektal Karsinogenezde THY1 İfadesinin Patoloji Arşiv Materyallerinde Değerlendirilmesi”</t>
        </is>
      </c>
    </row>
    <row r="1254" ht="31.5" customHeight="1" s="221">
      <c r="F1254" s="7" t="inlineStr">
        <is>
          <t>“Çocuklarda Budd-Chiari Sendromu: Tek Merkez Deneyimi”</t>
        </is>
      </c>
    </row>
    <row r="1255" ht="63" customHeight="1" s="221">
      <c r="F1255" s="7" t="inlineStr">
        <is>
          <t>“İç Hastalıkları Servislerinde Yatan 65 Yaş ve Üstü Hastaların Yatış anında Kullandığı İlaçlar ve Taburculuk Reçetelerinin Beers (2023), Stopp/Start V3, TIME (2020) Kriterlerine Göre İncelenmesi”</t>
        </is>
      </c>
    </row>
    <row r="1256" ht="63" customHeight="1" s="221">
      <c r="F1256" s="7" t="inlineStr">
        <is>
          <t>“Motor Beceri Zorlukları Özgül Öğrenme Bozukluğu İçin Fenotipik Bir Belirteç Olabilir mi? Motor Performansın Postürografik Analizi ve Bilişsel Becerilerle İlişkisi”</t>
        </is>
      </c>
    </row>
    <row r="1257" ht="47.25" customHeight="1" s="221">
      <c r="F1257" s="7" t="inlineStr">
        <is>
          <t>“Kanser Hastalarının Cepten Sağlık Harcamalarının Finansal Yükü ve Sağlık Hizmeti Kullanımı ve Sağlık Sonuçlarıyla İlişkisi”</t>
        </is>
      </c>
    </row>
    <row r="1258" ht="47.25" customHeight="1" s="221">
      <c r="F1258" s="7" t="inlineStr">
        <is>
          <t>“Çocukluk Çağı Vaskülitlerinde Serum/Plazma Metabolomik Profilinin İncelenmesi: Tanısal ve Klinik İlişkilerin Değerlendirilmesi”</t>
        </is>
      </c>
    </row>
    <row r="1259" ht="47.25" customHeight="1" s="221">
      <c r="F1259" s="7" t="inlineStr">
        <is>
          <t>“Dikkat Eksikliği ve Hiperaktivite Bozukluğu Tanılı Ergenlerde Çocukluk Çağı Olumsuz Yaşantılarının Klinik Görünüm ve İnflamatuar Biyobelirteçlerle İlişkisi”</t>
        </is>
      </c>
    </row>
    <row r="1260" ht="47.25" customHeight="1" s="221">
      <c r="F1260" s="7" t="inlineStr">
        <is>
          <t>“Primer Diz Artroplastisi Yapılan Hastaların VKİ Oranlarının Uzun Dönem Klinik ve Fonksiyonel Sonuçlara Etkisi”</t>
        </is>
      </c>
    </row>
    <row r="1261" ht="31.5" customHeight="1" s="221">
      <c r="F1261" s="7" t="inlineStr">
        <is>
          <t>“Total Diz Artroplastisinde Posterior Tibial Eğim ve Posterior Kondiler Ofset: Gerçekten Önemli Mi?”</t>
        </is>
      </c>
    </row>
    <row r="1262" ht="63" customHeight="1" s="221">
      <c r="F1262" s="7" t="inlineStr">
        <is>
          <t>“Ergenlerde Sağlık Alanında Yapay Zekâ Kullanım Ölçeği’ ve ‘Ebeveynin Çocuğunun Sağlığı ile İlgili Yapay Zekâ Kullanım Ölçeği’nin Geliştirilmesi ve Değerlendirilmesi”</t>
        </is>
      </c>
    </row>
    <row r="1263" ht="47.25" customHeight="1" s="221">
      <c r="F1263" s="7" t="inlineStr">
        <is>
          <t>“Hipopitüitarizmli Erişkin Hastalarda Morbidite ve Mortaliteyi Etkileyen Faktörler: Retrospektif Değerlendirme”</t>
        </is>
      </c>
    </row>
    <row r="1264" ht="31.5" customHeight="1" s="221">
      <c r="F1264" s="7" t="inlineStr">
        <is>
          <t>“Primer Hipofizit (Otoimmün ve IgG4 İlişkili) Olgularının Uzun Dönem Klinik Seyri”</t>
        </is>
      </c>
    </row>
    <row r="1265" ht="47.25" customHeight="1" s="221">
      <c r="F1265" s="7" t="inlineStr">
        <is>
          <t>“İdiopatik Pulmoner Fibrozisin Akut Alevlenmeleri için Hidrojen Sülfür Tedavisinin Etkilerinin Değerlendirilmesi"</t>
        </is>
      </c>
    </row>
    <row r="1266" ht="31.5" customHeight="1" s="221">
      <c r="F1266" s="7" t="inlineStr">
        <is>
          <t>“Çocukluk Çağı Poliarteritis Nodosa Hastalarının Değerlendirilmesi”</t>
        </is>
      </c>
    </row>
    <row r="1267" ht="47.25" customHeight="1" s="221">
      <c r="F1267" s="7" t="inlineStr">
        <is>
          <t>“Konjonktival Melanomlarda ATRX, PDL-1 ve p16 İmmünohistokimyasal Ekspresyonlarının Klinikopatolojik Parametrelerle Korelasyonu”</t>
        </is>
      </c>
    </row>
    <row r="1268" ht="47.25" customHeight="1" s="221">
      <c r="F1268" s="7" t="inlineStr">
        <is>
          <t>“Geriatri Popülasyonda eGFR Tahmin Denklemleri Arasındaki Uyumun ve Tahmin Hatalarına Etki Eden Faktörlerin Değerlendirilmesi”</t>
        </is>
      </c>
    </row>
    <row r="1269" ht="31.5" customHeight="1" s="221">
      <c r="F1269" s="7" t="inlineStr">
        <is>
          <t>“Geriatrik Hastalarda Telefon Bağımlılığının Geriatrik Sendromlarla İlişkisi”</t>
        </is>
      </c>
    </row>
    <row r="1270" ht="47.25" customHeight="1" s="221">
      <c r="F1270" s="7" t="inlineStr">
        <is>
          <t>“Mekanik Ventilatörden Ayırmada T-tüp Denemesi Uygulanan Hastalarda Hemodinami Parametrelerinin Değişimlerinin Gözlenmesi”</t>
        </is>
      </c>
    </row>
    <row r="1271" ht="47.25" customHeight="1" s="221">
      <c r="F1271" s="7" t="inlineStr">
        <is>
          <t>“Bilateral Testis Germ Hücreli Tümörler: Hacettepe Üniversitesi Üroloji Anabilim Dalı'nın 40 Yıllık Deneyimi”</t>
        </is>
      </c>
    </row>
    <row r="1272" ht="31.5" customHeight="1" s="221">
      <c r="F1272" s="7" t="inlineStr">
        <is>
          <t>“Çocuklarda Fasiküler Ventriküler Aritmi ve Transkateter Ablasyon Uygulaması Deneyimlerimiz”</t>
        </is>
      </c>
    </row>
    <row r="1273" ht="31.5" customHeight="1" s="221">
      <c r="F1273" s="7" t="inlineStr">
        <is>
          <t>“Ventriküler Erken Vuru Olan Çocuk Hastalarda Transkateter Ablasyon Sonuçlarımız”</t>
        </is>
      </c>
    </row>
    <row r="1274" ht="63" customHeight="1" s="221">
      <c r="F1274" s="7" t="inlineStr">
        <is>
          <t>''Buğday Alerjisi Olan Çocuklarda Oral İmmünoterapi ve Besinden Kaçınma Yaklaşımlarının Beslenme Durumu ve Yaşam Kalitesi Üzerine Etkilerinin Karşılaştırılması''</t>
        </is>
      </c>
    </row>
    <row r="1275" ht="47.25" customHeight="1" s="221">
      <c r="F1275" s="7" t="inlineStr">
        <is>
          <t>“Seksen Beş Yaş ve Üzeri Geriatrik Hastalarda İntrinsik Kapasite Değişimi, İyileşme Paternleri ve Klinik Sonuçları; Retrospektif Kohort Çalışması”</t>
        </is>
      </c>
    </row>
    <row r="1276" ht="31.5" customHeight="1" s="221">
      <c r="F1276" s="7" t="inlineStr">
        <is>
          <t>“Kanal Tedavisi Yenileme İşlemine Maruz Kalan Dişlerin Kırılma Dayanımında Ağartmanın Etkisi”</t>
        </is>
      </c>
    </row>
    <row r="1277" ht="47.25" customHeight="1" s="221">
      <c r="F1277" s="7" t="inlineStr">
        <is>
          <t>“DEHB Tanılı Çocuklarda KOKGB Eşlik Etme Durumuna Göre İrritabilite ve Ödül Sisteminin Fonksiyonel MRG ile İncelenmesi”</t>
        </is>
      </c>
    </row>
    <row r="1278" ht="47.25" customHeight="1" s="221">
      <c r="F1278" s="7" t="inlineStr">
        <is>
          <t>“Diş Hekimliği Son Sınıf Öğrencilerinin Acil Tıbbi Durumlar Bağlamında Algılanan Güven ve Bilgi Düzeylerinin Değerlendirilmesi”</t>
        </is>
      </c>
    </row>
    <row r="1279" ht="63" customHeight="1" s="221">
      <c r="F1279" s="7" t="inlineStr">
        <is>
          <t>“Melanom Hastalarında Kiraz Anjiyom Sıklığının ve Kiraz Anjiyomların Gelişiminde VEGF ile VEGF Reseptörlerinin Doku ve Serum Düzeyinde Değerlendirilmesi”</t>
        </is>
      </c>
    </row>
    <row r="1280" ht="31.5" customHeight="1" s="221">
      <c r="F1280" s="7" t="inlineStr">
        <is>
          <t>“Takayasu Arteriti Hastalığında Oftalmolojik Bulguların Değerlendirilmesi”</t>
        </is>
      </c>
    </row>
    <row r="1281" ht="31.5" customHeight="1" s="221">
      <c r="F1281" s="7" t="inlineStr">
        <is>
          <t>“Hacettepe Üniversitesi Tıp Fakültesi Öğrencilerinin Geriatri Eğitim ve İlgi Düzeylerinin Değerlendirilmesi”</t>
        </is>
      </c>
    </row>
    <row r="1282" ht="47.25" customHeight="1" s="221">
      <c r="F1282" s="7" t="inlineStr">
        <is>
          <t>“Acil Serviste İntrakraniyal Merkezi Sinir Sistemi Enfeksiyonu Tanısı Konulan Hastalarda Hipokampüs Hacimlerinin Klinik Seyir Tahminindeki Rolü”</t>
        </is>
      </c>
    </row>
    <row r="1283" ht="31.5" customHeight="1" s="221">
      <c r="F1283" s="7" t="inlineStr">
        <is>
          <t>“TRVaS Türkiye Vaskülit Çalışma Grubu Prospektif, Gözlemsel Veritabanı Devam Çalışması”</t>
        </is>
      </c>
    </row>
    <row r="1284" ht="47.25" customHeight="1" s="221">
      <c r="F1284" s="7" t="inlineStr">
        <is>
          <t>“Cinsiyet Uyuşmazlığı Tanısı Konulan Kişilerde Otizm Spektrumu Özelliklerinin Klinik Gereksinimler ve Psikososyal İyilik Hali ile İlişkisi”</t>
        </is>
      </c>
    </row>
    <row r="1285" ht="47.25" customHeight="1" s="221">
      <c r="F1285" s="7" t="inlineStr">
        <is>
          <t>“Hemodiyaliz Sırasında Gelişen İntradialitik Hipotansiyonun Klinik ve Hemodinamik Belirteçlerle İlişkisinin Retrospektif İncelenmesi”</t>
        </is>
      </c>
    </row>
    <row r="1286" ht="78.75" customHeight="1" s="221">
      <c r="F1286" s="7" t="inlineStr">
        <is>
          <t>“Hyalüronik Asit, ß-Glukan, Centella Asiatica, Coriolus Versicolor, Neem, BioEcolia®, Aloe Vera İçeren Doğal İçerikli Vajinal Jel Papilocare® Kullanımının HPV Pozitif Kadınlarda Viral Klirense Etkisinin Retrospektif Olarak Araştırılması”</t>
        </is>
      </c>
    </row>
    <row r="1287" ht="31.5" customHeight="1" s="221">
      <c r="F1287" s="7" t="inlineStr">
        <is>
          <t>“İşitme Kaybı Olan Hastalarda Hipopigmentasyon Bozukluklarının İncelenmesi”</t>
        </is>
      </c>
    </row>
    <row r="1288" ht="31.5" customHeight="1" s="221">
      <c r="F1288" s="7" t="inlineStr">
        <is>
          <t>“Ramus Intermedius Arteriae Hepaticae Sınıflamasının Radyolojik Olarak İncelenmesi”</t>
        </is>
      </c>
    </row>
    <row r="1289" ht="63" customHeight="1" s="221">
      <c r="F1289" s="7" t="inlineStr">
        <is>
          <t>“Saçlı Hücreli Lösemi Hastalarının Tanı Anındaki Klinik, Laboratuvar Parametrelerinin Prognostik, Sağ Kalım ve Tedaviye Yanıt Durumları Açısından Değerlendirilmesi”</t>
        </is>
      </c>
    </row>
    <row r="1290" ht="31.5" customHeight="1" s="221">
      <c r="F1290" s="7" t="inlineStr">
        <is>
          <t>“Hastane Yatışının Adolesanlarda Ekran Kullanımı Üzerine Etkisi”</t>
        </is>
      </c>
    </row>
    <row r="1291" ht="31.5" customHeight="1" s="221">
      <c r="F1291" s="7" t="inlineStr">
        <is>
          <t>“Amiyotrofik Lateral Skleroz Hastalarında İpsilateral Transkraniyal Manyetik Uyarım Ölçütleri”</t>
        </is>
      </c>
    </row>
    <row r="1292" ht="31.5" customHeight="1" s="221">
      <c r="F1292" s="7" t="inlineStr">
        <is>
          <t>“Obez Hastalarda Antimikrobiyal Tedavide Terapötik İlaç Düzeyi İzlemi: Prospektif Gözlemsel Bir Çalışma”</t>
        </is>
      </c>
    </row>
    <row r="1293" ht="47.25" customHeight="1" s="221">
      <c r="F1293" s="7" t="inlineStr">
        <is>
          <t>“Kadınların Gebelikte Uygulanan Dental ve Radyolojik İşlemler ile Ağız Sağlığına Dair Farkındalık ve Algısı: Anket Temelli Kesitsel Bir Çalışma”</t>
        </is>
      </c>
    </row>
    <row r="1294" ht="47.25" customHeight="1" s="221">
      <c r="F1294" s="7" t="inlineStr">
        <is>
          <t>“Yeni Nesil Girişimsiz Kapiller Anjiyografi Sisteminin Tasarım Doğrulama Numunesinin Geliştirilmesi ve Sistemin İşlevsellik Değerlendirmesi”</t>
        </is>
      </c>
    </row>
    <row r="1295" ht="31.5" customHeight="1" s="221">
      <c r="F1295" s="7" t="inlineStr">
        <is>
          <t>"Kronik Böbrek Hastalığının Teşhisi: Bir Makine Öğrenmesi Uygulaması"</t>
        </is>
      </c>
    </row>
    <row r="1296" ht="63" customHeight="1" s="221">
      <c r="F1296" s="7" t="inlineStr">
        <is>
          <t>“Orta-Şiddetli Kronik Plak Tipi Psöriazis Nedeniyle TNF-α İnhibitörü, IL-17 İnhibitörü veya IL-23 İnhibitörü Tedavisi Kullanan Hastalarda, Aynı Grup İçindeki Biyolojik Ajan Değişiminin Değerlendirilmesi”</t>
        </is>
      </c>
    </row>
    <row r="1297" ht="47.25" customHeight="1" s="221">
      <c r="F1297" s="7" t="inlineStr">
        <is>
          <t>“Üniversiteler Arası Ragbi Turnuvasında Yaralanma ve Semptomların Retrospektif Analizi: Meteorolojik Veriler ile Karşılaştırmalı Değerlendirme”</t>
        </is>
      </c>
    </row>
    <row r="1298" ht="63" customHeight="1" s="221">
      <c r="F1298" s="7" t="inlineStr">
        <is>
          <t>“Hipertansiyon Tedavisine İlişkin YouTube Videolarının DISCERN Kriterleriyle Değerlendirilmesinde Manuel ve Yapay Zekâ Değerlendiricileri Arasındaki Uyum”</t>
        </is>
      </c>
    </row>
    <row r="1299" ht="63" customHeight="1" s="221">
      <c r="F1299" s="7" t="inlineStr">
        <is>
          <t>“Mesleki Kurşun İntoksikasyonu için Etilendiamintetraasetik Asit (EDTA) Şelasyon Tedavisi Alan Hastalarda Eser Element Düzeylerinin Retrospektif Değerlendirilmesi”</t>
        </is>
      </c>
    </row>
    <row r="1300" ht="47.25" customHeight="1" s="221">
      <c r="F1300" s="7" t="inlineStr">
        <is>
          <t>“Denosumab Alan Geriatrik Hastaların İlaç Uyumunun Değerlendirilmesi ve ilaç Uyum Sonuçlarının Osteoporoz Üzerine Olan Etkisi”</t>
        </is>
      </c>
    </row>
    <row r="1301" ht="31.5" customHeight="1" s="221">
      <c r="F1301" s="7" t="inlineStr">
        <is>
          <t>“İç Hastalıkları Yoğun Bakım Ünitesinde İzlenen Hastaların Retrospektif Değerlendirilmesi”</t>
        </is>
      </c>
    </row>
    <row r="1302" ht="63" customHeight="1" s="221">
      <c r="F1302" s="7" t="inlineStr">
        <is>
          <t>“Borderline Over Tümörlerinde Fertilite Koruyucu Cerrahi Yaklaşımlar, İntraoperatif Frozen İncelemenin Nihai Patoloji ile Uyumluluğu ve Sağ Kalım Verilerinin Tek Merkez Çok Yönlü Retrospektif İncelenmesi”</t>
        </is>
      </c>
    </row>
    <row r="1303" ht="47.25" customHeight="1" s="221">
      <c r="F1303" s="7" t="inlineStr">
        <is>
          <t>“Over Kanseri Hastalarında Uygulanan Tedavi Stratejilerinin, Tedavi Yanıtı Öngörücü Parametrelerin, Sağ Kalım ve Nüks Paternlerinin Çok Yönlü Analizi”</t>
        </is>
      </c>
    </row>
    <row r="1304" ht="63" customHeight="1" s="221">
      <c r="F1304" s="7" t="inlineStr">
        <is>
          <t>“MuItidisipliner KBB-Onkoloji Konseyinde Tartışılan Larinks Kanserli Hastalarda Klasifikasyon ve Sağkalım Değerlendirmede Yapay Zeka Temelli Tahmin Modeli Oluşturmak”</t>
        </is>
      </c>
    </row>
    <row r="1305" ht="47.25" customHeight="1" s="221">
      <c r="F1305" s="7" t="inlineStr">
        <is>
          <t>“Video-EEG Monitorizasyonunda İzlenen Status Epileptikus ve Küme Tip Nöbetlerin Elektrokli̇ni̇k Özellikleri”</t>
        </is>
      </c>
    </row>
    <row r="1306" ht="31.5" customHeight="1" s="221">
      <c r="F1306" s="7" t="inlineStr">
        <is>
          <t>“Sağlıkta Kalite Standartları Değerlendiricilerinin Sağlık Teknolojilerini Değerlendirme Konusundaki Tutumları”</t>
        </is>
      </c>
    </row>
    <row r="1307" ht="47.25" customHeight="1" s="221">
      <c r="F1307" s="7" t="inlineStr">
        <is>
          <t>“Nasal Septal Perforasyonlu Hastalarda NOSE-Perf Ölçeğinin Türkçe Uyarlamasının Geçerlilik ve Güvenilirlik Analizi”</t>
        </is>
      </c>
    </row>
    <row r="1308" ht="31.5" customHeight="1" s="221">
      <c r="F1308" s="7" t="inlineStr">
        <is>
          <t>“Sanal Karaciğer Biyopsisi- Metabolik Hastalık İlişkili Yağlı Karaciğer Hastalığında Prognoz ve İzlem”</t>
        </is>
      </c>
    </row>
    <row r="1309" ht="63" customHeight="1" s="221">
      <c r="F1309" s="7" t="inlineStr">
        <is>
          <t>“Yağlı Karaciğer Hastalığında Karaciğer Yağlanması ve Karaciğer Sertliğinin Değerlendirilmesinde Multiparametrik Ultrasonografi ve Manyetik Rezonans Elastografinin Karşılaştırılması”</t>
        </is>
      </c>
    </row>
    <row r="1310" ht="47.25" customHeight="1" s="221">
      <c r="F1310" s="7" t="inlineStr">
        <is>
          <t>“Hemşirelerin Bütünsel Sağlık, Duygusal Emek, Şefkat Yorgunluğu ve İş Doyumu Arasındaki İlişkiler: Yol Analizi”</t>
        </is>
      </c>
    </row>
    <row r="1311" ht="31.5" customHeight="1" s="221">
      <c r="F1311" s="7" t="inlineStr">
        <is>
          <t>“Radyoloji Tetkiklerinde Hastalar İçin Tahmini Fetal Doz Hesaplamaları”</t>
        </is>
      </c>
    </row>
    <row r="1312" ht="47.25" customHeight="1" s="221">
      <c r="F1312" s="7" t="inlineStr">
        <is>
          <t>“Tıbbi Uygulama Hatası Olgularının Değerlendirilmesinde Büyük Dil Modelleri ve Adli Tıp Uzman Görüşlerinin Karşılaştırmalı Analizi”</t>
        </is>
      </c>
    </row>
    <row r="1313" ht="31.5" customHeight="1" s="221">
      <c r="F1313" s="7" t="inlineStr">
        <is>
          <t>“Mohs Cerrahisinde Artırılmış Gerçeklik Entegrasyonlu Simülasyon Çalışması”</t>
        </is>
      </c>
    </row>
    <row r="1314" ht="47.25" customHeight="1" s="221">
      <c r="F1314" s="7" t="inlineStr">
        <is>
          <t>“Pediatrik Non-Hodgkin Lenfoma Tanılı Hastalarda PET-BT'den Elde Edilen Semikantitatif Parametrelerin Değerlendirilmesi”</t>
        </is>
      </c>
    </row>
    <row r="1315" ht="47.25" customHeight="1" s="221">
      <c r="F1315" s="7" t="inlineStr">
        <is>
          <t>“Parkinson Hastalığında Levodopa-Karbidopa İntestinal Jel Kullanan Hastalarda Periferik Nörolojik Tutulum: Elektrofizyolojik Çalışma”</t>
        </is>
      </c>
    </row>
    <row r="1316" ht="63" customHeight="1" s="221">
      <c r="F1316" s="7" t="inlineStr">
        <is>
          <t>“Özgül Öğrenme Bozukluğu Tanılı Ergenlerde Benlik Saygısı, Yeterlik Algısı ve Baskın Savunma Mekanizmalarının Annelerdeki Psikolojik Farkındalık ve Empati Düzeyi ile İlişkisi”</t>
        </is>
      </c>
    </row>
    <row r="1317" ht="47.25" customHeight="1" s="221">
      <c r="F1317" s="7" t="inlineStr">
        <is>
          <t>“Normal Gebeliklerde Fetal Farinks Büyüme Paternlerinin Üç Boyutlu Ultrasonografi ile Değerlendirilmesi”</t>
        </is>
      </c>
    </row>
    <row r="1318" ht="78.75" customHeight="1" s="221">
      <c r="F1318" s="7" t="inlineStr">
        <is>
          <t>“Multiple Skleroz (MS) Tanılı Hastalarda MS Mesane Kontrol Aracı Kullanılarak Alt Üriner Sistem Semptomlarının Ön Değerlendirilmesi ve Fonksiyonel Üroloji Polikliniğine Yönlendirme Kriterlerinin Belirlenmesi”</t>
        </is>
      </c>
    </row>
    <row r="1319" ht="31.5" customHeight="1" s="221">
      <c r="F1319" s="7" t="inlineStr">
        <is>
          <t>“Sirotik Hastalarda Sarkopeni ve Kognisyon Değerlendirilmesi”</t>
        </is>
      </c>
    </row>
    <row r="1320" ht="47.25" customHeight="1" s="221">
      <c r="F1320" s="7" t="inlineStr">
        <is>
          <t>“Erişkinlerde Timus Boyutlarının BT ile Değerlendirilmesi, Farklı Yaş Gruplan, Cinsiyet ve Sigara Kullanımıyla İlişkisi”</t>
        </is>
      </c>
    </row>
    <row r="1321" ht="47.25" customHeight="1" s="221">
      <c r="F1321" s="7" t="inlineStr">
        <is>
          <t>“Onikomikoz Teşhisinde Yapay Zeka Algoritmalarının Dermatolog ve Aile Hekimleri ile Karşılatırmalı Olarak Değerlendirilmesi”</t>
        </is>
      </c>
    </row>
    <row r="1322" ht="31.5" customHeight="1" s="221">
      <c r="F1322" s="7" t="inlineStr">
        <is>
          <t>“Çocukluk Çağı Astımında Uzun Süreli İzlem ve Remisyon”</t>
        </is>
      </c>
    </row>
    <row r="1323" ht="47.25" customHeight="1" s="221">
      <c r="F1323" s="7" t="inlineStr">
        <is>
          <t>“DJ-1 Mutasyonuna Bağlı Mitokondriyal Hasarın ve Organeller Arası Etkileşimlerin Hasta Hücrelerinde İncelenmesi”</t>
        </is>
      </c>
    </row>
    <row r="1324" ht="47.25" customHeight="1" s="221">
      <c r="F1324" s="7" t="inlineStr">
        <is>
          <t>“Lenfoma Hastalarında Warburg Etkisine Bağlı Tip B Laktik Asidoz ve Hipoglisemi: İki Olgu Sunumu ve Literatür Derlemesi”</t>
        </is>
      </c>
    </row>
    <row r="1325" ht="47.25" customHeight="1" s="221">
      <c r="F1325" s="7" t="inlineStr">
        <is>
          <t>“Vaskülit Hastalarında Erektil Disfonksiyonun Yaygınlığı ve Ürolojik Değerlendirme Sıklığı: Kesitsel Bir Anket Çalışması”</t>
        </is>
      </c>
    </row>
    <row r="1326" ht="63" customHeight="1" s="221">
      <c r="F1326" s="7" t="inlineStr">
        <is>
          <t>“İntra Uterin İnseminasyon Tedavisi Öncesi Elastoscan (Shear Wave Elastografi) ile Uterusun Prospektif Olarak Değerlendirmesi ve Gebelik Sonuçları ile İlişkisinin İncelenmesi”</t>
        </is>
      </c>
    </row>
    <row r="1327" ht="63" customHeight="1" s="221">
      <c r="F1327" s="7" t="inlineStr">
        <is>
          <t>“İn Vitro Fertilizasyon Tedavisi Öncesi Elastoscan (Shear Wave Elastografi) ile Uterusun Prospektif Olarak Değerlendirmesi ve Gebelik Sonuçları ile İlişkisinin İncelenmesi”</t>
        </is>
      </c>
    </row>
    <row r="1328" ht="47.25" customHeight="1" s="221">
      <c r="F1328" s="7" t="inlineStr">
        <is>
          <t>“Kalp ve Beyin MRG Görüntülerinde Hareket Kaynaklı Aretfaktların Tespiti ve Düzeltilmesine Yönelik Yapay Zeka Yaklaşımı”</t>
        </is>
      </c>
    </row>
    <row r="1329" ht="47.25" customHeight="1" s="221">
      <c r="F1329" s="7" t="inlineStr">
        <is>
          <t>“Koroner MRA Görüntülerinde Görüntü Kalitesinin Artırılmasına ve Otomatik Değerlendirilmesine Yönelik Yapay Zeka Uygulaması”</t>
        </is>
      </c>
    </row>
    <row r="1330" ht="47.25" customHeight="1" s="221">
      <c r="F1330" s="7" t="inlineStr">
        <is>
          <t>“Ultrasonografi Eşliğinde Transperineal Prostat Biyopsisinin Güvenirliliği, Uygulanabilirliği ve Kanser Yakalamada Başarı Oranı”</t>
        </is>
      </c>
    </row>
    <row r="1331" ht="31.5" customHeight="1" s="221">
      <c r="F1331" s="7" t="inlineStr">
        <is>
          <t>“Hemodiyaliz Sürecinde Mikroplastik Varlığının ve Maruziyet Düzeyinin Değerlendirilmesi”</t>
        </is>
      </c>
    </row>
    <row r="1332" ht="31.5" customHeight="1" s="221">
      <c r="F1332" s="7" t="inlineStr">
        <is>
          <t>“Kurutulmuş İdrar Örneklerinde (DUS) Uyuşturucu-Uyarıcı Madde Analizi”</t>
        </is>
      </c>
    </row>
    <row r="1333" ht="31.5" customHeight="1" s="221">
      <c r="F1333" s="7" t="inlineStr">
        <is>
          <t>“Vitiligo Tanılı Pediatrik Hastalarda Oral Mikrobiyom ve Diş Çürüğü İlişkisinin İncelenmesi ”</t>
        </is>
      </c>
    </row>
    <row r="1334" ht="47.25" customHeight="1" s="221">
      <c r="F1334" s="7" t="inlineStr">
        <is>
          <t>“Agresif Başlangıçlı Tip 1 Diabetes Mellitus ile Tanınan CD70 Eksikliği Tanısı Alan Olgunun Klinik ve Laboratuvar Özelliklerinin İncelenmesi</t>
        </is>
      </c>
    </row>
    <row r="1335" ht="31.5" customHeight="1" s="221">
      <c r="F1335" s="7" t="inlineStr">
        <is>
          <t>“Pelargonium graveolens'in Endometriozis Hücre Hattı (12Z) Üzerindeki Etkilerinin Araştırılması”</t>
        </is>
      </c>
    </row>
    <row r="1336" ht="31.5" customHeight="1" s="221">
      <c r="F1336" s="7" t="inlineStr">
        <is>
          <t>“Kas Kuvveti ve Fiziksel Performans Ölçümlerinin Yaşlılarda Düşme Riskiyle İlişkisi”</t>
        </is>
      </c>
    </row>
    <row r="1337" ht="63" customHeight="1" s="221">
      <c r="F1337" s="7" t="inlineStr">
        <is>
          <t>“İnsan İmmün Yetmezlik Virüsü (HIV) ile Yaşayan 40 Yaş Üstü Bireylerde 7 Yıllık İzlemde Kırılganlık ve Sarkopeni Değişimi: 2018 Hacettepe Kohortunun Prospektif Yeniden Değerlendirilmesi”</t>
        </is>
      </c>
    </row>
    <row r="1338" ht="47.25" customHeight="1" s="221">
      <c r="F1338" s="7" t="inlineStr">
        <is>
          <t>“01/01/2015-30/09/2025 Yılları Arasında Koryokarsinom Olgularının Klinik, Patolojik ve Epidemiyolojik Verilerinin Değerlendirilmesi”</t>
        </is>
      </c>
    </row>
    <row r="1339" ht="31.5" customHeight="1" s="221">
      <c r="F1339" s="7" t="inlineStr">
        <is>
          <t>“Spesifik T Hücre Reseptör Yolağı Yetmezliklerinde İmmün Repertuvar Profillerinin Belirlenmesi”</t>
        </is>
      </c>
    </row>
    <row r="1340" ht="31.5" customHeight="1" s="221">
      <c r="F1340" s="7" t="inlineStr">
        <is>
          <t>“Proksimal Humerus Kırıklarında Kalkar Vidası Pozisyonunun Başarısızlık Üzerine Etkisi”</t>
        </is>
      </c>
    </row>
    <row r="1341" ht="31.5" customHeight="1" s="221">
      <c r="F1341" s="7" t="inlineStr">
        <is>
          <t>“Travma Sonrası Yumuşak Doku Yönetimi Nasıl Olmalı Travma Cerrahları Ne Diyor?”</t>
        </is>
      </c>
    </row>
    <row r="1342" ht="31.5" customHeight="1" s="221">
      <c r="F1342" s="7" t="inlineStr">
        <is>
          <t>“Tiroid Nodüllerinde Telomer Uzunluğunun Prediktif Değeri”</t>
        </is>
      </c>
    </row>
    <row r="1343" ht="31.5" customHeight="1" s="221">
      <c r="F1343" s="7" t="inlineStr">
        <is>
          <t>“İmmünoterapiye Bağlı Tiroidit Gelişiminde KIR ve HLA Genetik Profillerinin Rolü”</t>
        </is>
      </c>
    </row>
    <row r="1344" ht="47.25" customHeight="1" s="221">
      <c r="F1344" s="7" t="inlineStr">
        <is>
          <t>“Pediatrik Ürolitiazis Hastalarında Endoskopik Taş Cerrahileri Sonrası Taşsızlık ve Komplikasyon Oranını Etkileyen Faktörlerin Retrospektif İncelemesi”</t>
        </is>
      </c>
    </row>
    <row r="1345">
      <c r="F1345" s="7" t="inlineStr">
        <is>
          <t>“TESE Başarısını Etkileyen Faktörler”</t>
        </is>
      </c>
    </row>
    <row r="1346" ht="47.25" customHeight="1" s="221">
      <c r="F1346" s="7" t="inlineStr">
        <is>
          <t>“Stuve-Wiedemann Sendromu Tanısıyla İzlenen Olguların Klinik ve Moleküler Özelliklerinin Değerlendirilmesi”</t>
        </is>
      </c>
    </row>
    <row r="1347" ht="47.25" customHeight="1" s="221">
      <c r="F1347" s="7" t="inlineStr">
        <is>
          <t>“Hemoroidektomi Sonrası Kanama ve Belirleyici Faktorlerin Degerlendirilmesi: Tek Merkezli Retrospektif Analiz”</t>
        </is>
      </c>
    </row>
    <row r="1348" ht="31.5" customHeight="1" s="221">
      <c r="F1348" s="7" t="inlineStr">
        <is>
          <t>“Abdominal Nöroblastom Cerrahisinin Böbrek Hacmi Üzerine Etkisi”</t>
        </is>
      </c>
    </row>
    <row r="1349" ht="47.25" customHeight="1" s="221">
      <c r="F1349" s="7" t="inlineStr">
        <is>
          <t>“Retinopati Tarama Muayenesinde İntranazal Deksmedetomidin: En Uygun Uygulama Zamanının Belirlenmesi”</t>
        </is>
      </c>
    </row>
    <row r="1350" ht="47.25" customHeight="1" s="221">
      <c r="F1350" s="7" t="inlineStr">
        <is>
          <t>“Histerosalpingografide Uterin Kavite Ölçümlerine Dayalı Uterus Morfometrisinin IVF/Embriyo Transfer Başarısı ile İlişkisinin Değerlendirilmesi”</t>
        </is>
      </c>
    </row>
    <row r="1351" ht="63" customHeight="1" s="221">
      <c r="F1351" s="7" t="inlineStr">
        <is>
          <t>“Hava Kirliliğine Mesleki Maruziyetin Oküler Yüzey Sağlığına Etkisi: Ankara'da Partikül Madde Düzeyleri ile İlişkilendirilmiş Açık Alan ve Ofis Çalışanlarında Gözyaşı İnflamatuar Sitokinlerinin Karşılaştırılması”</t>
        </is>
      </c>
    </row>
    <row r="1352" ht="31.5" customHeight="1" s="221">
      <c r="F1352" s="7" t="inlineStr">
        <is>
          <t>"Astım Hastalarında Çocukluktan Erişkine Geçişin Tedavi Uyumu ve Takip Üzerine Etkisi"</t>
        </is>
      </c>
    </row>
    <row r="1353" ht="47.25" customHeight="1" s="221">
      <c r="F1353" s="7" t="inlineStr">
        <is>
          <t>“Sürdürülebilirlik ve Çevre Dostu Eczacılık Uygulamaları Kapsamında Farmasötik Ayak İzi Konusunda Görüş ve Tutumların Değerlendirilmesi”</t>
        </is>
      </c>
    </row>
    <row r="1354" ht="31.5" customHeight="1" s="221">
      <c r="F1354" s="7" t="inlineStr">
        <is>
          <t>“Nefrotik Sendrom Tanılı Pediatrik Hastalarda Kapsamlı İlaç Yönetimi”</t>
        </is>
      </c>
    </row>
    <row r="1355" ht="47.25" customHeight="1" s="221">
      <c r="F1355" s="7" t="inlineStr">
        <is>
          <t>“Modülatör Tedavi Kullanan Kistik Fibrozis Tanılı Çocuk Hastalarımızın Özellikleri ve Mental Sağlık Durumları”</t>
        </is>
      </c>
    </row>
    <row r="1356" ht="47.25" customHeight="1" s="221">
      <c r="F1356" s="7" t="inlineStr">
        <is>
          <t>“Çocuk Yoğun Bakımda Basınç Yaralanması Prevalansı ve Etkileyen Faktörlerin Analizi: Retrospektif Bir Çalışma”</t>
        </is>
      </c>
    </row>
    <row r="1357" ht="47.25" customHeight="1" s="221">
      <c r="F1357" s="7" t="inlineStr">
        <is>
          <t>"Oral Demir Preparatı Alerjisi Şüphesi Olan Hastalarda Alternatif Demir Tuzları ile Yapılan Oral Provokasyon Sonuçlarının Değerlendirilmesi"</t>
        </is>
      </c>
    </row>
    <row r="1358" ht="47.25" customHeight="1" s="221">
      <c r="F1358" s="7" t="inlineStr">
        <is>
          <t>"Erişkin Yaygın Değişken İmmün Yetmezlik Hastalarında Klinik Bulgular ve İmmünfenotipik Özelliklerin Analizi"</t>
        </is>
      </c>
    </row>
    <row r="1359" ht="63" customHeight="1" s="221">
      <c r="F1359" s="7" t="inlineStr">
        <is>
          <t>“Vücut Yuvarlaklık İndeksi ve Vücut Şekil İndeksi ile Beyin Hacmi Arasındaki İlişkinin Hafif Bilişsel Bozukluğu veya Demansı olan Hastalarda Manyetik Rezonans Görüntüleme ile (MRG) Değerlendirilmesi”</t>
        </is>
      </c>
    </row>
    <row r="1360" ht="47.25" customHeight="1" s="221">
      <c r="F1360" s="7" t="inlineStr">
        <is>
          <t>“Yapay Zeka Destekli Yüz Analizi ile Estetik Cerrahi Sonuçlarının Objektif Değerlendirilmesi: Retrospektif Görsel Veri Analizi”</t>
        </is>
      </c>
    </row>
    <row r="1361" ht="47.25" customHeight="1" s="221">
      <c r="F1361" s="7" t="inlineStr">
        <is>
          <t>“Geriatrik Gastrostomi Olgularında Mortalite ve Gastroskopi Komplikasyonlarını Öngeren Faktörlerin Retrospektif Analizi”</t>
        </is>
      </c>
    </row>
    <row r="1362" ht="47.25" customHeight="1" s="221">
      <c r="F1362" s="7" t="inlineStr">
        <is>
          <t>“Allojenik Kemik İliği Nakli Sonrası Nüks Hastalıkta Yapılan Tedavilerin Klinik, Laboratuvar, Prognostik, Sağ Kalım ve Yan Etkiler Açısından Değerlendirilmesi”</t>
        </is>
      </c>
    </row>
    <row r="1363" ht="63" customHeight="1" s="221">
      <c r="F1363" s="7" t="inlineStr">
        <is>
          <t>“Menstrual Siklusun Farklı Dönemlerinde Aşil Tendon Elastisitesi ile Anterior Talofibular Ligament Kalınlığının Ultrasonografi ve Shear Wave Elastografi ile Değerlendirilmesi”</t>
        </is>
      </c>
    </row>
    <row r="1364" ht="47.25" customHeight="1" s="221">
      <c r="F1364" s="7" t="inlineStr">
        <is>
          <t>“Benzotiyofen Oksabütanoik Asit'in Endometriyum Kanserinde Karboplatin Direncine Etkilerinin İn Vitro Araştırılması”</t>
        </is>
      </c>
    </row>
    <row r="1365" ht="31.5" customHeight="1" s="221">
      <c r="F1365" s="7" t="inlineStr">
        <is>
          <t>“Kronik Plak Psöriazis Tanılı Hastalarda Hepatik Fibrozisin Değerlendirilmesi”</t>
        </is>
      </c>
    </row>
    <row r="1366" ht="31.5" customHeight="1" s="221">
      <c r="F1366" s="7" t="inlineStr">
        <is>
          <t>“Tuberositas İnterossea Ulnaris Morfolojik ve Morfometrik Özelliklerinin Değerlendirilmesi”</t>
        </is>
      </c>
    </row>
    <row r="1367" ht="47.25" customHeight="1" s="221">
      <c r="F1367" s="7" t="inlineStr">
        <is>
          <t>“Maksiller Retrüzyon ile Birlikte Obstrüktif Uyku Apne Sendromu Olan Çocuklarda Maksiller İlerletme Tedavisinin Etkilerinin Retrospektif Değerlendirilmesi”</t>
        </is>
      </c>
    </row>
    <row r="1368" ht="47.25" customHeight="1" s="221">
      <c r="F1368" s="7" t="inlineStr">
        <is>
          <t>“İnfertilitenin Psikolojik Yükü: İnfertilite Tedavisi Gören Kadınlarda Beck Umutsuzluk Ölçeği ile Umutsuzluk Düzeyinin Değerlendirilmesi”</t>
        </is>
      </c>
    </row>
    <row r="1369" ht="63" customHeight="1" s="221">
      <c r="F1369" s="7" t="inlineStr">
        <is>
          <t>“Antenatal Kortikosteroid Uygulanan Gebeliklerde Fetal Dolaşım Dinamiklerinin Longitudinal İzlemi ve Perinatal Sonuçlarla İlişkisi: Prospektif Gözlemsel Çalışma”</t>
        </is>
      </c>
    </row>
    <row r="1370" ht="31.5" customHeight="1" s="221">
      <c r="F1370" s="7" t="inlineStr">
        <is>
          <t>“Fetal Kardiyak Girişim Sonrası Fetal Hemodinamik Değişimler ve Perinatal Sonuçlar”</t>
        </is>
      </c>
    </row>
    <row r="1371" ht="47.25" customHeight="1" s="221">
      <c r="F1371" s="7" t="inlineStr">
        <is>
          <t>“Psikotik Bozukluklarda Tedaviye Direnç ile İlişkili Doğal Dil İşleme Değişkenlerinin ve Düşünce Süreci Bozukluklarının Değerlendirilmesi”</t>
        </is>
      </c>
    </row>
    <row r="1372" ht="47.25" customHeight="1" s="221">
      <c r="F1372" s="7" t="inlineStr">
        <is>
          <t>“Anoreksiya Nervoza ve Atipik Anoreksiya Nervoza Tanılı Ergenlerin Remisyon ve Relaps Süreçlerinin ve Yordayıcılarının Değerlendirilmesi”</t>
        </is>
      </c>
    </row>
    <row r="1373" ht="47.25" customHeight="1" s="221">
      <c r="F1373" s="7" t="inlineStr">
        <is>
          <t>“Doksan Yaş ve Üzeri Bireylerde Elektrokardiyografik Bulgular ve Aritmi Gelişiminde Rol Oynayan Faktörlerin Değerlendirilmesi”</t>
        </is>
      </c>
    </row>
    <row r="1374" ht="47.25" customHeight="1" s="221">
      <c r="F1374" s="7" t="inlineStr">
        <is>
          <t>, “Eczacılık Öğrencileri ve Eczacıların Mesleki İlaç Erişimine Bağlı Madde Kullanımı Niyet ve Davranışlarının İncelenmesi: Bir Anket Çalışması”</t>
        </is>
      </c>
    </row>
    <row r="1375" ht="47.25" customHeight="1" s="221">
      <c r="F1375" s="7" t="inlineStr">
        <is>
          <t>“Maksillofasiyal Protezlerde Konvansiyonel ve Dijital İş Akışlarına Yönelik Diş Hekimliği 4. ve 5. Sınıf Öğrencilerinin Bilgi Düzeyinin Değerlendirilmesi”</t>
        </is>
      </c>
    </row>
    <row r="1376" ht="47.25" customHeight="1" s="221">
      <c r="F1376" s="7" t="inlineStr">
        <is>
          <t>“Protetik Diş Tedavisinde Yapay Zeka Kullanımına Dair Diş Hekimliği 4. ve 5. Sınıf Öğrencilerinin Farkındalık, Tutum ve Etik Algılarının Değerlendirilmesi”</t>
        </is>
      </c>
    </row>
    <row r="1377" ht="47.25" customHeight="1" s="221">
      <c r="F1377" s="7" t="inlineStr">
        <is>
          <t>“Adölesan Dönemdeki Çocuklarda Kaygı Düzeyi ve Okul Başarasının Temporomandibular Eklem Bozuklukları ile İlişkisi”</t>
        </is>
      </c>
    </row>
    <row r="1378" ht="47.25" customHeight="1" s="221">
      <c r="F1378" s="7" t="inlineStr">
        <is>
          <t>''Kalp Nakli Bekleyen Çocukların Ailelerinin Bilgi Düzeyi ve Eğitim İhtiyaçlarının Belirlenmesi: Tek Merkez Örneği''</t>
        </is>
      </c>
    </row>
    <row r="1379" ht="47.25" customHeight="1" s="221">
      <c r="F1379" s="7" t="inlineStr">
        <is>
          <t>“Tanıdan Tedaviye Güncel Yaklaşımlar Eğitim Programlarının Memnuniyet Anket Sonuçlarının Değerlendirilmesi”</t>
        </is>
      </c>
    </row>
    <row r="1380" ht="47.25" customHeight="1" s="221">
      <c r="F1380" s="7" t="inlineStr">
        <is>
          <t>“Sistemik Lupus Eritematozus Nefritinde Osteoporoz Risk Faktörlerinin ve Fibroblast Büyüme Faktörü-23 Yolağının Rolünün İncelenmesi”</t>
        </is>
      </c>
    </row>
    <row r="1381" ht="47.25" customHeight="1" s="221">
      <c r="F1381" s="7" t="inlineStr">
        <is>
          <t>“Term Yenidoğanlarda Kord Klempleme Süresinin Erken Metabolik ve Solunumsal Sonuçlar Üzerine Etkisi”</t>
        </is>
      </c>
    </row>
    <row r="1382" ht="31.5" customHeight="1" s="221">
      <c r="F1382" s="7" t="inlineStr">
        <is>
          <t>“80 Yaş Üzeri Hastalarda Osteoporoz Bulguları ve Tedavi Yaklaşımlarının Retrospektif Analizi”</t>
        </is>
      </c>
    </row>
    <row r="1383" ht="47.25" customHeight="1" s="221">
      <c r="F1383" s="7" t="inlineStr">
        <is>
          <t>“KBB Hava Yolu Cerrahilerinde ChatGPT’nin Preoperatif Anestezi Risk Değerlendirme Performansının İncelenmesi”</t>
        </is>
      </c>
    </row>
    <row r="1384" ht="31.5" customHeight="1" s="221">
      <c r="F1384" s="7" t="inlineStr">
        <is>
          <t>“Acil Servislerin Uygunsuz Kullanımının İncelenmesi: Bir Üniversite Hastanesi Örneği”</t>
        </is>
      </c>
    </row>
    <row r="1385" ht="47.25" customHeight="1" s="221">
      <c r="F1385" s="7" t="inlineStr">
        <is>
          <t>“İkili Seçim Deneyi Yöntemi Kullanılarak 60 yaş üstü Bireylerin RSV Aşısı ile Aşılanma Davranışına Etki Edebilecek Faktörlerin Değerlendirilmesi”</t>
        </is>
      </c>
    </row>
    <row r="1386" ht="47.25" customHeight="1" s="221">
      <c r="F1386" s="7" t="inlineStr">
        <is>
          <t>“Kronik Spontan Ürtiker Hastalarında Nonsteroid Antiinflamatuvar İlaç (NSAİİ) Hipersensitivitesinin İncelenmesi”</t>
        </is>
      </c>
    </row>
    <row r="1387" ht="31.5" customHeight="1" s="221">
      <c r="F1387" s="7" t="inlineStr">
        <is>
          <t>“Acil Serviste Çocukluk Çağı Ekzantemlerinin Haritalanması: Bir Kesitsel Gözlemsel Çalışma”</t>
        </is>
      </c>
    </row>
    <row r="1388" ht="47.25" customHeight="1" s="221">
      <c r="F1388" s="7" t="inlineStr">
        <is>
          <t>“Dermatoloji Ayaktan ve Yatan Hasta Başvurularında Yama Testi Endikasyonlarının Belirlenmesi ve Klinik ile Test Sonuçlarının Korelasyonunun İncelenmesi”</t>
        </is>
      </c>
    </row>
    <row r="1389" ht="47.25" customHeight="1" s="221">
      <c r="F1389" s="7" t="inlineStr">
        <is>
          <t>“Yatan Hastalarda Malnütrisyonun Sıklığı ve Kas Kütlesi ile Cilt Altı Yağ Dokusu Kalınlığının Ultrasonografik Korelasyonu”</t>
        </is>
      </c>
    </row>
    <row r="1390" ht="47.25" customHeight="1" s="221">
      <c r="F1390" s="7" t="inlineStr">
        <is>
          <t>“Kornea Rejenerasyonuna Yönelik Enjekte Edilebilir Gözenekli İpek Mikrotaşıyıcıların In Vivo Çalışmalarda Kullanım Etkinliğinin Belirlenmesi”</t>
        </is>
      </c>
    </row>
    <row r="1391" ht="47.25" customHeight="1" s="221">
      <c r="F1391" s="7" t="inlineStr">
        <is>
          <t>“Plastik, Rekonstrüktif ve Estetik Cerrahi Polikliniği Hastalarında Hekime Ulaşma ve Tercih Kanallarının İncelenmesi”</t>
        </is>
      </c>
    </row>
    <row r="1392" ht="47.25" customHeight="1" s="221">
      <c r="F1392" s="7" t="inlineStr">
        <is>
          <t>“Non-Melanositik Deri Tümörlerinin Dermoskopik Özelliklerinin Polarize, Non-Polarize ve UV Modlar ile Karşılaştırılması”</t>
        </is>
      </c>
    </row>
    <row r="1393" ht="31.5" customHeight="1" s="221">
      <c r="F1393" s="7" t="inlineStr">
        <is>
          <t>“Acil Servise Akut Ataksi Nedeniyle Başvuran Hastaların Klinik Özellikleri ve Yaklaşım Algoritması”</t>
        </is>
      </c>
    </row>
    <row r="1394" ht="47.25" customHeight="1" s="221">
      <c r="F1394" s="7" t="inlineStr">
        <is>
          <t>“Yüksek Dereceli Servikal Lezyon Saptanan ve Konizasyon Uygulanan Hastalarda Cerrahi Sınır Pozitifliğinin Prognoza Olan Etkisi”</t>
        </is>
      </c>
    </row>
    <row r="1395" ht="47.25" customHeight="1" s="221">
      <c r="F1395" s="7" t="inlineStr">
        <is>
          <t>“Sepsis/Septik Şok Hastalarında PI, MEWS, qSOFA, APACHE II ve CRT Değerlerinin Analizi ve Klinik Sonuçlarla İlişkisi”</t>
        </is>
      </c>
    </row>
    <row r="1396" ht="31.5" customHeight="1" s="221">
      <c r="F1396" s="7" t="inlineStr">
        <is>
          <t>“Yapay Zekâ Yardımlı Analizler ile Jinekolojik Onkoloji Konsey Karar Süreçlerinin Geliştirilmesi”</t>
        </is>
      </c>
    </row>
    <row r="1397" ht="47.25" customHeight="1" s="221">
      <c r="F1397" s="7" t="inlineStr">
        <is>
          <t>“Obsesif Kompulsif Bozukluğu olan Ergenlerde Duyusal Profil ile İnteroseptif Farkındalık ve Doğruluğun İncelenmesi”</t>
        </is>
      </c>
    </row>
    <row r="1398" ht="78.75" customHeight="1" s="221">
      <c r="F1398" s="7" t="inlineStr">
        <is>
          <t>“Mayer-Rokitansky-Küster-Hauser Sendromlu Hastalarda Uterin Remnant Dokuların Anterior Neovajen Duvarı Oluşturulmasında Kullanıldığı Modifiye Davydov Tekniğinin Tanımlanması ve Uzun Dönem Sonuçlarının Analizi”</t>
        </is>
      </c>
    </row>
    <row r="1399" ht="47.25" customHeight="1" s="221">
      <c r="F1399" s="7" t="inlineStr">
        <is>
          <t>“Erişkin Kistik Fibrozis Hastalarında Genetik Mutasyon Kombinasyonları ile Organ Sistem Tutulumu İlişkisinin İncelenmesi ”</t>
        </is>
      </c>
    </row>
    <row r="1400" ht="47.25" customHeight="1" s="221">
      <c r="F1400" s="7" t="inlineStr">
        <is>
          <t>“Mohs Cerrahisi Fellowship Eğitiminde Kullanılan Ölçme ve Değerlendirme Araçlarıyla İlgili Eğitici ve Öğrenci Görüşleri”</t>
        </is>
      </c>
    </row>
    <row r="1401" ht="47.25" customHeight="1" s="221">
      <c r="F1401" s="7" t="inlineStr">
        <is>
          <t>“Bloom Sendromu Tanısı Alan Hastaların Klinik, Demografik ve İmmünolojik Özelliklerinin Değerlendirilmesi”</t>
        </is>
      </c>
    </row>
    <row r="1402" ht="31.5" customHeight="1" s="221">
      <c r="F1402" s="7" t="inlineStr">
        <is>
          <t>“Tuberositas İnterossea Radii Morfolojik ve Morfometrik Özelliklerinin Değerlendirilmesi”</t>
        </is>
      </c>
    </row>
    <row r="1403" ht="63" customHeight="1" s="221">
      <c r="F1403" s="7" t="inlineStr">
        <is>
          <t>“Açık Apeksli Devital Dişlerde Vaka Seçimi ve Klinik Protokol Açısından Pratisyen Diş Hekimleri, Endodonti Uzmanları ve Pedodonti Uzmanlarının Tedavi Yaklaşımları”</t>
        </is>
      </c>
    </row>
    <row r="1404" ht="31.5" customHeight="1" s="221">
      <c r="F1404" s="7" t="inlineStr">
        <is>
          <t>“Beyin Omurilik Sıvısı Örneklerinde Alkol ve Psikoaktif Madde Düzeylerinin Değerlendirilmesi”</t>
        </is>
      </c>
    </row>
    <row r="1405" ht="63" customHeight="1" s="221">
      <c r="F1405" s="7" t="inlineStr">
        <is>
          <t>“Kistik Fibrozisli Çocuklarda Kistik Fibrozis Transmembran Kondüktans Regülatör Modülatör Tedavisinin Beslenme Durumu ve Hepatobiliyer Sistem Üzerine Etkisi”</t>
        </is>
      </c>
    </row>
    <row r="1406" ht="63" customHeight="1" s="221">
      <c r="F1406" s="7" t="inlineStr">
        <is>
          <t>“Multisistem İnflamatuvar Sendrom (MIS-C)’da, Sistemik Siklik Dinükleotitler (CDN’ler) ve İnterferon Genlerini Uyarıcı (STING) Yolu Aktivasyonu: Hiperinflamasyona İmmünopatolojik Bakış”</t>
        </is>
      </c>
    </row>
    <row r="1407" ht="31.5" customHeight="1" s="221">
      <c r="F1407" s="7" t="inlineStr">
        <is>
          <t>“Alt Ekstremitede Pliometrik Egzersiz Şiddetinin Belirlenmesi”</t>
        </is>
      </c>
    </row>
    <row r="1408" ht="31.5" customHeight="1" s="221">
      <c r="F1408" s="7" t="inlineStr">
        <is>
          <t>“Çocuklarda Pnömokok Taşıyıcılığı: Kültürün Ötesinde Moleküler Doğruluk”</t>
        </is>
      </c>
    </row>
    <row r="1409" ht="31.5" customHeight="1" s="221">
      <c r="F1409" s="7" t="inlineStr">
        <is>
          <t>“Uzun Süreli Glukokortikoid Kullanımına Bağlı Adrenal Yetmezlikte İlaç Kesim Sürecinin İncelenmesi”</t>
        </is>
      </c>
    </row>
    <row r="1410" ht="47.25" customHeight="1" s="221">
      <c r="F1410" s="7" t="inlineStr">
        <is>
          <t>“Subkutan İmmunoglobulin Replasman Tedavisi Almış Olan Primer İmmün Yetmezlik Hastalarının Özelliklerinin Değerlendirilmesi”</t>
        </is>
      </c>
    </row>
    <row r="1411" ht="94.5" customHeight="1" s="221">
      <c r="F1411" s="7" t="inlineStr">
        <is>
          <t>“Rh Uygunsuzluğu Olan Gebeliklerde 28. Gebelik Haftasında Uygulanan Antenatal Anti-D İmmünoglobulin Profilaksisinin Neonatal Bilirubin Düzeyleri ve Erken Dönem Yenidoğan Sonuçları Üzerine Etkisinin Değerlendirilmesi: Retrospektif Kohort Çalışması”</t>
        </is>
      </c>
    </row>
    <row r="1412" ht="31.5" customHeight="1" s="221">
      <c r="F1412" s="7" t="inlineStr">
        <is>
          <t>“Geri Dönüşümsüz Pulpitislerde Makrofaj Polarizasyonunun İncelenmesi”</t>
        </is>
      </c>
    </row>
    <row r="1413" ht="31.5" customHeight="1" s="221">
      <c r="F1413" s="7" t="inlineStr">
        <is>
          <t>“El Kavrama Kuvvetinin Ölçümünde Squegg'in Geriatrik Popülasyondaki Tanısal Geçerliliği”</t>
        </is>
      </c>
    </row>
    <row r="1414" ht="31.5" customHeight="1" s="221">
      <c r="F1414" s="7" t="inlineStr">
        <is>
          <t>“MELD 3.0 ve GEMA skorlarının Siroz Hastalarında Mortalite Öngörüsünde Etkinliğinin Araştırılması”</t>
        </is>
      </c>
    </row>
  </sheetData>
  <conditionalFormatting sqref="A2:K312 A313:E313 A314:K332 G313:K313">
    <cfRule type="expression" priority="25" dxfId="3">
      <formula>ISEVEN(ROW())</formula>
    </cfRule>
  </conditionalFormatting>
  <conditionalFormatting sqref="F1:F235 F237:F312 F314:F1048576">
    <cfRule type="duplicateValues" priority="23" dxfId="4"/>
  </conditionalFormatting>
  <conditionalFormatting sqref="L2:O332 P2:P333 P342:P1048576">
    <cfRule type="containsText" priority="9" operator="containsText" dxfId="46" text="GERİ ÇEKİLDİ">
      <formula>NOT(ISERROR(SEARCH("GERİ ÇEKİLDİ",L2)))</formula>
    </cfRule>
    <cfRule type="containsText" priority="10" operator="containsText" dxfId="13" text="RET">
      <formula>NOT(ISERROR(SEARCH("RET",L2)))</formula>
    </cfRule>
    <cfRule type="containsText" priority="11" operator="containsText" dxfId="14" text="KAPSAM DIŞI">
      <formula>NOT(ISERROR(SEARCH("KAPSAM DIŞI",L2)))</formula>
    </cfRule>
    <cfRule type="containsText" priority="12" operator="containsText" dxfId="11" text="KAEK">
      <formula>NOT(ISERROR(SEARCH("KAEK",L2)))</formula>
    </cfRule>
    <cfRule type="containsText" priority="13" operator="containsText" dxfId="42" text="GÖRÜŞ">
      <formula>NOT(ISERROR(SEARCH("GÖRÜŞ",L2)))</formula>
    </cfRule>
    <cfRule type="containsText" priority="14" operator="containsText" dxfId="41" text="DÜZELTME">
      <formula>NOT(ISERROR(SEARCH("DÜZELTME",L2)))</formula>
    </cfRule>
    <cfRule type="containsText" priority="15" operator="containsText" dxfId="40" text="ONAY">
      <formula>NOT(ISERROR(SEARCH("ONAY",L2)))</formula>
    </cfRule>
  </conditionalFormatting>
  <conditionalFormatting sqref="R1:R1048576">
    <cfRule type="notContainsBlanks" priority="1" dxfId="39">
      <formula>LEN(TRIM(R1))&gt;0</formula>
    </cfRule>
  </conditionalFormatting>
  <dataValidations count="1">
    <dataValidation sqref="L2:O332" showDropDown="0" showInputMessage="1" showErrorMessage="1" allowBlank="1" type="list">
      <formula1>"ONAY,DÜZELTME,KAEK,GÖRÜŞ,KAPSAM DIŞI,RET,GERİ ÇEKİLDİ"</formula1>
    </dataValidation>
  </dataValidations>
  <printOptions horizontalCentered="1"/>
  <pageMargins left="0.1968503937007874" right="0.1968503937007874" top="0.1968503937007874" bottom="0.3937007874015748" header="0.3149606299212598" footer="0.1968503937007874"/>
  <pageSetup orientation="landscape" paperSize="8" scale="14" fitToHeight="10"/>
</worksheet>
</file>

<file path=xl/worksheets/sheet2.xml><?xml version="1.0" encoding="utf-8"?>
<worksheet xmlns="http://schemas.openxmlformats.org/spreadsheetml/2006/main">
  <sheetPr>
    <tabColor rgb="FFFFFF00"/>
    <outlinePr summaryBelow="1" summaryRight="1"/>
    <pageSetUpPr/>
  </sheetPr>
  <dimension ref="A1:AR35"/>
  <sheetViews>
    <sheetView showZeros="0" zoomScale="50" zoomScaleNormal="50" workbookViewId="0">
      <selection activeCell="G28" sqref="G28"/>
    </sheetView>
  </sheetViews>
  <sheetFormatPr baseColWidth="8" defaultRowHeight="15.75"/>
  <cols>
    <col width="8.7109375" bestFit="1" customWidth="1" style="218" min="1" max="1"/>
    <col width="58.42578125" customWidth="1" style="218" min="2" max="2"/>
    <col width="21.28515625" bestFit="1" customWidth="1" style="218" min="3" max="3"/>
    <col width="41.28515625" bestFit="1" customWidth="1" style="218" min="4" max="4"/>
    <col width="47.85546875" bestFit="1" customWidth="1" style="218" min="5" max="5"/>
    <col width="41.5703125" bestFit="1" customWidth="1" style="218" min="6" max="6"/>
    <col width="42.140625" bestFit="1" customWidth="1" style="218" min="7" max="7"/>
    <col width="37.85546875" bestFit="1" customWidth="1" style="218" min="8" max="8"/>
    <col width="52.140625" bestFit="1" customWidth="1" style="218" min="9" max="9"/>
    <col width="52.7109375" bestFit="1" customWidth="1" style="218" min="10" max="10"/>
    <col width="33" bestFit="1" customWidth="1" style="218" min="11" max="11"/>
    <col width="41.85546875" bestFit="1" customWidth="1" style="218" min="12" max="12"/>
    <col width="48.42578125" bestFit="1" customWidth="1" style="218" min="13" max="13"/>
    <col width="42.140625" bestFit="1" customWidth="1" style="218" min="14" max="14"/>
    <col width="42.7109375" bestFit="1" customWidth="1" style="218" min="15" max="15"/>
    <col width="38.42578125" bestFit="1" customWidth="1" style="218" min="16" max="16"/>
    <col width="52.7109375" bestFit="1" customWidth="1" style="218" min="17" max="17"/>
    <col width="53.28515625" bestFit="1" customWidth="1" style="218" min="18" max="18"/>
    <col width="51.5703125" bestFit="1" customWidth="1" style="218" min="19" max="19"/>
    <col width="31.28515625" bestFit="1" customWidth="1" style="218" min="20" max="20"/>
    <col width="38.7109375" bestFit="1" customWidth="1" style="218" min="21" max="21"/>
    <col width="31.5703125" bestFit="1" customWidth="1" style="218" min="22" max="22"/>
    <col width="32.140625" bestFit="1" customWidth="1" style="218" min="23" max="23"/>
    <col width="27.85546875" bestFit="1" customWidth="1" style="218" min="24" max="24"/>
    <col width="42.140625" bestFit="1" customWidth="1" style="218" min="25" max="25"/>
    <col width="42.7109375" bestFit="1" customWidth="1" style="218" min="26" max="26"/>
    <col width="42.140625" bestFit="1" customWidth="1" style="218" min="27" max="27"/>
    <col width="34.140625" bestFit="1" customWidth="1" style="218" min="28" max="28"/>
    <col width="41" bestFit="1" customWidth="1" style="218" min="29" max="29"/>
    <col width="34.42578125" bestFit="1" customWidth="1" style="218" min="30" max="30"/>
    <col width="35.28515625" bestFit="1" customWidth="1" style="218" min="31" max="31"/>
    <col width="31" bestFit="1" customWidth="1" style="218" min="32" max="32"/>
    <col width="45.28515625" bestFit="1" customWidth="1" style="218" min="33" max="33"/>
    <col width="45.85546875" bestFit="1" customWidth="1" style="218" min="34" max="34"/>
    <col width="42.7109375" bestFit="1" customWidth="1" style="218" min="35" max="35"/>
    <col width="22.42578125" bestFit="1" customWidth="1" style="218" min="36" max="36"/>
    <col width="29.85546875" bestFit="1" customWidth="1" style="218" min="37" max="37"/>
    <col width="24.42578125" bestFit="1" customWidth="1" style="218" min="38" max="38"/>
    <col width="24.140625" bestFit="1" customWidth="1" style="218" min="39" max="39"/>
    <col width="19.85546875" bestFit="1" customWidth="1" style="218" min="40" max="40"/>
    <col width="34.140625" bestFit="1" customWidth="1" style="218" min="41" max="41"/>
    <col width="34.7109375" bestFit="1" customWidth="1" style="218" min="42" max="42"/>
    <col width="27.5703125" bestFit="1" customWidth="1" style="218" min="43" max="43"/>
    <col width="44.140625" bestFit="1" customWidth="1" style="218" min="44" max="44"/>
    <col width="9.140625" customWidth="1" style="218" min="45" max="16384"/>
  </cols>
  <sheetData>
    <row r="1" ht="20.25" customFormat="1" customHeight="1" s="14">
      <c r="A1" s="175" t="inlineStr">
        <is>
          <t>S.No</t>
        </is>
      </c>
      <c r="B1" s="209" t="inlineStr">
        <is>
          <t>Adı Soyadı</t>
        </is>
      </c>
      <c r="C1" s="176" t="inlineStr">
        <is>
          <t>Dosya Sayısı</t>
        </is>
      </c>
      <c r="D1" s="177" t="inlineStr">
        <is>
          <t>Bireysel Araştırma Onay</t>
        </is>
      </c>
      <c r="E1" s="177" t="inlineStr">
        <is>
          <t>Bireysel Araştırma Düzeltme</t>
        </is>
      </c>
      <c r="F1" s="177" t="inlineStr">
        <is>
          <t>Bireysel Araştırma KAEK</t>
        </is>
      </c>
      <c r="G1" s="177" t="inlineStr">
        <is>
          <t>Bireysel Araştırma Görüş</t>
        </is>
      </c>
      <c r="H1" s="177" t="inlineStr">
        <is>
          <t>Bireysel Araştırma Ret</t>
        </is>
      </c>
      <c r="I1" s="177" t="inlineStr">
        <is>
          <t>Bireysel Araştırma Kapsam Dışı</t>
        </is>
      </c>
      <c r="J1" s="177" t="inlineStr">
        <is>
          <t>Bireysel Araştırma Geri Çekildi</t>
        </is>
      </c>
      <c r="K1" s="178" t="inlineStr">
        <is>
          <t>BİREYSEL TOPLAM</t>
        </is>
      </c>
      <c r="L1" s="179" t="inlineStr">
        <is>
          <t>Yüksek Lisans Tezi Onay</t>
        </is>
      </c>
      <c r="M1" s="177" t="inlineStr">
        <is>
          <t>Yüksek Lisans Tezi Düzeltme</t>
        </is>
      </c>
      <c r="N1" s="177" t="inlineStr">
        <is>
          <t>Yüksek Lisans Tezi KAEK</t>
        </is>
      </c>
      <c r="O1" s="177" t="inlineStr">
        <is>
          <t>Yüksek Lisans Tezi Görüş</t>
        </is>
      </c>
      <c r="P1" s="177" t="inlineStr">
        <is>
          <t>Yüksek Lisans Tezi Ret</t>
        </is>
      </c>
      <c r="Q1" s="177" t="inlineStr">
        <is>
          <t>Yüksek Lisans Tezi Kapsam Dışı</t>
        </is>
      </c>
      <c r="R1" s="177" t="inlineStr">
        <is>
          <t>Yüksek Lisans Tezi Geri Çekildi</t>
        </is>
      </c>
      <c r="S1" s="180" t="inlineStr">
        <is>
          <t>YÜKSEK LİSANS TEZİ TOPLAM</t>
        </is>
      </c>
      <c r="T1" s="177" t="inlineStr">
        <is>
          <t>Doktora Tezi Onay</t>
        </is>
      </c>
      <c r="U1" s="177" t="inlineStr">
        <is>
          <t>Doktora Tezi  Düzeltme</t>
        </is>
      </c>
      <c r="V1" s="177" t="inlineStr">
        <is>
          <t>Doktora Tezi KAEK</t>
        </is>
      </c>
      <c r="W1" s="177" t="inlineStr">
        <is>
          <t>Doktora Tezi Görüş</t>
        </is>
      </c>
      <c r="X1" s="177" t="inlineStr">
        <is>
          <t>Doktora Tezi Ret</t>
        </is>
      </c>
      <c r="Y1" s="177" t="inlineStr">
        <is>
          <t>Doktora Tezi Kapsam Dışı</t>
        </is>
      </c>
      <c r="Z1" s="177" t="inlineStr">
        <is>
          <t>Doktora Tezi Geri Çekildi</t>
        </is>
      </c>
      <c r="AA1" s="181" t="inlineStr">
        <is>
          <t>DOKTORA TEZİ TOPLAM</t>
        </is>
      </c>
      <c r="AB1" s="177" t="inlineStr">
        <is>
          <t>Uzmanlık Tezi Onay</t>
        </is>
      </c>
      <c r="AC1" s="177" t="inlineStr">
        <is>
          <t>Uzmanlık Tezi Düzeltme</t>
        </is>
      </c>
      <c r="AD1" s="177" t="inlineStr">
        <is>
          <t>Uzmanlık Tezi KAEK</t>
        </is>
      </c>
      <c r="AE1" s="177" t="inlineStr">
        <is>
          <t>Uzmanlık Tezi Görüş</t>
        </is>
      </c>
      <c r="AF1" s="177" t="inlineStr">
        <is>
          <t>Uzmanlık Tezi Ret</t>
        </is>
      </c>
      <c r="AG1" s="177" t="inlineStr">
        <is>
          <t>Uzmanlık Tezi Kapsam Dışı</t>
        </is>
      </c>
      <c r="AH1" s="177" t="inlineStr">
        <is>
          <t>Uzmanlık Tezi Geri Çekildi</t>
        </is>
      </c>
      <c r="AI1" s="181" t="inlineStr">
        <is>
          <t>UZMANLIK TEZİ TOPLAM</t>
        </is>
      </c>
      <c r="AJ1" s="183" t="inlineStr">
        <is>
          <t>Onay Toplam</t>
        </is>
      </c>
      <c r="AK1" s="183" t="inlineStr">
        <is>
          <t xml:space="preserve">Düzeltme Toplam </t>
        </is>
      </c>
      <c r="AL1" s="183" t="inlineStr">
        <is>
          <t xml:space="preserve">KAEK  Toplam </t>
        </is>
      </c>
      <c r="AM1" s="183" t="inlineStr">
        <is>
          <t xml:space="preserve">Görüş Toplam </t>
        </is>
      </c>
      <c r="AN1" s="183" t="inlineStr">
        <is>
          <t xml:space="preserve">Ret Toplam </t>
        </is>
      </c>
      <c r="AO1" s="183" t="inlineStr">
        <is>
          <t xml:space="preserve">Kapsam Dışı Toplam </t>
        </is>
      </c>
      <c r="AP1" s="183" t="inlineStr">
        <is>
          <t xml:space="preserve">Geri Çekildi Toplam </t>
        </is>
      </c>
      <c r="AQ1" s="183" t="inlineStr">
        <is>
          <t>GENEL TOPLAM</t>
        </is>
      </c>
      <c r="AR1" s="182" t="inlineStr">
        <is>
          <t>BEKLEYEN DOSYA SAYISI</t>
        </is>
      </c>
    </row>
    <row r="2" ht="30.75" customFormat="1" customHeight="1" s="14">
      <c r="A2" s="21" t="inlineStr">
        <is>
          <t>1.</t>
        </is>
      </c>
      <c r="B2" s="22" t="inlineStr">
        <is>
          <t>Prof. Dr. Ayşe Nurten AKARSU</t>
        </is>
      </c>
      <c r="C2" s="12">
        <f>COUNTIF(Başvuru!J2:K1223,"Prof. Dr. Ayşe Nurten AKARSU")</f>
        <v/>
      </c>
      <c r="D2" s="186">
        <f t="array" ref="D2">SUMPRODUCT(((Başvuru!J2:K1223)="Prof. Dr. Ayşe Nurten AKARSU")*(Başvuru!G2:G1223="Bireysel Araştırma")*(Başvuru!L2:L1223="ONAY"))</f>
        <v/>
      </c>
      <c r="E2" s="186">
        <f t="array" ref="E2">SUMPRODUCT(((Başvuru!J2:K1223)="Prof. Dr. Ayşe Nurten AKARSU")*(Başvuru!G2:G1223="Bireysel Araştırma")*(Başvuru!L2:L1223="DÜZELTME"))</f>
        <v/>
      </c>
      <c r="F2" s="186">
        <f t="array" ref="F2">SUMPRODUCT(((Başvuru!J2:K1223)="Prof. Dr. Ayşe Nurten AKARSU")*(Başvuru!G2:G1223="Bireysel Araştırma")*(Başvuru!L2:L1223="KAEK"))</f>
        <v/>
      </c>
      <c r="G2" s="186">
        <f t="array" ref="G2">SUMPRODUCT(((Başvuru!J2:K1223)="Prof. Dr. Ayşe Nurten AKARSU")*(Başvuru!G2:G1223="Bireysel Araştırma")*(Başvuru!L2:L1223="GÖRÜŞ"))</f>
        <v/>
      </c>
      <c r="H2" s="186">
        <f t="array" ref="H2">SUMPRODUCT(((Başvuru!J2:K1223)="Prof. Dr. Ayşe Nurten AKARSU")*(Başvuru!G2:G1223="Bireysel Araştırma")*(Başvuru!L2:L1223="RET"))</f>
        <v/>
      </c>
      <c r="I2" s="186">
        <f t="array" ref="I2">SUMPRODUCT(((Başvuru!J2:K1223)="Prof. Dr. Ayşe Nurten AKARSU")*(Başvuru!G2:G1223="Bireysel Araştırma")*(Başvuru!L2:L1223="KAPSAM DIŞI"))</f>
        <v/>
      </c>
      <c r="J2" s="186">
        <f t="array" ref="J2">SUMPRODUCT(((Başvuru!J2:K1223)="Prof. Dr. Ayşe Nurten AKARSU")*(Başvuru!G2:G1223="Bireysel Araştırma")*(Başvuru!L2:L1223="GERİ ÇEKİLDİ"))</f>
        <v/>
      </c>
      <c r="K2" s="12">
        <f>SUM(D2:J2)</f>
        <v/>
      </c>
      <c r="L2" s="12">
        <f t="array" ref="L2">SUMPRODUCT(((Başvuru!J2:K1223)="Prof. Dr. Ayşe Nurten AKARSU")*(Başvuru!G2:G1223="Yüksek Lisans Tezi")*(Başvuru!L2:L1223="ONAY"))</f>
        <v/>
      </c>
      <c r="M2" s="12">
        <f t="array" ref="M2">SUMPRODUCT(((Başvuru!J2:K1223)="Prof. Dr. Ayşe Nurten AKARSU")*(Başvuru!G2:G1223="Yüksek Lisans Tezi")*(Başvuru!L2:L1223="DÜZELTME"))</f>
        <v/>
      </c>
      <c r="N2" s="12">
        <f t="array" ref="N2">SUMPRODUCT(((Başvuru!J2:K1223)="Prof. Dr. Ayşe Nurten AKARSU")*(Başvuru!G2:G1223="Yüksek Lisans Tezi")*(Başvuru!L2:L1223="KAEK"))</f>
        <v/>
      </c>
      <c r="O2" s="12">
        <f t="array" ref="O2">SUMPRODUCT(((Başvuru!J2:K1223)="Prof. Dr. Ayşe Nurten AKARSU")*(Başvuru!G2:G1223="Yüksek Lisans Tezi")*(Başvuru!L2:L1223="GÖRÜŞ"))</f>
        <v/>
      </c>
      <c r="P2" s="12">
        <f t="array" ref="P2">SUMPRODUCT(((Başvuru!J2:K1223)="Prof. Dr. Ayşe Nurten AKARSU")*(Başvuru!G2:G1223="Yüksek Lisans Tezi")*(Başvuru!L2:L1223="RET"))</f>
        <v/>
      </c>
      <c r="Q2" s="12">
        <f t="array" ref="Q2">SUMPRODUCT(((Başvuru!J2:K1223)="Prof. Dr. Ayşe Nurten AKARSU")*(Başvuru!G2:G1223="Yüksek Lisans Tezi")*(Başvuru!L2:L1223="KAPSAM DIŞI"))</f>
        <v/>
      </c>
      <c r="R2" s="12">
        <f t="array" ref="R2">SUMPRODUCT(((Başvuru!J2:K1223)="Prof. Dr. Ayşe Nurten AKARSU")*(Başvuru!G2:G1223="Yüksek Lisans Tezi")*(Başvuru!L2:L1223="GERİ ÇEKİLDİ"))</f>
        <v/>
      </c>
      <c r="S2" s="12">
        <f>SUM(L2:R2)</f>
        <v/>
      </c>
      <c r="T2" s="12">
        <f t="array" ref="T2">SUMPRODUCT(((Başvuru!J2:K1223)="Prof. Dr. Ayşe Nurten AKARSU")*(Başvuru!G2:G1223="Doktora Tezi")*(Başvuru!L2:L1223="ONAY"))</f>
        <v/>
      </c>
      <c r="U2" s="12">
        <f t="array" ref="U2">SUMPRODUCT(((Başvuru!J2:K1223)="Prof. Dr. Ayşe Nurten AKARSU")*(Başvuru!G2:G1223="Doktora Tezi")*(Başvuru!L2:L1223="DÜZELTME"))</f>
        <v/>
      </c>
      <c r="V2" s="12">
        <f t="array" ref="V2">SUMPRODUCT(((Başvuru!J2:K1223)="Prof. Dr. Ayşe Nurten AKARSU")*(Başvuru!G2:G1223="Doktora Tezi")*(Başvuru!L2:L1223="KAEK"))</f>
        <v/>
      </c>
      <c r="W2" s="12">
        <f t="array" ref="W2">SUMPRODUCT(((Başvuru!J2:K1223)="Prof. Dr. Ayşe Nurten AKARSU")*(Başvuru!G2:G1223="Doktora Tezi")*(Başvuru!L2:L1223="GÖRÜŞ"))</f>
        <v/>
      </c>
      <c r="X2" s="12">
        <f t="array" ref="X2">SUMPRODUCT(((Başvuru!J2:K1223)="Prof. Dr. Ayşe Nurten AKARSU")*(Başvuru!G2:G1223="Doktora Tezi")*(Başvuru!L2:L1223="RET"))</f>
        <v/>
      </c>
      <c r="Y2" s="12">
        <f t="array" ref="Y2">SUMPRODUCT(((Başvuru!J2:K1223)="Prof. Dr. Ayşe Nurten AKARSU")*(Başvuru!G2:G1223="Doktora Tezi")*(Başvuru!L2:L1223="KAPSAM DIŞI"))</f>
        <v/>
      </c>
      <c r="Z2" s="12">
        <f t="array" ref="Z2">SUMPRODUCT(((Başvuru!J2:K1223)="Prof. Dr. Ayşe Nurten AKARSU")*(Başvuru!G2:G1223="Doktora Tezi")*(Başvuru!L2:L1223="GERİ ÇEKİLDİ"))</f>
        <v/>
      </c>
      <c r="AA2" s="12">
        <f>SUM(T2:Z2)</f>
        <v/>
      </c>
      <c r="AB2" s="12">
        <f t="array" ref="AB2">SUMPRODUCT(((Başvuru!J2:K1223)="Prof. Dr. Ayşe Nurten AKARSU")*(Başvuru!G2:G1223="Uzmanlık Tezi")*(Başvuru!L2:L1223="ONAY"))</f>
        <v/>
      </c>
      <c r="AC2" s="12">
        <f t="array" ref="AC2">SUMPRODUCT(((Başvuru!J2:K1223)="Prof. Dr. Ayşe Nurten AKARSU")*(Başvuru!G2:G1223="Uzmanlık Tezi")*(Başvuru!L2:L1223="DÜZELTME"))</f>
        <v/>
      </c>
      <c r="AD2" s="12">
        <f t="array" ref="AD2">SUMPRODUCT(((Başvuru!J2:K1223)="Prof. Dr. Ayşe Nurten AKARSU")*(Başvuru!G2:G1223="Uzmanlık Tezi")*(Başvuru!L2:L1223="KAEK"))</f>
        <v/>
      </c>
      <c r="AE2" s="12">
        <f t="array" ref="AE2">SUMPRODUCT(((Başvuru!J2:K1223)="Prof. Dr. Ayşe Nurten AKARSU")*(Başvuru!G2:G1223="Uzmanlık Tezi")*(Başvuru!L2:L1223="GÖRÜŞ"))</f>
        <v/>
      </c>
      <c r="AF2" s="12">
        <f t="array" ref="AF2">SUMPRODUCT(((Başvuru!J2:K1223)="Prof. Dr. Ayşe Nurten AKARSU")*(Başvuru!G2:G1223="Uzmanlık Tezi")*(Başvuru!L2:L1223="RET"))</f>
        <v/>
      </c>
      <c r="AG2" s="12">
        <f t="array" ref="AG2">SUMPRODUCT(((Başvuru!J2:K1223)="Prof. Dr. Ayşe Nurten AKARSU")*(Başvuru!G2:G1223="Uzmanlık Tezi")*(Başvuru!L2:L1223="KAPSAM DIŞI"))</f>
        <v/>
      </c>
      <c r="AH2" s="12">
        <f t="array" ref="AH2">SUMPRODUCT(((Başvuru!J2:K1223)="Prof. Dr. Ayşe Nurten AKARSU")*(Başvuru!G2:G1223="Uzmanlık Tezi")*(Başvuru!L2:L1223="GERİ ÇEKİLDİ"))</f>
        <v/>
      </c>
      <c r="AI2" s="12">
        <f>SUM(AB2:AH2)</f>
        <v/>
      </c>
      <c r="AJ2" s="31">
        <f>SUM(D2,L2,T2,AB2)</f>
        <v/>
      </c>
      <c r="AK2" s="31">
        <f>SUM(E2,M2,U2,AC2)</f>
        <v/>
      </c>
      <c r="AL2" s="31">
        <f>SUM(F2,N2,V2,AD2)</f>
        <v/>
      </c>
      <c r="AM2" s="31">
        <f>SUM(G2,O2,W2,AE2)</f>
        <v/>
      </c>
      <c r="AN2" s="31">
        <f>SUM(H2,P2,X2,AF2)</f>
        <v/>
      </c>
      <c r="AO2" s="31">
        <f>SUM(I2,Q2,Y2,AG2)</f>
        <v/>
      </c>
      <c r="AP2" s="31">
        <f>SUM(J2,R2,Z2,AH2)</f>
        <v/>
      </c>
      <c r="AQ2" s="164">
        <f>SUM(AJ2:AP2)</f>
        <v/>
      </c>
      <c r="AR2" s="12">
        <f>C2-AQ2</f>
        <v/>
      </c>
    </row>
    <row r="3" ht="30" customFormat="1" customHeight="1" s="14">
      <c r="A3" s="21" t="inlineStr">
        <is>
          <t>2.</t>
        </is>
      </c>
      <c r="B3" s="22" t="inlineStr">
        <is>
          <t>Prof. Dr. M. Özgür UYANIK</t>
        </is>
      </c>
      <c r="C3" s="12">
        <f>COUNTIF(Başvuru!J2:K1223,"Prof. Dr. M. Özgür UYANIK")</f>
        <v/>
      </c>
      <c r="D3" s="186">
        <f t="array" ref="D3">SUMPRODUCT(((Başvuru!J2:K1223)="Prof. Dr. M. Özgür UYANIK")*(Başvuru!G2:G1223="Bireysel Araştırma")*(Başvuru!L2:L1223="ONAY"))</f>
        <v/>
      </c>
      <c r="E3" s="186">
        <f t="array" ref="E3">SUMPRODUCT(((Başvuru!J2:K1223)="Prof. Dr. M. Özgür UYANIK")*(Başvuru!G2:G1223="Bireysel Araştırma")*(Başvuru!L2:L1223="DÜZELTME"))</f>
        <v/>
      </c>
      <c r="F3" s="186">
        <f t="array" ref="F3">SUMPRODUCT(((Başvuru!J2:K1223)="Prof. Dr. M. Özgür UYANIK")*(Başvuru!G2:G1223="Bireysel Araştırma")*(Başvuru!L2:L1223="KAEK"))</f>
        <v/>
      </c>
      <c r="G3" s="186">
        <f t="array" ref="G3">SUMPRODUCT(((Başvuru!J2:K1223)="Prof. Dr. M. Özgür UYANIK")*(Başvuru!G2:G1223="Bireysel Araştırma")*(Başvuru!L2:L1223="GÖRÜŞ"))</f>
        <v/>
      </c>
      <c r="H3" s="186">
        <f t="array" ref="H3">SUMPRODUCT(((Başvuru!J2:K1223)="Prof. Dr. M. Özgür UYANIK")*(Başvuru!G2:G1223="Bireysel Araştırma")*(Başvuru!L2:L1223="RET"))</f>
        <v/>
      </c>
      <c r="I3" s="186">
        <f t="array" ref="I3">SUMPRODUCT(((Başvuru!J2:K1223)="Prof. Dr. M. Özgür UYANIK")*(Başvuru!G2:G1223="Bireysel Araştırma")*(Başvuru!L2:L1223="KAPSAM DIŞI"))</f>
        <v/>
      </c>
      <c r="J3" s="186">
        <f t="array" ref="J3">SUMPRODUCT(((Başvuru!J2:K1223)="Prof. Dr. M. Özgür UYANIK")*(Başvuru!G2:G1223="Bireysel Araştırma")*(Başvuru!L2:L1223="GERİ ÇEKİLDİ"))</f>
        <v/>
      </c>
      <c r="K3" s="12">
        <f>SUM(D3:J3)</f>
        <v/>
      </c>
      <c r="L3" s="12">
        <f t="array" ref="L3">SUMPRODUCT(((Başvuru!J2:K1223)="Prof. Dr. M. Özgür UYANIK")*(Başvuru!G2:G1223="Yüksek Lisans Tezi")*(Başvuru!L2:L1223="ONAY"))</f>
        <v/>
      </c>
      <c r="M3" s="12">
        <f t="array" ref="M3">SUMPRODUCT(((Başvuru!J2:K1223)="Prof. Dr. M. Özgür UYANIK")*(Başvuru!G2:G1223="Yüksek Lisans Tezi")*(Başvuru!L2:L1223="DÜZELTME"))</f>
        <v/>
      </c>
      <c r="N3" s="12">
        <f t="array" ref="N3">SUMPRODUCT(((Başvuru!J2:K1223)="Prof. Dr. M. Özgür UYANIK")*(Başvuru!G2:G1223="Yüksek Lisans Tezi")*(Başvuru!L2:L1223="KAEK"))</f>
        <v/>
      </c>
      <c r="O3" s="12">
        <f t="array" ref="O3">SUMPRODUCT(((Başvuru!J2:K1223)="Prof. Dr. M. Özgür UYANIK")*(Başvuru!G2:G1223="Yüksek Lisans Tezi")*(Başvuru!L2:L1223="GÖRÜŞ"))</f>
        <v/>
      </c>
      <c r="P3" s="12">
        <f t="array" ref="P3">SUMPRODUCT(((Başvuru!J2:K1223)="Prof. Dr. M. Özgür UYANIK")*(Başvuru!G2:G1223="Yüksek Lisans Tezi")*(Başvuru!L2:L1223="RET"))</f>
        <v/>
      </c>
      <c r="Q3" s="12">
        <f t="array" ref="Q3">SUMPRODUCT(((Başvuru!J2:K1223)="Prof. Dr. M. Özgür UYANIK")*(Başvuru!G2:G1223="Yüksek Lisans Tezi")*(Başvuru!L2:L1223="KAPSAM DIŞI"))</f>
        <v/>
      </c>
      <c r="R3" s="12">
        <f t="array" ref="R3">SUMPRODUCT(((Başvuru!J2:K1223)="Prof. Dr. M. Özgür UYANIK")*(Başvuru!G2:G1223="Yüksek Lisans Tezi")*(Başvuru!L2:L1223="GERİ ÇEKİLDİ"))</f>
        <v/>
      </c>
      <c r="S3" s="12">
        <f>SUM(L3:R3)</f>
        <v/>
      </c>
      <c r="T3" s="12">
        <f t="array" ref="T3">SUMPRODUCT(((Başvuru!J2:K1223)="Prof. Dr. M. Özgür UYANIK")*(Başvuru!G2:G1223="Doktora Tezi")*(Başvuru!L2:L1223="ONAY"))</f>
        <v/>
      </c>
      <c r="U3" s="12">
        <f t="array" ref="U3">SUMPRODUCT(((Başvuru!J2:K1223)="Prof. Dr. M. Özgür UYANIK")*(Başvuru!G2:G1223="Doktora Tezi")*(Başvuru!L2:L1223="DÜZELTME"))</f>
        <v/>
      </c>
      <c r="V3" s="12">
        <f t="array" ref="V3">SUMPRODUCT(((Başvuru!J2:K1223)="Prof. Dr. M. Özgür UYANIK")*(Başvuru!G2:G1223="Doktora Tezi")*(Başvuru!L2:L1223="KAEK"))</f>
        <v/>
      </c>
      <c r="W3" s="12">
        <f t="array" ref="W3">SUMPRODUCT(((Başvuru!J2:K1223)="Prof. Dr. M. Özgür UYANIK")*(Başvuru!G2:G1223="Doktora Tezi")*(Başvuru!L2:L1223="GÖRÜŞ"))</f>
        <v/>
      </c>
      <c r="X3" s="12">
        <f t="array" ref="X3">SUMPRODUCT(((Başvuru!J2:K1223)="Prof. Dr. M. Özgür UYANIK")*(Başvuru!G2:G1223="Doktora Tezi")*(Başvuru!L2:L1223="RET"))</f>
        <v/>
      </c>
      <c r="Y3" s="12">
        <f t="array" ref="Y3">SUMPRODUCT(((Başvuru!J2:K1223)="Prof. Dr. M. Özgür UYANIK")*(Başvuru!G2:G1223="Doktora Tezi")*(Başvuru!L2:L1223="KAPSAM DIŞI"))</f>
        <v/>
      </c>
      <c r="Z3" s="12">
        <f t="array" ref="Z3">SUMPRODUCT(((Başvuru!J2:K1223)="Prof. Dr. M. Özgür UYANIK")*(Başvuru!G2:G1223="Doktora Tezi")*(Başvuru!L2:L1223="GERİ ÇEKİLDİ"))</f>
        <v/>
      </c>
      <c r="AA3" s="12">
        <f>SUM(T3:Z3)</f>
        <v/>
      </c>
      <c r="AB3" s="12">
        <f t="array" ref="AB3">SUMPRODUCT(((Başvuru!J2:K1223)="Prof. Dr. M. Özgür UYANIK")*(Başvuru!G2:G1223="Uzmanlık Tezi")*(Başvuru!L2:L1223="ONAY"))</f>
        <v/>
      </c>
      <c r="AC3" s="12">
        <f t="array" ref="AC3">SUMPRODUCT(((Başvuru!J2:K1223)="Prof. Dr. M. Özgür UYANIK")*(Başvuru!G2:G1223="Uzmanlık Tezi")*(Başvuru!L2:L1223="DÜZELTME"))</f>
        <v/>
      </c>
      <c r="AD3" s="12">
        <f t="array" ref="AD3">SUMPRODUCT(((Başvuru!J2:K1223)="Prof. Dr. M. Özgür UYANIK")*(Başvuru!G2:G1223="Uzmanlık Tezi")*(Başvuru!L2:L1223="KAEK"))</f>
        <v/>
      </c>
      <c r="AE3" s="12">
        <f t="array" ref="AE3">SUMPRODUCT(((Başvuru!J2:K1223)="Prof. Dr. M. Özgür UYANIK")*(Başvuru!G2:G1223="Uzmanlık Tezi")*(Başvuru!L2:L1223="GÖRÜŞ"))</f>
        <v/>
      </c>
      <c r="AF3" s="12">
        <f t="array" ref="AF3">SUMPRODUCT(((Başvuru!J2:K1223)="Prof. Dr. M. Özgür UYANIK")*(Başvuru!G2:G1223="Uzmanlık Tezi")*(Başvuru!L2:L1223="RET"))</f>
        <v/>
      </c>
      <c r="AG3" s="12">
        <f t="array" ref="AG3">SUMPRODUCT(((Başvuru!J2:K1223)="Prof. Dr. M. Özgür UYANIK")*(Başvuru!G2:G1223="Uzmanlık Tezi")*(Başvuru!L2:L1223="KAPSAM DIŞI"))</f>
        <v/>
      </c>
      <c r="AH3" s="12">
        <f t="array" ref="AH3">SUMPRODUCT(((Başvuru!J2:K1223)="Prof. Dr. M. Özgür UYANIK")*(Başvuru!G2:G1223="Uzmanlık Tezi")*(Başvuru!L2:L1223="GERİ ÇEKİLDİ"))</f>
        <v/>
      </c>
      <c r="AI3" s="12">
        <f>SUM(AB3:AH3)</f>
        <v/>
      </c>
      <c r="AJ3" s="31">
        <f>SUM(D3,L3,T3,AB3)</f>
        <v/>
      </c>
      <c r="AK3" s="31">
        <f>SUM(E3,M3,U3,AC3)</f>
        <v/>
      </c>
      <c r="AL3" s="31">
        <f>SUM(F3,N3,V3,AD3)</f>
        <v/>
      </c>
      <c r="AM3" s="31">
        <f>SUM(G3,O3,W3,AE3)</f>
        <v/>
      </c>
      <c r="AN3" s="31">
        <f>SUM(H3,P3,X3,AF3)</f>
        <v/>
      </c>
      <c r="AO3" s="31">
        <f>SUM(I3,Q3,Y3,AG3)</f>
        <v/>
      </c>
      <c r="AP3" s="31">
        <f>SUM(J3,R3,Z3,AH3)</f>
        <v/>
      </c>
      <c r="AQ3" s="164">
        <f>SUM(AJ3:AP3)</f>
        <v/>
      </c>
      <c r="AR3" s="12">
        <f>C3-AQ3</f>
        <v/>
      </c>
    </row>
    <row r="4" ht="30" customFormat="1" customHeight="1" s="14">
      <c r="A4" s="21" t="inlineStr">
        <is>
          <t>3.</t>
        </is>
      </c>
      <c r="B4" s="22" t="inlineStr">
        <is>
          <t>Prof. Dr. Melih Önder BABAOĞLU</t>
        </is>
      </c>
      <c r="C4" s="12">
        <f>COUNTIF(Başvuru!J2:K1223,"Prof. Dr. Melih Önder BABAOĞLU")</f>
        <v/>
      </c>
      <c r="D4" s="186">
        <f t="array" ref="D4">SUMPRODUCT(((Başvuru!J2:K1223)="Prof. Dr. Melih Önder BABAOĞLU")*(Başvuru!G2:G1223="Bireysel Araştırma")*(Başvuru!L2:L1223="ONAY"))</f>
        <v/>
      </c>
      <c r="E4" s="186">
        <f t="array" ref="E4">SUMPRODUCT(((Başvuru!J2:K1223)="Prof. Dr. Melih Önder BABAOĞLU")*(Başvuru!G2:G1223="Bireysel Araştırma")*(Başvuru!L2:L1223="DÜZELTME"))</f>
        <v/>
      </c>
      <c r="F4" s="186">
        <f t="array" ref="F4">SUMPRODUCT(((Başvuru!J2:K1223)="Prof. Dr. Melih Önder BABAOĞLU")*(Başvuru!G2:G1223="Bireysel Araştırma")*(Başvuru!L2:L1223="KAEK"))</f>
        <v/>
      </c>
      <c r="G4" s="186">
        <f t="array" ref="G4">SUMPRODUCT(((Başvuru!J2:K1223)="Prof. Dr. Melih Önder BABAOĞLU")*(Başvuru!G2:G1223="Bireysel Araştırma")*(Başvuru!L2:L1223="GÖRÜŞ"))</f>
        <v/>
      </c>
      <c r="H4" s="186">
        <f t="array" ref="H4">SUMPRODUCT(((Başvuru!J2:K1223)="Prof. Dr. Melih Önder BABAOĞLU")*(Başvuru!G2:G1223="Bireysel Araştırma")*(Başvuru!L2:L1223="RET"))</f>
        <v/>
      </c>
      <c r="I4" s="186">
        <f t="array" ref="I4">SUMPRODUCT(((Başvuru!J2:K1223)="Prof. Dr. Melih Önder BABAOĞLU")*(Başvuru!G2:G1223="Bireysel Araştırma")*(Başvuru!L2:L1223="KAPSAM DIŞI"))</f>
        <v/>
      </c>
      <c r="J4" s="186">
        <f t="array" ref="J4">SUMPRODUCT(((Başvuru!J2:K1223)="Prof. Dr. Melih Önder BABAOĞLU")*(Başvuru!G2:G1223="Bireysel Araştırma")*(Başvuru!L2:L1223="GERİ ÇEKİLDİ"))</f>
        <v/>
      </c>
      <c r="K4" s="12">
        <f>SUM(D4:J4)</f>
        <v/>
      </c>
      <c r="L4" s="12">
        <f t="array" ref="L4">SUMPRODUCT(((Başvuru!J2:K1223)="Prof. Dr. Melih Önder BABAOĞLU")*(Başvuru!G2:G1223="Yüksek Lisans Tezi")*(Başvuru!L2:L1223="ONAY"))</f>
        <v/>
      </c>
      <c r="M4" s="12">
        <f t="array" ref="M4">SUMPRODUCT(((Başvuru!J2:K1223)="Prof. Dr. Melih Önder BABAOĞLU")*(Başvuru!G2:G1223="Yüksek Lisans Tezi")*(Başvuru!L2:L1223="DÜZELTME"))</f>
        <v/>
      </c>
      <c r="N4" s="12">
        <f t="array" ref="N4">SUMPRODUCT(((Başvuru!J2:K1223)="Prof. Dr. Melih Önder BABAOĞLU")*(Başvuru!G2:G1223="Yüksek Lisans Tezi")*(Başvuru!L2:L1223="KAEK"))</f>
        <v/>
      </c>
      <c r="O4" s="12">
        <f t="array" ref="O4">SUMPRODUCT(((Başvuru!J2:K1223)="Prof. Dr. Melih Önder BABAOĞLU")*(Başvuru!G2:G1223="Yüksek Lisans Tezi")*(Başvuru!L2:L1223="GÖRÜŞ"))</f>
        <v/>
      </c>
      <c r="P4" s="12">
        <f t="array" ref="P4">SUMPRODUCT(((Başvuru!J2:K1223)="Prof. Dr. Melih Önder BABAOĞLU")*(Başvuru!G2:G1223="Yüksek Lisans Tezi")*(Başvuru!L2:L1223="RET"))</f>
        <v/>
      </c>
      <c r="Q4" s="12">
        <f t="array" ref="Q4">SUMPRODUCT(((Başvuru!J2:K1223)="Prof. Dr. Melih Önder BABAOĞLU")*(Başvuru!G2:G1223="Yüksek Lisans Tezi")*(Başvuru!L2:L1223="KAPSAM DIŞI"))</f>
        <v/>
      </c>
      <c r="R4" s="12">
        <f t="array" ref="R4">SUMPRODUCT(((Başvuru!J2:K1223)="Prof. Dr. Melih Önder BABAOĞLU")*(Başvuru!G2:G1223="Yüksek Lisans Tezi")*(Başvuru!L2:L1223="GERİ ÇEKİLDİ"))</f>
        <v/>
      </c>
      <c r="S4" s="12">
        <f>SUM(L4:R4)</f>
        <v/>
      </c>
      <c r="T4" s="12">
        <f t="array" ref="T4">SUMPRODUCT(((Başvuru!J2:K1223)="Prof. Dr. Melih Önder BABAOĞLU")*(Başvuru!G2:G1223="Doktora Tezi")*(Başvuru!L2:L1223="ONAY"))</f>
        <v/>
      </c>
      <c r="U4" s="12">
        <f t="array" ref="U4">SUMPRODUCT(((Başvuru!J2:K1223)="Prof. Dr. Melih Önder BABAOĞLU")*(Başvuru!G2:G1223="Doktora Tezi")*(Başvuru!L2:L1223="DÜZELTME"))</f>
        <v/>
      </c>
      <c r="V4" s="12">
        <f t="array" ref="V4">SUMPRODUCT(((Başvuru!J2:K1223)="Prof. Dr. Melih Önder BABAOĞLU")*(Başvuru!G2:G1223="Doktora Tezi")*(Başvuru!L2:L1223="KAEK"))</f>
        <v/>
      </c>
      <c r="W4" s="12">
        <f t="array" ref="W4">SUMPRODUCT(((Başvuru!J2:K1223)="Prof. Dr. Melih Önder BABAOĞLU")*(Başvuru!G2:G1223="Doktora Tezi")*(Başvuru!L2:L1223="GÖRÜŞ"))</f>
        <v/>
      </c>
      <c r="X4" s="12">
        <f t="array" ref="X4">SUMPRODUCT(((Başvuru!J2:K1223)="Prof. Dr. Melih Önder BABAOĞLU")*(Başvuru!G2:G1223="Doktora Tezi")*(Başvuru!L2:L1223="RET"))</f>
        <v/>
      </c>
      <c r="Y4" s="12">
        <f t="array" ref="Y4">SUMPRODUCT(((Başvuru!J2:K1223)="Prof. Dr. Melih Önder BABAOĞLU")*(Başvuru!G2:G1223="Doktora Tezi")*(Başvuru!L2:L1223="KAPSAM DIŞI"))</f>
        <v/>
      </c>
      <c r="Z4" s="12">
        <f t="array" ref="Z4">SUMPRODUCT(((Başvuru!J2:K1223)="Prof. Dr. Melih Önder BABAOĞLU")*(Başvuru!G2:G1223="Doktora Tezi")*(Başvuru!L2:L1223="GERİ ÇEKİLDİ"))</f>
        <v/>
      </c>
      <c r="AA4" s="12">
        <f>SUM(T4:Z4)</f>
        <v/>
      </c>
      <c r="AB4" s="12">
        <f t="array" ref="AB4">SUMPRODUCT(((Başvuru!J2:K1223)="Prof. Dr. Melih Önder BABAOĞLU")*(Başvuru!G2:G1223="Uzmanlık Tezi")*(Başvuru!L2:L1223="ONAY"))</f>
        <v/>
      </c>
      <c r="AC4" s="12">
        <f t="array" ref="AC4">SUMPRODUCT(((Başvuru!J2:K1223)="Prof. Dr. Melih Önder BABAOĞLU")*(Başvuru!G2:G1223="Uzmanlık Tezi")*(Başvuru!L2:L1223="DÜZELTME"))</f>
        <v/>
      </c>
      <c r="AD4" s="12">
        <f t="array" ref="AD4">SUMPRODUCT(((Başvuru!J2:K1223)="Prof. Dr. Melih Önder BABAOĞLU")*(Başvuru!G2:G1223="Uzmanlık Tezi")*(Başvuru!L2:L1223="KAEK"))</f>
        <v/>
      </c>
      <c r="AE4" s="12">
        <f t="array" ref="AE4">SUMPRODUCT(((Başvuru!J2:K1223)="Prof. Dr. Melih Önder BABAOĞLU")*(Başvuru!G2:G1223="Uzmanlık Tezi")*(Başvuru!L2:L1223="GÖRÜŞ"))</f>
        <v/>
      </c>
      <c r="AF4" s="12">
        <f t="array" ref="AF4">SUMPRODUCT(((Başvuru!J2:K1223)="Prof. Dr. Melih Önder BABAOĞLU")*(Başvuru!G2:G1223="Uzmanlık Tezi")*(Başvuru!L2:L1223="RET"))</f>
        <v/>
      </c>
      <c r="AG4" s="12">
        <f t="array" ref="AG4">SUMPRODUCT(((Başvuru!J2:K1223)="Prof. Dr. Melih Önder BABAOĞLU")*(Başvuru!G2:G1223="Uzmanlık Tezi")*(Başvuru!L2:L1223="KAPSAM DIŞI"))</f>
        <v/>
      </c>
      <c r="AH4" s="12">
        <f t="array" ref="AH4">SUMPRODUCT(((Başvuru!J2:K1223)="Prof. Dr. Melih Önder BABAOĞLU")*(Başvuru!G2:G1223="Uzmanlık Tezi")*(Başvuru!L2:L1223="GERİ ÇEKİLDİ"))</f>
        <v/>
      </c>
      <c r="AI4" s="12">
        <f>SUM(AB4:AH4)</f>
        <v/>
      </c>
      <c r="AJ4" s="31">
        <f>SUM(D4,L4,T4,AB4)</f>
        <v/>
      </c>
      <c r="AK4" s="31">
        <f>SUM(E4,M4,U4,AC4)</f>
        <v/>
      </c>
      <c r="AL4" s="31">
        <f>SUM(F4,N4,V4,AD4)</f>
        <v/>
      </c>
      <c r="AM4" s="31">
        <f>SUM(G4,O4,W4,AE4)</f>
        <v/>
      </c>
      <c r="AN4" s="31">
        <f>SUM(H4,P4,X4,AF4)</f>
        <v/>
      </c>
      <c r="AO4" s="31">
        <f>SUM(I4,Q4,Y4,AG4)</f>
        <v/>
      </c>
      <c r="AP4" s="31">
        <f>SUM(J4,R4,Z4,AH4)</f>
        <v/>
      </c>
      <c r="AQ4" s="164">
        <f>SUM(AJ4:AP4)</f>
        <v/>
      </c>
      <c r="AR4" s="12">
        <f>C4-AQ4</f>
        <v/>
      </c>
    </row>
    <row r="5" ht="30" customFormat="1" customHeight="1" s="14">
      <c r="A5" s="21" t="inlineStr">
        <is>
          <t>4.</t>
        </is>
      </c>
      <c r="B5" s="22" t="inlineStr">
        <is>
          <t>Prof. Dr. Ayşe KİN İŞLER</t>
        </is>
      </c>
      <c r="C5" s="12">
        <f>COUNTIF(Başvuru!J2:K1223,"Prof. Dr. Ayşe KİN İŞLER")</f>
        <v/>
      </c>
      <c r="D5" s="186">
        <f t="array" ref="D5">SUMPRODUCT(((Başvuru!J2:K1223)="Prof. Dr. Ayşe KİN İŞLER")*(Başvuru!G2:G1223="Bireysel Araştırma")*(Başvuru!L2:L1223="ONAY"))</f>
        <v/>
      </c>
      <c r="E5" s="186">
        <f t="array" ref="E5">SUMPRODUCT(((Başvuru!J2:K1223)="Prof. Dr. Ayşe KİN İŞLER")*(Başvuru!G2:G1223="Bireysel Araştırma")*(Başvuru!L2:L1223="DÜZELTME"))</f>
        <v/>
      </c>
      <c r="F5" s="186">
        <f t="array" ref="F5">SUMPRODUCT(((Başvuru!J2:K1223)="Prof. Dr. Ayşe KİN İŞLER")*(Başvuru!G2:G1223="Bireysel Araştırma")*(Başvuru!L2:L1223="KAEK"))</f>
        <v/>
      </c>
      <c r="G5" s="186">
        <f t="array" ref="G5">SUMPRODUCT(((Başvuru!J2:K1223)="Prof. Dr. Ayşe KİN İŞLER")*(Başvuru!G2:G1223="Bireysel Araştırma")*(Başvuru!L2:L1223="GÖRÜŞ"))</f>
        <v/>
      </c>
      <c r="H5" s="186">
        <f t="array" ref="H5">SUMPRODUCT(((Başvuru!J2:K1223)="Prof. Dr. Ayşe KİN İŞLER")*(Başvuru!G2:G1223="Bireysel Araştırma")*(Başvuru!L2:L1223="RET"))</f>
        <v/>
      </c>
      <c r="I5" s="186">
        <f t="array" ref="I5">SUMPRODUCT(((Başvuru!J2:K1223)="Prof. Dr. Ayşe KİN İŞLER")*(Başvuru!G2:G1223="Bireysel Araştırma")*(Başvuru!L2:L1223="KAPSAM DIŞI"))</f>
        <v/>
      </c>
      <c r="J5" s="186">
        <f t="array" ref="J5">SUMPRODUCT(((Başvuru!J2:K1223)="Prof. Dr. Ayşe KİN İŞLER")*(Başvuru!G2:G1223="Bireysel Araştırma")*(Başvuru!L2:L1223="GERİ ÇEKİLDİ"))</f>
        <v/>
      </c>
      <c r="K5" s="12">
        <f>SUM(D5:J5)</f>
        <v/>
      </c>
      <c r="L5" s="12">
        <f t="array" ref="L5">SUMPRODUCT(((Başvuru!J2:K1223)="Prof. Dr. Ayşe KİN İŞLER")*(Başvuru!G2:G1223="Yüksek Lisans Tezi")*(Başvuru!L2:L1223="ONAY"))</f>
        <v/>
      </c>
      <c r="M5" s="12">
        <f t="array" ref="M5">SUMPRODUCT(((Başvuru!J2:K1223)="Prof. Dr. Ayşe KİN İŞLER")*(Başvuru!G2:G1223="Yüksek Lisans Tezi")*(Başvuru!L2:L1223="DÜZELTME"))</f>
        <v/>
      </c>
      <c r="N5" s="12">
        <f t="array" ref="N5">SUMPRODUCT(((Başvuru!J2:K1223)="Prof. Dr. Ayşe KİN İŞLER")*(Başvuru!G2:G1223="Yüksek Lisans Tezi")*(Başvuru!L2:L1223="KAEK"))</f>
        <v/>
      </c>
      <c r="O5" s="12">
        <f t="array" ref="O5">SUMPRODUCT(((Başvuru!J2:K1223)="Prof. Dr. Ayşe KİN İŞLER")*(Başvuru!G2:G1223="Yüksek Lisans Tezi")*(Başvuru!L2:L1223="GÖRÜŞ"))</f>
        <v/>
      </c>
      <c r="P5" s="12">
        <f t="array" ref="P5">SUMPRODUCT(((Başvuru!J2:K1223)="Prof. Dr. Ayşe KİN İŞLER")*(Başvuru!G2:G1223="Yüksek Lisans Tezi")*(Başvuru!L2:L1223="RET"))</f>
        <v/>
      </c>
      <c r="Q5" s="12">
        <f t="array" ref="Q5">SUMPRODUCT(((Başvuru!J2:K1223)="Prof. Dr. Ayşe KİN İŞLER")*(Başvuru!G2:G1223="Yüksek Lisans Tezi")*(Başvuru!L2:L1223="KAPSAM DIŞI"))</f>
        <v/>
      </c>
      <c r="R5" s="12">
        <f t="array" ref="R5">SUMPRODUCT(((Başvuru!J2:K1223)="Prof. Dr. Ayşe KİN İŞLER")*(Başvuru!G2:G1223="Yüksek Lisans Tezi")*(Başvuru!L2:L1223="GERİ ÇEKİLDİ"))</f>
        <v/>
      </c>
      <c r="S5" s="12">
        <f>SUM(L5:R5)</f>
        <v/>
      </c>
      <c r="T5" s="12">
        <f t="array" ref="T5">SUMPRODUCT(((Başvuru!J2:K1223)="Prof. Dr. Ayşe KİN İŞLER")*(Başvuru!G2:G1223="Doktora Tezi")*(Başvuru!L2:L1223="ONAY"))</f>
        <v/>
      </c>
      <c r="U5" s="12">
        <f t="array" ref="U5">SUMPRODUCT(((Başvuru!J2:K1223)="Prof. Dr. Ayşe KİN İŞLER")*(Başvuru!G2:G1223="Doktora Tezi")*(Başvuru!L2:L1223="DÜZELTME"))</f>
        <v/>
      </c>
      <c r="V5" s="12">
        <f t="array" ref="V5">SUMPRODUCT(((Başvuru!J2:K1223)="Prof. Dr. Ayşe KİN İŞLER")*(Başvuru!G2:G1223="Doktora Tezi")*(Başvuru!L2:L1223="KAEK"))</f>
        <v/>
      </c>
      <c r="W5" s="12">
        <f t="array" ref="W5">SUMPRODUCT(((Başvuru!J2:K1223)="Prof. Dr. Ayşe KİN İŞLER")*(Başvuru!G2:G1223="Doktora Tezi")*(Başvuru!L2:L1223="GÖRÜŞ"))</f>
        <v/>
      </c>
      <c r="X5" s="12">
        <f t="array" ref="X5">SUMPRODUCT(((Başvuru!J2:K1223)="Prof. Dr. Ayşe KİN İŞLER")*(Başvuru!G2:G1223="Doktora Tezi")*(Başvuru!L2:L1223="RET"))</f>
        <v/>
      </c>
      <c r="Y5" s="12">
        <f t="array" ref="Y5">SUMPRODUCT(((Başvuru!J2:K1223)="Prof. Dr. Ayşe KİN İŞLER")*(Başvuru!G2:G1223="Doktora Tezi")*(Başvuru!L2:L1223="KAPSAM DIŞI"))</f>
        <v/>
      </c>
      <c r="Z5" s="12">
        <f t="array" ref="Z5">SUMPRODUCT(((Başvuru!J2:K1223)="Prof. Dr. Ayşe KİN İŞLER")*(Başvuru!G2:G1223="Doktora Tezi")*(Başvuru!L2:L1223="GERİ ÇEKİLDİ"))</f>
        <v/>
      </c>
      <c r="AA5" s="12">
        <f>SUM(T5:Z5)</f>
        <v/>
      </c>
      <c r="AB5" s="12">
        <f t="array" ref="AB5">SUMPRODUCT(((Başvuru!J2:K1223)="Prof. Dr. Ayşe KİN İŞLER")*(Başvuru!G2:G1223="Uzmanlık Tezi")*(Başvuru!L2:L1223="ONAY"))</f>
        <v/>
      </c>
      <c r="AC5" s="12">
        <f t="array" ref="AC5">SUMPRODUCT(((Başvuru!J2:K1223)="Prof. Dr. Ayşe KİN İŞLER")*(Başvuru!G2:G1223="Uzmanlık Tezi")*(Başvuru!L2:L1223="DÜZELTME"))</f>
        <v/>
      </c>
      <c r="AD5" s="12">
        <f t="array" ref="AD5">SUMPRODUCT(((Başvuru!J2:K1223)="Prof. Dr. Ayşe KİN İŞLER")*(Başvuru!G2:G1223="Uzmanlık Tezi")*(Başvuru!L2:L1223="KAEK"))</f>
        <v/>
      </c>
      <c r="AE5" s="12">
        <f t="array" ref="AE5">SUMPRODUCT(((Başvuru!J2:K1223)="Prof. Dr. Ayşe KİN İŞLER")*(Başvuru!G2:G1223="Uzmanlık Tezi")*(Başvuru!L2:L1223="GÖRÜŞ"))</f>
        <v/>
      </c>
      <c r="AF5" s="12">
        <f t="array" ref="AF5">SUMPRODUCT(((Başvuru!J2:K1223)="Prof. Dr. Ayşe KİN İŞLER")*(Başvuru!G2:G1223="Uzmanlık Tezi")*(Başvuru!L2:L1223="RET"))</f>
        <v/>
      </c>
      <c r="AG5" s="12">
        <f t="array" ref="AG5">SUMPRODUCT(((Başvuru!J2:K1223)="Prof. Dr. Ayşe KİN İŞLER")*(Başvuru!G2:G1223="Uzmanlık Tezi")*(Başvuru!L2:L1223="KAPSAM DIŞI"))</f>
        <v/>
      </c>
      <c r="AH5" s="12">
        <f t="array" ref="AH5">SUMPRODUCT(((Başvuru!J2:K1223)="Prof. Dr. Ayşe KİN İŞLER")*(Başvuru!G2:G1223="Uzmanlık Tezi")*(Başvuru!L2:L1223="GERİ ÇEKİLDİ"))</f>
        <v/>
      </c>
      <c r="AI5" s="12">
        <f>SUM(AB5:AH5)</f>
        <v/>
      </c>
      <c r="AJ5" s="31">
        <f>SUM(D5,L5,T5,AB5)</f>
        <v/>
      </c>
      <c r="AK5" s="31">
        <f>SUM(E5,M5,U5,AC5)</f>
        <v/>
      </c>
      <c r="AL5" s="31">
        <f>SUM(F5,N5,V5,AD5)</f>
        <v/>
      </c>
      <c r="AM5" s="31">
        <f>SUM(G5,O5,W5,AE5)</f>
        <v/>
      </c>
      <c r="AN5" s="31">
        <f>SUM(H5,P5,X5,AF5)</f>
        <v/>
      </c>
      <c r="AO5" s="31">
        <f>SUM(I5,Q5,Y5,AG5)</f>
        <v/>
      </c>
      <c r="AP5" s="31">
        <f>SUM(J5,R5,Z5,AH5)</f>
        <v/>
      </c>
      <c r="AQ5" s="164">
        <f>SUM(AJ5:AP5)</f>
        <v/>
      </c>
      <c r="AR5" s="12">
        <f>C5-AQ5</f>
        <v/>
      </c>
    </row>
    <row r="6" ht="30" customFormat="1" customHeight="1" s="14">
      <c r="A6" s="21" t="inlineStr">
        <is>
          <t>5.</t>
        </is>
      </c>
      <c r="B6" s="22" t="inlineStr">
        <is>
          <t>Prof. Dr. Yavuz AYHAN</t>
        </is>
      </c>
      <c r="C6" s="12">
        <f>COUNTIF(Başvuru!J2:K1223,"Prof. Dr. Yavuz AYHAN")</f>
        <v/>
      </c>
      <c r="D6" s="186">
        <f t="array" ref="D6">SUMPRODUCT(((Başvuru!J2:K1223)="Prof. Dr. Yavuz AYHAN")*(Başvuru!G2:G1223="Bireysel Araştırma")*(Başvuru!L2:L1223="ONAY"))</f>
        <v/>
      </c>
      <c r="E6" s="186">
        <f t="array" ref="E6">SUMPRODUCT(((Başvuru!J2:K1223)="Prof. Dr. Yavuz AYHAN")*(Başvuru!G2:G1223="Bireysel Araştırma")*(Başvuru!L2:L1223="DÜZELTME"))</f>
        <v/>
      </c>
      <c r="F6" s="186">
        <f t="array" ref="F6">SUMPRODUCT(((Başvuru!J2:K1223)="Prof. Dr. Yavuz AYHAN")*(Başvuru!G2:G1223="Bireysel Araştırma")*(Başvuru!L2:L1223="KAEK"))</f>
        <v/>
      </c>
      <c r="G6" s="186">
        <f t="array" ref="G6">SUMPRODUCT(((Başvuru!J2:K1223)="Prof. Dr. Yavuz AYHAN")*(Başvuru!G2:G1223="Bireysel Araştırma")*(Başvuru!L2:L1223="GÖRÜŞ"))</f>
        <v/>
      </c>
      <c r="H6" s="186">
        <f t="array" ref="H6">SUMPRODUCT(((Başvuru!J2:K1223)="Prof. Dr. Yavuz AYHAN")*(Başvuru!G2:G1223="Bireysel Araştırma")*(Başvuru!L2:L1223="RET"))</f>
        <v/>
      </c>
      <c r="I6" s="186">
        <f t="array" ref="I6">SUMPRODUCT(((Başvuru!J2:K1223)="Prof. Dr. Yavuz AYHAN")*(Başvuru!G2:G1223="Bireysel Araştırma")*(Başvuru!L2:L1223="KAPSAM DIŞI"))</f>
        <v/>
      </c>
      <c r="J6" s="186">
        <f t="array" ref="J6">SUMPRODUCT(((Başvuru!J2:K1223)="Prof. Dr. Yavuz AYHAN")*(Başvuru!G2:G1223="Bireysel Araştırma")*(Başvuru!L2:L1223="GERİ ÇEKİLDİ"))</f>
        <v/>
      </c>
      <c r="K6" s="12">
        <f>SUM(D6:J6)</f>
        <v/>
      </c>
      <c r="L6" s="12">
        <f t="array" ref="L6">SUMPRODUCT(((Başvuru!J2:K1223)="Prof. Dr. Yavuz AYHAN")*(Başvuru!G2:G1223="Yüksek Lisans Tezi")*(Başvuru!L2:L1223="ONAY"))</f>
        <v/>
      </c>
      <c r="M6" s="12">
        <f t="array" ref="M6">SUMPRODUCT(((Başvuru!J2:K1223)="Prof. Dr. Yavuz AYHAN")*(Başvuru!G2:G1223="Yüksek Lisans Tezi")*(Başvuru!L2:L1223="DÜZELTME"))</f>
        <v/>
      </c>
      <c r="N6" s="12">
        <f t="array" ref="N6">SUMPRODUCT(((Başvuru!J2:K1223)="Prof. Dr. Yavuz AYHAN")*(Başvuru!G2:G1223="Yüksek Lisans Tezi")*(Başvuru!L2:L1223="KAEK"))</f>
        <v/>
      </c>
      <c r="O6" s="12">
        <f t="array" ref="O6">SUMPRODUCT(((Başvuru!J2:K1223)="Prof. Dr. Yavuz AYHAN")*(Başvuru!G2:G1223="Yüksek Lisans Tezi")*(Başvuru!L2:L1223="GÖRÜŞ"))</f>
        <v/>
      </c>
      <c r="P6" s="12">
        <f t="array" ref="P6">SUMPRODUCT(((Başvuru!J2:K1223)="Prof. Dr. Yavuz AYHAN")*(Başvuru!G2:G1223="Yüksek Lisans Tezi")*(Başvuru!L2:L1223="RET"))</f>
        <v/>
      </c>
      <c r="Q6" s="12">
        <f t="array" ref="Q6">SUMPRODUCT(((Başvuru!J2:K1223)="Prof. Dr. Yavuz AYHAN")*(Başvuru!G2:G1223="Yüksek Lisans Tezi")*(Başvuru!L2:L1223="KAPSAM DIŞI"))</f>
        <v/>
      </c>
      <c r="R6" s="12">
        <f t="array" ref="R6">SUMPRODUCT(((Başvuru!J2:K1223)="Prof. Dr. Yavuz AYHAN")*(Başvuru!G2:G1223="Yüksek Lisans Tezi")*(Başvuru!L2:L1223="GERİ ÇEKİLDİ"))</f>
        <v/>
      </c>
      <c r="S6" s="12">
        <f>SUM(L6:R6)</f>
        <v/>
      </c>
      <c r="T6" s="12">
        <f t="array" ref="T6">SUMPRODUCT(((Başvuru!J2:K1223)="Prof. Dr. Yavuz AYHAN")*(Başvuru!G2:G1223="Doktora Tezi")*(Başvuru!L2:L1223="ONAY"))</f>
        <v/>
      </c>
      <c r="U6" s="12">
        <f t="array" ref="U6">SUMPRODUCT(((Başvuru!J2:K1223)="Prof. Dr. Yavuz AYHAN")*(Başvuru!G2:G1223="Doktora Tezi")*(Başvuru!L2:L1223="DÜZELTME"))</f>
        <v/>
      </c>
      <c r="V6" s="12">
        <f t="array" ref="V6">SUMPRODUCT(((Başvuru!J2:K1223)="Prof. Dr. Yavuz AYHAN")*(Başvuru!G2:G1223="Doktora Tezi")*(Başvuru!L2:L1223="KAEK"))</f>
        <v/>
      </c>
      <c r="W6" s="12">
        <f t="array" ref="W6">SUMPRODUCT(((Başvuru!J2:K1223)="Prof. Dr. Yavuz AYHAN")*(Başvuru!G2:G1223="Doktora Tezi")*(Başvuru!L2:L1223="GÖRÜŞ"))</f>
        <v/>
      </c>
      <c r="X6" s="12">
        <f t="array" ref="X6">SUMPRODUCT(((Başvuru!J2:K1223)="Prof. Dr. Yavuz AYHAN")*(Başvuru!G2:G1223="Doktora Tezi")*(Başvuru!L2:L1223="RET"))</f>
        <v/>
      </c>
      <c r="Y6" s="12">
        <f t="array" ref="Y6">SUMPRODUCT(((Başvuru!J2:K1223)="Prof. Dr. Yavuz AYHAN")*(Başvuru!G2:G1223="Doktora Tezi")*(Başvuru!L2:L1223="KAPSAM DIŞI"))</f>
        <v/>
      </c>
      <c r="Z6" s="12">
        <f t="array" ref="Z6">SUMPRODUCT(((Başvuru!J2:K1223)="Prof. Dr. Yavuz AYHAN")*(Başvuru!G2:G1223="Doktora Tezi")*(Başvuru!L2:L1223="GERİ ÇEKİLDİ"))</f>
        <v/>
      </c>
      <c r="AA6" s="12">
        <f>SUM(T6:Z6)</f>
        <v/>
      </c>
      <c r="AB6" s="12">
        <f t="array" ref="AB6">SUMPRODUCT(((Başvuru!J2:K1223)="Prof. Dr. Yavuz AYHAN")*(Başvuru!G2:G1223="Uzmanlık Tezi")*(Başvuru!L2:L1223="ONAY"))</f>
        <v/>
      </c>
      <c r="AC6" s="12">
        <f t="array" ref="AC6">SUMPRODUCT(((Başvuru!J2:K1223)="Prof. Dr. Yavuz AYHAN")*(Başvuru!G2:G1223="Uzmanlık Tezi")*(Başvuru!L2:L1223="DÜZELTME"))</f>
        <v/>
      </c>
      <c r="AD6" s="12">
        <f t="array" ref="AD6">SUMPRODUCT(((Başvuru!J2:K1223)="Prof. Dr. Yavuz AYHAN")*(Başvuru!G2:G1223="Uzmanlık Tezi")*(Başvuru!L2:L1223="KAEK"))</f>
        <v/>
      </c>
      <c r="AE6" s="12">
        <f t="array" ref="AE6">SUMPRODUCT(((Başvuru!J2:K1223)="Prof. Dr. Yavuz AYHAN")*(Başvuru!G2:G1223="Uzmanlık Tezi")*(Başvuru!L2:L1223="GÖRÜŞ"))</f>
        <v/>
      </c>
      <c r="AF6" s="12">
        <f t="array" ref="AF6">SUMPRODUCT(((Başvuru!J2:K1223)="Prof. Dr. Yavuz AYHAN")*(Başvuru!G2:G1223="Uzmanlık Tezi")*(Başvuru!L2:L1223="RET"))</f>
        <v/>
      </c>
      <c r="AG6" s="12">
        <f t="array" ref="AG6">SUMPRODUCT(((Başvuru!J2:K1223)="Prof. Dr. Yavuz AYHAN")*(Başvuru!G2:G1223="Uzmanlık Tezi")*(Başvuru!L2:L1223="KAPSAM DIŞI"))</f>
        <v/>
      </c>
      <c r="AH6" s="12">
        <f t="array" ref="AH6">SUMPRODUCT(((Başvuru!J2:K1223)="Prof. Dr. Yavuz AYHAN")*(Başvuru!G2:G1223="Uzmanlık Tezi")*(Başvuru!L2:L1223="GERİ ÇEKİLDİ"))</f>
        <v/>
      </c>
      <c r="AI6" s="12">
        <f>SUM(AB6:AH6)</f>
        <v/>
      </c>
      <c r="AJ6" s="31">
        <f>SUM(D6,L6,T6,AB6)</f>
        <v/>
      </c>
      <c r="AK6" s="31">
        <f>SUM(E6,M6,U6,AC6)</f>
        <v/>
      </c>
      <c r="AL6" s="31">
        <f>SUM(F6,N6,V6,AD6)</f>
        <v/>
      </c>
      <c r="AM6" s="31">
        <f>SUM(G6,O6,W6,AE6)</f>
        <v/>
      </c>
      <c r="AN6" s="31">
        <f>SUM(H6,P6,X6,AF6)</f>
        <v/>
      </c>
      <c r="AO6" s="31">
        <f>SUM(I6,Q6,Y6,AG6)</f>
        <v/>
      </c>
      <c r="AP6" s="31">
        <f>SUM(J6,R6,Z6,AH6)</f>
        <v/>
      </c>
      <c r="AQ6" s="164">
        <f>SUM(AJ6:AP6)</f>
        <v/>
      </c>
      <c r="AR6" s="12">
        <f>C6-AQ6</f>
        <v/>
      </c>
    </row>
    <row r="7" ht="30" customFormat="1" customHeight="1" s="14">
      <c r="A7" s="21" t="inlineStr">
        <is>
          <t>6.</t>
        </is>
      </c>
      <c r="B7" s="22" t="inlineStr">
        <is>
          <t>Prof. Dr. Nazmiye Ebru ORTAÇ ERSOY</t>
        </is>
      </c>
      <c r="C7" s="12">
        <f>COUNTIF(Başvuru!J2:K1223,"Prof. Dr. Nazmiye Ebru ORTAÇ ERSOY")</f>
        <v/>
      </c>
      <c r="D7" s="186">
        <f t="array" ref="D7">SUMPRODUCT(((Başvuru!J2:K1223)="Prof. Dr. Nazmiye Ebru ORTAÇ ERSOY")*(Başvuru!G2:G1223="Bireysel Araştırma")*(Başvuru!L2:L1223="ONAY"))</f>
        <v/>
      </c>
      <c r="E7" s="186">
        <f t="array" ref="E7">SUMPRODUCT(((Başvuru!J2:K1223)="Prof. Dr. Nazmiye Ebru ORTAÇ ERSOY")*(Başvuru!G2:G1223="Bireysel Araştırma")*(Başvuru!L2:L1223="DÜZELTME"))</f>
        <v/>
      </c>
      <c r="F7" s="186">
        <f t="array" ref="F7">SUMPRODUCT(((Başvuru!J2:K1223)="Prof. Dr. Nazmiye Ebru ORTAÇ ERSOY")*(Başvuru!G2:G1223="Bireysel Araştırma")*(Başvuru!L2:L1223="KAEK"))</f>
        <v/>
      </c>
      <c r="G7" s="186">
        <f t="array" ref="G7">SUMPRODUCT(((Başvuru!J2:K1223)="Prof. Dr. Nazmiye Ebru ORTAÇ ERSOY")*(Başvuru!G2:G1223="Bireysel Araştırma")*(Başvuru!L2:L1223="GÖRÜŞ"))</f>
        <v/>
      </c>
      <c r="H7" s="186">
        <f t="array" ref="H7">SUMPRODUCT(((Başvuru!J2:K1223)="Prof. Dr. Nazmiye Ebru ORTAÇ ERSOY")*(Başvuru!G2:G1223="Bireysel Araştırma")*(Başvuru!L2:L1223="RET"))</f>
        <v/>
      </c>
      <c r="I7" s="186">
        <f t="array" ref="I7">SUMPRODUCT(((Başvuru!J2:K1223)="Prof. Dr. Nazmiye Ebru ORTAÇ ERSOY")*(Başvuru!G2:G1223="Bireysel Araştırma")*(Başvuru!L2:L1223="KAPSAM DIŞI"))</f>
        <v/>
      </c>
      <c r="J7" s="186">
        <f t="array" ref="J7">SUMPRODUCT(((Başvuru!J2:K1223)="Prof. Dr. Nazmiye Ebru ORTAÇ ERSOY")*(Başvuru!G2:G1223="Bireysel Araştırma")*(Başvuru!L2:L1223="GERİ ÇEKİLDİ"))</f>
        <v/>
      </c>
      <c r="K7" s="12">
        <f>SUM(D7:J7)</f>
        <v/>
      </c>
      <c r="L7" s="12">
        <f t="array" ref="L7">SUMPRODUCT(((Başvuru!J2:K1223)="Prof. Dr. Nazmiye Ebru ORTAÇ ERSOY")*(Başvuru!G2:G1223="Yüksek Lisans Tezi")*(Başvuru!L2:L1223="ONAY"))</f>
        <v/>
      </c>
      <c r="M7" s="12">
        <f t="array" ref="M7">SUMPRODUCT(((Başvuru!J2:K1223)="Prof. Dr. Nazmiye Ebru ORTAÇ ERSOY")*(Başvuru!G2:G1223="Yüksek Lisans Tezi")*(Başvuru!L2:L1223="DÜZELTME"))</f>
        <v/>
      </c>
      <c r="N7" s="12">
        <f t="array" ref="N7">SUMPRODUCT(((Başvuru!J2:K1223)="Prof. Dr. Nazmiye Ebru ORTAÇ ERSOY")*(Başvuru!G2:G1223="Yüksek Lisans Tezi")*(Başvuru!L2:L1223="KAEK"))</f>
        <v/>
      </c>
      <c r="O7" s="12">
        <f t="array" ref="O7">SUMPRODUCT(((Başvuru!J2:K1223)="Prof. Dr. Nazmiye Ebru ORTAÇ ERSOY")*(Başvuru!G2:G1223="Yüksek Lisans Tezi")*(Başvuru!L2:L1223="GÖRÜŞ"))</f>
        <v/>
      </c>
      <c r="P7" s="12">
        <f t="array" ref="P7">SUMPRODUCT(((Başvuru!J2:K1223)="Prof. Dr. Nazmiye Ebru ORTAÇ ERSOY")*(Başvuru!G2:G1223="Yüksek Lisans Tezi")*(Başvuru!L2:L1223="RET"))</f>
        <v/>
      </c>
      <c r="Q7" s="12">
        <f t="array" ref="Q7">SUMPRODUCT(((Başvuru!J2:K1223)="Prof. Dr. Nazmiye Ebru ORTAÇ ERSOY")*(Başvuru!G2:G1223="Yüksek Lisans Tezi")*(Başvuru!L2:L1223="KAPSAM DIŞI"))</f>
        <v/>
      </c>
      <c r="R7" s="12">
        <f t="array" ref="R7">SUMPRODUCT(((Başvuru!J2:K1223)="Prof. Dr. Nazmiye Ebru ORTAÇ ERSOY")*(Başvuru!G2:G1223="Yüksek Lisans Tezi")*(Başvuru!L2:L1223="GERİ ÇEKİLDİ"))</f>
        <v/>
      </c>
      <c r="S7" s="12">
        <f>SUM(L7:R7)</f>
        <v/>
      </c>
      <c r="T7" s="12">
        <f t="array" ref="T7">SUMPRODUCT(((Başvuru!J2:K1223)="Prof. Dr. Nazmiye Ebru ORTAÇ ERSOY")*(Başvuru!G2:G1223="Doktora Tezi")*(Başvuru!L2:L1223="ONAY"))</f>
        <v/>
      </c>
      <c r="U7" s="12">
        <f t="array" ref="U7">SUMPRODUCT(((Başvuru!J2:K1223)="Prof. Dr. Nazmiye Ebru ORTAÇ ERSOY")*(Başvuru!G2:G1223="Doktora Tezi")*(Başvuru!L2:L1223="DÜZELTME"))</f>
        <v/>
      </c>
      <c r="V7" s="12">
        <f t="array" ref="V7">SUMPRODUCT(((Başvuru!J2:K1223)="Prof. Dr. Nazmiye Ebru ORTAÇ ERSOY")*(Başvuru!G2:G1223="Doktora Tezi")*(Başvuru!L2:L1223="KAEK"))</f>
        <v/>
      </c>
      <c r="W7" s="12">
        <f t="array" ref="W7">SUMPRODUCT(((Başvuru!J2:K1223)="Prof. Dr. Nazmiye Ebru ORTAÇ ERSOY")*(Başvuru!G2:G1223="Doktora Tezi")*(Başvuru!L2:L1223="GÖRÜŞ"))</f>
        <v/>
      </c>
      <c r="X7" s="12">
        <f t="array" ref="X7">SUMPRODUCT(((Başvuru!J2:K1223)="Prof. Dr. Nazmiye Ebru ORTAÇ ERSOY")*(Başvuru!G2:G1223="Doktora Tezi")*(Başvuru!L2:L1223="RET"))</f>
        <v/>
      </c>
      <c r="Y7" s="12">
        <f t="array" ref="Y7">SUMPRODUCT(((Başvuru!J2:K1223)="Prof. Dr. Nazmiye Ebru ORTAÇ ERSOY")*(Başvuru!G2:G1223="Doktora Tezi")*(Başvuru!L2:L1223="KAPSAM DIŞI"))</f>
        <v/>
      </c>
      <c r="Z7" s="12">
        <f t="array" ref="Z7">SUMPRODUCT(((Başvuru!J2:K1223)="Prof. Dr. Nazmiye Ebru ORTAÇ ERSOY")*(Başvuru!G2:G1223="Doktora Tezi")*(Başvuru!L2:L1223="GERİ ÇEKİLDİ"))</f>
        <v/>
      </c>
      <c r="AA7" s="12">
        <f>SUM(T7:Z7)</f>
        <v/>
      </c>
      <c r="AB7" s="12">
        <f t="array" ref="AB7">SUMPRODUCT(((Başvuru!J2:K1223)="Prof. Dr. Nazmiye Ebru ORTAÇ ERSOY")*(Başvuru!G2:G1223="Uzmanlık Tezi")*(Başvuru!L2:L1223="ONAY"))</f>
        <v/>
      </c>
      <c r="AC7" s="12">
        <f t="array" ref="AC7">SUMPRODUCT(((Başvuru!J2:K1223)="Prof. Dr. Nazmiye Ebru ORTAÇ ERSOY")*(Başvuru!G2:G1223="Uzmanlık Tezi")*(Başvuru!L2:L1223="DÜZELTME"))</f>
        <v/>
      </c>
      <c r="AD7" s="12">
        <f t="array" ref="AD7">SUMPRODUCT(((Başvuru!J2:K1223)="Prof. Dr. Nazmiye Ebru ORTAÇ ERSOY")*(Başvuru!G2:G1223="Uzmanlık Tezi")*(Başvuru!L2:L1223="KAEK"))</f>
        <v/>
      </c>
      <c r="AE7" s="12">
        <f t="array" ref="AE7">SUMPRODUCT(((Başvuru!J2:K1223)="Prof. Dr. Nazmiye Ebru ORTAÇ ERSOY")*(Başvuru!G2:G1223="Uzmanlık Tezi")*(Başvuru!L2:L1223="GÖRÜŞ"))</f>
        <v/>
      </c>
      <c r="AF7" s="12">
        <f t="array" ref="AF7">SUMPRODUCT(((Başvuru!J2:K1223)="Prof. Dr. Nazmiye Ebru ORTAÇ ERSOY")*(Başvuru!G2:G1223="Uzmanlık Tezi")*(Başvuru!L2:L1223="RET"))</f>
        <v/>
      </c>
      <c r="AG7" s="12">
        <f t="array" ref="AG7">SUMPRODUCT(((Başvuru!J2:K1223)="Prof. Dr. Nazmiye Ebru ORTAÇ ERSOY")*(Başvuru!G2:G1223="Uzmanlık Tezi")*(Başvuru!L2:L1223="KAPSAM DIŞI"))</f>
        <v/>
      </c>
      <c r="AH7" s="12">
        <f t="array" ref="AH7">SUMPRODUCT(((Başvuru!J2:K1223)="Prof. Dr. Nazmiye Ebru ORTAÇ ERSOY")*(Başvuru!G2:G1223="Uzmanlık Tezi")*(Başvuru!L2:L1223="GERİ ÇEKİLDİ"))</f>
        <v/>
      </c>
      <c r="AI7" s="12">
        <f>SUM(AB7:AH7)</f>
        <v/>
      </c>
      <c r="AJ7" s="31">
        <f>SUM(D7,L7,T7,AB7)</f>
        <v/>
      </c>
      <c r="AK7" s="31">
        <f>SUM(E7,M7,U7,AC7)</f>
        <v/>
      </c>
      <c r="AL7" s="31">
        <f>SUM(F7,N7,V7,AD7)</f>
        <v/>
      </c>
      <c r="AM7" s="31">
        <f>SUM(G7,O7,W7,AE7)</f>
        <v/>
      </c>
      <c r="AN7" s="31">
        <f>SUM(H7,P7,X7,AF7)</f>
        <v/>
      </c>
      <c r="AO7" s="31">
        <f>SUM(I7,Q7,Y7,AG7)</f>
        <v/>
      </c>
      <c r="AP7" s="31">
        <f>SUM(J7,R7,Z7,AH7)</f>
        <v/>
      </c>
      <c r="AQ7" s="164">
        <f>SUM(AJ7:AP7)</f>
        <v/>
      </c>
      <c r="AR7" s="12">
        <f>C7-AQ7</f>
        <v/>
      </c>
    </row>
    <row r="8" ht="30" customFormat="1" customHeight="1" s="14">
      <c r="A8" s="21" t="inlineStr">
        <is>
          <t>7.</t>
        </is>
      </c>
      <c r="B8" s="22" t="inlineStr">
        <is>
          <t>Prof. Dr. Gözde GİRGİN</t>
        </is>
      </c>
      <c r="C8" s="12">
        <f>COUNTIF(Başvuru!J2:K1223,"Prof. Dr. Gözde GİRGİN")</f>
        <v/>
      </c>
      <c r="D8" s="186">
        <f t="array" ref="D8">SUMPRODUCT(((Başvuru!J2:K1223)="Prof. Dr. Gözde GİRGİN")*(Başvuru!G2:G1223="Bireysel Araştırma")*(Başvuru!L2:L1223="ONAY"))</f>
        <v/>
      </c>
      <c r="E8" s="186">
        <f t="array" ref="E8">SUMPRODUCT(((Başvuru!J2:K1223)="Prof. Dr. Gözde GİRGİN")*(Başvuru!G2:G1223="Bireysel Araştırma")*(Başvuru!L2:L1223="DÜZELTME"))</f>
        <v/>
      </c>
      <c r="F8" s="186">
        <f t="array" ref="F8">SUMPRODUCT(((Başvuru!J2:K1223)="Prof. Dr. Gözde GİRGİN")*(Başvuru!G2:G1223="Bireysel Araştırma")*(Başvuru!L2:L1223="KAEK"))</f>
        <v/>
      </c>
      <c r="G8" s="186">
        <f t="array" ref="G8">SUMPRODUCT(((Başvuru!J2:K1223)="Prof. Dr. Gözde GİRGİN")*(Başvuru!G2:G1223="Bireysel Araştırma")*(Başvuru!L2:L1223="GÖRÜŞ"))</f>
        <v/>
      </c>
      <c r="H8" s="186">
        <f t="array" ref="H8">SUMPRODUCT(((Başvuru!J2:K1223)="Prof. Dr. Gözde GİRGİN")*(Başvuru!G2:G1223="Bireysel Araştırma")*(Başvuru!L2:L1223="RET"))</f>
        <v/>
      </c>
      <c r="I8" s="186">
        <f t="array" ref="I8">SUMPRODUCT(((Başvuru!J2:K1223)="Prof. Dr. Gözde GİRGİN")*(Başvuru!G2:G1223="Bireysel Araştırma")*(Başvuru!L2:L1223="KAPSAM DIŞI"))</f>
        <v/>
      </c>
      <c r="J8" s="186">
        <f t="array" ref="J8">SUMPRODUCT(((Başvuru!J2:K1223)="Prof. Dr. Gözde GİRGİN")*(Başvuru!G2:G1223="Bireysel Araştırma")*(Başvuru!L2:L1223="GERİ ÇEKİLDİ"))</f>
        <v/>
      </c>
      <c r="K8" s="12">
        <f>SUM(D8:J8)</f>
        <v/>
      </c>
      <c r="L8" s="12">
        <f t="array" ref="L8">SUMPRODUCT(((Başvuru!J2:K1223)="Prof. Dr. Gözde GİRGİN")*(Başvuru!G2:G1223="Yüksek Lisans Tezi")*(Başvuru!L2:L1223="ONAY"))</f>
        <v/>
      </c>
      <c r="M8" s="12">
        <f t="array" ref="M8">SUMPRODUCT(((Başvuru!J2:K1223)="Prof. Dr. Gözde GİRGİN")*(Başvuru!G2:G1223="Yüksek Lisans Tezi")*(Başvuru!L2:L1223="DÜZELTME"))</f>
        <v/>
      </c>
      <c r="N8" s="12">
        <f t="array" ref="N8">SUMPRODUCT(((Başvuru!J2:K1223)="Prof. Dr. Gözde GİRGİN")*(Başvuru!G2:G1223="Yüksek Lisans Tezi")*(Başvuru!L2:L1223="KAEK"))</f>
        <v/>
      </c>
      <c r="O8" s="12">
        <f t="array" ref="O8">SUMPRODUCT(((Başvuru!J2:K1223)="Prof. Dr. Gözde GİRGİN")*(Başvuru!G2:G1223="Yüksek Lisans Tezi")*(Başvuru!L2:L1223="GÖRÜŞ"))</f>
        <v/>
      </c>
      <c r="P8" s="12">
        <f t="array" ref="P8">SUMPRODUCT(((Başvuru!J2:K1223)="Prof. Dr. Gözde GİRGİN")*(Başvuru!G2:G1223="Yüksek Lisans Tezi")*(Başvuru!L2:L1223="RET"))</f>
        <v/>
      </c>
      <c r="Q8" s="12">
        <f t="array" ref="Q8">SUMPRODUCT(((Başvuru!J2:K1223)="Prof. Dr. Gözde GİRGİN")*(Başvuru!G2:G1223="Yüksek Lisans Tezi")*(Başvuru!L2:L1223="KAPSAM DIŞI"))</f>
        <v/>
      </c>
      <c r="R8" s="12">
        <f t="array" ref="R8">SUMPRODUCT(((Başvuru!J2:K1223)="Prof. Dr. Gözde GİRGİN")*(Başvuru!G2:G1223="Yüksek Lisans Tezi")*(Başvuru!L2:L1223="GERİ ÇEKİLDİ"))</f>
        <v/>
      </c>
      <c r="S8" s="12">
        <f>SUM(L8:R8)</f>
        <v/>
      </c>
      <c r="T8" s="12">
        <f t="array" ref="T8">SUMPRODUCT(((Başvuru!J2:K1223)="Prof. Dr. Gözde GİRGİN")*(Başvuru!G2:G1223="Doktora Tezi")*(Başvuru!L2:L1223="ONAY"))</f>
        <v/>
      </c>
      <c r="U8" s="12">
        <f t="array" ref="U8">SUMPRODUCT(((Başvuru!J2:K1223)="Prof. Dr. Gözde GİRGİN")*(Başvuru!G2:G1223="Doktora Tezi")*(Başvuru!L2:L1223="DÜZELTME"))</f>
        <v/>
      </c>
      <c r="V8" s="12">
        <f t="array" ref="V8">SUMPRODUCT(((Başvuru!J2:K1223)="Prof. Dr. Gözde GİRGİN")*(Başvuru!G2:G1223="Doktora Tezi")*(Başvuru!L2:L1223="KAEK"))</f>
        <v/>
      </c>
      <c r="W8" s="12">
        <f t="array" ref="W8">SUMPRODUCT(((Başvuru!J2:K1223)="Prof. Dr. Gözde GİRGİN")*(Başvuru!G2:G1223="Doktora Tezi")*(Başvuru!L2:L1223="GÖRÜŞ"))</f>
        <v/>
      </c>
      <c r="X8" s="12">
        <f t="array" ref="X8">SUMPRODUCT(((Başvuru!J2:K1223)="Prof. Dr. Gözde GİRGİN")*(Başvuru!G2:G1223="Doktora Tezi")*(Başvuru!L2:L1223="RET"))</f>
        <v/>
      </c>
      <c r="Y8" s="12">
        <f t="array" ref="Y8">SUMPRODUCT(((Başvuru!J2:K1223)="Prof. Dr. Gözde GİRGİN")*(Başvuru!G2:G1223="Doktora Tezi")*(Başvuru!L2:L1223="KAPSAM DIŞI"))</f>
        <v/>
      </c>
      <c r="Z8" s="12">
        <f t="array" ref="Z8">SUMPRODUCT(((Başvuru!J2:K1223)="Prof. Dr. Gözde GİRGİN")*(Başvuru!G2:G1223="Doktora Tezi")*(Başvuru!L2:L1223="GERİ ÇEKİLDİ"))</f>
        <v/>
      </c>
      <c r="AA8" s="12">
        <f>SUM(T8:Z8)</f>
        <v/>
      </c>
      <c r="AB8" s="12">
        <f t="array" ref="AB8">SUMPRODUCT(((Başvuru!J2:K1223)="Prof. Dr. Gözde GİRGİN")*(Başvuru!G2:G1223="Uzmanlık Tezi")*(Başvuru!L2:L1223="ONAY"))</f>
        <v/>
      </c>
      <c r="AC8" s="12">
        <f t="array" ref="AC8">SUMPRODUCT(((Başvuru!J2:K1223)="Prof. Dr. Gözde GİRGİN")*(Başvuru!G2:G1223="Uzmanlık Tezi")*(Başvuru!L2:L1223="DÜZELTME"))</f>
        <v/>
      </c>
      <c r="AD8" s="12">
        <f t="array" ref="AD8">SUMPRODUCT(((Başvuru!J2:K1223)="Prof. Dr. Gözde GİRGİN")*(Başvuru!G2:G1223="Uzmanlık Tezi")*(Başvuru!L2:L1223="KAEK"))</f>
        <v/>
      </c>
      <c r="AE8" s="12">
        <f t="array" ref="AE8">SUMPRODUCT(((Başvuru!J2:K1223)="Prof. Dr. Gözde GİRGİN")*(Başvuru!G2:G1223="Uzmanlık Tezi")*(Başvuru!L2:L1223="GÖRÜŞ"))</f>
        <v/>
      </c>
      <c r="AF8" s="12">
        <f t="array" ref="AF8">SUMPRODUCT(((Başvuru!J2:K1223)="Prof. Dr. Gözde GİRGİN")*(Başvuru!G2:G1223="Uzmanlık Tezi")*(Başvuru!L2:L1223="RET"))</f>
        <v/>
      </c>
      <c r="AG8" s="12">
        <f t="array" ref="AG8">SUMPRODUCT(((Başvuru!J2:K1223)="Prof. Dr. Gözde GİRGİN")*(Başvuru!G2:G1223="Uzmanlık Tezi")*(Başvuru!L2:L1223="KAPSAM DIŞI"))</f>
        <v/>
      </c>
      <c r="AH8" s="12">
        <f t="array" ref="AH8">SUMPRODUCT(((Başvuru!J2:K1223)="Prof. Dr. Gözde GİRGİN")*(Başvuru!G2:G1223="Uzmanlık Tezi")*(Başvuru!L2:L1223="GERİ ÇEKİLDİ"))</f>
        <v/>
      </c>
      <c r="AI8" s="12">
        <f>SUM(AB8:AH8)</f>
        <v/>
      </c>
      <c r="AJ8" s="31">
        <f>SUM(D8,L8,T8,AB8)</f>
        <v/>
      </c>
      <c r="AK8" s="31">
        <f>SUM(E8,M8,U8,AC8)</f>
        <v/>
      </c>
      <c r="AL8" s="31">
        <f>SUM(F8,N8,V8,AD8)</f>
        <v/>
      </c>
      <c r="AM8" s="31">
        <f>SUM(G8,O8,W8,AE8)</f>
        <v/>
      </c>
      <c r="AN8" s="31">
        <f>SUM(H8,P8,X8,AF8)</f>
        <v/>
      </c>
      <c r="AO8" s="31">
        <f>SUM(I8,Q8,Y8,AG8)</f>
        <v/>
      </c>
      <c r="AP8" s="31">
        <f>SUM(J8,R8,Z8,AH8)</f>
        <v/>
      </c>
      <c r="AQ8" s="164">
        <f>SUM(AJ8:AP8)</f>
        <v/>
      </c>
      <c r="AR8" s="12">
        <f>C8-AQ8</f>
        <v/>
      </c>
    </row>
    <row r="9" ht="30" customFormat="1" customHeight="1" s="14">
      <c r="A9" s="21" t="inlineStr">
        <is>
          <t>8.</t>
        </is>
      </c>
      <c r="B9" s="22" t="inlineStr">
        <is>
          <t>Doç. Dr. Kübra AYKAÇ</t>
        </is>
      </c>
      <c r="C9" s="12">
        <f>COUNTIF(Başvuru!J2:K1223,"Doç. Dr. Kübra AYKAÇ")</f>
        <v/>
      </c>
      <c r="D9" s="186">
        <f t="array" ref="D9">SUMPRODUCT(((Başvuru!J2:K1223)="Doç. Dr. Kübra AYKAÇ")*(Başvuru!G2:G1223="Bireysel Araştırma")*(Başvuru!L2:L1223="ONAY"))</f>
        <v/>
      </c>
      <c r="E9" s="186">
        <f t="array" ref="E9">SUMPRODUCT(((Başvuru!J2:K1223)="Doç. Dr. Kübra AYKAÇ")*(Başvuru!G2:G1223="Bireysel Araştırma")*(Başvuru!L2:L1223="DÜZELTME"))</f>
        <v/>
      </c>
      <c r="F9" s="186">
        <f t="array" ref="F9">SUMPRODUCT(((Başvuru!J2:K1223)="Doç. Dr. Kübra AYKAÇ")*(Başvuru!G2:G1223="Bireysel Araştırma")*(Başvuru!L2:L1223="KAEK"))</f>
        <v/>
      </c>
      <c r="G9" s="186">
        <f t="array" ref="G9">SUMPRODUCT(((Başvuru!J2:K1223)="Doç. Dr. Kübra AYKAÇ")*(Başvuru!G2:G1223="Bireysel Araştırma")*(Başvuru!L2:L1223="GÖRÜŞ"))</f>
        <v/>
      </c>
      <c r="H9" s="186">
        <f t="array" ref="H9">SUMPRODUCT(((Başvuru!J2:K1223)="Doç. Dr. Kübra AYKAÇ")*(Başvuru!G2:G1223="Bireysel Araştırma")*(Başvuru!L2:L1223="RET"))</f>
        <v/>
      </c>
      <c r="I9" s="186">
        <f t="array" ref="I9">SUMPRODUCT(((Başvuru!J2:K1223)="Doç. Dr. Kübra AYKAÇ")*(Başvuru!G2:G1223="Bireysel Araştırma")*(Başvuru!L2:L1223="KAPSAM DIŞI"))</f>
        <v/>
      </c>
      <c r="J9" s="186">
        <f t="array" ref="J9">SUMPRODUCT(((Başvuru!J2:K1223)="Doç. Dr. Kübra AYKAÇ")*(Başvuru!G2:G1223="Bireysel Araştırma")*(Başvuru!L2:L1223="GERİ ÇEKİLDİ"))</f>
        <v/>
      </c>
      <c r="K9" s="12">
        <f>SUM(D9:J9)</f>
        <v/>
      </c>
      <c r="L9" s="12">
        <f t="array" ref="L9">SUMPRODUCT(((Başvuru!J2:K1223)="Doç. Dr. Kübra AYKAÇ")*(Başvuru!G2:G1223="Yüksek Lisans Tezi")*(Başvuru!L2:L1223="ONAY"))</f>
        <v/>
      </c>
      <c r="M9" s="12">
        <f t="array" ref="M9">SUMPRODUCT(((Başvuru!J2:K1223)="Doç. Dr. Kübra AYKAÇ")*(Başvuru!G2:G1223="Yüksek Lisans Tezi")*(Başvuru!L2:L1223="DÜZELTME"))</f>
        <v/>
      </c>
      <c r="N9" s="12">
        <f t="array" ref="N9">SUMPRODUCT(((Başvuru!J2:K1223)="Doç. Dr. Kübra AYKAÇ")*(Başvuru!G2:G1223="Yüksek Lisans Tezi")*(Başvuru!L2:L1223="KAEK"))</f>
        <v/>
      </c>
      <c r="O9" s="12">
        <f t="array" ref="O9">SUMPRODUCT(((Başvuru!J2:K1223)="Doç. Dr. Kübra AYKAÇ")*(Başvuru!G2:G1223="Yüksek Lisans Tezi")*(Başvuru!L2:L1223="GÖRÜŞ"))</f>
        <v/>
      </c>
      <c r="P9" s="12">
        <f t="array" ref="P9">SUMPRODUCT(((Başvuru!J2:K1223)="Doç. Dr. Kübra AYKAÇ")*(Başvuru!G2:G1223="Yüksek Lisans Tezi")*(Başvuru!L2:L1223="RET"))</f>
        <v/>
      </c>
      <c r="Q9" s="12">
        <f t="array" ref="Q9">SUMPRODUCT(((Başvuru!J2:K1223)="Doç. Dr. Kübra AYKAÇ")*(Başvuru!G2:G1223="Yüksek Lisans Tezi")*(Başvuru!L2:L1223="KAPSAM DIŞI"))</f>
        <v/>
      </c>
      <c r="R9" s="12">
        <f t="array" ref="R9">SUMPRODUCT(((Başvuru!J2:K1223)="Doç. Dr. Kübra AYKAÇ")*(Başvuru!G2:G1223="Yüksek Lisans Tezi")*(Başvuru!L2:L1223="GERİ ÇEKİLDİ"))</f>
        <v/>
      </c>
      <c r="S9" s="12">
        <f>SUM(L9:R9)</f>
        <v/>
      </c>
      <c r="T9" s="12">
        <f t="array" ref="T9">SUMPRODUCT(((Başvuru!J2:K1223)="Doç. Dr. Kübra AYKAÇ")*(Başvuru!G2:G1223="Doktora Tezi")*(Başvuru!L2:L1223="ONAY"))</f>
        <v/>
      </c>
      <c r="U9" s="12">
        <f t="array" ref="U9">SUMPRODUCT(((Başvuru!J2:K1223)="Doç. Dr. Kübra AYKAÇ")*(Başvuru!G2:G1223="Doktora Tezi")*(Başvuru!L2:L1223="DÜZELTME"))</f>
        <v/>
      </c>
      <c r="V9" s="12">
        <f t="array" ref="V9">SUMPRODUCT(((Başvuru!J2:K1223)="Doç. Dr. Kübra AYKAÇ")*(Başvuru!G2:G1223="Doktora Tezi")*(Başvuru!L2:L1223="KAEK"))</f>
        <v/>
      </c>
      <c r="W9" s="12">
        <f t="array" ref="W9">SUMPRODUCT(((Başvuru!J2:K1223)="Doç. Dr. Kübra AYKAÇ")*(Başvuru!G2:G1223="Doktora Tezi")*(Başvuru!L2:L1223="GÖRÜŞ"))</f>
        <v/>
      </c>
      <c r="X9" s="12">
        <f t="array" ref="X9">SUMPRODUCT(((Başvuru!J2:K1223)="Doç. Dr. Kübra AYKAÇ")*(Başvuru!G2:G1223="Doktora Tezi")*(Başvuru!L2:L1223="RET"))</f>
        <v/>
      </c>
      <c r="Y9" s="12">
        <f t="array" ref="Y9">SUMPRODUCT(((Başvuru!J2:K1223)="Doç. Dr. Kübra AYKAÇ")*(Başvuru!G2:G1223="Doktora Tezi")*(Başvuru!L2:L1223="KAPSAM DIŞI"))</f>
        <v/>
      </c>
      <c r="Z9" s="12">
        <f t="array" ref="Z9">SUMPRODUCT(((Başvuru!J2:K1223)="Doç. Dr. Kübra AYKAÇ")*(Başvuru!G2:G1223="Doktora Tezi")*(Başvuru!L2:L1223="GERİ ÇEKİLDİ"))</f>
        <v/>
      </c>
      <c r="AA9" s="12">
        <f>SUM(T9:Z9)</f>
        <v/>
      </c>
      <c r="AB9" s="12">
        <f t="array" ref="AB9">SUMPRODUCT(((Başvuru!J2:K1223)="Doç. Dr. Kübra AYKAÇ")*(Başvuru!G2:G1223="Uzmanlık Tezi")*(Başvuru!L2:L1223="ONAY"))</f>
        <v/>
      </c>
      <c r="AC9" s="12">
        <f t="array" ref="AC9">SUMPRODUCT(((Başvuru!J2:K1223)="Doç. Dr. Kübra AYKAÇ")*(Başvuru!G2:G1223="Uzmanlık Tezi")*(Başvuru!L2:L1223="DÜZELTME"))</f>
        <v/>
      </c>
      <c r="AD9" s="12">
        <f t="array" ref="AD9">SUMPRODUCT(((Başvuru!J2:K1223)="Doç. Dr. Kübra AYKAÇ")*(Başvuru!G2:G1223="Uzmanlık Tezi")*(Başvuru!L2:L1223="KAEK"))</f>
        <v/>
      </c>
      <c r="AE9" s="12">
        <f t="array" ref="AE9">SUMPRODUCT(((Başvuru!J2:K1223)="Doç. Dr. Kübra AYKAÇ")*(Başvuru!G2:G1223="Uzmanlık Tezi")*(Başvuru!L2:L1223="GÖRÜŞ"))</f>
        <v/>
      </c>
      <c r="AF9" s="12">
        <f t="array" ref="AF9">SUMPRODUCT(((Başvuru!J2:K1223)="Doç. Dr. Kübra AYKAÇ")*(Başvuru!G2:G1223="Uzmanlık Tezi")*(Başvuru!L2:L1223="RET"))</f>
        <v/>
      </c>
      <c r="AG9" s="12">
        <f t="array" ref="AG9">SUMPRODUCT(((Başvuru!J2:K1223)="Doç. Dr. Kübra AYKAÇ")*(Başvuru!G2:G1223="Uzmanlık Tezi")*(Başvuru!L2:L1223="KAPSAM DIŞI"))</f>
        <v/>
      </c>
      <c r="AH9" s="12">
        <f t="array" ref="AH9">SUMPRODUCT(((Başvuru!J2:K1223)="Doç. Dr. Kübra AYKAÇ")*(Başvuru!G2:G1223="Uzmanlık Tezi")*(Başvuru!L2:L1223="GERİ ÇEKİLDİ"))</f>
        <v/>
      </c>
      <c r="AI9" s="12">
        <f>SUM(AB9:AH9)</f>
        <v/>
      </c>
      <c r="AJ9" s="31">
        <f>SUM(D9,L9,T9,AB9)</f>
        <v/>
      </c>
      <c r="AK9" s="31">
        <f>SUM(E9,M9,U9,AC9)</f>
        <v/>
      </c>
      <c r="AL9" s="31">
        <f>SUM(F9,N9,V9,AD9)</f>
        <v/>
      </c>
      <c r="AM9" s="31">
        <f>SUM(G9,O9,W9,AE9)</f>
        <v/>
      </c>
      <c r="AN9" s="31">
        <f>SUM(H9,P9,X9,AF9)</f>
        <v/>
      </c>
      <c r="AO9" s="31">
        <f>SUM(I9,Q9,Y9,AG9)</f>
        <v/>
      </c>
      <c r="AP9" s="31">
        <f>SUM(J9,R9,Z9,AH9)</f>
        <v/>
      </c>
      <c r="AQ9" s="164">
        <f>SUM(AJ9:AP9)</f>
        <v/>
      </c>
      <c r="AR9" s="12">
        <f>C9-AQ9</f>
        <v/>
      </c>
    </row>
    <row r="10" ht="30" customFormat="1" customHeight="1" s="14">
      <c r="A10" s="21" t="inlineStr">
        <is>
          <t>9.</t>
        </is>
      </c>
      <c r="B10" s="22" t="inlineStr">
        <is>
          <t>Doç. Dr. Tolga ÇAKMAK</t>
        </is>
      </c>
      <c r="C10" s="12">
        <f>COUNTIF(Başvuru!J2:K1223,"Doç. Dr. Tolga ÇAKMAK")</f>
        <v/>
      </c>
      <c r="D10" s="186">
        <f t="array" ref="D10">SUMPRODUCT(((Başvuru!J2:K1223)="Doç. Dr. Tolga ÇAKMAK")*(Başvuru!G2:G1223="Bireysel Araştırma")*(Başvuru!L2:L1223="ONAY"))</f>
        <v/>
      </c>
      <c r="E10" s="186">
        <f t="array" ref="E10">SUMPRODUCT(((Başvuru!J2:K1223)="Doç. Dr. Tolga ÇAKMAK")*(Başvuru!G2:G1223="Bireysel Araştırma")*(Başvuru!L2:L1223="DÜZELTME"))</f>
        <v/>
      </c>
      <c r="F10" s="186">
        <f t="array" ref="F10">SUMPRODUCT(((Başvuru!J2:K1223)="Doç. Dr. Tolga ÇAKMAK")*(Başvuru!G2:G1223="Bireysel Araştırma")*(Başvuru!L2:L1223="KAEK"))</f>
        <v/>
      </c>
      <c r="G10" s="186">
        <f t="array" ref="G10">SUMPRODUCT(((Başvuru!J2:K1223)="Doç. Dr. Tolga ÇAKMAK")*(Başvuru!G2:G1223="Bireysel Araştırma")*(Başvuru!L2:L1223="GÖRÜŞ"))</f>
        <v/>
      </c>
      <c r="H10" s="186">
        <f t="array" ref="H10">SUMPRODUCT(((Başvuru!J2:K1223)="Doç. Dr. Tolga ÇAKMAK")*(Başvuru!G2:G1223="Bireysel Araştırma")*(Başvuru!L2:L1223="RET"))</f>
        <v/>
      </c>
      <c r="I10" s="186">
        <f t="array" ref="I10">SUMPRODUCT(((Başvuru!J2:K1223)="Doç. Dr. Tolga ÇAKMAK")*(Başvuru!G2:G1223="Bireysel Araştırma")*(Başvuru!L2:L1223="KAPSAM DIŞI"))</f>
        <v/>
      </c>
      <c r="J10" s="186">
        <f t="array" ref="J10">SUMPRODUCT(((Başvuru!J2:K1223)="Doç. Dr. Tolga ÇAKMAK")*(Başvuru!G2:G1223="Bireysel Araştırma")*(Başvuru!L2:L1223="GERİ ÇEKİLDİ"))</f>
        <v/>
      </c>
      <c r="K10" s="12">
        <f>SUM(D10:J10)</f>
        <v/>
      </c>
      <c r="L10" s="12">
        <f t="array" ref="L10">SUMPRODUCT(((Başvuru!J2:K1223)="Doç. Dr. Tolga ÇAKMAK")*(Başvuru!G2:G1223="Yüksek Lisans Tezi")*(Başvuru!L2:L1223="ONAY"))</f>
        <v/>
      </c>
      <c r="M10" s="12">
        <f t="array" ref="M10">SUMPRODUCT(((Başvuru!J2:K1223)="Doç. Dr. Tolga ÇAKMAK")*(Başvuru!G2:G1223="Yüksek Lisans Tezi")*(Başvuru!L2:L1223="DÜZELTME"))</f>
        <v/>
      </c>
      <c r="N10" s="12">
        <f t="array" ref="N10">SUMPRODUCT(((Başvuru!J2:K1223)="Doç. Dr. Tolga ÇAKMAK")*(Başvuru!G2:G1223="Yüksek Lisans Tezi")*(Başvuru!L2:L1223="KAEK"))</f>
        <v/>
      </c>
      <c r="O10" s="12">
        <f t="array" ref="O10">SUMPRODUCT(((Başvuru!J2:K1223)="Doç. Dr. Tolga ÇAKMAK")*(Başvuru!G2:G1223="Yüksek Lisans Tezi")*(Başvuru!L2:L1223="GÖRÜŞ"))</f>
        <v/>
      </c>
      <c r="P10" s="12">
        <f t="array" ref="P10">SUMPRODUCT(((Başvuru!J2:K1223)="Doç. Dr. Tolga ÇAKMAK")*(Başvuru!G2:G1223="Yüksek Lisans Tezi")*(Başvuru!L2:L1223="RET"))</f>
        <v/>
      </c>
      <c r="Q10" s="12">
        <f t="array" ref="Q10">SUMPRODUCT(((Başvuru!J2:K1223)="Doç. Dr. Tolga ÇAKMAK")*(Başvuru!G2:G1223="Yüksek Lisans Tezi")*(Başvuru!L2:L1223="KAPSAM DIŞI"))</f>
        <v/>
      </c>
      <c r="R10" s="12">
        <f t="array" ref="R10">SUMPRODUCT(((Başvuru!J2:K1223)="Doç. Dr. Tolga ÇAKMAK")*(Başvuru!G2:G1223="Yüksek Lisans Tezi")*(Başvuru!L2:L1223="GERİ ÇEKİLDİ"))</f>
        <v/>
      </c>
      <c r="S10" s="12">
        <f>SUM(L10:R10)</f>
        <v/>
      </c>
      <c r="T10" s="12">
        <f t="array" ref="T10">SUMPRODUCT(((Başvuru!J2:K1223)="Doç. Dr. Tolga ÇAKMAK")*(Başvuru!G2:G1223="Doktora Tezi")*(Başvuru!L2:L1223="ONAY"))</f>
        <v/>
      </c>
      <c r="U10" s="12">
        <f t="array" ref="U10">SUMPRODUCT(((Başvuru!J2:K1223)="Doç. Dr. Tolga ÇAKMAK")*(Başvuru!G2:G1223="Doktora Tezi")*(Başvuru!L2:L1223="DÜZELTME"))</f>
        <v/>
      </c>
      <c r="V10" s="12">
        <f t="array" ref="V10">SUMPRODUCT(((Başvuru!J2:K1223)="Doç. Dr. Tolga ÇAKMAK")*(Başvuru!G2:G1223="Doktora Tezi")*(Başvuru!L2:L1223="KAEK"))</f>
        <v/>
      </c>
      <c r="W10" s="12">
        <f t="array" ref="W10">SUMPRODUCT(((Başvuru!J2:K1223)="Doç. Dr. Tolga ÇAKMAK")*(Başvuru!G2:G1223="Doktora Tezi")*(Başvuru!L2:L1223="GÖRÜŞ"))</f>
        <v/>
      </c>
      <c r="X10" s="12">
        <f t="array" ref="X10">SUMPRODUCT(((Başvuru!J2:K1223)="Doç. Dr. Tolga ÇAKMAK")*(Başvuru!G2:G1223="Doktora Tezi")*(Başvuru!L2:L1223="RET"))</f>
        <v/>
      </c>
      <c r="Y10" s="12">
        <f t="array" ref="Y10">SUMPRODUCT(((Başvuru!J2:K1223)="Doç. Dr. Tolga ÇAKMAK")*(Başvuru!G2:G1223="Doktora Tezi")*(Başvuru!L2:L1223="KAPSAM DIŞI"))</f>
        <v/>
      </c>
      <c r="Z10" s="12">
        <f t="array" ref="Z10">SUMPRODUCT(((Başvuru!J2:K1223)="Doç. Dr. Tolga ÇAKMAK")*(Başvuru!G2:G1223="Doktora Tezi")*(Başvuru!L2:L1223="GERİ ÇEKİLDİ"))</f>
        <v/>
      </c>
      <c r="AA10" s="12">
        <f>SUM(T10:Z10)</f>
        <v/>
      </c>
      <c r="AB10" s="12">
        <f t="array" ref="AB10">SUMPRODUCT(((Başvuru!J2:K1223)="Doç. Dr. Tolga ÇAKMAK")*(Başvuru!G2:G1223="Uzmanlık Tezi")*(Başvuru!L2:L1223="ONAY"))</f>
        <v/>
      </c>
      <c r="AC10" s="12">
        <f t="array" ref="AC10">SUMPRODUCT(((Başvuru!J2:K1223)="Doç. Dr. Tolga ÇAKMAK")*(Başvuru!G2:G1223="Uzmanlık Tezi")*(Başvuru!L2:L1223="DÜZELTME"))</f>
        <v/>
      </c>
      <c r="AD10" s="12">
        <f t="array" ref="AD10">SUMPRODUCT(((Başvuru!J2:K1223)="Doç. Dr. Tolga ÇAKMAK")*(Başvuru!G2:G1223="Uzmanlık Tezi")*(Başvuru!L2:L1223="KAEK"))</f>
        <v/>
      </c>
      <c r="AE10" s="12">
        <f t="array" ref="AE10">SUMPRODUCT(((Başvuru!J2:K1223)="Doç. Dr. Tolga ÇAKMAK")*(Başvuru!G2:G1223="Uzmanlık Tezi")*(Başvuru!L2:L1223="GÖRÜŞ"))</f>
        <v/>
      </c>
      <c r="AF10" s="12">
        <f t="array" ref="AF10">SUMPRODUCT(((Başvuru!J2:K1223)="Doç. Dr. Tolga ÇAKMAK")*(Başvuru!G2:G1223="Uzmanlık Tezi")*(Başvuru!L2:L1223="RET"))</f>
        <v/>
      </c>
      <c r="AG10" s="12">
        <f t="array" ref="AG10">SUMPRODUCT(((Başvuru!J2:K1223)="Doç. Dr. Tolga ÇAKMAK")*(Başvuru!G2:G1223="Uzmanlık Tezi")*(Başvuru!L2:L1223="KAPSAM DIŞI"))</f>
        <v/>
      </c>
      <c r="AH10" s="12">
        <f t="array" ref="AH10">SUMPRODUCT(((Başvuru!J2:K1223)="Doç. Dr. Tolga ÇAKMAK")*(Başvuru!G2:G1223="Uzmanlık Tezi")*(Başvuru!L2:L1223="GERİ ÇEKİLDİ"))</f>
        <v/>
      </c>
      <c r="AI10" s="12">
        <f>SUM(AB10:AH10)</f>
        <v/>
      </c>
      <c r="AJ10" s="31">
        <f>SUM(D10,L10,T10,AB10)</f>
        <v/>
      </c>
      <c r="AK10" s="31">
        <f>SUM(E10,M10,U10,AC10)</f>
        <v/>
      </c>
      <c r="AL10" s="31">
        <f>SUM(F10,N10,V10,AD10)</f>
        <v/>
      </c>
      <c r="AM10" s="31">
        <f>SUM(G10,O10,W10,AE10)</f>
        <v/>
      </c>
      <c r="AN10" s="31">
        <f>SUM(H10,P10,X10,AF10)</f>
        <v/>
      </c>
      <c r="AO10" s="31">
        <f>SUM(I10,Q10,Y10,AG10)</f>
        <v/>
      </c>
      <c r="AP10" s="31">
        <f>SUM(J10,R10,Z10,AH10)</f>
        <v/>
      </c>
      <c r="AQ10" s="164">
        <f>SUM(AJ10:AP10)</f>
        <v/>
      </c>
      <c r="AR10" s="12">
        <f>C10-AQ10</f>
        <v/>
      </c>
    </row>
    <row r="11" ht="30" customFormat="1" customHeight="1" s="14">
      <c r="A11" s="21" t="inlineStr">
        <is>
          <t>10.</t>
        </is>
      </c>
      <c r="B11" s="22" t="inlineStr">
        <is>
          <t>Doç. Dr. Burcu ERSÖZ ALAN</t>
        </is>
      </c>
      <c r="C11" s="12">
        <f>COUNTIF(Başvuru!J2:K1223,"Doç. Dr. Burcu ERSÖZ ALAN")</f>
        <v/>
      </c>
      <c r="D11" s="186">
        <f t="array" ref="D11">SUMPRODUCT(((Başvuru!J2:K1223)="Doç. Dr. Burcu ERSÖZ ALAN")*(Başvuru!G2:G1223="Bireysel Araştırma")*(Başvuru!L2:L1223="ONAY"))</f>
        <v/>
      </c>
      <c r="E11" s="186">
        <f t="array" ref="E11">SUMPRODUCT(((Başvuru!J2:K1223)="Doç. Dr. Burcu ERSÖZ ALAN")*(Başvuru!G2:G1223="Bireysel Araştırma")*(Başvuru!L2:L1223="DÜZELTME"))</f>
        <v/>
      </c>
      <c r="F11" s="186">
        <f t="array" ref="F11">SUMPRODUCT(((Başvuru!J2:K1223)="Doç. Dr. Burcu ERSÖZ ALAN")*(Başvuru!G2:G1223="Bireysel Araştırma")*(Başvuru!L2:L1223="KAEK"))</f>
        <v/>
      </c>
      <c r="G11" s="186">
        <f t="array" ref="G11">SUMPRODUCT(((Başvuru!J2:K1223)="Doç. Dr. Burcu ERSÖZ ALAN")*(Başvuru!G2:G1223="Bireysel Araştırma")*(Başvuru!L2:L1223="GÖRÜŞ"))</f>
        <v/>
      </c>
      <c r="H11" s="186">
        <f t="array" ref="H11">SUMPRODUCT(((Başvuru!J2:K1223)="Doç. Dr. Burcu ERSÖZ ALAN")*(Başvuru!G2:G1223="Bireysel Araştırma")*(Başvuru!L2:L1223="RET"))</f>
        <v/>
      </c>
      <c r="I11" s="186">
        <f t="array" ref="I11">SUMPRODUCT(((Başvuru!J2:K1223)="Doç. Dr. Burcu ERSÖZ ALAN")*(Başvuru!G2:G1223="Bireysel Araştırma")*(Başvuru!L2:L1223="KAPSAM DIŞI"))</f>
        <v/>
      </c>
      <c r="J11" s="186">
        <f t="array" ref="J11">SUMPRODUCT(((Başvuru!J2:K1223)="Doç. Dr. Burcu ERSÖZ ALAN")*(Başvuru!G2:G1223="Bireysel Araştırma")*(Başvuru!L2:L1223="GERİ ÇEKİLDİ"))</f>
        <v/>
      </c>
      <c r="K11" s="12">
        <f>SUM(D11:J11)</f>
        <v/>
      </c>
      <c r="L11" s="12">
        <f t="array" ref="L11">SUMPRODUCT(((Başvuru!J2:K1223)="Doç. Dr. Burcu ERSÖZ ALAN")*(Başvuru!G2:G1223="Yüksek Lisans Tezi")*(Başvuru!L2:L1223="ONAY"))</f>
        <v/>
      </c>
      <c r="M11" s="12">
        <f t="array" ref="M11">SUMPRODUCT(((Başvuru!J2:K1223)="Doç. Dr. Burcu ERSÖZ ALAN")*(Başvuru!G2:G1223="Yüksek Lisans Tezi")*(Başvuru!L2:L1223="DÜZELTME"))</f>
        <v/>
      </c>
      <c r="N11" s="12">
        <f t="array" ref="N11">SUMPRODUCT(((Başvuru!J2:K1223)="Doç. Dr. Burcu ERSÖZ ALAN")*(Başvuru!G2:G1223="Yüksek Lisans Tezi")*(Başvuru!L2:L1223="KAEK"))</f>
        <v/>
      </c>
      <c r="O11" s="12">
        <f t="array" ref="O11">SUMPRODUCT(((Başvuru!J2:K1223)="Doç. Dr. Burcu ERSÖZ ALAN")*(Başvuru!G2:G1223="Yüksek Lisans Tezi")*(Başvuru!L2:L1223="GÖRÜŞ"))</f>
        <v/>
      </c>
      <c r="P11" s="12">
        <f t="array" ref="P11">SUMPRODUCT(((Başvuru!J2:K1223)="Doç. Dr. Burcu ERSÖZ ALAN")*(Başvuru!G2:G1223="Yüksek Lisans Tezi")*(Başvuru!L2:L1223="RET"))</f>
        <v/>
      </c>
      <c r="Q11" s="12">
        <f t="array" ref="Q11">SUMPRODUCT(((Başvuru!J2:K1223)="Doç. Dr. Burcu ERSÖZ ALAN")*(Başvuru!G2:G1223="Yüksek Lisans Tezi")*(Başvuru!L2:L1223="KAPSAM DIŞI"))</f>
        <v/>
      </c>
      <c r="R11" s="12">
        <f t="array" ref="R11">SUMPRODUCT(((Başvuru!J2:K1223)="Doç. Dr. Burcu ERSÖZ ALAN")*(Başvuru!G2:G1223="Yüksek Lisans Tezi")*(Başvuru!L2:L1223="GERİ ÇEKİLDİ"))</f>
        <v/>
      </c>
      <c r="S11" s="12">
        <f>SUM(L11:R11)</f>
        <v/>
      </c>
      <c r="T11" s="12">
        <f t="array" ref="T11">SUMPRODUCT(((Başvuru!J2:K1223)="Doç. Dr. Burcu ERSÖZ ALAN")*(Başvuru!G2:G1223="Doktora Tezi")*(Başvuru!L2:L1223="ONAY"))</f>
        <v/>
      </c>
      <c r="U11" s="12">
        <f t="array" ref="U11">SUMPRODUCT(((Başvuru!J2:K1223)="Doç. Dr. Burcu ERSÖZ ALAN")*(Başvuru!G2:G1223="Doktora Tezi")*(Başvuru!L2:L1223="DÜZELTME"))</f>
        <v/>
      </c>
      <c r="V11" s="12">
        <f t="array" ref="V11">SUMPRODUCT(((Başvuru!J2:K1223)="Doç. Dr. Burcu ERSÖZ ALAN")*(Başvuru!G2:G1223="Doktora Tezi")*(Başvuru!L2:L1223="KAEK"))</f>
        <v/>
      </c>
      <c r="W11" s="12">
        <f t="array" ref="W11">SUMPRODUCT(((Başvuru!J2:K1223)="Doç. Dr. Burcu ERSÖZ ALAN")*(Başvuru!G2:G1223="Doktora Tezi")*(Başvuru!L2:L1223="GÖRÜŞ"))</f>
        <v/>
      </c>
      <c r="X11" s="12">
        <f t="array" ref="X11">SUMPRODUCT(((Başvuru!J2:K1223)="Doç. Dr. Burcu ERSÖZ ALAN")*(Başvuru!G2:G1223="Doktora Tezi")*(Başvuru!L2:L1223="RET"))</f>
        <v/>
      </c>
      <c r="Y11" s="12">
        <f t="array" ref="Y11">SUMPRODUCT(((Başvuru!J2:K1223)="Doç. Dr. Burcu ERSÖZ ALAN")*(Başvuru!G2:G1223="Doktora Tezi")*(Başvuru!L2:L1223="KAPSAM DIŞI"))</f>
        <v/>
      </c>
      <c r="Z11" s="12">
        <f t="array" ref="Z11">SUMPRODUCT(((Başvuru!J2:K1223)="Doç. Dr. Burcu ERSÖZ ALAN")*(Başvuru!G2:G1223="Doktora Tezi")*(Başvuru!L2:L1223="GERİ ÇEKİLDİ"))</f>
        <v/>
      </c>
      <c r="AA11" s="12">
        <f>SUM(T11:Z11)</f>
        <v/>
      </c>
      <c r="AB11" s="12">
        <f t="array" ref="AB11">SUMPRODUCT(((Başvuru!J2:K1223)="Doç. Dr. Burcu ERSÖZ ALAN")*(Başvuru!G2:G1223="Uzmanlık Tezi")*(Başvuru!L2:L1223="ONAY"))</f>
        <v/>
      </c>
      <c r="AC11" s="12">
        <f t="array" ref="AC11">SUMPRODUCT(((Başvuru!J2:K1223)="Doç. Dr. Burcu ERSÖZ ALAN")*(Başvuru!G2:G1223="Uzmanlık Tezi")*(Başvuru!L2:L1223="DÜZELTME"))</f>
        <v/>
      </c>
      <c r="AD11" s="12">
        <f t="array" ref="AD11">SUMPRODUCT(((Başvuru!J2:K1223)="Doç. Dr. Burcu ERSÖZ ALAN")*(Başvuru!G2:G1223="Uzmanlık Tezi")*(Başvuru!L2:L1223="KAEK"))</f>
        <v/>
      </c>
      <c r="AE11" s="12">
        <f t="array" ref="AE11">SUMPRODUCT(((Başvuru!J2:K1223)="Doç. Dr. Burcu ERSÖZ ALAN")*(Başvuru!G2:G1223="Uzmanlık Tezi")*(Başvuru!L2:L1223="GÖRÜŞ"))</f>
        <v/>
      </c>
      <c r="AF11" s="12">
        <f t="array" ref="AF11">SUMPRODUCT(((Başvuru!J2:K1223)="Doç. Dr. Burcu ERSÖZ ALAN")*(Başvuru!G2:G1223="Uzmanlık Tezi")*(Başvuru!L2:L1223="RET"))</f>
        <v/>
      </c>
      <c r="AG11" s="12">
        <f t="array" ref="AG11">SUMPRODUCT(((Başvuru!J2:K1223)="Doç. Dr. Burcu ERSÖZ ALAN")*(Başvuru!G2:G1223="Uzmanlık Tezi")*(Başvuru!L2:L1223="KAPSAM DIŞI"))</f>
        <v/>
      </c>
      <c r="AH11" s="12">
        <f t="array" ref="AH11">SUMPRODUCT(((Başvuru!J2:K1223)="Doç. Dr. Burcu ERSÖZ ALAN")*(Başvuru!G2:G1223="Uzmanlık Tezi")*(Başvuru!L2:L1223="GERİ ÇEKİLDİ"))</f>
        <v/>
      </c>
      <c r="AI11" s="12">
        <f>SUM(AB11:AH11)</f>
        <v/>
      </c>
      <c r="AJ11" s="31">
        <f>SUM(D11,L11,T11,AB11)</f>
        <v/>
      </c>
      <c r="AK11" s="31">
        <f>SUM(E11,M11,U11,AC11)</f>
        <v/>
      </c>
      <c r="AL11" s="31">
        <f>SUM(F11,N11,V11,AD11)</f>
        <v/>
      </c>
      <c r="AM11" s="31">
        <f>SUM(G11,O11,W11,AE11)</f>
        <v/>
      </c>
      <c r="AN11" s="31">
        <f>SUM(H11,P11,X11,AF11)</f>
        <v/>
      </c>
      <c r="AO11" s="31">
        <f>SUM(I11,Q11,Y11,AG11)</f>
        <v/>
      </c>
      <c r="AP11" s="31">
        <f>SUM(J11,R11,Z11,AH11)</f>
        <v/>
      </c>
      <c r="AQ11" s="164">
        <f>SUM(AJ11:AP11)</f>
        <v/>
      </c>
      <c r="AR11" s="12">
        <f>C11-AQ11</f>
        <v/>
      </c>
    </row>
    <row r="12" ht="30" customFormat="1" customHeight="1" s="14">
      <c r="A12" s="21" t="inlineStr">
        <is>
          <t>11.</t>
        </is>
      </c>
      <c r="B12" s="22" t="inlineStr">
        <is>
          <t>Doç. Dr. Ekim GÜMELER</t>
        </is>
      </c>
      <c r="C12" s="12">
        <f>COUNTIF(Başvuru!J2:K1223,"Doç. Dr. Ekim GÜMELER")</f>
        <v/>
      </c>
      <c r="D12" s="186">
        <f t="array" ref="D12">SUMPRODUCT(((Başvuru!J2:K1223)="Doç. Dr. Ekim GÜMELER")*(Başvuru!G2:G1223="Bireysel Araştırma")*(Başvuru!L2:L1223="ONAY"))</f>
        <v/>
      </c>
      <c r="E12" s="186">
        <f t="array" ref="E12">SUMPRODUCT(((Başvuru!J2:K1223)="Doç. Dr. Ekim GÜMELER")*(Başvuru!G2:G1223="Bireysel Araştırma")*(Başvuru!L2:L1223="DÜZELTME"))</f>
        <v/>
      </c>
      <c r="F12" s="186">
        <f t="array" ref="F12">SUMPRODUCT(((Başvuru!J2:K1223)="Doç. Dr. Ekim GÜMELER")*(Başvuru!G2:G1223="Bireysel Araştırma")*(Başvuru!L2:L1223="KAEK"))</f>
        <v/>
      </c>
      <c r="G12" s="186">
        <f t="array" ref="G12">SUMPRODUCT(((Başvuru!J2:K1223)="Doç. Dr. Ekim GÜMELER")*(Başvuru!G2:G1223="Bireysel Araştırma")*(Başvuru!L2:L1223="GÖRÜŞ"))</f>
        <v/>
      </c>
      <c r="H12" s="186">
        <f t="array" ref="H12">SUMPRODUCT(((Başvuru!J2:K1223)="Doç. Dr. Ekim GÜMELER")*(Başvuru!G2:G1223="Bireysel Araştırma")*(Başvuru!L2:L1223="RET"))</f>
        <v/>
      </c>
      <c r="I12" s="186">
        <f t="array" ref="I12">SUMPRODUCT(((Başvuru!J2:K1223)="Doç. Dr. Ekim GÜMELER")*(Başvuru!G2:G1223="Bireysel Araştırma")*(Başvuru!L2:L1223="KAPSAM DIŞI"))</f>
        <v/>
      </c>
      <c r="J12" s="186">
        <f t="array" ref="J12">SUMPRODUCT(((Başvuru!J2:K1223)="Doç. Dr. Ekim GÜMELER")*(Başvuru!G2:G1223="Bireysel Araştırma")*(Başvuru!L2:L1223="GERİ ÇEKİLDİ"))</f>
        <v/>
      </c>
      <c r="K12" s="12">
        <f>SUM(D12:J12)</f>
        <v/>
      </c>
      <c r="L12" s="12">
        <f t="array" ref="L12">SUMPRODUCT(((Başvuru!J2:K1223)="Doç. Dr. Ekim GÜMELER")*(Başvuru!G2:G1223="Yüksek Lisans Tezi")*(Başvuru!L2:L1223="ONAY"))</f>
        <v/>
      </c>
      <c r="M12" s="12">
        <f t="array" ref="M12">SUMPRODUCT(((Başvuru!J2:K1223)="Doç. Dr. Ekim GÜMELER")*(Başvuru!G2:G1223="Yüksek Lisans Tezi")*(Başvuru!L2:L1223="DÜZELTME"))</f>
        <v/>
      </c>
      <c r="N12" s="12">
        <f t="array" ref="N12">SUMPRODUCT(((Başvuru!J2:K1223)="Doç. Dr. Ekim GÜMELER")*(Başvuru!G2:G1223="Yüksek Lisans Tezi")*(Başvuru!L2:L1223="KAEK"))</f>
        <v/>
      </c>
      <c r="O12" s="12">
        <f t="array" ref="O12">SUMPRODUCT(((Başvuru!J2:K1223)="Doç. Dr. Ekim GÜMELER")*(Başvuru!G2:G1223="Yüksek Lisans Tezi")*(Başvuru!L2:L1223="GÖRÜŞ"))</f>
        <v/>
      </c>
      <c r="P12" s="12">
        <f t="array" ref="P12">SUMPRODUCT(((Başvuru!J2:K1223)="Doç. Dr. Ekim GÜMELER")*(Başvuru!G2:G1223="Yüksek Lisans Tezi")*(Başvuru!L2:L1223="RET"))</f>
        <v/>
      </c>
      <c r="Q12" s="12">
        <f t="array" ref="Q12">SUMPRODUCT(((Başvuru!J2:K1223)="Doç. Dr. Ekim GÜMELER")*(Başvuru!G2:G1223="Yüksek Lisans Tezi")*(Başvuru!L2:L1223="KAPSAM DIŞI"))</f>
        <v/>
      </c>
      <c r="R12" s="12">
        <f t="array" ref="R12">SUMPRODUCT(((Başvuru!J2:K1223)="Doç. Dr. Ekim GÜMELER")*(Başvuru!G2:G1223="Yüksek Lisans Tezi")*(Başvuru!L2:L1223="GERİ ÇEKİLDİ"))</f>
        <v/>
      </c>
      <c r="S12" s="12">
        <f>SUM(L12:R12)</f>
        <v/>
      </c>
      <c r="T12" s="12">
        <f t="array" ref="T12">SUMPRODUCT(((Başvuru!J2:K1223)="Doç. Dr. Ekim GÜMELER")*(Başvuru!G2:G1223="Doktora Tezi")*(Başvuru!L2:L1223="ONAY"))</f>
        <v/>
      </c>
      <c r="U12" s="12">
        <f t="array" ref="U12">SUMPRODUCT(((Başvuru!J2:K1223)="Doç. Dr. Ekim GÜMELER")*(Başvuru!G2:G1223="Doktora Tezi")*(Başvuru!L2:L1223="DÜZELTME"))</f>
        <v/>
      </c>
      <c r="V12" s="12">
        <f t="array" ref="V12">SUMPRODUCT(((Başvuru!J2:K1223)="Doç. Dr. Ekim GÜMELER")*(Başvuru!G2:G1223="Doktora Tezi")*(Başvuru!L2:L1223="KAEK"))</f>
        <v/>
      </c>
      <c r="W12" s="12">
        <f t="array" ref="W12">SUMPRODUCT(((Başvuru!J2:K1223)="Doç. Dr. Ekim GÜMELER")*(Başvuru!G2:G1223="Doktora Tezi")*(Başvuru!L2:L1223="GÖRÜŞ"))</f>
        <v/>
      </c>
      <c r="X12" s="12">
        <f t="array" ref="X12">SUMPRODUCT(((Başvuru!J2:K1223)="Doç. Dr. Ekim GÜMELER")*(Başvuru!G2:G1223="Doktora Tezi")*(Başvuru!L2:L1223="RET"))</f>
        <v/>
      </c>
      <c r="Y12" s="12">
        <f t="array" ref="Y12">SUMPRODUCT(((Başvuru!J2:K1223)="Doç. Dr. Ekim GÜMELER")*(Başvuru!G2:G1223="Doktora Tezi")*(Başvuru!L2:L1223="KAPSAM DIŞI"))</f>
        <v/>
      </c>
      <c r="Z12" s="12">
        <f t="array" ref="Z12">SUMPRODUCT(((Başvuru!J2:K1223)="Doç. Dr. Ekim GÜMELER")*(Başvuru!G2:G1223="Doktora Tezi")*(Başvuru!L2:L1223="GERİ ÇEKİLDİ"))</f>
        <v/>
      </c>
      <c r="AA12" s="12">
        <f>SUM(T12:Z12)</f>
        <v/>
      </c>
      <c r="AB12" s="12">
        <f t="array" ref="AB12">SUMPRODUCT(((Başvuru!J2:K1223)="Doç. Dr. Ekim GÜMELER")*(Başvuru!G2:G1223="Uzmanlık Tezi")*(Başvuru!L2:L1223="ONAY"))</f>
        <v/>
      </c>
      <c r="AC12" s="12">
        <f t="array" ref="AC12">SUMPRODUCT(((Başvuru!J2:K1223)="Doç. Dr. Ekim GÜMELER")*(Başvuru!G2:G1223="Uzmanlık Tezi")*(Başvuru!L2:L1223="DÜZELTME"))</f>
        <v/>
      </c>
      <c r="AD12" s="12">
        <f t="array" ref="AD12">SUMPRODUCT(((Başvuru!J2:K1223)="Doç. Dr. Ekim GÜMELER")*(Başvuru!G2:G1223="Uzmanlık Tezi")*(Başvuru!L2:L1223="KAEK"))</f>
        <v/>
      </c>
      <c r="AE12" s="12">
        <f t="array" ref="AE12">SUMPRODUCT(((Başvuru!J2:K1223)="Doç. Dr. Ekim GÜMELER")*(Başvuru!G2:G1223="Uzmanlık Tezi")*(Başvuru!L2:L1223="GÖRÜŞ"))</f>
        <v/>
      </c>
      <c r="AF12" s="12">
        <f t="array" ref="AF12">SUMPRODUCT(((Başvuru!J2:K1223)="Doç. Dr. Ekim GÜMELER")*(Başvuru!G2:G1223="Uzmanlık Tezi")*(Başvuru!L2:L1223="RET"))</f>
        <v/>
      </c>
      <c r="AG12" s="12">
        <f t="array" ref="AG12">SUMPRODUCT(((Başvuru!J2:K1223)="Doç. Dr. Ekim GÜMELER")*(Başvuru!G2:G1223="Uzmanlık Tezi")*(Başvuru!L2:L1223="KAPSAM DIŞI"))</f>
        <v/>
      </c>
      <c r="AH12" s="12">
        <f t="array" ref="AH12">SUMPRODUCT(((Başvuru!J2:K1223)="Doç. Dr. Ekim GÜMELER")*(Başvuru!G2:G1223="Uzmanlık Tezi")*(Başvuru!L2:L1223="GERİ ÇEKİLDİ"))</f>
        <v/>
      </c>
      <c r="AI12" s="12">
        <f>SUM(AB12:AH12)</f>
        <v/>
      </c>
      <c r="AJ12" s="31">
        <f>SUM(D12,L12,T12,AB12)</f>
        <v/>
      </c>
      <c r="AK12" s="31">
        <f>SUM(E12,M12,U12,AC12)</f>
        <v/>
      </c>
      <c r="AL12" s="31">
        <f>SUM(F12,N12,V12,AD12)</f>
        <v/>
      </c>
      <c r="AM12" s="31">
        <f>SUM(G12,O12,W12,AE12)</f>
        <v/>
      </c>
      <c r="AN12" s="31">
        <f>SUM(H12,P12,X12,AF12)</f>
        <v/>
      </c>
      <c r="AO12" s="31">
        <f>SUM(I12,Q12,Y12,AG12)</f>
        <v/>
      </c>
      <c r="AP12" s="31">
        <f>SUM(J12,R12,Z12,AH12)</f>
        <v/>
      </c>
      <c r="AQ12" s="164">
        <f>SUM(AJ12:AP12)</f>
        <v/>
      </c>
      <c r="AR12" s="12">
        <f>C12-AQ12</f>
        <v/>
      </c>
    </row>
    <row r="13" ht="30" customFormat="1" customHeight="1" s="14">
      <c r="A13" s="21" t="inlineStr">
        <is>
          <t>12.</t>
        </is>
      </c>
      <c r="B13" s="22" t="inlineStr">
        <is>
          <t>Dr. Öğr. Üyesi Müge DEMİR</t>
        </is>
      </c>
      <c r="C13" s="12">
        <f>COUNTIF(Başvuru!J2:K1223,"Dr. Öğr. Üyesi Müge DEMİR")</f>
        <v/>
      </c>
      <c r="D13" s="186">
        <f t="array" ref="D13">SUMPRODUCT(((Başvuru!J2:K1223)="Dr. Öğr. Üyesi Müge DEMİR")*(Başvuru!G2:G1223="Bireysel Araştırma")*(Başvuru!L2:L1223="ONAY"))</f>
        <v/>
      </c>
      <c r="E13" s="186">
        <f t="array" ref="E13">SUMPRODUCT(((Başvuru!J2:K1223)="Dr. Öğr. Üyesi Müge DEMİR")*(Başvuru!G2:G1223="Bireysel Araştırma")*(Başvuru!L2:L1223="DÜZELTME"))</f>
        <v/>
      </c>
      <c r="F13" s="186">
        <f t="array" ref="F13">SUMPRODUCT(((Başvuru!J2:K1223)="Dr. Öğr. Üyesi Müge DEMİR")*(Başvuru!G2:G1223="Bireysel Araştırma")*(Başvuru!L2:L1223="KAEK"))</f>
        <v/>
      </c>
      <c r="G13" s="186">
        <f t="array" ref="G13">SUMPRODUCT(((Başvuru!J2:K1223)="Dr. Öğr. Üyesi Müge DEMİR")*(Başvuru!G2:G1223="Bireysel Araştırma")*(Başvuru!L2:L1223="GÖRÜŞ"))</f>
        <v/>
      </c>
      <c r="H13" s="186">
        <f t="array" ref="H13">SUMPRODUCT(((Başvuru!J2:K1223)="Dr. Öğr. Üyesi Müge DEMİR")*(Başvuru!G2:G1223="Bireysel Araştırma")*(Başvuru!L2:L1223="RET"))</f>
        <v/>
      </c>
      <c r="I13" s="186">
        <f t="array" ref="I13">SUMPRODUCT(((Başvuru!J2:K1223)="Dr. Öğr. Üyesi Müge DEMİR")*(Başvuru!G2:G1223="Bireysel Araştırma")*(Başvuru!L2:L1223="KAPSAM DIŞI"))</f>
        <v/>
      </c>
      <c r="J13" s="186">
        <f t="array" ref="J13">SUMPRODUCT(((Başvuru!J2:K1223)="Dr. Öğr. Üyesi Müge DEMİR")*(Başvuru!G2:G1223="Bireysel Araştırma")*(Başvuru!L2:L1223="GERİ ÇEKİLDİ"))</f>
        <v/>
      </c>
      <c r="K13" s="12">
        <f>SUM(D13:J13)</f>
        <v/>
      </c>
      <c r="L13" s="12">
        <f t="array" ref="L13">SUMPRODUCT(((Başvuru!J2:K1223)="Dr. Öğr. Üyesi Müge DEMİR")*(Başvuru!G2:G1223="Yüksek Lisans Tezi")*(Başvuru!L2:L1223="ONAY"))</f>
        <v/>
      </c>
      <c r="M13" s="12">
        <f t="array" ref="M13">SUMPRODUCT(((Başvuru!J2:K1223)="Dr. Öğr. Üyesi Müge DEMİR")*(Başvuru!G2:G1223="Yüksek Lisans Tezi")*(Başvuru!L2:L1223="DÜZELTME"))</f>
        <v/>
      </c>
      <c r="N13" s="12">
        <f t="array" ref="N13">SUMPRODUCT(((Başvuru!J2:K1223)="Dr. Öğr. Üyesi Müge DEMİR")*(Başvuru!G2:G1223="Yüksek Lisans Tezi")*(Başvuru!L2:L1223="KAEK"))</f>
        <v/>
      </c>
      <c r="O13" s="12">
        <f t="array" ref="O13">SUMPRODUCT(((Başvuru!J2:K1223)="Dr. Öğr. Üyesi Müge DEMİR")*(Başvuru!G2:G1223="Yüksek Lisans Tezi")*(Başvuru!L2:L1223="GÖRÜŞ"))</f>
        <v/>
      </c>
      <c r="P13" s="12">
        <f t="array" ref="P13">SUMPRODUCT(((Başvuru!J2:K1223)="Dr. Öğr. Üyesi Müge DEMİR")*(Başvuru!G2:G1223="Yüksek Lisans Tezi")*(Başvuru!L2:L1223="RET"))</f>
        <v/>
      </c>
      <c r="Q13" s="12">
        <f t="array" ref="Q13">SUMPRODUCT(((Başvuru!J2:K1223)="Dr. Öğr. Üyesi Müge DEMİR")*(Başvuru!G2:G1223="Yüksek Lisans Tezi")*(Başvuru!L2:L1223="KAPSAM DIŞI"))</f>
        <v/>
      </c>
      <c r="R13" s="12">
        <f t="array" ref="R13">SUMPRODUCT(((Başvuru!J2:K1223)="Dr. Öğr. Üyesi Müge DEMİR")*(Başvuru!G2:G1223="Yüksek Lisans Tezi")*(Başvuru!L2:L1223="GERİ ÇEKİLDİ"))</f>
        <v/>
      </c>
      <c r="S13" s="12">
        <f>SUM(L13:R13)</f>
        <v/>
      </c>
      <c r="T13" s="12">
        <f t="array" ref="T13">SUMPRODUCT(((Başvuru!J2:K1223)="Dr. Öğr. Üyesi Müge DEMİR")*(Başvuru!G2:G1223="Doktora Tezi")*(Başvuru!L2:L1223="ONAY"))</f>
        <v/>
      </c>
      <c r="U13" s="12">
        <f t="array" ref="U13">SUMPRODUCT(((Başvuru!J2:K1223)="Dr. Öğr. Üyesi Müge DEMİR")*(Başvuru!G2:G1223="Doktora Tezi")*(Başvuru!L2:L1223="DÜZELTME"))</f>
        <v/>
      </c>
      <c r="V13" s="12">
        <f t="array" ref="V13">SUMPRODUCT(((Başvuru!J2:K1223)="Dr. Öğr. Üyesi Müge DEMİR")*(Başvuru!G2:G1223="Doktora Tezi")*(Başvuru!L2:L1223="KAEK"))</f>
        <v/>
      </c>
      <c r="W13" s="12">
        <f t="array" ref="W13">SUMPRODUCT(((Başvuru!J2:K1223)="Dr. Öğr. Üyesi Müge DEMİR")*(Başvuru!G2:G1223="Doktora Tezi")*(Başvuru!L2:L1223="GÖRÜŞ"))</f>
        <v/>
      </c>
      <c r="X13" s="12">
        <f t="array" ref="X13">SUMPRODUCT(((Başvuru!J2:K1223)="Dr. Öğr. Üyesi Müge DEMİR")*(Başvuru!G2:G1223="Doktora Tezi")*(Başvuru!L2:L1223="RET"))</f>
        <v/>
      </c>
      <c r="Y13" s="12">
        <f t="array" ref="Y13">SUMPRODUCT(((Başvuru!J2:K1223)="Dr. Öğr. Üyesi Müge DEMİR")*(Başvuru!G2:G1223="Doktora Tezi")*(Başvuru!L2:L1223="KAPSAM DIŞI"))</f>
        <v/>
      </c>
      <c r="Z13" s="12">
        <f t="array" ref="Z13">SUMPRODUCT(((Başvuru!J2:K1223)="Dr. Öğr. Üyesi Müge DEMİR")*(Başvuru!G2:G1223="Doktora Tezi")*(Başvuru!L2:L1223="GERİ ÇEKİLDİ"))</f>
        <v/>
      </c>
      <c r="AA13" s="12">
        <f>SUM(T13:Z13)</f>
        <v/>
      </c>
      <c r="AB13" s="12">
        <f t="array" ref="AB13">SUMPRODUCT(((Başvuru!J2:K1223)="Dr. Öğr. Üyesi Müge DEMİR")*(Başvuru!G2:G1223="Uzmanlık Tezi")*(Başvuru!L2:L1223="ONAY"))</f>
        <v/>
      </c>
      <c r="AC13" s="12">
        <f t="array" ref="AC13">SUMPRODUCT(((Başvuru!J2:K1223)="Dr. Öğr. Üyesi Müge DEMİR")*(Başvuru!G2:G1223="Uzmanlık Tezi")*(Başvuru!L2:L1223="DÜZELTME"))</f>
        <v/>
      </c>
      <c r="AD13" s="12">
        <f t="array" ref="AD13">SUMPRODUCT(((Başvuru!J2:K1223)="Dr. Öğr. Üyesi Müge DEMİR")*(Başvuru!G2:G1223="Uzmanlık Tezi")*(Başvuru!L2:L1223="KAEK"))</f>
        <v/>
      </c>
      <c r="AE13" s="12">
        <f t="array" ref="AE13">SUMPRODUCT(((Başvuru!J2:K1223)="Dr. Öğr. Üyesi Müge DEMİR")*(Başvuru!G2:G1223="Uzmanlık Tezi")*(Başvuru!L2:L1223="GÖRÜŞ"))</f>
        <v/>
      </c>
      <c r="AF13" s="12">
        <f t="array" ref="AF13">SUMPRODUCT(((Başvuru!J2:K1223)="Dr. Öğr. Üyesi Müge DEMİR")*(Başvuru!G2:G1223="Uzmanlık Tezi")*(Başvuru!L2:L1223="RET"))</f>
        <v/>
      </c>
      <c r="AG13" s="12">
        <f t="array" ref="AG13">SUMPRODUCT(((Başvuru!J2:K1223)="Dr. Öğr. Üyesi Müge DEMİR")*(Başvuru!G2:G1223="Uzmanlık Tezi")*(Başvuru!L2:L1223="KAPSAM DIŞI"))</f>
        <v/>
      </c>
      <c r="AH13" s="12">
        <f t="array" ref="AH13">SUMPRODUCT(((Başvuru!J2:K1223)="Dr. Öğr. Üyesi Müge DEMİR")*(Başvuru!G2:G1223="Uzmanlık Tezi")*(Başvuru!L2:L1223="GERİ ÇEKİLDİ"))</f>
        <v/>
      </c>
      <c r="AI13" s="12">
        <f>SUM(AB13:AH13)</f>
        <v/>
      </c>
      <c r="AJ13" s="31">
        <f>SUM(D13,L13,T13,AB13)</f>
        <v/>
      </c>
      <c r="AK13" s="31">
        <f>SUM(E13,M13,U13,AC13)</f>
        <v/>
      </c>
      <c r="AL13" s="31">
        <f>SUM(F13,N13,V13,AD13)</f>
        <v/>
      </c>
      <c r="AM13" s="31">
        <f>SUM(G13,O13,W13,AE13)</f>
        <v/>
      </c>
      <c r="AN13" s="31">
        <f>SUM(H13,P13,X13,AF13)</f>
        <v/>
      </c>
      <c r="AO13" s="31">
        <f>SUM(I13,Q13,Y13,AG13)</f>
        <v/>
      </c>
      <c r="AP13" s="31">
        <f>SUM(J13,R13,Z13,AH13)</f>
        <v/>
      </c>
      <c r="AQ13" s="164">
        <f>SUM(AJ13:AP13)</f>
        <v/>
      </c>
      <c r="AR13" s="12">
        <f>C13-AQ13</f>
        <v/>
      </c>
    </row>
    <row r="14" ht="30" customFormat="1" customHeight="1" s="168">
      <c r="A14" s="197" t="inlineStr">
        <is>
          <t>TOPLAM</t>
        </is>
      </c>
      <c r="B14" s="222" t="n"/>
      <c r="C14" s="165">
        <f>SUM(C2:C13)</f>
        <v/>
      </c>
      <c r="D14" s="185">
        <f>SUM(D2:D13)</f>
        <v/>
      </c>
      <c r="E14" s="185">
        <f>SUM(E2:E13)</f>
        <v/>
      </c>
      <c r="F14" s="185">
        <f>SUM(F2:F13)</f>
        <v/>
      </c>
      <c r="G14" s="185">
        <f>SUM(G2:G13)</f>
        <v/>
      </c>
      <c r="H14" s="185">
        <f>SUM(H2:H13)</f>
        <v/>
      </c>
      <c r="I14" s="185">
        <f>SUM(I2:I13)</f>
        <v/>
      </c>
      <c r="J14" s="185">
        <f>SUM(J2:J13)</f>
        <v/>
      </c>
      <c r="K14" s="170">
        <f>SUM(K2:K13)</f>
        <v/>
      </c>
      <c r="L14" s="165">
        <f>SUM(L2:L13)</f>
        <v/>
      </c>
      <c r="M14" s="165">
        <f>SUM(M2:M13)</f>
        <v/>
      </c>
      <c r="N14" s="165">
        <f>SUM(N2:N13)</f>
        <v/>
      </c>
      <c r="O14" s="165">
        <f>SUM(O2:O13)</f>
        <v/>
      </c>
      <c r="P14" s="165">
        <f>SUM(P2:P13)</f>
        <v/>
      </c>
      <c r="Q14" s="165">
        <f>SUM(Q2:Q13)</f>
        <v/>
      </c>
      <c r="R14" s="165">
        <f>SUM(R2:R13)</f>
        <v/>
      </c>
      <c r="S14" s="170" t="n"/>
      <c r="T14" s="165">
        <f>SUM(T2:T13)</f>
        <v/>
      </c>
      <c r="U14" s="165">
        <f>SUM(U2:U13)</f>
        <v/>
      </c>
      <c r="V14" s="165">
        <f>SUM(V2:V13)</f>
        <v/>
      </c>
      <c r="W14" s="165">
        <f>SUM(W2:W13)</f>
        <v/>
      </c>
      <c r="X14" s="165">
        <f>SUM(X2:X13)</f>
        <v/>
      </c>
      <c r="Y14" s="165">
        <f>SUM(Y2:Y13)</f>
        <v/>
      </c>
      <c r="Z14" s="165">
        <f>SUM(Z2:Z13)</f>
        <v/>
      </c>
      <c r="AA14" s="170" t="n"/>
      <c r="AB14" s="165">
        <f>SUM(AB2:AB13)</f>
        <v/>
      </c>
      <c r="AC14" s="165">
        <f>SUM(AC2:AC13)</f>
        <v/>
      </c>
      <c r="AD14" s="165">
        <f>SUM(AD2:AD13)</f>
        <v/>
      </c>
      <c r="AE14" s="165">
        <f>SUM(AE2:AE13)</f>
        <v/>
      </c>
      <c r="AF14" s="165">
        <f>SUM(AF2:AF13)</f>
        <v/>
      </c>
      <c r="AG14" s="165">
        <f>SUM(AG2:AG13)</f>
        <v/>
      </c>
      <c r="AH14" s="165">
        <f>SUM(AH2:AH13)</f>
        <v/>
      </c>
      <c r="AI14" s="170" t="n"/>
      <c r="AJ14" s="171">
        <f>SUM(AJ2:AJ13)</f>
        <v/>
      </c>
      <c r="AK14" s="171">
        <f>SUM(AK2:AK13)</f>
        <v/>
      </c>
      <c r="AL14" s="171">
        <f>SUM(AL2:AL13)</f>
        <v/>
      </c>
      <c r="AM14" s="171">
        <f>SUM(AM2:AM13)</f>
        <v/>
      </c>
      <c r="AN14" s="171">
        <f>SUM(AN2:AN13)</f>
        <v/>
      </c>
      <c r="AO14" s="171">
        <f>SUM(AO2:AO13)</f>
        <v/>
      </c>
      <c r="AP14" s="171">
        <f>SUM(AP2:AP13)</f>
        <v/>
      </c>
      <c r="AQ14" s="172">
        <f>SUM(AJ14:AP14)</f>
        <v/>
      </c>
      <c r="AR14" s="184">
        <f>SUM(AR2:AR13)</f>
        <v/>
      </c>
    </row>
    <row r="15" ht="33" customFormat="1" customHeight="1" s="168">
      <c r="A15" s="173" t="n"/>
      <c r="B15" s="170" t="n"/>
      <c r="C15" s="174">
        <f>C14/2</f>
        <v/>
      </c>
      <c r="D15" s="196">
        <f>SUM(D14:J14)</f>
        <v/>
      </c>
      <c r="K15" s="166">
        <f>SUM(K2:K14)</f>
        <v/>
      </c>
      <c r="L15" s="195">
        <f>SUM(L14:R14)</f>
        <v/>
      </c>
      <c r="S15" s="167">
        <f>SUM(S2:S13)</f>
        <v/>
      </c>
      <c r="T15" s="195">
        <f>SUM(T14:Z14)</f>
        <v/>
      </c>
      <c r="AA15" s="167">
        <f>SUM(AA2:AA13)</f>
        <v/>
      </c>
      <c r="AB15" s="195">
        <f>SUM(AB14:AH14)</f>
        <v/>
      </c>
      <c r="AI15" s="167">
        <f>SUM(AI2:AI13)</f>
        <v/>
      </c>
      <c r="AJ15" s="170" t="n"/>
      <c r="AK15" s="170" t="n"/>
      <c r="AL15" s="170" t="n"/>
      <c r="AM15" s="170" t="n"/>
      <c r="AN15" s="170" t="n"/>
      <c r="AO15" s="170" t="n"/>
      <c r="AP15" s="170" t="n"/>
      <c r="AQ15" s="170" t="n"/>
      <c r="AR15" s="195">
        <f>AR14/2</f>
        <v/>
      </c>
    </row>
    <row r="16" ht="33" customFormat="1" customHeight="1" s="168">
      <c r="A16" s="170" t="n"/>
      <c r="B16" s="170" t="n"/>
      <c r="C16" s="170" t="n"/>
      <c r="D16" s="194">
        <f>SUM(D15:AH15)</f>
        <v/>
      </c>
      <c r="AJ16" s="195">
        <f>C14-D16</f>
        <v/>
      </c>
      <c r="AN16" s="195">
        <f>C14-AQ14</f>
        <v/>
      </c>
      <c r="AR16" s="170" t="n"/>
    </row>
    <row r="20" ht="30" customHeight="1" s="221">
      <c r="A20" s="16" t="inlineStr">
        <is>
          <t>S.No</t>
        </is>
      </c>
      <c r="B20" s="209" t="inlineStr">
        <is>
          <t>Nitelik</t>
        </is>
      </c>
      <c r="C20" s="209" t="inlineStr">
        <is>
          <t>Dosya Sayısı</t>
        </is>
      </c>
    </row>
    <row r="21" ht="30" customHeight="1" s="221">
      <c r="A21" s="17" t="inlineStr">
        <is>
          <t>1.</t>
        </is>
      </c>
      <c r="B21" s="22" t="inlineStr">
        <is>
          <t>Bireysel Araştırma</t>
        </is>
      </c>
      <c r="C21" s="23">
        <f>COUNTIF(Başvuru!G2:G1223,"Bireysel Araştırma")</f>
        <v/>
      </c>
    </row>
    <row r="22" ht="30" customHeight="1" s="221">
      <c r="A22" s="18" t="inlineStr">
        <is>
          <t>2.</t>
        </is>
      </c>
      <c r="B22" s="25" t="inlineStr">
        <is>
          <t>Yüksek Lisans Tezi</t>
        </is>
      </c>
      <c r="C22" s="26">
        <f>COUNTIF(Başvuru!G2:G1223,"Yüksek Lisans Tezi")</f>
        <v/>
      </c>
    </row>
    <row r="23" ht="30" customHeight="1" s="221">
      <c r="A23" s="17" t="inlineStr">
        <is>
          <t>3.</t>
        </is>
      </c>
      <c r="B23" s="22" t="inlineStr">
        <is>
          <t>Doktora Tezi</t>
        </is>
      </c>
      <c r="C23" s="23">
        <f>COUNTIF(Başvuru!G2:G1223,"Doktora Tezi")</f>
        <v/>
      </c>
    </row>
    <row r="24" ht="30" customHeight="1" s="221">
      <c r="A24" s="18" t="inlineStr">
        <is>
          <t>4.</t>
        </is>
      </c>
      <c r="B24" s="25" t="inlineStr">
        <is>
          <t>Uzmanlık Tezi</t>
        </is>
      </c>
      <c r="C24" s="26">
        <f>COUNTIF(Başvuru!G2:G1223,"Uzmanlık Tezi")</f>
        <v/>
      </c>
    </row>
    <row r="25" ht="30" customHeight="1" s="221">
      <c r="A25" s="223" t="inlineStr">
        <is>
          <t>TOPLAM</t>
        </is>
      </c>
      <c r="B25" s="222" t="n"/>
      <c r="C25" s="209">
        <f>SUM(C21:C24)</f>
        <v/>
      </c>
    </row>
    <row r="26" ht="30" customHeight="1" s="221">
      <c r="B26" s="14" t="n"/>
      <c r="C26" s="14" t="n"/>
    </row>
    <row r="27" ht="30" customHeight="1" s="221">
      <c r="A27" s="16" t="inlineStr">
        <is>
          <t>S.No</t>
        </is>
      </c>
      <c r="B27" s="209" t="inlineStr">
        <is>
          <t>Karar</t>
        </is>
      </c>
      <c r="C27" s="209" t="inlineStr">
        <is>
          <t>Dosya Sayısı</t>
        </is>
      </c>
    </row>
    <row r="28" ht="30" customHeight="1" s="221">
      <c r="A28" s="19" t="inlineStr">
        <is>
          <t>1.</t>
        </is>
      </c>
      <c r="B28" s="27" t="inlineStr">
        <is>
          <t>Onay</t>
        </is>
      </c>
      <c r="C28" s="23">
        <f>COUNTIF(Başvuru!L2:L1223,"ONAY")</f>
        <v/>
      </c>
    </row>
    <row r="29" ht="30" customHeight="1" s="221">
      <c r="A29" s="19" t="inlineStr">
        <is>
          <t>2.</t>
        </is>
      </c>
      <c r="B29" s="27" t="inlineStr">
        <is>
          <t>Düzeltme</t>
        </is>
      </c>
      <c r="C29" s="23">
        <f>COUNTIF(Başvuru!L2:L1223,"DÜZELTME")</f>
        <v/>
      </c>
    </row>
    <row r="30" ht="30" customHeight="1" s="221">
      <c r="A30" s="19" t="inlineStr">
        <is>
          <t>3.</t>
        </is>
      </c>
      <c r="B30" s="27" t="inlineStr">
        <is>
          <t>KAEK</t>
        </is>
      </c>
      <c r="C30" s="23">
        <f>COUNTIF(Başvuru!L2:L1223,"KAEK")</f>
        <v/>
      </c>
    </row>
    <row r="31" ht="30" customHeight="1" s="221">
      <c r="A31" s="19" t="inlineStr">
        <is>
          <t>4.</t>
        </is>
      </c>
      <c r="B31" s="27" t="inlineStr">
        <is>
          <t>Görüş</t>
        </is>
      </c>
      <c r="C31" s="23">
        <f>COUNTIF(Başvuru!L2:L1223,"GÖRÜŞ")</f>
        <v/>
      </c>
    </row>
    <row r="32" ht="30" customHeight="1" s="221">
      <c r="A32" s="19" t="inlineStr">
        <is>
          <t>5.</t>
        </is>
      </c>
      <c r="B32" s="27" t="inlineStr">
        <is>
          <t>Ret</t>
        </is>
      </c>
      <c r="C32" s="23">
        <f>COUNTIF(Başvuru!L2:L1223,"RET")</f>
        <v/>
      </c>
    </row>
    <row r="33" ht="30" customHeight="1" s="221">
      <c r="A33" s="19" t="inlineStr">
        <is>
          <t>6.</t>
        </is>
      </c>
      <c r="B33" s="27" t="inlineStr">
        <is>
          <t>Kapsam Dışı</t>
        </is>
      </c>
      <c r="C33" s="23">
        <f>COUNTIF(Başvuru!L2:L1223,"KAPSAM DIŞI")</f>
        <v/>
      </c>
    </row>
    <row r="34" ht="30" customHeight="1" s="221">
      <c r="A34" s="19" t="inlineStr">
        <is>
          <t>7.</t>
        </is>
      </c>
      <c r="B34" s="27" t="inlineStr">
        <is>
          <t>Geri Çekildi</t>
        </is>
      </c>
      <c r="C34" s="23">
        <f>COUNTIF(Başvuru!L2:L1223,"GERİ ÇEKİLDİ")</f>
        <v/>
      </c>
    </row>
    <row r="35" ht="30" customHeight="1" s="221">
      <c r="A35" s="223" t="inlineStr">
        <is>
          <t>TOPLAM</t>
        </is>
      </c>
      <c r="B35" s="222" t="n"/>
      <c r="C35" s="209">
        <f>SUM(C28:C34)</f>
        <v/>
      </c>
    </row>
  </sheetData>
  <mergeCells count="10">
    <mergeCell ref="A25:B25"/>
    <mergeCell ref="T15:Z15"/>
    <mergeCell ref="D16:AI16"/>
    <mergeCell ref="A14:B14"/>
    <mergeCell ref="AB15:AH15"/>
    <mergeCell ref="AN16:AQ16"/>
    <mergeCell ref="L15:R15"/>
    <mergeCell ref="D15:J15"/>
    <mergeCell ref="AJ16:AM16"/>
    <mergeCell ref="A35:B35"/>
  </mergeCells>
  <conditionalFormatting sqref="A21:C24">
    <cfRule type="expression" priority="2" dxfId="3">
      <formula>" =ÇİFTMİ(SATIR())"</formula>
    </cfRule>
  </conditionalFormatting>
  <conditionalFormatting sqref="A28:C34">
    <cfRule type="expression" priority="3" dxfId="3">
      <formula>ISEVEN(ROW())</formula>
    </cfRule>
  </conditionalFormatting>
  <conditionalFormatting sqref="A2:AI13">
    <cfRule type="expression" priority="4" dxfId="3" stopIfTrue="1">
      <formula>ISODD(ROW())</formula>
    </cfRule>
  </conditionalFormatting>
  <conditionalFormatting sqref="AR2:AR13">
    <cfRule type="expression" priority="1" dxfId="3" stopIfTrue="1">
      <formula>ISODD(ROW())</formula>
    </cfRule>
  </conditionalFormatting>
  <printOptions horizontalCentered="1" verticalCentered="1"/>
  <pageMargins left="0.3937007874015748" right="0.3937007874015748" top="0.3937007874015748" bottom="0.3937007874015748" header="0.3149606299212598" footer="0.3149606299212598"/>
  <pageSetup orientation="landscape" paperSize="9" scale="20"/>
</worksheet>
</file>

<file path=xl/worksheets/sheet3.xml><?xml version="1.0" encoding="utf-8"?>
<worksheet xmlns="http://schemas.openxmlformats.org/spreadsheetml/2006/main">
  <sheetPr>
    <tabColor rgb="FF002060"/>
    <outlinePr summaryBelow="1" summaryRight="1"/>
    <pageSetUpPr/>
  </sheetPr>
  <dimension ref="A1:AQ63"/>
  <sheetViews>
    <sheetView showZeros="0" zoomScale="50" zoomScaleNormal="50" workbookViewId="0">
      <selection activeCell="E3" sqref="E3"/>
    </sheetView>
  </sheetViews>
  <sheetFormatPr baseColWidth="8" defaultRowHeight="15.75"/>
  <cols>
    <col width="9.140625" customWidth="1" style="218" min="1" max="1"/>
    <col width="58.42578125" bestFit="1" customWidth="1" style="218" min="2" max="2"/>
    <col width="21.28515625" bestFit="1" customWidth="1" style="218" min="3" max="3"/>
    <col width="9.7109375" customWidth="1" style="218" min="4" max="35"/>
    <col width="11" bestFit="1" customWidth="1" style="218" min="36" max="36"/>
    <col width="9.7109375" customWidth="1" style="218" min="37" max="42"/>
    <col width="12.85546875" customWidth="1" style="218" min="43" max="43"/>
    <col width="9.140625" customWidth="1" style="218" min="44" max="16384"/>
  </cols>
  <sheetData>
    <row r="1" ht="30" customFormat="1" customHeight="1" s="14">
      <c r="A1" s="209" t="inlineStr">
        <is>
          <t>S.No</t>
        </is>
      </c>
      <c r="B1" s="209" t="inlineStr">
        <is>
          <t>Adı Soyadı</t>
        </is>
      </c>
      <c r="C1" s="209" t="inlineStr">
        <is>
          <t>Dosya Sayısı</t>
        </is>
      </c>
      <c r="D1" s="199" t="inlineStr">
        <is>
          <t>Bireysel Araştırma</t>
        </is>
      </c>
      <c r="E1" s="224" t="n"/>
      <c r="F1" s="224" t="n"/>
      <c r="G1" s="224" t="n"/>
      <c r="H1" s="224" t="n"/>
      <c r="I1" s="224" t="n"/>
      <c r="J1" s="224" t="n"/>
      <c r="K1" s="225" t="n"/>
      <c r="L1" s="199" t="inlineStr">
        <is>
          <t>Yüksek Lisans Tezi</t>
        </is>
      </c>
      <c r="M1" s="224" t="n"/>
      <c r="N1" s="224" t="n"/>
      <c r="O1" s="224" t="n"/>
      <c r="P1" s="224" t="n"/>
      <c r="Q1" s="224" t="n"/>
      <c r="R1" s="224" t="n"/>
      <c r="S1" s="225" t="n"/>
      <c r="T1" s="199" t="inlineStr">
        <is>
          <t>Doktora Tezi</t>
        </is>
      </c>
      <c r="U1" s="224" t="n"/>
      <c r="V1" s="224" t="n"/>
      <c r="W1" s="224" t="n"/>
      <c r="X1" s="224" t="n"/>
      <c r="Y1" s="224" t="n"/>
      <c r="Z1" s="224" t="n"/>
      <c r="AA1" s="225" t="n"/>
      <c r="AB1" s="199" t="inlineStr">
        <is>
          <t>Uzmanlık Tezi</t>
        </is>
      </c>
      <c r="AC1" s="224" t="n"/>
      <c r="AD1" s="224" t="n"/>
      <c r="AE1" s="224" t="n"/>
      <c r="AF1" s="224" t="n"/>
      <c r="AG1" s="224" t="n"/>
      <c r="AH1" s="224" t="n"/>
      <c r="AI1" s="225" t="n"/>
      <c r="AJ1" s="202" t="inlineStr">
        <is>
          <t>TOPLAM</t>
        </is>
      </c>
      <c r="AK1" s="226" t="n"/>
      <c r="AL1" s="226" t="n"/>
      <c r="AM1" s="226" t="n"/>
      <c r="AN1" s="226" t="n"/>
      <c r="AO1" s="226" t="n"/>
      <c r="AP1" s="226" t="n"/>
      <c r="AQ1" s="227" t="n"/>
    </row>
    <row r="2" ht="111.75" customFormat="1" customHeight="1" s="14">
      <c r="A2" s="228" t="n"/>
      <c r="B2" s="228" t="n"/>
      <c r="C2" s="228" t="n"/>
      <c r="D2" s="32" t="inlineStr">
        <is>
          <t>Onay</t>
        </is>
      </c>
      <c r="E2" s="32" t="inlineStr">
        <is>
          <t>Düzeltme</t>
        </is>
      </c>
      <c r="F2" s="32" t="inlineStr">
        <is>
          <t>KAEK</t>
        </is>
      </c>
      <c r="G2" s="32" t="inlineStr">
        <is>
          <t>Görüş</t>
        </is>
      </c>
      <c r="H2" s="32" t="inlineStr">
        <is>
          <t>Ret</t>
        </is>
      </c>
      <c r="I2" s="32" t="inlineStr">
        <is>
          <t>Kapsam Dışı</t>
        </is>
      </c>
      <c r="J2" s="32" t="inlineStr">
        <is>
          <t>Geri Çekildi</t>
        </is>
      </c>
      <c r="K2" s="36" t="inlineStr">
        <is>
          <t>TOPLAM</t>
        </is>
      </c>
      <c r="L2" s="33" t="inlineStr">
        <is>
          <t>Onay</t>
        </is>
      </c>
      <c r="M2" s="32" t="inlineStr">
        <is>
          <t>Düzeltme</t>
        </is>
      </c>
      <c r="N2" s="32" t="inlineStr">
        <is>
          <t>KAEK</t>
        </is>
      </c>
      <c r="O2" s="32" t="inlineStr">
        <is>
          <t>Görüş</t>
        </is>
      </c>
      <c r="P2" s="32" t="inlineStr">
        <is>
          <t>Ret</t>
        </is>
      </c>
      <c r="Q2" s="32" t="inlineStr">
        <is>
          <t>Kapsam Dışı</t>
        </is>
      </c>
      <c r="R2" s="32" t="inlineStr">
        <is>
          <t>Geri Çekildi</t>
        </is>
      </c>
      <c r="S2" s="37" t="inlineStr">
        <is>
          <t>TOPLAM</t>
        </is>
      </c>
      <c r="T2" s="32" t="inlineStr">
        <is>
          <t>Onay</t>
        </is>
      </c>
      <c r="U2" s="32" t="inlineStr">
        <is>
          <t>Düzeltme</t>
        </is>
      </c>
      <c r="V2" s="32" t="inlineStr">
        <is>
          <t>KAEK</t>
        </is>
      </c>
      <c r="W2" s="32" t="inlineStr">
        <is>
          <t>Görüş</t>
        </is>
      </c>
      <c r="X2" s="32" t="inlineStr">
        <is>
          <t>Ret</t>
        </is>
      </c>
      <c r="Y2" s="32" t="inlineStr">
        <is>
          <t>Kapsam Dışı</t>
        </is>
      </c>
      <c r="Z2" s="32" t="inlineStr">
        <is>
          <t>Geri Çekildi</t>
        </is>
      </c>
      <c r="AA2" s="38" t="inlineStr">
        <is>
          <t>TOPLAM</t>
        </is>
      </c>
      <c r="AB2" s="32" t="inlineStr">
        <is>
          <t>Onay</t>
        </is>
      </c>
      <c r="AC2" s="32" t="inlineStr">
        <is>
          <t>Düzeltme</t>
        </is>
      </c>
      <c r="AD2" s="32" t="inlineStr">
        <is>
          <t>KAEK</t>
        </is>
      </c>
      <c r="AE2" s="32" t="inlineStr">
        <is>
          <t>Görüş</t>
        </is>
      </c>
      <c r="AF2" s="32" t="inlineStr">
        <is>
          <t>Ret</t>
        </is>
      </c>
      <c r="AG2" s="32" t="inlineStr">
        <is>
          <t>Kapsam Dışı</t>
        </is>
      </c>
      <c r="AH2" s="32" t="inlineStr">
        <is>
          <t>Geri Çekildi</t>
        </is>
      </c>
      <c r="AI2" s="38" t="inlineStr">
        <is>
          <t>TOPLAM</t>
        </is>
      </c>
      <c r="AJ2" s="34" t="inlineStr">
        <is>
          <t>Onay</t>
        </is>
      </c>
      <c r="AK2" s="34" t="inlineStr">
        <is>
          <t>Düzeltme</t>
        </is>
      </c>
      <c r="AL2" s="34" t="inlineStr">
        <is>
          <t>KAEK</t>
        </is>
      </c>
      <c r="AM2" s="34" t="inlineStr">
        <is>
          <t>Görüş</t>
        </is>
      </c>
      <c r="AN2" s="34" t="inlineStr">
        <is>
          <t>Ret</t>
        </is>
      </c>
      <c r="AO2" s="34" t="inlineStr">
        <is>
          <t>Kapsam Dışı</t>
        </is>
      </c>
      <c r="AP2" s="34" t="inlineStr">
        <is>
          <t>Geri Çekildi</t>
        </is>
      </c>
      <c r="AQ2" s="34" t="inlineStr">
        <is>
          <t>TOPLAM</t>
        </is>
      </c>
    </row>
    <row r="3" ht="30.75" customFormat="1" customHeight="1" s="14">
      <c r="A3" s="21" t="inlineStr">
        <is>
          <t>1.</t>
        </is>
      </c>
      <c r="B3" s="22" t="inlineStr">
        <is>
          <t>Prof. Dr. Ayşe Nurten AKARSU</t>
        </is>
      </c>
      <c r="C3" s="12">
        <f>COUNTIF(Başvuru!$J:$K, $B3)</f>
        <v/>
      </c>
      <c r="D3" s="12">
        <f>COUNTIFS(Başvuru!$G:$G, "Bireysel Araştırma", Başvuru!$L:$L, D$2, Başvuru!$J:$J, $B3) + COUNTIFS(Başvuru!$G:$G, "Bireysel Araştırma", Başvuru!$L:$L, D$2, Başvuru!$K:$K, $B3)</f>
        <v/>
      </c>
      <c r="E3" s="12">
        <f>COUNTIFS(Başvuru!$G:$G, "Bireysel Araştırma", Başvuru!$L:$L, E$2, Başvuru!$J:$J, $B3) + COUNTIFS(Başvuru!$G:$G, "Bireysel Araştırma", Başvuru!$L:$L, E$2, Başvuru!$K:$K, $B3)</f>
        <v/>
      </c>
      <c r="F3" s="12">
        <f>COUNTIFS(Başvuru!$G:$G, "Bireysel Araştırma", Başvuru!$L:$L, F$2, Başvuru!$J:$J, $B3) + COUNTIFS(Başvuru!$G:$G, "Bireysel Araştırma", Başvuru!$L:$L, F$2, Başvuru!$K:$K, $B3)</f>
        <v/>
      </c>
      <c r="G3" s="12">
        <f>COUNTIFS(Başvuru!$G:$G, "Bireysel Araştırma", Başvuru!$L:$L, G$2, Başvuru!$J:$J, $B3) + COUNTIFS(Başvuru!$G:$G, "Bireysel Araştırma", Başvuru!$L:$L, G$2, Başvuru!$K:$K, $B3)</f>
        <v/>
      </c>
      <c r="H3" s="12">
        <f>COUNTIFS(Başvuru!$G:$G, "Bireysel Araştırma", Başvuru!$L:$L, H$2, Başvuru!$J:$J, $B3) + COUNTIFS(Başvuru!$G:$G, "Bireysel Araştırma", Başvuru!$L:$L, H$2, Başvuru!$K:$K, $B3)</f>
        <v/>
      </c>
      <c r="I3" s="12">
        <f>COUNTIFS(Başvuru!$G:$G, "Bireysel Araştırma", Başvuru!$L:$L, I$2, Başvuru!$J:$J, $B3) + COUNTIFS(Başvuru!$G:$G, "Bireysel Araştırma", Başvuru!$L:$L, I$2, Başvuru!$K:$K, $B3)</f>
        <v/>
      </c>
      <c r="J3" s="12">
        <f>COUNTIFS(Başvuru!$G:$G, "Bireysel Araştırma", Başvuru!$L:$L, J$2, Başvuru!$J:$J, $B3) + COUNTIFS(Başvuru!$G:$G, "Bireysel Araştırma", Başvuru!$L:$L, J$2, Başvuru!$K:$K, $B3)</f>
        <v/>
      </c>
      <c r="K3" s="12">
        <f>SUM(D3:J3)</f>
        <v/>
      </c>
      <c r="L3" s="12">
        <f>COUNTIFS(Başvuru!$G:$G, "Yüksek Lisans Tezi", Başvuru!$L:$L, L$2, Başvuru!$J:$J, $B3) + COUNTIFS(Başvuru!$G:$G, "Yüksek Lisans Tezi", Başvuru!$L:$L, L$2, Başvuru!$K:$K, $B3)</f>
        <v/>
      </c>
      <c r="M3" s="12">
        <f>COUNTIFS(Başvuru!$G:$G, "Yüksek Lisans Tezi", Başvuru!$L:$L, M$2, Başvuru!$J:$J, $B3) + COUNTIFS(Başvuru!$G:$G, "Yüksek Lisans Tezi", Başvuru!$L:$L, M$2, Başvuru!$K:$K, $B3)</f>
        <v/>
      </c>
      <c r="N3" s="12">
        <f>COUNTIFS(Başvuru!$G:$G, "Yüksek Lisans Tezi", Başvuru!$L:$L, N$2, Başvuru!$J:$J, $B3) + COUNTIFS(Başvuru!$G:$G, "Yüksek Lisans Tezi", Başvuru!$L:$L, N$2, Başvuru!$K:$K, $B3)</f>
        <v/>
      </c>
      <c r="O3" s="12">
        <f>COUNTIFS(Başvuru!$G:$G, "Yüksek Lisans Tezi", Başvuru!$L:$L, O$2, Başvuru!$J:$J, $B3) + COUNTIFS(Başvuru!$G:$G, "Yüksek Lisans Tezi", Başvuru!$L:$L, O$2, Başvuru!$K:$K, $B3)</f>
        <v/>
      </c>
      <c r="P3" s="12">
        <f>COUNTIFS(Başvuru!$G:$G, "Yüksek Lisans Tezi", Başvuru!$L:$L, P$2, Başvuru!$J:$J, $B3) + COUNTIFS(Başvuru!$G:$G, "Yüksek Lisans Tezi", Başvuru!$L:$L, P$2, Başvuru!$K:$K, $B3)</f>
        <v/>
      </c>
      <c r="Q3" s="12">
        <f>COUNTIFS(Başvuru!$G:$G, "Yüksek Lisans Tezi", Başvuru!$L:$L, Q$2, Başvuru!$J:$J, $B3) + COUNTIFS(Başvuru!$G:$G, "Yüksek Lisans Tezi", Başvuru!$L:$L, Q$2, Başvuru!$K:$K, $B3)</f>
        <v/>
      </c>
      <c r="R3" s="12">
        <f>COUNTIFS(Başvuru!$G:$G, "Yüksek Lisans Tezi", Başvuru!$L:$L, R$2, Başvuru!$J:$J, $B3) + COUNTIFS(Başvuru!$G:$G, "Yüksek Lisans Tezi", Başvuru!$L:$L, R$2, Başvuru!$K:$K, $B3)</f>
        <v/>
      </c>
      <c r="S3" s="12">
        <f>SUM(L3:R3)</f>
        <v/>
      </c>
      <c r="T3" s="12">
        <f>COUNTIFS(Başvuru!$G:$G, "Doktora Tezi", Başvuru!$L:$L, T$2, Başvuru!$J:$J, $B3) + COUNTIFS(Başvuru!$G:$G, "Doktora Tezi", Başvuru!$L:$L, T$2, Başvuru!$K:$K, $B3)</f>
        <v/>
      </c>
      <c r="U3" s="12">
        <f>COUNTIFS(Başvuru!$G:$G, "Doktora Tezi", Başvuru!$L:$L, U$2, Başvuru!$J:$J, $B3) + COUNTIFS(Başvuru!$G:$G, "Doktora Tezi", Başvuru!$L:$L, U$2, Başvuru!$K:$K, $B3)</f>
        <v/>
      </c>
      <c r="V3" s="12">
        <f>COUNTIFS(Başvuru!$G:$G, "Doktora Tezi", Başvuru!$L:$L, V$2, Başvuru!$J:$J, $B3) + COUNTIFS(Başvuru!$G:$G, "Doktora Tezi", Başvuru!$L:$L, V$2, Başvuru!$K:$K, $B3)</f>
        <v/>
      </c>
      <c r="W3" s="12">
        <f>COUNTIFS(Başvuru!$G:$G, "Doktora Tezi", Başvuru!$L:$L, W$2, Başvuru!$J:$J, $B3) + COUNTIFS(Başvuru!$G:$G, "Doktora Tezi", Başvuru!$L:$L, W$2, Başvuru!$K:$K, $B3)</f>
        <v/>
      </c>
      <c r="X3" s="12">
        <f>COUNTIFS(Başvuru!$G:$G, "Doktora Tezi", Başvuru!$L:$L, X$2, Başvuru!$J:$J, $B3) + COUNTIFS(Başvuru!$G:$G, "Doktora Tezi", Başvuru!$L:$L, X$2, Başvuru!$K:$K, $B3)</f>
        <v/>
      </c>
      <c r="Y3" s="12">
        <f>COUNTIFS(Başvuru!$G:$G, "Doktora Tezi", Başvuru!$L:$L, Y$2, Başvuru!$J:$J, $B3) + COUNTIFS(Başvuru!$G:$G, "Doktora Tezi", Başvuru!$L:$L, Y$2, Başvuru!$K:$K, $B3)</f>
        <v/>
      </c>
      <c r="Z3" s="12">
        <f>COUNTIFS(Başvuru!$G:$G, "Doktora Tezi", Başvuru!$L:$L, Z$2, Başvuru!$J:$J, $B3) + COUNTIFS(Başvuru!$G:$G, "Doktora Tezi", Başvuru!$L:$L, Z$2, Başvuru!$K:$K, $B3)</f>
        <v/>
      </c>
      <c r="AA3" s="12">
        <f>SUM(T3:Z3)</f>
        <v/>
      </c>
      <c r="AB3" s="12">
        <f>COUNTIFS(Başvuru!$G:$G, "Uzmanlık Tezi", Başvuru!$L:$L, AB$2, Başvuru!$J:$J, $B3) + COUNTIFS(Başvuru!$G:$G, "Uzmanlık Tezi", Başvuru!$L:$L, AB$2, Başvuru!$K:$K, $B3)</f>
        <v/>
      </c>
      <c r="AC3" s="12">
        <f>COUNTIFS(Başvuru!$G:$G, "Uzmanlık Tezi", Başvuru!$L:$L, AC$2, Başvuru!$J:$J, $B3) + COUNTIFS(Başvuru!$G:$G, "Uzmanlık Tezi", Başvuru!$L:$L, AC$2, Başvuru!$K:$K, $B3)</f>
        <v/>
      </c>
      <c r="AD3" s="12">
        <f>COUNTIFS(Başvuru!$G:$G, "Uzmanlık Tezi", Başvuru!$L:$L, AD$2, Başvuru!$J:$J, $B3) + COUNTIFS(Başvuru!$G:$G, "Uzmanlık Tezi", Başvuru!$L:$L, AD$2, Başvuru!$K:$K, $B3)</f>
        <v/>
      </c>
      <c r="AE3" s="12">
        <f>COUNTIFS(Başvuru!$G:$G, "Uzmanlık Tezi", Başvuru!$L:$L, AE$2, Başvuru!$J:$J, $B3) + COUNTIFS(Başvuru!$G:$G, "Uzmanlık Tezi", Başvuru!$L:$L, AE$2, Başvuru!$K:$K, $B3)</f>
        <v/>
      </c>
      <c r="AF3" s="12">
        <f>COUNTIFS(Başvuru!$G:$G, "Uzmanlık Tezi", Başvuru!$L:$L, AF$2, Başvuru!$J:$J, $B3) + COUNTIFS(Başvuru!$G:$G, "Uzmanlık Tezi", Başvuru!$L:$L, AF$2, Başvuru!$K:$K, $B3)</f>
        <v/>
      </c>
      <c r="AG3" s="12">
        <f>COUNTIFS(Başvuru!$G:$G, "Uzmanlık Tezi", Başvuru!$L:$L, AG$2, Başvuru!$J:$J, $B3) + COUNTIFS(Başvuru!$G:$G, "Uzmanlık Tezi", Başvuru!$L:$L, AG$2, Başvuru!$K:$K, $B3)</f>
        <v/>
      </c>
      <c r="AH3" s="12">
        <f>COUNTIFS(Başvuru!$G:$G, "Uzmanlık Tezi", Başvuru!$L:$L, AH$2, Başvuru!$J:$J, $B3) + COUNTIFS(Başvuru!$G:$G, "Uzmanlık Tezi", Başvuru!$L:$L, AH$2, Başvuru!$K:$K, $B3)</f>
        <v/>
      </c>
      <c r="AI3" s="12">
        <f>SUM(AB3:AH3)</f>
        <v/>
      </c>
      <c r="AJ3" s="31">
        <f>SUM(D3,L3,T3,AB3)</f>
        <v/>
      </c>
      <c r="AK3" s="31">
        <f>SUM(E3,M3,U3,AC3)</f>
        <v/>
      </c>
      <c r="AL3" s="31">
        <f>SUM(F3,N3,V3,AD3)</f>
        <v/>
      </c>
      <c r="AM3" s="31">
        <f>SUM(G3,O3,W3,AE3)</f>
        <v/>
      </c>
      <c r="AN3" s="31">
        <f>SUM(H3,P3,X3,AF3)</f>
        <v/>
      </c>
      <c r="AO3" s="31">
        <f>SUM(I3,Q3,Y3,AG3)</f>
        <v/>
      </c>
      <c r="AP3" s="31">
        <f>SUM(J3,R3,Z3,AH3)</f>
        <v/>
      </c>
      <c r="AQ3" s="31">
        <f>SUM(AJ3:AP3)</f>
        <v/>
      </c>
    </row>
    <row r="4" ht="30" customFormat="1" customHeight="1" s="14">
      <c r="A4" s="21" t="inlineStr">
        <is>
          <t>2.</t>
        </is>
      </c>
      <c r="B4" s="22" t="inlineStr">
        <is>
          <t>Prof. Dr. M. Özgür UYANIK</t>
        </is>
      </c>
      <c r="C4" s="12">
        <f>COUNTIF(Başvuru!$J:$K, $B4)</f>
        <v/>
      </c>
      <c r="D4" s="12">
        <f>COUNTIFS(Başvuru!$G:$G, "Bireysel Araştırma", Başvuru!$L:$L, D$2, Başvuru!$J:$J, $B4) + COUNTIFS(Başvuru!$G:$G, "Bireysel Araştırma", Başvuru!$L:$L, D$2, Başvuru!$K:$K, $B4)</f>
        <v/>
      </c>
      <c r="E4" s="12">
        <f>COUNTIFS(Başvuru!$G:$G, "Bireysel Araştırma", Başvuru!$L:$L, E$2, Başvuru!$J:$J, $B4) + COUNTIFS(Başvuru!$G:$G, "Bireysel Araştırma", Başvuru!$L:$L, E$2, Başvuru!$K:$K, $B4)</f>
        <v/>
      </c>
      <c r="F4" s="12">
        <f>COUNTIFS(Başvuru!$G:$G, "Bireysel Araştırma", Başvuru!$L:$L, F$2, Başvuru!$J:$J, $B4) + COUNTIFS(Başvuru!$G:$G, "Bireysel Araştırma", Başvuru!$L:$L, F$2, Başvuru!$K:$K, $B4)</f>
        <v/>
      </c>
      <c r="G4" s="12">
        <f>COUNTIFS(Başvuru!$G:$G, "Bireysel Araştırma", Başvuru!$L:$L, G$2, Başvuru!$J:$J, $B4) + COUNTIFS(Başvuru!$G:$G, "Bireysel Araştırma", Başvuru!$L:$L, G$2, Başvuru!$K:$K, $B4)</f>
        <v/>
      </c>
      <c r="H4" s="12">
        <f>COUNTIFS(Başvuru!$G:$G, "Bireysel Araştırma", Başvuru!$L:$L, H$2, Başvuru!$J:$J, $B4) + COUNTIFS(Başvuru!$G:$G, "Bireysel Araştırma", Başvuru!$L:$L, H$2, Başvuru!$K:$K, $B4)</f>
        <v/>
      </c>
      <c r="I4" s="12">
        <f>COUNTIFS(Başvuru!$G:$G, "Bireysel Araştırma", Başvuru!$L:$L, I$2, Başvuru!$J:$J, $B4) + COUNTIFS(Başvuru!$G:$G, "Bireysel Araştırma", Başvuru!$L:$L, I$2, Başvuru!$K:$K, $B4)</f>
        <v/>
      </c>
      <c r="J4" s="12">
        <f>COUNTIFS(Başvuru!$G:$G, "Bireysel Araştırma", Başvuru!$L:$L, J$2, Başvuru!$J:$J, $B4) + COUNTIFS(Başvuru!$G:$G, "Bireysel Araştırma", Başvuru!$L:$L, J$2, Başvuru!$K:$K, $B4)</f>
        <v/>
      </c>
      <c r="K4" s="12">
        <f>SUM(D4:J4)</f>
        <v/>
      </c>
      <c r="L4" s="12">
        <f>COUNTIFS(Başvuru!$G:$G, "Yüksek Lisans Tezi", Başvuru!$L:$L, L$2, Başvuru!$J:$J, $B4) + COUNTIFS(Başvuru!$G:$G, "Yüksek Lisans Tezi", Başvuru!$L:$L, L$2, Başvuru!$K:$K, $B4)</f>
        <v/>
      </c>
      <c r="M4" s="12">
        <f>COUNTIFS(Başvuru!$G:$G, "Yüksek Lisans Tezi", Başvuru!$L:$L, M$2, Başvuru!$J:$J, $B4) + COUNTIFS(Başvuru!$G:$G, "Yüksek Lisans Tezi", Başvuru!$L:$L, M$2, Başvuru!$K:$K, $B4)</f>
        <v/>
      </c>
      <c r="N4" s="12">
        <f>COUNTIFS(Başvuru!$G:$G, "Yüksek Lisans Tezi", Başvuru!$L:$L, N$2, Başvuru!$J:$J, $B4) + COUNTIFS(Başvuru!$G:$G, "Yüksek Lisans Tezi", Başvuru!$L:$L, N$2, Başvuru!$K:$K, $B4)</f>
        <v/>
      </c>
      <c r="O4" s="12">
        <f>COUNTIFS(Başvuru!$G:$G, "Yüksek Lisans Tezi", Başvuru!$L:$L, O$2, Başvuru!$J:$J, $B4) + COUNTIFS(Başvuru!$G:$G, "Yüksek Lisans Tezi", Başvuru!$L:$L, O$2, Başvuru!$K:$K, $B4)</f>
        <v/>
      </c>
      <c r="P4" s="12">
        <f>COUNTIFS(Başvuru!$G:$G, "Yüksek Lisans Tezi", Başvuru!$L:$L, P$2, Başvuru!$J:$J, $B4) + COUNTIFS(Başvuru!$G:$G, "Yüksek Lisans Tezi", Başvuru!$L:$L, P$2, Başvuru!$K:$K, $B4)</f>
        <v/>
      </c>
      <c r="Q4" s="12">
        <f>COUNTIFS(Başvuru!$G:$G, "Yüksek Lisans Tezi", Başvuru!$L:$L, Q$2, Başvuru!$J:$J, $B4) + COUNTIFS(Başvuru!$G:$G, "Yüksek Lisans Tezi", Başvuru!$L:$L, Q$2, Başvuru!$K:$K, $B4)</f>
        <v/>
      </c>
      <c r="R4" s="12">
        <f>COUNTIFS(Başvuru!$G:$G, "Yüksek Lisans Tezi", Başvuru!$L:$L, R$2, Başvuru!$J:$J, $B4) + COUNTIFS(Başvuru!$G:$G, "Yüksek Lisans Tezi", Başvuru!$L:$L, R$2, Başvuru!$K:$K, $B4)</f>
        <v/>
      </c>
      <c r="S4" s="12">
        <f>SUM(L4:R4)</f>
        <v/>
      </c>
      <c r="T4" s="12">
        <f>COUNTIFS(Başvuru!$G:$G, "Doktora Tezi", Başvuru!$L:$L, T$2, Başvuru!$J:$J, $B4) + COUNTIFS(Başvuru!$G:$G, "Doktora Tezi", Başvuru!$L:$L, T$2, Başvuru!$K:$K, $B4)</f>
        <v/>
      </c>
      <c r="U4" s="12">
        <f>COUNTIFS(Başvuru!$G:$G, "Doktora Tezi", Başvuru!$L:$L, U$2, Başvuru!$J:$J, $B4) + COUNTIFS(Başvuru!$G:$G, "Doktora Tezi", Başvuru!$L:$L, U$2, Başvuru!$K:$K, $B4)</f>
        <v/>
      </c>
      <c r="V4" s="12">
        <f>COUNTIFS(Başvuru!$G:$G, "Doktora Tezi", Başvuru!$L:$L, V$2, Başvuru!$J:$J, $B4) + COUNTIFS(Başvuru!$G:$G, "Doktora Tezi", Başvuru!$L:$L, V$2, Başvuru!$K:$K, $B4)</f>
        <v/>
      </c>
      <c r="W4" s="12">
        <f>COUNTIFS(Başvuru!$G:$G, "Doktora Tezi", Başvuru!$L:$L, W$2, Başvuru!$J:$J, $B4) + COUNTIFS(Başvuru!$G:$G, "Doktora Tezi", Başvuru!$L:$L, W$2, Başvuru!$K:$K, $B4)</f>
        <v/>
      </c>
      <c r="X4" s="12">
        <f>COUNTIFS(Başvuru!$G:$G, "Doktora Tezi", Başvuru!$L:$L, X$2, Başvuru!$J:$J, $B4) + COUNTIFS(Başvuru!$G:$G, "Doktora Tezi", Başvuru!$L:$L, X$2, Başvuru!$K:$K, $B4)</f>
        <v/>
      </c>
      <c r="Y4" s="12">
        <f>COUNTIFS(Başvuru!$G:$G, "Doktora Tezi", Başvuru!$L:$L, Y$2, Başvuru!$J:$J, $B4) + COUNTIFS(Başvuru!$G:$G, "Doktora Tezi", Başvuru!$L:$L, Y$2, Başvuru!$K:$K, $B4)</f>
        <v/>
      </c>
      <c r="Z4" s="12">
        <f>COUNTIFS(Başvuru!$G:$G, "Doktora Tezi", Başvuru!$L:$L, Z$2, Başvuru!$J:$J, $B4) + COUNTIFS(Başvuru!$G:$G, "Doktora Tezi", Başvuru!$L:$L, Z$2, Başvuru!$K:$K, $B4)</f>
        <v/>
      </c>
      <c r="AA4" s="12">
        <f>SUM(T4:Z4)</f>
        <v/>
      </c>
      <c r="AB4" s="12">
        <f>COUNTIFS(Başvuru!$G:$G, "Uzmanlık Tezi", Başvuru!$L:$L, AB$2, Başvuru!$J:$J, $B4) + COUNTIFS(Başvuru!$G:$G, "Uzmanlık Tezi", Başvuru!$L:$L, AB$2, Başvuru!$K:$K, $B4)</f>
        <v/>
      </c>
      <c r="AC4" s="12">
        <f>COUNTIFS(Başvuru!$G:$G, "Uzmanlık Tezi", Başvuru!$L:$L, AC$2, Başvuru!$J:$J, $B4) + COUNTIFS(Başvuru!$G:$G, "Uzmanlık Tezi", Başvuru!$L:$L, AC$2, Başvuru!$K:$K, $B4)</f>
        <v/>
      </c>
      <c r="AD4" s="12">
        <f>COUNTIFS(Başvuru!$G:$G, "Uzmanlık Tezi", Başvuru!$L:$L, AD$2, Başvuru!$J:$J, $B4) + COUNTIFS(Başvuru!$G:$G, "Uzmanlık Tezi", Başvuru!$L:$L, AD$2, Başvuru!$K:$K, $B4)</f>
        <v/>
      </c>
      <c r="AE4" s="12">
        <f>COUNTIFS(Başvuru!$G:$G, "Uzmanlık Tezi", Başvuru!$L:$L, AE$2, Başvuru!$J:$J, $B4) + COUNTIFS(Başvuru!$G:$G, "Uzmanlık Tezi", Başvuru!$L:$L, AE$2, Başvuru!$K:$K, $B4)</f>
        <v/>
      </c>
      <c r="AF4" s="12">
        <f>COUNTIFS(Başvuru!$G:$G, "Uzmanlık Tezi", Başvuru!$L:$L, AF$2, Başvuru!$J:$J, $B4) + COUNTIFS(Başvuru!$G:$G, "Uzmanlık Tezi", Başvuru!$L:$L, AF$2, Başvuru!$K:$K, $B4)</f>
        <v/>
      </c>
      <c r="AG4" s="12">
        <f>COUNTIFS(Başvuru!$G:$G, "Uzmanlık Tezi", Başvuru!$L:$L, AG$2, Başvuru!$J:$J, $B4) + COUNTIFS(Başvuru!$G:$G, "Uzmanlık Tezi", Başvuru!$L:$L, AG$2, Başvuru!$K:$K, $B4)</f>
        <v/>
      </c>
      <c r="AH4" s="12">
        <f>COUNTIFS(Başvuru!$G:$G, "Uzmanlık Tezi", Başvuru!$L:$L, AH$2, Başvuru!$J:$J, $B4) + COUNTIFS(Başvuru!$G:$G, "Uzmanlık Tezi", Başvuru!$L:$L, AH$2, Başvuru!$K:$K, $B4)</f>
        <v/>
      </c>
      <c r="AI4" s="12">
        <f>SUM(AB4:AH4)</f>
        <v/>
      </c>
      <c r="AJ4" s="31">
        <f>SUM(D4,L4,T4,AB4)</f>
        <v/>
      </c>
      <c r="AK4" s="31">
        <f>SUM(E4,M4,U4,AC4)</f>
        <v/>
      </c>
      <c r="AL4" s="31">
        <f>SUM(F4,N4,V4,AD4)</f>
        <v/>
      </c>
      <c r="AM4" s="31">
        <f>SUM(G4,O4,W4,AE4)</f>
        <v/>
      </c>
      <c r="AN4" s="31">
        <f>SUM(H4,P4,X4,AF4)</f>
        <v/>
      </c>
      <c r="AO4" s="31">
        <f>SUM(I4,Q4,Y4,AG4)</f>
        <v/>
      </c>
      <c r="AP4" s="31">
        <f>SUM(J4,R4,Z4,AH4)</f>
        <v/>
      </c>
      <c r="AQ4" s="31">
        <f>SUM(AJ4:AP4)</f>
        <v/>
      </c>
    </row>
    <row r="5" ht="30" customFormat="1" customHeight="1" s="14">
      <c r="A5" s="21" t="inlineStr">
        <is>
          <t>3.</t>
        </is>
      </c>
      <c r="B5" s="22" t="inlineStr">
        <is>
          <t>Prof. Dr. Melih Önder BABAOĞLU</t>
        </is>
      </c>
      <c r="C5" s="12">
        <f>COUNTIF(Başvuru!$J:$K, $B5)</f>
        <v/>
      </c>
      <c r="D5" s="12">
        <f>COUNTIFS(Başvuru!$G:$G, "Bireysel Araştırma", Başvuru!$L:$L, D$2, Başvuru!$J:$J, $B5) + COUNTIFS(Başvuru!$G:$G, "Bireysel Araştırma", Başvuru!$L:$L, D$2, Başvuru!$K:$K, $B5)</f>
        <v/>
      </c>
      <c r="E5" s="12">
        <f>COUNTIFS(Başvuru!$G:$G, "Bireysel Araştırma", Başvuru!$L:$L, E$2, Başvuru!$J:$J, $B5) + COUNTIFS(Başvuru!$G:$G, "Bireysel Araştırma", Başvuru!$L:$L, E$2, Başvuru!$K:$K, $B5)</f>
        <v/>
      </c>
      <c r="F5" s="12">
        <f>COUNTIFS(Başvuru!$G:$G, "Bireysel Araştırma", Başvuru!$L:$L, F$2, Başvuru!$J:$J, $B5) + COUNTIFS(Başvuru!$G:$G, "Bireysel Araştırma", Başvuru!$L:$L, F$2, Başvuru!$K:$K, $B5)</f>
        <v/>
      </c>
      <c r="G5" s="12">
        <f>COUNTIFS(Başvuru!$G:$G, "Bireysel Araştırma", Başvuru!$L:$L, G$2, Başvuru!$J:$J, $B5) + COUNTIFS(Başvuru!$G:$G, "Bireysel Araştırma", Başvuru!$L:$L, G$2, Başvuru!$K:$K, $B5)</f>
        <v/>
      </c>
      <c r="H5" s="12">
        <f>COUNTIFS(Başvuru!$G:$G, "Bireysel Araştırma", Başvuru!$L:$L, H$2, Başvuru!$J:$J, $B5) + COUNTIFS(Başvuru!$G:$G, "Bireysel Araştırma", Başvuru!$L:$L, H$2, Başvuru!$K:$K, $B5)</f>
        <v/>
      </c>
      <c r="I5" s="12">
        <f>COUNTIFS(Başvuru!$G:$G, "Bireysel Araştırma", Başvuru!$L:$L, I$2, Başvuru!$J:$J, $B5) + COUNTIFS(Başvuru!$G:$G, "Bireysel Araştırma", Başvuru!$L:$L, I$2, Başvuru!$K:$K, $B5)</f>
        <v/>
      </c>
      <c r="J5" s="12">
        <f>COUNTIFS(Başvuru!$G:$G, "Bireysel Araştırma", Başvuru!$L:$L, J$2, Başvuru!$J:$J, $B5) + COUNTIFS(Başvuru!$G:$G, "Bireysel Araştırma", Başvuru!$L:$L, J$2, Başvuru!$K:$K, $B5)</f>
        <v/>
      </c>
      <c r="K5" s="12">
        <f>SUM(D5:J5)</f>
        <v/>
      </c>
      <c r="L5" s="12">
        <f>COUNTIFS(Başvuru!$G:$G, "Yüksek Lisans Tezi", Başvuru!$L:$L, L$2, Başvuru!$J:$J, $B5) + COUNTIFS(Başvuru!$G:$G, "Yüksek Lisans Tezi", Başvuru!$L:$L, L$2, Başvuru!$K:$K, $B5)</f>
        <v/>
      </c>
      <c r="M5" s="12">
        <f>COUNTIFS(Başvuru!$G:$G, "Yüksek Lisans Tezi", Başvuru!$L:$L, M$2, Başvuru!$J:$J, $B5) + COUNTIFS(Başvuru!$G:$G, "Yüksek Lisans Tezi", Başvuru!$L:$L, M$2, Başvuru!$K:$K, $B5)</f>
        <v/>
      </c>
      <c r="N5" s="12">
        <f>COUNTIFS(Başvuru!$G:$G, "Yüksek Lisans Tezi", Başvuru!$L:$L, N$2, Başvuru!$J:$J, $B5) + COUNTIFS(Başvuru!$G:$G, "Yüksek Lisans Tezi", Başvuru!$L:$L, N$2, Başvuru!$K:$K, $B5)</f>
        <v/>
      </c>
      <c r="O5" s="12">
        <f>COUNTIFS(Başvuru!$G:$G, "Yüksek Lisans Tezi", Başvuru!$L:$L, O$2, Başvuru!$J:$J, $B5) + COUNTIFS(Başvuru!$G:$G, "Yüksek Lisans Tezi", Başvuru!$L:$L, O$2, Başvuru!$K:$K, $B5)</f>
        <v/>
      </c>
      <c r="P5" s="12">
        <f>COUNTIFS(Başvuru!$G:$G, "Yüksek Lisans Tezi", Başvuru!$L:$L, P$2, Başvuru!$J:$J, $B5) + COUNTIFS(Başvuru!$G:$G, "Yüksek Lisans Tezi", Başvuru!$L:$L, P$2, Başvuru!$K:$K, $B5)</f>
        <v/>
      </c>
      <c r="Q5" s="12">
        <f>COUNTIFS(Başvuru!$G:$G, "Yüksek Lisans Tezi", Başvuru!$L:$L, Q$2, Başvuru!$J:$J, $B5) + COUNTIFS(Başvuru!$G:$G, "Yüksek Lisans Tezi", Başvuru!$L:$L, Q$2, Başvuru!$K:$K, $B5)</f>
        <v/>
      </c>
      <c r="R5" s="12">
        <f>COUNTIFS(Başvuru!$G:$G, "Yüksek Lisans Tezi", Başvuru!$L:$L, R$2, Başvuru!$J:$J, $B5) + COUNTIFS(Başvuru!$G:$G, "Yüksek Lisans Tezi", Başvuru!$L:$L, R$2, Başvuru!$K:$K, $B5)</f>
        <v/>
      </c>
      <c r="S5" s="12">
        <f>SUM(L5:R5)</f>
        <v/>
      </c>
      <c r="T5" s="12">
        <f>COUNTIFS(Başvuru!$G:$G, "Doktora Tezi", Başvuru!$L:$L, T$2, Başvuru!$J:$J, $B5) + COUNTIFS(Başvuru!$G:$G, "Doktora Tezi", Başvuru!$L:$L, T$2, Başvuru!$K:$K, $B5)</f>
        <v/>
      </c>
      <c r="U5" s="12">
        <f>COUNTIFS(Başvuru!$G:$G, "Doktora Tezi", Başvuru!$L:$L, U$2, Başvuru!$J:$J, $B5) + COUNTIFS(Başvuru!$G:$G, "Doktora Tezi", Başvuru!$L:$L, U$2, Başvuru!$K:$K, $B5)</f>
        <v/>
      </c>
      <c r="V5" s="12">
        <f>COUNTIFS(Başvuru!$G:$G, "Doktora Tezi", Başvuru!$L:$L, V$2, Başvuru!$J:$J, $B5) + COUNTIFS(Başvuru!$G:$G, "Doktora Tezi", Başvuru!$L:$L, V$2, Başvuru!$K:$K, $B5)</f>
        <v/>
      </c>
      <c r="W5" s="12">
        <f>COUNTIFS(Başvuru!$G:$G, "Doktora Tezi", Başvuru!$L:$L, W$2, Başvuru!$J:$J, $B5) + COUNTIFS(Başvuru!$G:$G, "Doktora Tezi", Başvuru!$L:$L, W$2, Başvuru!$K:$K, $B5)</f>
        <v/>
      </c>
      <c r="X5" s="12">
        <f>COUNTIFS(Başvuru!$G:$G, "Doktora Tezi", Başvuru!$L:$L, X$2, Başvuru!$J:$J, $B5) + COUNTIFS(Başvuru!$G:$G, "Doktora Tezi", Başvuru!$L:$L, X$2, Başvuru!$K:$K, $B5)</f>
        <v/>
      </c>
      <c r="Y5" s="12">
        <f>COUNTIFS(Başvuru!$G:$G, "Doktora Tezi", Başvuru!$L:$L, Y$2, Başvuru!$J:$J, $B5) + COUNTIFS(Başvuru!$G:$G, "Doktora Tezi", Başvuru!$L:$L, Y$2, Başvuru!$K:$K, $B5)</f>
        <v/>
      </c>
      <c r="Z5" s="12">
        <f>COUNTIFS(Başvuru!$G:$G, "Doktora Tezi", Başvuru!$L:$L, Z$2, Başvuru!$J:$J, $B5) + COUNTIFS(Başvuru!$G:$G, "Doktora Tezi", Başvuru!$L:$L, Z$2, Başvuru!$K:$K, $B5)</f>
        <v/>
      </c>
      <c r="AA5" s="12">
        <f>SUM(T5:Z5)</f>
        <v/>
      </c>
      <c r="AB5" s="12">
        <f>COUNTIFS(Başvuru!$G:$G, "Uzmanlık Tezi", Başvuru!$L:$L, AB$2, Başvuru!$J:$J, $B5) + COUNTIFS(Başvuru!$G:$G, "Uzmanlık Tezi", Başvuru!$L:$L, AB$2, Başvuru!$K:$K, $B5)</f>
        <v/>
      </c>
      <c r="AC5" s="12">
        <f>COUNTIFS(Başvuru!$G:$G, "Uzmanlık Tezi", Başvuru!$L:$L, AC$2, Başvuru!$J:$J, $B5) + COUNTIFS(Başvuru!$G:$G, "Uzmanlık Tezi", Başvuru!$L:$L, AC$2, Başvuru!$K:$K, $B5)</f>
        <v/>
      </c>
      <c r="AD5" s="12">
        <f>COUNTIFS(Başvuru!$G:$G, "Uzmanlık Tezi", Başvuru!$L:$L, AD$2, Başvuru!$J:$J, $B5) + COUNTIFS(Başvuru!$G:$G, "Uzmanlık Tezi", Başvuru!$L:$L, AD$2, Başvuru!$K:$K, $B5)</f>
        <v/>
      </c>
      <c r="AE5" s="12">
        <f>COUNTIFS(Başvuru!$G:$G, "Uzmanlık Tezi", Başvuru!$L:$L, AE$2, Başvuru!$J:$J, $B5) + COUNTIFS(Başvuru!$G:$G, "Uzmanlık Tezi", Başvuru!$L:$L, AE$2, Başvuru!$K:$K, $B5)</f>
        <v/>
      </c>
      <c r="AF5" s="12">
        <f>COUNTIFS(Başvuru!$G:$G, "Uzmanlık Tezi", Başvuru!$L:$L, AF$2, Başvuru!$J:$J, $B5) + COUNTIFS(Başvuru!$G:$G, "Uzmanlık Tezi", Başvuru!$L:$L, AF$2, Başvuru!$K:$K, $B5)</f>
        <v/>
      </c>
      <c r="AG5" s="12">
        <f>COUNTIFS(Başvuru!$G:$G, "Uzmanlık Tezi", Başvuru!$L:$L, AG$2, Başvuru!$J:$J, $B5) + COUNTIFS(Başvuru!$G:$G, "Uzmanlık Tezi", Başvuru!$L:$L, AG$2, Başvuru!$K:$K, $B5)</f>
        <v/>
      </c>
      <c r="AH5" s="12">
        <f>COUNTIFS(Başvuru!$G:$G, "Uzmanlık Tezi", Başvuru!$L:$L, AH$2, Başvuru!$J:$J, $B5) + COUNTIFS(Başvuru!$G:$G, "Uzmanlık Tezi", Başvuru!$L:$L, AH$2, Başvuru!$K:$K, $B5)</f>
        <v/>
      </c>
      <c r="AI5" s="12">
        <f>SUM(AB5:AH5)</f>
        <v/>
      </c>
      <c r="AJ5" s="31">
        <f>SUM(D5,L5,T5,AB5)</f>
        <v/>
      </c>
      <c r="AK5" s="31">
        <f>SUM(E5,M5,U5,AC5)</f>
        <v/>
      </c>
      <c r="AL5" s="31">
        <f>SUM(F5,N5,V5,AD5)</f>
        <v/>
      </c>
      <c r="AM5" s="31">
        <f>SUM(G5,O5,W5,AE5)</f>
        <v/>
      </c>
      <c r="AN5" s="31">
        <f>SUM(H5,P5,X5,AF5)</f>
        <v/>
      </c>
      <c r="AO5" s="31">
        <f>SUM(I5,Q5,Y5,AG5)</f>
        <v/>
      </c>
      <c r="AP5" s="31">
        <f>SUM(J5,R5,Z5,AH5)</f>
        <v/>
      </c>
      <c r="AQ5" s="31">
        <f>SUM(AJ5:AP5)</f>
        <v/>
      </c>
    </row>
    <row r="6" ht="30" customFormat="1" customHeight="1" s="14">
      <c r="A6" s="21" t="inlineStr">
        <is>
          <t>4.</t>
        </is>
      </c>
      <c r="B6" s="22" t="inlineStr">
        <is>
          <t>Prof. Dr. Ayşe KİN İŞLER</t>
        </is>
      </c>
      <c r="C6" s="12">
        <f>COUNTIF(Başvuru!$J:$K, $B6)</f>
        <v/>
      </c>
      <c r="D6" s="12">
        <f>COUNTIFS(Başvuru!$G:$G, "Bireysel Araştırma", Başvuru!$L:$L, D$2, Başvuru!$J:$J, $B6) + COUNTIFS(Başvuru!$G:$G, "Bireysel Araştırma", Başvuru!$L:$L, D$2, Başvuru!$K:$K, $B6)</f>
        <v/>
      </c>
      <c r="E6" s="12">
        <f>COUNTIFS(Başvuru!$G:$G, "Bireysel Araştırma", Başvuru!$L:$L, E$2, Başvuru!$J:$J, $B6) + COUNTIFS(Başvuru!$G:$G, "Bireysel Araştırma", Başvuru!$L:$L, E$2, Başvuru!$K:$K, $B6)</f>
        <v/>
      </c>
      <c r="F6" s="12">
        <f>COUNTIFS(Başvuru!$G:$G, "Bireysel Araştırma", Başvuru!$L:$L, F$2, Başvuru!$J:$J, $B6) + COUNTIFS(Başvuru!$G:$G, "Bireysel Araştırma", Başvuru!$L:$L, F$2, Başvuru!$K:$K, $B6)</f>
        <v/>
      </c>
      <c r="G6" s="12">
        <f>COUNTIFS(Başvuru!$G:$G, "Bireysel Araştırma", Başvuru!$L:$L, G$2, Başvuru!$J:$J, $B6) + COUNTIFS(Başvuru!$G:$G, "Bireysel Araştırma", Başvuru!$L:$L, G$2, Başvuru!$K:$K, $B6)</f>
        <v/>
      </c>
      <c r="H6" s="12">
        <f>COUNTIFS(Başvuru!$G:$G, "Bireysel Araştırma", Başvuru!$L:$L, H$2, Başvuru!$J:$J, $B6) + COUNTIFS(Başvuru!$G:$G, "Bireysel Araştırma", Başvuru!$L:$L, H$2, Başvuru!$K:$K, $B6)</f>
        <v/>
      </c>
      <c r="I6" s="12">
        <f>COUNTIFS(Başvuru!$G:$G, "Bireysel Araştırma", Başvuru!$L:$L, I$2, Başvuru!$J:$J, $B6) + COUNTIFS(Başvuru!$G:$G, "Bireysel Araştırma", Başvuru!$L:$L, I$2, Başvuru!$K:$K, $B6)</f>
        <v/>
      </c>
      <c r="J6" s="12">
        <f>COUNTIFS(Başvuru!$G:$G, "Bireysel Araştırma", Başvuru!$L:$L, J$2, Başvuru!$J:$J, $B6) + COUNTIFS(Başvuru!$G:$G, "Bireysel Araştırma", Başvuru!$L:$L, J$2, Başvuru!$K:$K, $B6)</f>
        <v/>
      </c>
      <c r="K6" s="12">
        <f>SUM(D6:J6)</f>
        <v/>
      </c>
      <c r="L6" s="12">
        <f>COUNTIFS(Başvuru!$G:$G, "Yüksek Lisans Tezi", Başvuru!$L:$L, L$2, Başvuru!$J:$J, $B6) + COUNTIFS(Başvuru!$G:$G, "Yüksek Lisans Tezi", Başvuru!$L:$L, L$2, Başvuru!$K:$K, $B6)</f>
        <v/>
      </c>
      <c r="M6" s="12">
        <f>COUNTIFS(Başvuru!$G:$G, "Yüksek Lisans Tezi", Başvuru!$L:$L, M$2, Başvuru!$J:$J, $B6) + COUNTIFS(Başvuru!$G:$G, "Yüksek Lisans Tezi", Başvuru!$L:$L, M$2, Başvuru!$K:$K, $B6)</f>
        <v/>
      </c>
      <c r="N6" s="12">
        <f>COUNTIFS(Başvuru!$G:$G, "Yüksek Lisans Tezi", Başvuru!$L:$L, N$2, Başvuru!$J:$J, $B6) + COUNTIFS(Başvuru!$G:$G, "Yüksek Lisans Tezi", Başvuru!$L:$L, N$2, Başvuru!$K:$K, $B6)</f>
        <v/>
      </c>
      <c r="O6" s="12">
        <f>COUNTIFS(Başvuru!$G:$G, "Yüksek Lisans Tezi", Başvuru!$L:$L, O$2, Başvuru!$J:$J, $B6) + COUNTIFS(Başvuru!$G:$G, "Yüksek Lisans Tezi", Başvuru!$L:$L, O$2, Başvuru!$K:$K, $B6)</f>
        <v/>
      </c>
      <c r="P6" s="12">
        <f>COUNTIFS(Başvuru!$G:$G, "Yüksek Lisans Tezi", Başvuru!$L:$L, P$2, Başvuru!$J:$J, $B6) + COUNTIFS(Başvuru!$G:$G, "Yüksek Lisans Tezi", Başvuru!$L:$L, P$2, Başvuru!$K:$K, $B6)</f>
        <v/>
      </c>
      <c r="Q6" s="12">
        <f>COUNTIFS(Başvuru!$G:$G, "Yüksek Lisans Tezi", Başvuru!$L:$L, Q$2, Başvuru!$J:$J, $B6) + COUNTIFS(Başvuru!$G:$G, "Yüksek Lisans Tezi", Başvuru!$L:$L, Q$2, Başvuru!$K:$K, $B6)</f>
        <v/>
      </c>
      <c r="R6" s="12">
        <f>COUNTIFS(Başvuru!$G:$G, "Yüksek Lisans Tezi", Başvuru!$L:$L, R$2, Başvuru!$J:$J, $B6) + COUNTIFS(Başvuru!$G:$G, "Yüksek Lisans Tezi", Başvuru!$L:$L, R$2, Başvuru!$K:$K, $B6)</f>
        <v/>
      </c>
      <c r="S6" s="12">
        <f>SUM(L6:R6)</f>
        <v/>
      </c>
      <c r="T6" s="12">
        <f>COUNTIFS(Başvuru!$G:$G, "Doktora Tezi", Başvuru!$L:$L, T$2, Başvuru!$J:$J, $B6) + COUNTIFS(Başvuru!$G:$G, "Doktora Tezi", Başvuru!$L:$L, T$2, Başvuru!$K:$K, $B6)</f>
        <v/>
      </c>
      <c r="U6" s="12">
        <f>COUNTIFS(Başvuru!$G:$G, "Doktora Tezi", Başvuru!$L:$L, U$2, Başvuru!$J:$J, $B6) + COUNTIFS(Başvuru!$G:$G, "Doktora Tezi", Başvuru!$L:$L, U$2, Başvuru!$K:$K, $B6)</f>
        <v/>
      </c>
      <c r="V6" s="12">
        <f>COUNTIFS(Başvuru!$G:$G, "Doktora Tezi", Başvuru!$L:$L, V$2, Başvuru!$J:$J, $B6) + COUNTIFS(Başvuru!$G:$G, "Doktora Tezi", Başvuru!$L:$L, V$2, Başvuru!$K:$K, $B6)</f>
        <v/>
      </c>
      <c r="W6" s="12">
        <f>COUNTIFS(Başvuru!$G:$G, "Doktora Tezi", Başvuru!$L:$L, W$2, Başvuru!$J:$J, $B6) + COUNTIFS(Başvuru!$G:$G, "Doktora Tezi", Başvuru!$L:$L, W$2, Başvuru!$K:$K, $B6)</f>
        <v/>
      </c>
      <c r="X6" s="12">
        <f>COUNTIFS(Başvuru!$G:$G, "Doktora Tezi", Başvuru!$L:$L, X$2, Başvuru!$J:$J, $B6) + COUNTIFS(Başvuru!$G:$G, "Doktora Tezi", Başvuru!$L:$L, X$2, Başvuru!$K:$K, $B6)</f>
        <v/>
      </c>
      <c r="Y6" s="12">
        <f>COUNTIFS(Başvuru!$G:$G, "Doktora Tezi", Başvuru!$L:$L, Y$2, Başvuru!$J:$J, $B6) + COUNTIFS(Başvuru!$G:$G, "Doktora Tezi", Başvuru!$L:$L, Y$2, Başvuru!$K:$K, $B6)</f>
        <v/>
      </c>
      <c r="Z6" s="12">
        <f>COUNTIFS(Başvuru!$G:$G, "Doktora Tezi", Başvuru!$L:$L, Z$2, Başvuru!$J:$J, $B6) + COUNTIFS(Başvuru!$G:$G, "Doktora Tezi", Başvuru!$L:$L, Z$2, Başvuru!$K:$K, $B6)</f>
        <v/>
      </c>
      <c r="AA6" s="12">
        <f>SUM(T6:Z6)</f>
        <v/>
      </c>
      <c r="AB6" s="12">
        <f>COUNTIFS(Başvuru!$G:$G, "Uzmanlık Tezi", Başvuru!$L:$L, AB$2, Başvuru!$J:$J, $B6) + COUNTIFS(Başvuru!$G:$G, "Uzmanlık Tezi", Başvuru!$L:$L, AB$2, Başvuru!$K:$K, $B6)</f>
        <v/>
      </c>
      <c r="AC6" s="12">
        <f>COUNTIFS(Başvuru!$G:$G, "Uzmanlık Tezi", Başvuru!$L:$L, AC$2, Başvuru!$J:$J, $B6) + COUNTIFS(Başvuru!$G:$G, "Uzmanlık Tezi", Başvuru!$L:$L, AC$2, Başvuru!$K:$K, $B6)</f>
        <v/>
      </c>
      <c r="AD6" s="12">
        <f>COUNTIFS(Başvuru!$G:$G, "Uzmanlık Tezi", Başvuru!$L:$L, AD$2, Başvuru!$J:$J, $B6) + COUNTIFS(Başvuru!$G:$G, "Uzmanlık Tezi", Başvuru!$L:$L, AD$2, Başvuru!$K:$K, $B6)</f>
        <v/>
      </c>
      <c r="AE6" s="12">
        <f>COUNTIFS(Başvuru!$G:$G, "Uzmanlık Tezi", Başvuru!$L:$L, AE$2, Başvuru!$J:$J, $B6) + COUNTIFS(Başvuru!$G:$G, "Uzmanlık Tezi", Başvuru!$L:$L, AE$2, Başvuru!$K:$K, $B6)</f>
        <v/>
      </c>
      <c r="AF6" s="12">
        <f>COUNTIFS(Başvuru!$G:$G, "Uzmanlık Tezi", Başvuru!$L:$L, AF$2, Başvuru!$J:$J, $B6) + COUNTIFS(Başvuru!$G:$G, "Uzmanlık Tezi", Başvuru!$L:$L, AF$2, Başvuru!$K:$K, $B6)</f>
        <v/>
      </c>
      <c r="AG6" s="12">
        <f>COUNTIFS(Başvuru!$G:$G, "Uzmanlık Tezi", Başvuru!$L:$L, AG$2, Başvuru!$J:$J, $B6) + COUNTIFS(Başvuru!$G:$G, "Uzmanlık Tezi", Başvuru!$L:$L, AG$2, Başvuru!$K:$K, $B6)</f>
        <v/>
      </c>
      <c r="AH6" s="12">
        <f>COUNTIFS(Başvuru!$G:$G, "Uzmanlık Tezi", Başvuru!$L:$L, AH$2, Başvuru!$J:$J, $B6) + COUNTIFS(Başvuru!$G:$G, "Uzmanlık Tezi", Başvuru!$L:$L, AH$2, Başvuru!$K:$K, $B6)</f>
        <v/>
      </c>
      <c r="AI6" s="12">
        <f>SUM(AB6:AH6)</f>
        <v/>
      </c>
      <c r="AJ6" s="31">
        <f>SUM(D6,L6,T6,AB6)</f>
        <v/>
      </c>
      <c r="AK6" s="31">
        <f>SUM(E6,M6,U6,AC6)</f>
        <v/>
      </c>
      <c r="AL6" s="31">
        <f>SUM(F6,N6,V6,AD6)</f>
        <v/>
      </c>
      <c r="AM6" s="31">
        <f>SUM(G6,O6,W6,AE6)</f>
        <v/>
      </c>
      <c r="AN6" s="31">
        <f>SUM(H6,P6,X6,AF6)</f>
        <v/>
      </c>
      <c r="AO6" s="31">
        <f>SUM(I6,Q6,Y6,AG6)</f>
        <v/>
      </c>
      <c r="AP6" s="31">
        <f>SUM(J6,R6,Z6,AH6)</f>
        <v/>
      </c>
      <c r="AQ6" s="31">
        <f>SUM(AJ6:AP6)</f>
        <v/>
      </c>
    </row>
    <row r="7" ht="30" customFormat="1" customHeight="1" s="14">
      <c r="A7" s="21" t="inlineStr">
        <is>
          <t>5.</t>
        </is>
      </c>
      <c r="B7" s="22" t="inlineStr">
        <is>
          <t>Prof. Dr. Yavuz AYHAN</t>
        </is>
      </c>
      <c r="C7" s="12">
        <f>COUNTIF(Başvuru!$J:$K, $B7)</f>
        <v/>
      </c>
      <c r="D7" s="12">
        <f>COUNTIFS(Başvuru!$G:$G, "Bireysel Araştırma", Başvuru!$L:$L, D$2, Başvuru!$J:$J, $B7) + COUNTIFS(Başvuru!$G:$G, "Bireysel Araştırma", Başvuru!$L:$L, D$2, Başvuru!$K:$K, $B7)</f>
        <v/>
      </c>
      <c r="E7" s="12">
        <f>COUNTIFS(Başvuru!$G:$G, "Bireysel Araştırma", Başvuru!$L:$L, E$2, Başvuru!$J:$J, $B7) + COUNTIFS(Başvuru!$G:$G, "Bireysel Araştırma", Başvuru!$L:$L, E$2, Başvuru!$K:$K, $B7)</f>
        <v/>
      </c>
      <c r="F7" s="12">
        <f>COUNTIFS(Başvuru!$G:$G, "Bireysel Araştırma", Başvuru!$L:$L, F$2, Başvuru!$J:$J, $B7) + COUNTIFS(Başvuru!$G:$G, "Bireysel Araştırma", Başvuru!$L:$L, F$2, Başvuru!$K:$K, $B7)</f>
        <v/>
      </c>
      <c r="G7" s="12">
        <f>COUNTIFS(Başvuru!$G:$G, "Bireysel Araştırma", Başvuru!$L:$L, G$2, Başvuru!$J:$J, $B7) + COUNTIFS(Başvuru!$G:$G, "Bireysel Araştırma", Başvuru!$L:$L, G$2, Başvuru!$K:$K, $B7)</f>
        <v/>
      </c>
      <c r="H7" s="12">
        <f>COUNTIFS(Başvuru!$G:$G, "Bireysel Araştırma", Başvuru!$L:$L, H$2, Başvuru!$J:$J, $B7) + COUNTIFS(Başvuru!$G:$G, "Bireysel Araştırma", Başvuru!$L:$L, H$2, Başvuru!$K:$K, $B7)</f>
        <v/>
      </c>
      <c r="I7" s="12">
        <f>COUNTIFS(Başvuru!$G:$G, "Bireysel Araştırma", Başvuru!$L:$L, I$2, Başvuru!$J:$J, $B7) + COUNTIFS(Başvuru!$G:$G, "Bireysel Araştırma", Başvuru!$L:$L, I$2, Başvuru!$K:$K, $B7)</f>
        <v/>
      </c>
      <c r="J7" s="12">
        <f>COUNTIFS(Başvuru!$G:$G, "Bireysel Araştırma", Başvuru!$L:$L, J$2, Başvuru!$J:$J, $B7) + COUNTIFS(Başvuru!$G:$G, "Bireysel Araştırma", Başvuru!$L:$L, J$2, Başvuru!$K:$K, $B7)</f>
        <v/>
      </c>
      <c r="K7" s="12">
        <f>SUM(D7:J7)</f>
        <v/>
      </c>
      <c r="L7" s="12">
        <f>COUNTIFS(Başvuru!$G:$G, "Yüksek Lisans Tezi", Başvuru!$L:$L, L$2, Başvuru!$J:$J, $B7) + COUNTIFS(Başvuru!$G:$G, "Yüksek Lisans Tezi", Başvuru!$L:$L, L$2, Başvuru!$K:$K, $B7)</f>
        <v/>
      </c>
      <c r="M7" s="12">
        <f>COUNTIFS(Başvuru!$G:$G, "Yüksek Lisans Tezi", Başvuru!$L:$L, M$2, Başvuru!$J:$J, $B7) + COUNTIFS(Başvuru!$G:$G, "Yüksek Lisans Tezi", Başvuru!$L:$L, M$2, Başvuru!$K:$K, $B7)</f>
        <v/>
      </c>
      <c r="N7" s="12">
        <f>COUNTIFS(Başvuru!$G:$G, "Yüksek Lisans Tezi", Başvuru!$L:$L, N$2, Başvuru!$J:$J, $B7) + COUNTIFS(Başvuru!$G:$G, "Yüksek Lisans Tezi", Başvuru!$L:$L, N$2, Başvuru!$K:$K, $B7)</f>
        <v/>
      </c>
      <c r="O7" s="12">
        <f>COUNTIFS(Başvuru!$G:$G, "Yüksek Lisans Tezi", Başvuru!$L:$L, O$2, Başvuru!$J:$J, $B7) + COUNTIFS(Başvuru!$G:$G, "Yüksek Lisans Tezi", Başvuru!$L:$L, O$2, Başvuru!$K:$K, $B7)</f>
        <v/>
      </c>
      <c r="P7" s="12">
        <f>COUNTIFS(Başvuru!$G:$G, "Yüksek Lisans Tezi", Başvuru!$L:$L, P$2, Başvuru!$J:$J, $B7) + COUNTIFS(Başvuru!$G:$G, "Yüksek Lisans Tezi", Başvuru!$L:$L, P$2, Başvuru!$K:$K, $B7)</f>
        <v/>
      </c>
      <c r="Q7" s="12">
        <f>COUNTIFS(Başvuru!$G:$G, "Yüksek Lisans Tezi", Başvuru!$L:$L, Q$2, Başvuru!$J:$J, $B7) + COUNTIFS(Başvuru!$G:$G, "Yüksek Lisans Tezi", Başvuru!$L:$L, Q$2, Başvuru!$K:$K, $B7)</f>
        <v/>
      </c>
      <c r="R7" s="12">
        <f>COUNTIFS(Başvuru!$G:$G, "Yüksek Lisans Tezi", Başvuru!$L:$L, R$2, Başvuru!$J:$J, $B7) + COUNTIFS(Başvuru!$G:$G, "Yüksek Lisans Tezi", Başvuru!$L:$L, R$2, Başvuru!$K:$K, $B7)</f>
        <v/>
      </c>
      <c r="S7" s="12">
        <f>SUM(L7:R7)</f>
        <v/>
      </c>
      <c r="T7" s="12">
        <f>COUNTIFS(Başvuru!$G:$G, "Doktora Tezi", Başvuru!$L:$L, T$2, Başvuru!$J:$J, $B7) + COUNTIFS(Başvuru!$G:$G, "Doktora Tezi", Başvuru!$L:$L, T$2, Başvuru!$K:$K, $B7)</f>
        <v/>
      </c>
      <c r="U7" s="12">
        <f>COUNTIFS(Başvuru!$G:$G, "Doktora Tezi", Başvuru!$L:$L, U$2, Başvuru!$J:$J, $B7) + COUNTIFS(Başvuru!$G:$G, "Doktora Tezi", Başvuru!$L:$L, U$2, Başvuru!$K:$K, $B7)</f>
        <v/>
      </c>
      <c r="V7" s="12">
        <f>COUNTIFS(Başvuru!$G:$G, "Doktora Tezi", Başvuru!$L:$L, V$2, Başvuru!$J:$J, $B7) + COUNTIFS(Başvuru!$G:$G, "Doktora Tezi", Başvuru!$L:$L, V$2, Başvuru!$K:$K, $B7)</f>
        <v/>
      </c>
      <c r="W7" s="12">
        <f>COUNTIFS(Başvuru!$G:$G, "Doktora Tezi", Başvuru!$L:$L, W$2, Başvuru!$J:$J, $B7) + COUNTIFS(Başvuru!$G:$G, "Doktora Tezi", Başvuru!$L:$L, W$2, Başvuru!$K:$K, $B7)</f>
        <v/>
      </c>
      <c r="X7" s="12">
        <f>COUNTIFS(Başvuru!$G:$G, "Doktora Tezi", Başvuru!$L:$L, X$2, Başvuru!$J:$J, $B7) + COUNTIFS(Başvuru!$G:$G, "Doktora Tezi", Başvuru!$L:$L, X$2, Başvuru!$K:$K, $B7)</f>
        <v/>
      </c>
      <c r="Y7" s="12">
        <f>COUNTIFS(Başvuru!$G:$G, "Doktora Tezi", Başvuru!$L:$L, Y$2, Başvuru!$J:$J, $B7) + COUNTIFS(Başvuru!$G:$G, "Doktora Tezi", Başvuru!$L:$L, Y$2, Başvuru!$K:$K, $B7)</f>
        <v/>
      </c>
      <c r="Z7" s="12">
        <f>COUNTIFS(Başvuru!$G:$G, "Doktora Tezi", Başvuru!$L:$L, Z$2, Başvuru!$J:$J, $B7) + COUNTIFS(Başvuru!$G:$G, "Doktora Tezi", Başvuru!$L:$L, Z$2, Başvuru!$K:$K, $B7)</f>
        <v/>
      </c>
      <c r="AA7" s="12">
        <f>SUM(T7:Z7)</f>
        <v/>
      </c>
      <c r="AB7" s="12">
        <f>COUNTIFS(Başvuru!$G:$G, "Uzmanlık Tezi", Başvuru!$L:$L, AB$2, Başvuru!$J:$J, $B7) + COUNTIFS(Başvuru!$G:$G, "Uzmanlık Tezi", Başvuru!$L:$L, AB$2, Başvuru!$K:$K, $B7)</f>
        <v/>
      </c>
      <c r="AC7" s="12">
        <f>COUNTIFS(Başvuru!$G:$G, "Uzmanlık Tezi", Başvuru!$L:$L, AC$2, Başvuru!$J:$J, $B7) + COUNTIFS(Başvuru!$G:$G, "Uzmanlık Tezi", Başvuru!$L:$L, AC$2, Başvuru!$K:$K, $B7)</f>
        <v/>
      </c>
      <c r="AD7" s="12">
        <f>COUNTIFS(Başvuru!$G:$G, "Uzmanlık Tezi", Başvuru!$L:$L, AD$2, Başvuru!$J:$J, $B7) + COUNTIFS(Başvuru!$G:$G, "Uzmanlık Tezi", Başvuru!$L:$L, AD$2, Başvuru!$K:$K, $B7)</f>
        <v/>
      </c>
      <c r="AE7" s="12">
        <f>COUNTIFS(Başvuru!$G:$G, "Uzmanlık Tezi", Başvuru!$L:$L, AE$2, Başvuru!$J:$J, $B7) + COUNTIFS(Başvuru!$G:$G, "Uzmanlık Tezi", Başvuru!$L:$L, AE$2, Başvuru!$K:$K, $B7)</f>
        <v/>
      </c>
      <c r="AF7" s="12">
        <f>COUNTIFS(Başvuru!$G:$G, "Uzmanlık Tezi", Başvuru!$L:$L, AF$2, Başvuru!$J:$J, $B7) + COUNTIFS(Başvuru!$G:$G, "Uzmanlık Tezi", Başvuru!$L:$L, AF$2, Başvuru!$K:$K, $B7)</f>
        <v/>
      </c>
      <c r="AG7" s="12">
        <f>COUNTIFS(Başvuru!$G:$G, "Uzmanlık Tezi", Başvuru!$L:$L, AG$2, Başvuru!$J:$J, $B7) + COUNTIFS(Başvuru!$G:$G, "Uzmanlık Tezi", Başvuru!$L:$L, AG$2, Başvuru!$K:$K, $B7)</f>
        <v/>
      </c>
      <c r="AH7" s="12">
        <f>COUNTIFS(Başvuru!$G:$G, "Uzmanlık Tezi", Başvuru!$L:$L, AH$2, Başvuru!$J:$J, $B7) + COUNTIFS(Başvuru!$G:$G, "Uzmanlık Tezi", Başvuru!$L:$L, AH$2, Başvuru!$K:$K, $B7)</f>
        <v/>
      </c>
      <c r="AI7" s="12">
        <f>SUM(AB7:AH7)</f>
        <v/>
      </c>
      <c r="AJ7" s="31">
        <f>SUM(D7,L7,T7,AB7)</f>
        <v/>
      </c>
      <c r="AK7" s="31">
        <f>SUM(E7,M7,U7,AC7)</f>
        <v/>
      </c>
      <c r="AL7" s="31">
        <f>SUM(F7,N7,V7,AD7)</f>
        <v/>
      </c>
      <c r="AM7" s="31">
        <f>SUM(G7,O7,W7,AE7)</f>
        <v/>
      </c>
      <c r="AN7" s="31">
        <f>SUM(H7,P7,X7,AF7)</f>
        <v/>
      </c>
      <c r="AO7" s="31">
        <f>SUM(I7,Q7,Y7,AG7)</f>
        <v/>
      </c>
      <c r="AP7" s="31">
        <f>SUM(J7,R7,Z7,AH7)</f>
        <v/>
      </c>
      <c r="AQ7" s="31">
        <f>SUM(AJ7:AP7)</f>
        <v/>
      </c>
    </row>
    <row r="8" ht="30" customFormat="1" customHeight="1" s="14">
      <c r="A8" s="21" t="inlineStr">
        <is>
          <t>6.</t>
        </is>
      </c>
      <c r="B8" s="22" t="inlineStr">
        <is>
          <t>Prof. Dr. Nazmiye Ebru ORTAÇ ERSOY</t>
        </is>
      </c>
      <c r="C8" s="12">
        <f>COUNTIF(Başvuru!$J:$K, $B8)</f>
        <v/>
      </c>
      <c r="D8" s="12">
        <f>COUNTIFS(Başvuru!$G:$G, "Bireysel Araştırma", Başvuru!$L:$L, D$2, Başvuru!$J:$J, $B8) + COUNTIFS(Başvuru!$G:$G, "Bireysel Araştırma", Başvuru!$L:$L, D$2, Başvuru!$K:$K, $B8)</f>
        <v/>
      </c>
      <c r="E8" s="12">
        <f>COUNTIFS(Başvuru!$G:$G, "Bireysel Araştırma", Başvuru!$L:$L, E$2, Başvuru!$J:$J, $B8) + COUNTIFS(Başvuru!$G:$G, "Bireysel Araştırma", Başvuru!$L:$L, E$2, Başvuru!$K:$K, $B8)</f>
        <v/>
      </c>
      <c r="F8" s="12">
        <f>COUNTIFS(Başvuru!$G:$G, "Bireysel Araştırma", Başvuru!$L:$L, F$2, Başvuru!$J:$J, $B8) + COUNTIFS(Başvuru!$G:$G, "Bireysel Araştırma", Başvuru!$L:$L, F$2, Başvuru!$K:$K, $B8)</f>
        <v/>
      </c>
      <c r="G8" s="12">
        <f>COUNTIFS(Başvuru!$G:$G, "Bireysel Araştırma", Başvuru!$L:$L, G$2, Başvuru!$J:$J, $B8) + COUNTIFS(Başvuru!$G:$G, "Bireysel Araştırma", Başvuru!$L:$L, G$2, Başvuru!$K:$K, $B8)</f>
        <v/>
      </c>
      <c r="H8" s="12">
        <f>COUNTIFS(Başvuru!$G:$G, "Bireysel Araştırma", Başvuru!$L:$L, H$2, Başvuru!$J:$J, $B8) + COUNTIFS(Başvuru!$G:$G, "Bireysel Araştırma", Başvuru!$L:$L, H$2, Başvuru!$K:$K, $B8)</f>
        <v/>
      </c>
      <c r="I8" s="12">
        <f>COUNTIFS(Başvuru!$G:$G, "Bireysel Araştırma", Başvuru!$L:$L, I$2, Başvuru!$J:$J, $B8) + COUNTIFS(Başvuru!$G:$G, "Bireysel Araştırma", Başvuru!$L:$L, I$2, Başvuru!$K:$K, $B8)</f>
        <v/>
      </c>
      <c r="J8" s="12">
        <f>COUNTIFS(Başvuru!$G:$G, "Bireysel Araştırma", Başvuru!$L:$L, J$2, Başvuru!$J:$J, $B8) + COUNTIFS(Başvuru!$G:$G, "Bireysel Araştırma", Başvuru!$L:$L, J$2, Başvuru!$K:$K, $B8)</f>
        <v/>
      </c>
      <c r="K8" s="12">
        <f>SUM(D8:J8)</f>
        <v/>
      </c>
      <c r="L8" s="12">
        <f>COUNTIFS(Başvuru!$G:$G, "Yüksek Lisans Tezi", Başvuru!$L:$L, L$2, Başvuru!$J:$J, $B8) + COUNTIFS(Başvuru!$G:$G, "Yüksek Lisans Tezi", Başvuru!$L:$L, L$2, Başvuru!$K:$K, $B8)</f>
        <v/>
      </c>
      <c r="M8" s="12">
        <f>COUNTIFS(Başvuru!$G:$G, "Yüksek Lisans Tezi", Başvuru!$L:$L, M$2, Başvuru!$J:$J, $B8) + COUNTIFS(Başvuru!$G:$G, "Yüksek Lisans Tezi", Başvuru!$L:$L, M$2, Başvuru!$K:$K, $B8)</f>
        <v/>
      </c>
      <c r="N8" s="12">
        <f>COUNTIFS(Başvuru!$G:$G, "Yüksek Lisans Tezi", Başvuru!$L:$L, N$2, Başvuru!$J:$J, $B8) + COUNTIFS(Başvuru!$G:$G, "Yüksek Lisans Tezi", Başvuru!$L:$L, N$2, Başvuru!$K:$K, $B8)</f>
        <v/>
      </c>
      <c r="O8" s="12">
        <f>COUNTIFS(Başvuru!$G:$G, "Yüksek Lisans Tezi", Başvuru!$L:$L, O$2, Başvuru!$J:$J, $B8) + COUNTIFS(Başvuru!$G:$G, "Yüksek Lisans Tezi", Başvuru!$L:$L, O$2, Başvuru!$K:$K, $B8)</f>
        <v/>
      </c>
      <c r="P8" s="12">
        <f>COUNTIFS(Başvuru!$G:$G, "Yüksek Lisans Tezi", Başvuru!$L:$L, P$2, Başvuru!$J:$J, $B8) + COUNTIFS(Başvuru!$G:$G, "Yüksek Lisans Tezi", Başvuru!$L:$L, P$2, Başvuru!$K:$K, $B8)</f>
        <v/>
      </c>
      <c r="Q8" s="12">
        <f>COUNTIFS(Başvuru!$G:$G, "Yüksek Lisans Tezi", Başvuru!$L:$L, Q$2, Başvuru!$J:$J, $B8) + COUNTIFS(Başvuru!$G:$G, "Yüksek Lisans Tezi", Başvuru!$L:$L, Q$2, Başvuru!$K:$K, $B8)</f>
        <v/>
      </c>
      <c r="R8" s="12">
        <f>COUNTIFS(Başvuru!$G:$G, "Yüksek Lisans Tezi", Başvuru!$L:$L, R$2, Başvuru!$J:$J, $B8) + COUNTIFS(Başvuru!$G:$G, "Yüksek Lisans Tezi", Başvuru!$L:$L, R$2, Başvuru!$K:$K, $B8)</f>
        <v/>
      </c>
      <c r="S8" s="12">
        <f>SUM(L8:R8)</f>
        <v/>
      </c>
      <c r="T8" s="12">
        <f>COUNTIFS(Başvuru!$G:$G, "Doktora Tezi", Başvuru!$L:$L, T$2, Başvuru!$J:$J, $B8) + COUNTIFS(Başvuru!$G:$G, "Doktora Tezi", Başvuru!$L:$L, T$2, Başvuru!$K:$K, $B8)</f>
        <v/>
      </c>
      <c r="U8" s="12">
        <f>COUNTIFS(Başvuru!$G:$G, "Doktora Tezi", Başvuru!$L:$L, U$2, Başvuru!$J:$J, $B8) + COUNTIFS(Başvuru!$G:$G, "Doktora Tezi", Başvuru!$L:$L, U$2, Başvuru!$K:$K, $B8)</f>
        <v/>
      </c>
      <c r="V8" s="12">
        <f>COUNTIFS(Başvuru!$G:$G, "Doktora Tezi", Başvuru!$L:$L, V$2, Başvuru!$J:$J, $B8) + COUNTIFS(Başvuru!$G:$G, "Doktora Tezi", Başvuru!$L:$L, V$2, Başvuru!$K:$K, $B8)</f>
        <v/>
      </c>
      <c r="W8" s="12">
        <f>COUNTIFS(Başvuru!$G:$G, "Doktora Tezi", Başvuru!$L:$L, W$2, Başvuru!$J:$J, $B8) + COUNTIFS(Başvuru!$G:$G, "Doktora Tezi", Başvuru!$L:$L, W$2, Başvuru!$K:$K, $B8)</f>
        <v/>
      </c>
      <c r="X8" s="12">
        <f>COUNTIFS(Başvuru!$G:$G, "Doktora Tezi", Başvuru!$L:$L, X$2, Başvuru!$J:$J, $B8) + COUNTIFS(Başvuru!$G:$G, "Doktora Tezi", Başvuru!$L:$L, X$2, Başvuru!$K:$K, $B8)</f>
        <v/>
      </c>
      <c r="Y8" s="12">
        <f>COUNTIFS(Başvuru!$G:$G, "Doktora Tezi", Başvuru!$L:$L, Y$2, Başvuru!$J:$J, $B8) + COUNTIFS(Başvuru!$G:$G, "Doktora Tezi", Başvuru!$L:$L, Y$2, Başvuru!$K:$K, $B8)</f>
        <v/>
      </c>
      <c r="Z8" s="12">
        <f>COUNTIFS(Başvuru!$G:$G, "Doktora Tezi", Başvuru!$L:$L, Z$2, Başvuru!$J:$J, $B8) + COUNTIFS(Başvuru!$G:$G, "Doktora Tezi", Başvuru!$L:$L, Z$2, Başvuru!$K:$K, $B8)</f>
        <v/>
      </c>
      <c r="AA8" s="12">
        <f>SUM(T8:Z8)</f>
        <v/>
      </c>
      <c r="AB8" s="12">
        <f>COUNTIFS(Başvuru!$G:$G, "Uzmanlık Tezi", Başvuru!$L:$L, AB$2, Başvuru!$J:$J, $B8) + COUNTIFS(Başvuru!$G:$G, "Uzmanlık Tezi", Başvuru!$L:$L, AB$2, Başvuru!$K:$K, $B8)</f>
        <v/>
      </c>
      <c r="AC8" s="12">
        <f>COUNTIFS(Başvuru!$G:$G, "Uzmanlık Tezi", Başvuru!$L:$L, AC$2, Başvuru!$J:$J, $B8) + COUNTIFS(Başvuru!$G:$G, "Uzmanlık Tezi", Başvuru!$L:$L, AC$2, Başvuru!$K:$K, $B8)</f>
        <v/>
      </c>
      <c r="AD8" s="12">
        <f>COUNTIFS(Başvuru!$G:$G, "Uzmanlık Tezi", Başvuru!$L:$L, AD$2, Başvuru!$J:$J, $B8) + COUNTIFS(Başvuru!$G:$G, "Uzmanlık Tezi", Başvuru!$L:$L, AD$2, Başvuru!$K:$K, $B8)</f>
        <v/>
      </c>
      <c r="AE8" s="12">
        <f>COUNTIFS(Başvuru!$G:$G, "Uzmanlık Tezi", Başvuru!$L:$L, AE$2, Başvuru!$J:$J, $B8) + COUNTIFS(Başvuru!$G:$G, "Uzmanlık Tezi", Başvuru!$L:$L, AE$2, Başvuru!$K:$K, $B8)</f>
        <v/>
      </c>
      <c r="AF8" s="12">
        <f>COUNTIFS(Başvuru!$G:$G, "Uzmanlık Tezi", Başvuru!$L:$L, AF$2, Başvuru!$J:$J, $B8) + COUNTIFS(Başvuru!$G:$G, "Uzmanlık Tezi", Başvuru!$L:$L, AF$2, Başvuru!$K:$K, $B8)</f>
        <v/>
      </c>
      <c r="AG8" s="12">
        <f>COUNTIFS(Başvuru!$G:$G, "Uzmanlık Tezi", Başvuru!$L:$L, AG$2, Başvuru!$J:$J, $B8) + COUNTIFS(Başvuru!$G:$G, "Uzmanlık Tezi", Başvuru!$L:$L, AG$2, Başvuru!$K:$K, $B8)</f>
        <v/>
      </c>
      <c r="AH8" s="12">
        <f>COUNTIFS(Başvuru!$G:$G, "Uzmanlık Tezi", Başvuru!$L:$L, AH$2, Başvuru!$J:$J, $B8) + COUNTIFS(Başvuru!$G:$G, "Uzmanlık Tezi", Başvuru!$L:$L, AH$2, Başvuru!$K:$K, $B8)</f>
        <v/>
      </c>
      <c r="AI8" s="12">
        <f>SUM(AB8:AH8)</f>
        <v/>
      </c>
      <c r="AJ8" s="31">
        <f>SUM(D8,L8,T8,AB8)</f>
        <v/>
      </c>
      <c r="AK8" s="31">
        <f>SUM(E8,M8,U8,AC8)</f>
        <v/>
      </c>
      <c r="AL8" s="31">
        <f>SUM(F8,N8,V8,AD8)</f>
        <v/>
      </c>
      <c r="AM8" s="31">
        <f>SUM(G8,O8,W8,AE8)</f>
        <v/>
      </c>
      <c r="AN8" s="31">
        <f>SUM(H8,P8,X8,AF8)</f>
        <v/>
      </c>
      <c r="AO8" s="31">
        <f>SUM(I8,Q8,Y8,AG8)</f>
        <v/>
      </c>
      <c r="AP8" s="31">
        <f>SUM(J8,R8,Z8,AH8)</f>
        <v/>
      </c>
      <c r="AQ8" s="31">
        <f>SUM(AJ8:AP8)</f>
        <v/>
      </c>
    </row>
    <row r="9" ht="30" customFormat="1" customHeight="1" s="14">
      <c r="A9" s="21" t="inlineStr">
        <is>
          <t>7.</t>
        </is>
      </c>
      <c r="B9" s="22" t="inlineStr">
        <is>
          <t>Prof. Dr. Gözde GİRGİN</t>
        </is>
      </c>
      <c r="C9" s="12">
        <f>COUNTIF(Başvuru!$J:$K, $B9)</f>
        <v/>
      </c>
      <c r="D9" s="12">
        <f>COUNTIFS(Başvuru!$G:$G, "Bireysel Araştırma", Başvuru!$L:$L, D$2, Başvuru!$J:$J, $B9) + COUNTIFS(Başvuru!$G:$G, "Bireysel Araştırma", Başvuru!$L:$L, D$2, Başvuru!$K:$K, $B9)</f>
        <v/>
      </c>
      <c r="E9" s="12">
        <f>COUNTIFS(Başvuru!$G:$G, "Bireysel Araştırma", Başvuru!$L:$L, E$2, Başvuru!$J:$J, $B9) + COUNTIFS(Başvuru!$G:$G, "Bireysel Araştırma", Başvuru!$L:$L, E$2, Başvuru!$K:$K, $B9)</f>
        <v/>
      </c>
      <c r="F9" s="12">
        <f>COUNTIFS(Başvuru!$G:$G, "Bireysel Araştırma", Başvuru!$L:$L, F$2, Başvuru!$J:$J, $B9) + COUNTIFS(Başvuru!$G:$G, "Bireysel Araştırma", Başvuru!$L:$L, F$2, Başvuru!$K:$K, $B9)</f>
        <v/>
      </c>
      <c r="G9" s="12">
        <f>COUNTIFS(Başvuru!$G:$G, "Bireysel Araştırma", Başvuru!$L:$L, G$2, Başvuru!$J:$J, $B9) + COUNTIFS(Başvuru!$G:$G, "Bireysel Araştırma", Başvuru!$L:$L, G$2, Başvuru!$K:$K, $B9)</f>
        <v/>
      </c>
      <c r="H9" s="12">
        <f>COUNTIFS(Başvuru!$G:$G, "Bireysel Araştırma", Başvuru!$L:$L, H$2, Başvuru!$J:$J, $B9) + COUNTIFS(Başvuru!$G:$G, "Bireysel Araştırma", Başvuru!$L:$L, H$2, Başvuru!$K:$K, $B9)</f>
        <v/>
      </c>
      <c r="I9" s="12">
        <f>COUNTIFS(Başvuru!$G:$G, "Bireysel Araştırma", Başvuru!$L:$L, I$2, Başvuru!$J:$J, $B9) + COUNTIFS(Başvuru!$G:$G, "Bireysel Araştırma", Başvuru!$L:$L, I$2, Başvuru!$K:$K, $B9)</f>
        <v/>
      </c>
      <c r="J9" s="12">
        <f>COUNTIFS(Başvuru!$G:$G, "Bireysel Araştırma", Başvuru!$L:$L, J$2, Başvuru!$J:$J, $B9) + COUNTIFS(Başvuru!$G:$G, "Bireysel Araştırma", Başvuru!$L:$L, J$2, Başvuru!$K:$K, $B9)</f>
        <v/>
      </c>
      <c r="K9" s="12">
        <f>SUM(D9:J9)</f>
        <v/>
      </c>
      <c r="L9" s="12">
        <f>COUNTIFS(Başvuru!$G:$G, "Yüksek Lisans Tezi", Başvuru!$L:$L, L$2, Başvuru!$J:$J, $B9) + COUNTIFS(Başvuru!$G:$G, "Yüksek Lisans Tezi", Başvuru!$L:$L, L$2, Başvuru!$K:$K, $B9)</f>
        <v/>
      </c>
      <c r="M9" s="12">
        <f>COUNTIFS(Başvuru!$G:$G, "Yüksek Lisans Tezi", Başvuru!$L:$L, M$2, Başvuru!$J:$J, $B9) + COUNTIFS(Başvuru!$G:$G, "Yüksek Lisans Tezi", Başvuru!$L:$L, M$2, Başvuru!$K:$K, $B9)</f>
        <v/>
      </c>
      <c r="N9" s="12">
        <f>COUNTIFS(Başvuru!$G:$G, "Yüksek Lisans Tezi", Başvuru!$L:$L, N$2, Başvuru!$J:$J, $B9) + COUNTIFS(Başvuru!$G:$G, "Yüksek Lisans Tezi", Başvuru!$L:$L, N$2, Başvuru!$K:$K, $B9)</f>
        <v/>
      </c>
      <c r="O9" s="12">
        <f>COUNTIFS(Başvuru!$G:$G, "Yüksek Lisans Tezi", Başvuru!$L:$L, O$2, Başvuru!$J:$J, $B9) + COUNTIFS(Başvuru!$G:$G, "Yüksek Lisans Tezi", Başvuru!$L:$L, O$2, Başvuru!$K:$K, $B9)</f>
        <v/>
      </c>
      <c r="P9" s="12">
        <f>COUNTIFS(Başvuru!$G:$G, "Yüksek Lisans Tezi", Başvuru!$L:$L, P$2, Başvuru!$J:$J, $B9) + COUNTIFS(Başvuru!$G:$G, "Yüksek Lisans Tezi", Başvuru!$L:$L, P$2, Başvuru!$K:$K, $B9)</f>
        <v/>
      </c>
      <c r="Q9" s="12">
        <f>COUNTIFS(Başvuru!$G:$G, "Yüksek Lisans Tezi", Başvuru!$L:$L, Q$2, Başvuru!$J:$J, $B9) + COUNTIFS(Başvuru!$G:$G, "Yüksek Lisans Tezi", Başvuru!$L:$L, Q$2, Başvuru!$K:$K, $B9)</f>
        <v/>
      </c>
      <c r="R9" s="12">
        <f>COUNTIFS(Başvuru!$G:$G, "Yüksek Lisans Tezi", Başvuru!$L:$L, R$2, Başvuru!$J:$J, $B9) + COUNTIFS(Başvuru!$G:$G, "Yüksek Lisans Tezi", Başvuru!$L:$L, R$2, Başvuru!$K:$K, $B9)</f>
        <v/>
      </c>
      <c r="S9" s="12">
        <f>SUM(L9:R9)</f>
        <v/>
      </c>
      <c r="T9" s="12">
        <f>COUNTIFS(Başvuru!$G:$G, "Doktora Tezi", Başvuru!$L:$L, T$2, Başvuru!$J:$J, $B9) + COUNTIFS(Başvuru!$G:$G, "Doktora Tezi", Başvuru!$L:$L, T$2, Başvuru!$K:$K, $B9)</f>
        <v/>
      </c>
      <c r="U9" s="12">
        <f>COUNTIFS(Başvuru!$G:$G, "Doktora Tezi", Başvuru!$L:$L, U$2, Başvuru!$J:$J, $B9) + COUNTIFS(Başvuru!$G:$G, "Doktora Tezi", Başvuru!$L:$L, U$2, Başvuru!$K:$K, $B9)</f>
        <v/>
      </c>
      <c r="V9" s="12">
        <f>COUNTIFS(Başvuru!$G:$G, "Doktora Tezi", Başvuru!$L:$L, V$2, Başvuru!$J:$J, $B9) + COUNTIFS(Başvuru!$G:$G, "Doktora Tezi", Başvuru!$L:$L, V$2, Başvuru!$K:$K, $B9)</f>
        <v/>
      </c>
      <c r="W9" s="12">
        <f>COUNTIFS(Başvuru!$G:$G, "Doktora Tezi", Başvuru!$L:$L, W$2, Başvuru!$J:$J, $B9) + COUNTIFS(Başvuru!$G:$G, "Doktora Tezi", Başvuru!$L:$L, W$2, Başvuru!$K:$K, $B9)</f>
        <v/>
      </c>
      <c r="X9" s="12">
        <f>COUNTIFS(Başvuru!$G:$G, "Doktora Tezi", Başvuru!$L:$L, X$2, Başvuru!$J:$J, $B9) + COUNTIFS(Başvuru!$G:$G, "Doktora Tezi", Başvuru!$L:$L, X$2, Başvuru!$K:$K, $B9)</f>
        <v/>
      </c>
      <c r="Y9" s="12">
        <f>COUNTIFS(Başvuru!$G:$G, "Doktora Tezi", Başvuru!$L:$L, Y$2, Başvuru!$J:$J, $B9) + COUNTIFS(Başvuru!$G:$G, "Doktora Tezi", Başvuru!$L:$L, Y$2, Başvuru!$K:$K, $B9)</f>
        <v/>
      </c>
      <c r="Z9" s="12">
        <f>COUNTIFS(Başvuru!$G:$G, "Doktora Tezi", Başvuru!$L:$L, Z$2, Başvuru!$J:$J, $B9) + COUNTIFS(Başvuru!$G:$G, "Doktora Tezi", Başvuru!$L:$L, Z$2, Başvuru!$K:$K, $B9)</f>
        <v/>
      </c>
      <c r="AA9" s="12">
        <f>SUM(T9:Z9)</f>
        <v/>
      </c>
      <c r="AB9" s="12">
        <f>COUNTIFS(Başvuru!$G:$G, "Uzmanlık Tezi", Başvuru!$L:$L, AB$2, Başvuru!$J:$J, $B9) + COUNTIFS(Başvuru!$G:$G, "Uzmanlık Tezi", Başvuru!$L:$L, AB$2, Başvuru!$K:$K, $B9)</f>
        <v/>
      </c>
      <c r="AC9" s="12">
        <f>COUNTIFS(Başvuru!$G:$G, "Uzmanlık Tezi", Başvuru!$L:$L, AC$2, Başvuru!$J:$J, $B9) + COUNTIFS(Başvuru!$G:$G, "Uzmanlık Tezi", Başvuru!$L:$L, AC$2, Başvuru!$K:$K, $B9)</f>
        <v/>
      </c>
      <c r="AD9" s="12">
        <f>COUNTIFS(Başvuru!$G:$G, "Uzmanlık Tezi", Başvuru!$L:$L, AD$2, Başvuru!$J:$J, $B9) + COUNTIFS(Başvuru!$G:$G, "Uzmanlık Tezi", Başvuru!$L:$L, AD$2, Başvuru!$K:$K, $B9)</f>
        <v/>
      </c>
      <c r="AE9" s="12">
        <f>COUNTIFS(Başvuru!$G:$G, "Uzmanlık Tezi", Başvuru!$L:$L, AE$2, Başvuru!$J:$J, $B9) + COUNTIFS(Başvuru!$G:$G, "Uzmanlık Tezi", Başvuru!$L:$L, AE$2, Başvuru!$K:$K, $B9)</f>
        <v/>
      </c>
      <c r="AF9" s="12">
        <f>COUNTIFS(Başvuru!$G:$G, "Uzmanlık Tezi", Başvuru!$L:$L, AF$2, Başvuru!$J:$J, $B9) + COUNTIFS(Başvuru!$G:$G, "Uzmanlık Tezi", Başvuru!$L:$L, AF$2, Başvuru!$K:$K, $B9)</f>
        <v/>
      </c>
      <c r="AG9" s="12">
        <f>COUNTIFS(Başvuru!$G:$G, "Uzmanlık Tezi", Başvuru!$L:$L, AG$2, Başvuru!$J:$J, $B9) + COUNTIFS(Başvuru!$G:$G, "Uzmanlık Tezi", Başvuru!$L:$L, AG$2, Başvuru!$K:$K, $B9)</f>
        <v/>
      </c>
      <c r="AH9" s="12">
        <f>COUNTIFS(Başvuru!$G:$G, "Uzmanlık Tezi", Başvuru!$L:$L, AH$2, Başvuru!$J:$J, $B9) + COUNTIFS(Başvuru!$G:$G, "Uzmanlık Tezi", Başvuru!$L:$L, AH$2, Başvuru!$K:$K, $B9)</f>
        <v/>
      </c>
      <c r="AI9" s="12">
        <f>SUM(AB9:AH9)</f>
        <v/>
      </c>
      <c r="AJ9" s="31">
        <f>SUM(D9,L9,T9,AB9)</f>
        <v/>
      </c>
      <c r="AK9" s="31">
        <f>SUM(E9,M9,U9,AC9)</f>
        <v/>
      </c>
      <c r="AL9" s="31">
        <f>SUM(F9,N9,V9,AD9)</f>
        <v/>
      </c>
      <c r="AM9" s="31">
        <f>SUM(G9,O9,W9,AE9)</f>
        <v/>
      </c>
      <c r="AN9" s="31">
        <f>SUM(H9,P9,X9,AF9)</f>
        <v/>
      </c>
      <c r="AO9" s="31">
        <f>SUM(I9,Q9,Y9,AG9)</f>
        <v/>
      </c>
      <c r="AP9" s="31">
        <f>SUM(J9,R9,Z9,AH9)</f>
        <v/>
      </c>
      <c r="AQ9" s="31">
        <f>SUM(AJ9:AP9)</f>
        <v/>
      </c>
    </row>
    <row r="10" ht="30" customFormat="1" customHeight="1" s="14">
      <c r="A10" s="21" t="inlineStr">
        <is>
          <t>8.</t>
        </is>
      </c>
      <c r="B10" s="22" t="inlineStr">
        <is>
          <t>Doç. Dr. Kübra AYKAÇ</t>
        </is>
      </c>
      <c r="C10" s="12">
        <f>COUNTIF(Başvuru!$J:$K, $B10)</f>
        <v/>
      </c>
      <c r="D10" s="12">
        <f>COUNTIFS(Başvuru!$G:$G, "Bireysel Araştırma", Başvuru!$L:$L, D$2, Başvuru!$J:$J, $B10) + COUNTIFS(Başvuru!$G:$G, "Bireysel Araştırma", Başvuru!$L:$L, D$2, Başvuru!$K:$K, $B10)</f>
        <v/>
      </c>
      <c r="E10" s="12">
        <f>COUNTIFS(Başvuru!$G:$G, "Bireysel Araştırma", Başvuru!$L:$L, E$2, Başvuru!$J:$J, $B10) + COUNTIFS(Başvuru!$G:$G, "Bireysel Araştırma", Başvuru!$L:$L, E$2, Başvuru!$K:$K, $B10)</f>
        <v/>
      </c>
      <c r="F10" s="12">
        <f>COUNTIFS(Başvuru!$G:$G, "Bireysel Araştırma", Başvuru!$L:$L, F$2, Başvuru!$J:$J, $B10) + COUNTIFS(Başvuru!$G:$G, "Bireysel Araştırma", Başvuru!$L:$L, F$2, Başvuru!$K:$K, $B10)</f>
        <v/>
      </c>
      <c r="G10" s="12">
        <f>COUNTIFS(Başvuru!$G:$G, "Bireysel Araştırma", Başvuru!$L:$L, G$2, Başvuru!$J:$J, $B10) + COUNTIFS(Başvuru!$G:$G, "Bireysel Araştırma", Başvuru!$L:$L, G$2, Başvuru!$K:$K, $B10)</f>
        <v/>
      </c>
      <c r="H10" s="12">
        <f>COUNTIFS(Başvuru!$G:$G, "Bireysel Araştırma", Başvuru!$L:$L, H$2, Başvuru!$J:$J, $B10) + COUNTIFS(Başvuru!$G:$G, "Bireysel Araştırma", Başvuru!$L:$L, H$2, Başvuru!$K:$K, $B10)</f>
        <v/>
      </c>
      <c r="I10" s="12">
        <f>COUNTIFS(Başvuru!$G:$G, "Bireysel Araştırma", Başvuru!$L:$L, I$2, Başvuru!$J:$J, $B10) + COUNTIFS(Başvuru!$G:$G, "Bireysel Araştırma", Başvuru!$L:$L, I$2, Başvuru!$K:$K, $B10)</f>
        <v/>
      </c>
      <c r="J10" s="12">
        <f>COUNTIFS(Başvuru!$G:$G, "Bireysel Araştırma", Başvuru!$L:$L, J$2, Başvuru!$J:$J, $B10) + COUNTIFS(Başvuru!$G:$G, "Bireysel Araştırma", Başvuru!$L:$L, J$2, Başvuru!$K:$K, $B10)</f>
        <v/>
      </c>
      <c r="K10" s="12">
        <f>SUM(D10:J10)</f>
        <v/>
      </c>
      <c r="L10" s="12">
        <f>COUNTIFS(Başvuru!$G:$G, "Yüksek Lisans Tezi", Başvuru!$L:$L, L$2, Başvuru!$J:$J, $B10) + COUNTIFS(Başvuru!$G:$G, "Yüksek Lisans Tezi", Başvuru!$L:$L, L$2, Başvuru!$K:$K, $B10)</f>
        <v/>
      </c>
      <c r="M10" s="12">
        <f>COUNTIFS(Başvuru!$G:$G, "Yüksek Lisans Tezi", Başvuru!$L:$L, M$2, Başvuru!$J:$J, $B10) + COUNTIFS(Başvuru!$G:$G, "Yüksek Lisans Tezi", Başvuru!$L:$L, M$2, Başvuru!$K:$K, $B10)</f>
        <v/>
      </c>
      <c r="N10" s="12">
        <f>COUNTIFS(Başvuru!$G:$G, "Yüksek Lisans Tezi", Başvuru!$L:$L, N$2, Başvuru!$J:$J, $B10) + COUNTIFS(Başvuru!$G:$G, "Yüksek Lisans Tezi", Başvuru!$L:$L, N$2, Başvuru!$K:$K, $B10)</f>
        <v/>
      </c>
      <c r="O10" s="12">
        <f>COUNTIFS(Başvuru!$G:$G, "Yüksek Lisans Tezi", Başvuru!$L:$L, O$2, Başvuru!$J:$J, $B10) + COUNTIFS(Başvuru!$G:$G, "Yüksek Lisans Tezi", Başvuru!$L:$L, O$2, Başvuru!$K:$K, $B10)</f>
        <v/>
      </c>
      <c r="P10" s="12">
        <f>COUNTIFS(Başvuru!$G:$G, "Yüksek Lisans Tezi", Başvuru!$L:$L, P$2, Başvuru!$J:$J, $B10) + COUNTIFS(Başvuru!$G:$G, "Yüksek Lisans Tezi", Başvuru!$L:$L, P$2, Başvuru!$K:$K, $B10)</f>
        <v/>
      </c>
      <c r="Q10" s="12">
        <f>COUNTIFS(Başvuru!$G:$G, "Yüksek Lisans Tezi", Başvuru!$L:$L, Q$2, Başvuru!$J:$J, $B10) + COUNTIFS(Başvuru!$G:$G, "Yüksek Lisans Tezi", Başvuru!$L:$L, Q$2, Başvuru!$K:$K, $B10)</f>
        <v/>
      </c>
      <c r="R10" s="12">
        <f>COUNTIFS(Başvuru!$G:$G, "Yüksek Lisans Tezi", Başvuru!$L:$L, R$2, Başvuru!$J:$J, $B10) + COUNTIFS(Başvuru!$G:$G, "Yüksek Lisans Tezi", Başvuru!$L:$L, R$2, Başvuru!$K:$K, $B10)</f>
        <v/>
      </c>
      <c r="S10" s="12">
        <f>SUM(L10:R10)</f>
        <v/>
      </c>
      <c r="T10" s="12">
        <f>COUNTIFS(Başvuru!$G:$G, "Doktora Tezi", Başvuru!$L:$L, T$2, Başvuru!$J:$J, $B10) + COUNTIFS(Başvuru!$G:$G, "Doktora Tezi", Başvuru!$L:$L, T$2, Başvuru!$K:$K, $B10)</f>
        <v/>
      </c>
      <c r="U10" s="12">
        <f>COUNTIFS(Başvuru!$G:$G, "Doktora Tezi", Başvuru!$L:$L, U$2, Başvuru!$J:$J, $B10) + COUNTIFS(Başvuru!$G:$G, "Doktora Tezi", Başvuru!$L:$L, U$2, Başvuru!$K:$K, $B10)</f>
        <v/>
      </c>
      <c r="V10" s="12">
        <f>COUNTIFS(Başvuru!$G:$G, "Doktora Tezi", Başvuru!$L:$L, V$2, Başvuru!$J:$J, $B10) + COUNTIFS(Başvuru!$G:$G, "Doktora Tezi", Başvuru!$L:$L, V$2, Başvuru!$K:$K, $B10)</f>
        <v/>
      </c>
      <c r="W10" s="12">
        <f>COUNTIFS(Başvuru!$G:$G, "Doktora Tezi", Başvuru!$L:$L, W$2, Başvuru!$J:$J, $B10) + COUNTIFS(Başvuru!$G:$G, "Doktora Tezi", Başvuru!$L:$L, W$2, Başvuru!$K:$K, $B10)</f>
        <v/>
      </c>
      <c r="X10" s="12">
        <f>COUNTIFS(Başvuru!$G:$G, "Doktora Tezi", Başvuru!$L:$L, X$2, Başvuru!$J:$J, $B10) + COUNTIFS(Başvuru!$G:$G, "Doktora Tezi", Başvuru!$L:$L, X$2, Başvuru!$K:$K, $B10)</f>
        <v/>
      </c>
      <c r="Y10" s="12">
        <f>COUNTIFS(Başvuru!$G:$G, "Doktora Tezi", Başvuru!$L:$L, Y$2, Başvuru!$J:$J, $B10) + COUNTIFS(Başvuru!$G:$G, "Doktora Tezi", Başvuru!$L:$L, Y$2, Başvuru!$K:$K, $B10)</f>
        <v/>
      </c>
      <c r="Z10" s="12">
        <f>COUNTIFS(Başvuru!$G:$G, "Doktora Tezi", Başvuru!$L:$L, Z$2, Başvuru!$J:$J, $B10) + COUNTIFS(Başvuru!$G:$G, "Doktora Tezi", Başvuru!$L:$L, Z$2, Başvuru!$K:$K, $B10)</f>
        <v/>
      </c>
      <c r="AA10" s="12">
        <f>SUM(T10:Z10)</f>
        <v/>
      </c>
      <c r="AB10" s="12">
        <f>COUNTIFS(Başvuru!$G:$G, "Uzmanlık Tezi", Başvuru!$L:$L, AB$2, Başvuru!$J:$J, $B10) + COUNTIFS(Başvuru!$G:$G, "Uzmanlık Tezi", Başvuru!$L:$L, AB$2, Başvuru!$K:$K, $B10)</f>
        <v/>
      </c>
      <c r="AC10" s="12">
        <f>COUNTIFS(Başvuru!$G:$G, "Uzmanlık Tezi", Başvuru!$L:$L, AC$2, Başvuru!$J:$J, $B10) + COUNTIFS(Başvuru!$G:$G, "Uzmanlık Tezi", Başvuru!$L:$L, AC$2, Başvuru!$K:$K, $B10)</f>
        <v/>
      </c>
      <c r="AD10" s="12">
        <f>COUNTIFS(Başvuru!$G:$G, "Uzmanlık Tezi", Başvuru!$L:$L, AD$2, Başvuru!$J:$J, $B10) + COUNTIFS(Başvuru!$G:$G, "Uzmanlık Tezi", Başvuru!$L:$L, AD$2, Başvuru!$K:$K, $B10)</f>
        <v/>
      </c>
      <c r="AE10" s="12">
        <f>COUNTIFS(Başvuru!$G:$G, "Uzmanlık Tezi", Başvuru!$L:$L, AE$2, Başvuru!$J:$J, $B10) + COUNTIFS(Başvuru!$G:$G, "Uzmanlık Tezi", Başvuru!$L:$L, AE$2, Başvuru!$K:$K, $B10)</f>
        <v/>
      </c>
      <c r="AF10" s="12">
        <f>COUNTIFS(Başvuru!$G:$G, "Uzmanlık Tezi", Başvuru!$L:$L, AF$2, Başvuru!$J:$J, $B10) + COUNTIFS(Başvuru!$G:$G, "Uzmanlık Tezi", Başvuru!$L:$L, AF$2, Başvuru!$K:$K, $B10)</f>
        <v/>
      </c>
      <c r="AG10" s="12">
        <f>COUNTIFS(Başvuru!$G:$G, "Uzmanlık Tezi", Başvuru!$L:$L, AG$2, Başvuru!$J:$J, $B10) + COUNTIFS(Başvuru!$G:$G, "Uzmanlık Tezi", Başvuru!$L:$L, AG$2, Başvuru!$K:$K, $B10)</f>
        <v/>
      </c>
      <c r="AH10" s="12">
        <f>COUNTIFS(Başvuru!$G:$G, "Uzmanlık Tezi", Başvuru!$L:$L, AH$2, Başvuru!$J:$J, $B10) + COUNTIFS(Başvuru!$G:$G, "Uzmanlık Tezi", Başvuru!$L:$L, AH$2, Başvuru!$K:$K, $B10)</f>
        <v/>
      </c>
      <c r="AI10" s="12">
        <f>SUM(AB10:AH10)</f>
        <v/>
      </c>
      <c r="AJ10" s="31">
        <f>SUM(D10,L10,T10,AB10)</f>
        <v/>
      </c>
      <c r="AK10" s="31">
        <f>SUM(E10,M10,U10,AC10)</f>
        <v/>
      </c>
      <c r="AL10" s="31">
        <f>SUM(F10,N10,V10,AD10)</f>
        <v/>
      </c>
      <c r="AM10" s="31">
        <f>SUM(G10,O10,W10,AE10)</f>
        <v/>
      </c>
      <c r="AN10" s="31">
        <f>SUM(H10,P10,X10,AF10)</f>
        <v/>
      </c>
      <c r="AO10" s="31">
        <f>SUM(I10,Q10,Y10,AG10)</f>
        <v/>
      </c>
      <c r="AP10" s="31">
        <f>SUM(J10,R10,Z10,AH10)</f>
        <v/>
      </c>
      <c r="AQ10" s="31">
        <f>SUM(AJ10:AP10)</f>
        <v/>
      </c>
    </row>
    <row r="11" ht="30" customFormat="1" customHeight="1" s="14">
      <c r="A11" s="21" t="inlineStr">
        <is>
          <t>9.</t>
        </is>
      </c>
      <c r="B11" s="22" t="inlineStr">
        <is>
          <t>Doç. Dr. Tolga ÇAKMAK</t>
        </is>
      </c>
      <c r="C11" s="12">
        <f>COUNTIF(Başvuru!$J:$K, $B11)</f>
        <v/>
      </c>
      <c r="D11" s="12">
        <f>COUNTIFS(Başvuru!$G:$G, "Bireysel Araştırma", Başvuru!$L:$L, D$2, Başvuru!$J:$J, $B11) + COUNTIFS(Başvuru!$G:$G, "Bireysel Araştırma", Başvuru!$L:$L, D$2, Başvuru!$K:$K, $B11)</f>
        <v/>
      </c>
      <c r="E11" s="12">
        <f>COUNTIFS(Başvuru!$G:$G, "Bireysel Araştırma", Başvuru!$L:$L, E$2, Başvuru!$J:$J, $B11) + COUNTIFS(Başvuru!$G:$G, "Bireysel Araştırma", Başvuru!$L:$L, E$2, Başvuru!$K:$K, $B11)</f>
        <v/>
      </c>
      <c r="F11" s="12">
        <f>COUNTIFS(Başvuru!$G:$G, "Bireysel Araştırma", Başvuru!$L:$L, F$2, Başvuru!$J:$J, $B11) + COUNTIFS(Başvuru!$G:$G, "Bireysel Araştırma", Başvuru!$L:$L, F$2, Başvuru!$K:$K, $B11)</f>
        <v/>
      </c>
      <c r="G11" s="12">
        <f>COUNTIFS(Başvuru!$G:$G, "Bireysel Araştırma", Başvuru!$L:$L, G$2, Başvuru!$J:$J, $B11) + COUNTIFS(Başvuru!$G:$G, "Bireysel Araştırma", Başvuru!$L:$L, G$2, Başvuru!$K:$K, $B11)</f>
        <v/>
      </c>
      <c r="H11" s="12">
        <f>COUNTIFS(Başvuru!$G:$G, "Bireysel Araştırma", Başvuru!$L:$L, H$2, Başvuru!$J:$J, $B11) + COUNTIFS(Başvuru!$G:$G, "Bireysel Araştırma", Başvuru!$L:$L, H$2, Başvuru!$K:$K, $B11)</f>
        <v/>
      </c>
      <c r="I11" s="12">
        <f>COUNTIFS(Başvuru!$G:$G, "Bireysel Araştırma", Başvuru!$L:$L, I$2, Başvuru!$J:$J, $B11) + COUNTIFS(Başvuru!$G:$G, "Bireysel Araştırma", Başvuru!$L:$L, I$2, Başvuru!$K:$K, $B11)</f>
        <v/>
      </c>
      <c r="J11" s="12">
        <f>COUNTIFS(Başvuru!$G:$G, "Bireysel Araştırma", Başvuru!$L:$L, J$2, Başvuru!$J:$J, $B11) + COUNTIFS(Başvuru!$G:$G, "Bireysel Araştırma", Başvuru!$L:$L, J$2, Başvuru!$K:$K, $B11)</f>
        <v/>
      </c>
      <c r="K11" s="12">
        <f>SUM(D11:J11)</f>
        <v/>
      </c>
      <c r="L11" s="12">
        <f>COUNTIFS(Başvuru!$G:$G, "Yüksek Lisans Tezi", Başvuru!$L:$L, L$2, Başvuru!$J:$J, $B11) + COUNTIFS(Başvuru!$G:$G, "Yüksek Lisans Tezi", Başvuru!$L:$L, L$2, Başvuru!$K:$K, $B11)</f>
        <v/>
      </c>
      <c r="M11" s="12">
        <f>COUNTIFS(Başvuru!$G:$G, "Yüksek Lisans Tezi", Başvuru!$L:$L, M$2, Başvuru!$J:$J, $B11) + COUNTIFS(Başvuru!$G:$G, "Yüksek Lisans Tezi", Başvuru!$L:$L, M$2, Başvuru!$K:$K, $B11)</f>
        <v/>
      </c>
      <c r="N11" s="12">
        <f>COUNTIFS(Başvuru!$G:$G, "Yüksek Lisans Tezi", Başvuru!$L:$L, N$2, Başvuru!$J:$J, $B11) + COUNTIFS(Başvuru!$G:$G, "Yüksek Lisans Tezi", Başvuru!$L:$L, N$2, Başvuru!$K:$K, $B11)</f>
        <v/>
      </c>
      <c r="O11" s="12">
        <f>COUNTIFS(Başvuru!$G:$G, "Yüksek Lisans Tezi", Başvuru!$L:$L, O$2, Başvuru!$J:$J, $B11) + COUNTIFS(Başvuru!$G:$G, "Yüksek Lisans Tezi", Başvuru!$L:$L, O$2, Başvuru!$K:$K, $B11)</f>
        <v/>
      </c>
      <c r="P11" s="12">
        <f>COUNTIFS(Başvuru!$G:$G, "Yüksek Lisans Tezi", Başvuru!$L:$L, P$2, Başvuru!$J:$J, $B11) + COUNTIFS(Başvuru!$G:$G, "Yüksek Lisans Tezi", Başvuru!$L:$L, P$2, Başvuru!$K:$K, $B11)</f>
        <v/>
      </c>
      <c r="Q11" s="12">
        <f>COUNTIFS(Başvuru!$G:$G, "Yüksek Lisans Tezi", Başvuru!$L:$L, Q$2, Başvuru!$J:$J, $B11) + COUNTIFS(Başvuru!$G:$G, "Yüksek Lisans Tezi", Başvuru!$L:$L, Q$2, Başvuru!$K:$K, $B11)</f>
        <v/>
      </c>
      <c r="R11" s="12">
        <f>COUNTIFS(Başvuru!$G:$G, "Yüksek Lisans Tezi", Başvuru!$L:$L, R$2, Başvuru!$J:$J, $B11) + COUNTIFS(Başvuru!$G:$G, "Yüksek Lisans Tezi", Başvuru!$L:$L, R$2, Başvuru!$K:$K, $B11)</f>
        <v/>
      </c>
      <c r="S11" s="12">
        <f>SUM(L11:R11)</f>
        <v/>
      </c>
      <c r="T11" s="12">
        <f>COUNTIFS(Başvuru!$G:$G, "Doktora Tezi", Başvuru!$L:$L, T$2, Başvuru!$J:$J, $B11) + COUNTIFS(Başvuru!$G:$G, "Doktora Tezi", Başvuru!$L:$L, T$2, Başvuru!$K:$K, $B11)</f>
        <v/>
      </c>
      <c r="U11" s="12">
        <f>COUNTIFS(Başvuru!$G:$G, "Doktora Tezi", Başvuru!$L:$L, U$2, Başvuru!$J:$J, $B11) + COUNTIFS(Başvuru!$G:$G, "Doktora Tezi", Başvuru!$L:$L, U$2, Başvuru!$K:$K, $B11)</f>
        <v/>
      </c>
      <c r="V11" s="12">
        <f>COUNTIFS(Başvuru!$G:$G, "Doktora Tezi", Başvuru!$L:$L, V$2, Başvuru!$J:$J, $B11) + COUNTIFS(Başvuru!$G:$G, "Doktora Tezi", Başvuru!$L:$L, V$2, Başvuru!$K:$K, $B11)</f>
        <v/>
      </c>
      <c r="W11" s="12">
        <f>COUNTIFS(Başvuru!$G:$G, "Doktora Tezi", Başvuru!$L:$L, W$2, Başvuru!$J:$J, $B11) + COUNTIFS(Başvuru!$G:$G, "Doktora Tezi", Başvuru!$L:$L, W$2, Başvuru!$K:$K, $B11)</f>
        <v/>
      </c>
      <c r="X11" s="12">
        <f>COUNTIFS(Başvuru!$G:$G, "Doktora Tezi", Başvuru!$L:$L, X$2, Başvuru!$J:$J, $B11) + COUNTIFS(Başvuru!$G:$G, "Doktora Tezi", Başvuru!$L:$L, X$2, Başvuru!$K:$K, $B11)</f>
        <v/>
      </c>
      <c r="Y11" s="12">
        <f>COUNTIFS(Başvuru!$G:$G, "Doktora Tezi", Başvuru!$L:$L, Y$2, Başvuru!$J:$J, $B11) + COUNTIFS(Başvuru!$G:$G, "Doktora Tezi", Başvuru!$L:$L, Y$2, Başvuru!$K:$K, $B11)</f>
        <v/>
      </c>
      <c r="Z11" s="12">
        <f>COUNTIFS(Başvuru!$G:$G, "Doktora Tezi", Başvuru!$L:$L, Z$2, Başvuru!$J:$J, $B11) + COUNTIFS(Başvuru!$G:$G, "Doktora Tezi", Başvuru!$L:$L, Z$2, Başvuru!$K:$K, $B11)</f>
        <v/>
      </c>
      <c r="AA11" s="12">
        <f>SUM(T11:Z11)</f>
        <v/>
      </c>
      <c r="AB11" s="12">
        <f>COUNTIFS(Başvuru!$G:$G, "Uzmanlık Tezi", Başvuru!$L:$L, AB$2, Başvuru!$J:$J, $B11) + COUNTIFS(Başvuru!$G:$G, "Uzmanlık Tezi", Başvuru!$L:$L, AB$2, Başvuru!$K:$K, $B11)</f>
        <v/>
      </c>
      <c r="AC11" s="12">
        <f>COUNTIFS(Başvuru!$G:$G, "Uzmanlık Tezi", Başvuru!$L:$L, AC$2, Başvuru!$J:$J, $B11) + COUNTIFS(Başvuru!$G:$G, "Uzmanlık Tezi", Başvuru!$L:$L, AC$2, Başvuru!$K:$K, $B11)</f>
        <v/>
      </c>
      <c r="AD11" s="12">
        <f>COUNTIFS(Başvuru!$G:$G, "Uzmanlık Tezi", Başvuru!$L:$L, AD$2, Başvuru!$J:$J, $B11) + COUNTIFS(Başvuru!$G:$G, "Uzmanlık Tezi", Başvuru!$L:$L, AD$2, Başvuru!$K:$K, $B11)</f>
        <v/>
      </c>
      <c r="AE11" s="12">
        <f>COUNTIFS(Başvuru!$G:$G, "Uzmanlık Tezi", Başvuru!$L:$L, AE$2, Başvuru!$J:$J, $B11) + COUNTIFS(Başvuru!$G:$G, "Uzmanlık Tezi", Başvuru!$L:$L, AE$2, Başvuru!$K:$K, $B11)</f>
        <v/>
      </c>
      <c r="AF11" s="12">
        <f>COUNTIFS(Başvuru!$G:$G, "Uzmanlık Tezi", Başvuru!$L:$L, AF$2, Başvuru!$J:$J, $B11) + COUNTIFS(Başvuru!$G:$G, "Uzmanlık Tezi", Başvuru!$L:$L, AF$2, Başvuru!$K:$K, $B11)</f>
        <v/>
      </c>
      <c r="AG11" s="12">
        <f>COUNTIFS(Başvuru!$G:$G, "Uzmanlık Tezi", Başvuru!$L:$L, AG$2, Başvuru!$J:$J, $B11) + COUNTIFS(Başvuru!$G:$G, "Uzmanlık Tezi", Başvuru!$L:$L, AG$2, Başvuru!$K:$K, $B11)</f>
        <v/>
      </c>
      <c r="AH11" s="12">
        <f>COUNTIFS(Başvuru!$G:$G, "Uzmanlık Tezi", Başvuru!$L:$L, AH$2, Başvuru!$J:$J, $B11) + COUNTIFS(Başvuru!$G:$G, "Uzmanlık Tezi", Başvuru!$L:$L, AH$2, Başvuru!$K:$K, $B11)</f>
        <v/>
      </c>
      <c r="AI11" s="12">
        <f>SUM(AB11:AH11)</f>
        <v/>
      </c>
      <c r="AJ11" s="31">
        <f>SUM(D11,L11,T11,AB11)</f>
        <v/>
      </c>
      <c r="AK11" s="31">
        <f>SUM(E11,M11,U11,AC11)</f>
        <v/>
      </c>
      <c r="AL11" s="31">
        <f>SUM(F11,N11,V11,AD11)</f>
        <v/>
      </c>
      <c r="AM11" s="31">
        <f>SUM(G11,O11,W11,AE11)</f>
        <v/>
      </c>
      <c r="AN11" s="31">
        <f>SUM(H11,P11,X11,AF11)</f>
        <v/>
      </c>
      <c r="AO11" s="31">
        <f>SUM(I11,Q11,Y11,AG11)</f>
        <v/>
      </c>
      <c r="AP11" s="31">
        <f>SUM(J11,R11,Z11,AH11)</f>
        <v/>
      </c>
      <c r="AQ11" s="31">
        <f>SUM(AJ11:AP11)</f>
        <v/>
      </c>
    </row>
    <row r="12" ht="30" customFormat="1" customHeight="1" s="14">
      <c r="A12" s="21" t="inlineStr">
        <is>
          <t>10.</t>
        </is>
      </c>
      <c r="B12" s="22" t="inlineStr">
        <is>
          <t>Doç. Dr. Burcu ERSÖZ ALAN</t>
        </is>
      </c>
      <c r="C12" s="12">
        <f>COUNTIF(Başvuru!$J:$K, $B12)</f>
        <v/>
      </c>
      <c r="D12" s="12">
        <f>COUNTIFS(Başvuru!$G:$G, "Bireysel Araştırma", Başvuru!$L:$L, D$2, Başvuru!$J:$J, $B12) + COUNTIFS(Başvuru!$G:$G, "Bireysel Araştırma", Başvuru!$L:$L, D$2, Başvuru!$K:$K, $B12)</f>
        <v/>
      </c>
      <c r="E12" s="12">
        <f>COUNTIFS(Başvuru!$G:$G, "Bireysel Araştırma", Başvuru!$L:$L, E$2, Başvuru!$J:$J, $B12) + COUNTIFS(Başvuru!$G:$G, "Bireysel Araştırma", Başvuru!$L:$L, E$2, Başvuru!$K:$K, $B12)</f>
        <v/>
      </c>
      <c r="F12" s="12">
        <f>COUNTIFS(Başvuru!$G:$G, "Bireysel Araştırma", Başvuru!$L:$L, F$2, Başvuru!$J:$J, $B12) + COUNTIFS(Başvuru!$G:$G, "Bireysel Araştırma", Başvuru!$L:$L, F$2, Başvuru!$K:$K, $B12)</f>
        <v/>
      </c>
      <c r="G12" s="12">
        <f>COUNTIFS(Başvuru!$G:$G, "Bireysel Araştırma", Başvuru!$L:$L, G$2, Başvuru!$J:$J, $B12) + COUNTIFS(Başvuru!$G:$G, "Bireysel Araştırma", Başvuru!$L:$L, G$2, Başvuru!$K:$K, $B12)</f>
        <v/>
      </c>
      <c r="H12" s="12">
        <f>COUNTIFS(Başvuru!$G:$G, "Bireysel Araştırma", Başvuru!$L:$L, H$2, Başvuru!$J:$J, $B12) + COUNTIFS(Başvuru!$G:$G, "Bireysel Araştırma", Başvuru!$L:$L, H$2, Başvuru!$K:$K, $B12)</f>
        <v/>
      </c>
      <c r="I12" s="12">
        <f>COUNTIFS(Başvuru!$G:$G, "Bireysel Araştırma", Başvuru!$L:$L, I$2, Başvuru!$J:$J, $B12) + COUNTIFS(Başvuru!$G:$G, "Bireysel Araştırma", Başvuru!$L:$L, I$2, Başvuru!$K:$K, $B12)</f>
        <v/>
      </c>
      <c r="J12" s="12">
        <f>COUNTIFS(Başvuru!$G:$G, "Bireysel Araştırma", Başvuru!$L:$L, J$2, Başvuru!$J:$J, $B12) + COUNTIFS(Başvuru!$G:$G, "Bireysel Araştırma", Başvuru!$L:$L, J$2, Başvuru!$K:$K, $B12)</f>
        <v/>
      </c>
      <c r="K12" s="12">
        <f>SUM(D12:J12)</f>
        <v/>
      </c>
      <c r="L12" s="12">
        <f>COUNTIFS(Başvuru!$G:$G, "Yüksek Lisans Tezi", Başvuru!$L:$L, L$2, Başvuru!$J:$J, $B12) + COUNTIFS(Başvuru!$G:$G, "Yüksek Lisans Tezi", Başvuru!$L:$L, L$2, Başvuru!$K:$K, $B12)</f>
        <v/>
      </c>
      <c r="M12" s="12">
        <f>COUNTIFS(Başvuru!$G:$G, "Yüksek Lisans Tezi", Başvuru!$L:$L, M$2, Başvuru!$J:$J, $B12) + COUNTIFS(Başvuru!$G:$G, "Yüksek Lisans Tezi", Başvuru!$L:$L, M$2, Başvuru!$K:$K, $B12)</f>
        <v/>
      </c>
      <c r="N12" s="12">
        <f>COUNTIFS(Başvuru!$G:$G, "Yüksek Lisans Tezi", Başvuru!$L:$L, N$2, Başvuru!$J:$J, $B12) + COUNTIFS(Başvuru!$G:$G, "Yüksek Lisans Tezi", Başvuru!$L:$L, N$2, Başvuru!$K:$K, $B12)</f>
        <v/>
      </c>
      <c r="O12" s="12">
        <f>COUNTIFS(Başvuru!$G:$G, "Yüksek Lisans Tezi", Başvuru!$L:$L, O$2, Başvuru!$J:$J, $B12) + COUNTIFS(Başvuru!$G:$G, "Yüksek Lisans Tezi", Başvuru!$L:$L, O$2, Başvuru!$K:$K, $B12)</f>
        <v/>
      </c>
      <c r="P12" s="12">
        <f>COUNTIFS(Başvuru!$G:$G, "Yüksek Lisans Tezi", Başvuru!$L:$L, P$2, Başvuru!$J:$J, $B12) + COUNTIFS(Başvuru!$G:$G, "Yüksek Lisans Tezi", Başvuru!$L:$L, P$2, Başvuru!$K:$K, $B12)</f>
        <v/>
      </c>
      <c r="Q12" s="12">
        <f>COUNTIFS(Başvuru!$G:$G, "Yüksek Lisans Tezi", Başvuru!$L:$L, Q$2, Başvuru!$J:$J, $B12) + COUNTIFS(Başvuru!$G:$G, "Yüksek Lisans Tezi", Başvuru!$L:$L, Q$2, Başvuru!$K:$K, $B12)</f>
        <v/>
      </c>
      <c r="R12" s="12">
        <f>COUNTIFS(Başvuru!$G:$G, "Yüksek Lisans Tezi", Başvuru!$L:$L, R$2, Başvuru!$J:$J, $B12) + COUNTIFS(Başvuru!$G:$G, "Yüksek Lisans Tezi", Başvuru!$L:$L, R$2, Başvuru!$K:$K, $B12)</f>
        <v/>
      </c>
      <c r="S12" s="12">
        <f>SUM(L12:R12)</f>
        <v/>
      </c>
      <c r="T12" s="12">
        <f>COUNTIFS(Başvuru!$G:$G, "Doktora Tezi", Başvuru!$L:$L, T$2, Başvuru!$J:$J, $B12) + COUNTIFS(Başvuru!$G:$G, "Doktora Tezi", Başvuru!$L:$L, T$2, Başvuru!$K:$K, $B12)</f>
        <v/>
      </c>
      <c r="U12" s="12">
        <f>COUNTIFS(Başvuru!$G:$G, "Doktora Tezi", Başvuru!$L:$L, U$2, Başvuru!$J:$J, $B12) + COUNTIFS(Başvuru!$G:$G, "Doktora Tezi", Başvuru!$L:$L, U$2, Başvuru!$K:$K, $B12)</f>
        <v/>
      </c>
      <c r="V12" s="12">
        <f>COUNTIFS(Başvuru!$G:$G, "Doktora Tezi", Başvuru!$L:$L, V$2, Başvuru!$J:$J, $B12) + COUNTIFS(Başvuru!$G:$G, "Doktora Tezi", Başvuru!$L:$L, V$2, Başvuru!$K:$K, $B12)</f>
        <v/>
      </c>
      <c r="W12" s="12">
        <f>COUNTIFS(Başvuru!$G:$G, "Doktora Tezi", Başvuru!$L:$L, W$2, Başvuru!$J:$J, $B12) + COUNTIFS(Başvuru!$G:$G, "Doktora Tezi", Başvuru!$L:$L, W$2, Başvuru!$K:$K, $B12)</f>
        <v/>
      </c>
      <c r="X12" s="12">
        <f>COUNTIFS(Başvuru!$G:$G, "Doktora Tezi", Başvuru!$L:$L, X$2, Başvuru!$J:$J, $B12) + COUNTIFS(Başvuru!$G:$G, "Doktora Tezi", Başvuru!$L:$L, X$2, Başvuru!$K:$K, $B12)</f>
        <v/>
      </c>
      <c r="Y12" s="12">
        <f>COUNTIFS(Başvuru!$G:$G, "Doktora Tezi", Başvuru!$L:$L, Y$2, Başvuru!$J:$J, $B12) + COUNTIFS(Başvuru!$G:$G, "Doktora Tezi", Başvuru!$L:$L, Y$2, Başvuru!$K:$K, $B12)</f>
        <v/>
      </c>
      <c r="Z12" s="12">
        <f>COUNTIFS(Başvuru!$G:$G, "Doktora Tezi", Başvuru!$L:$L, Z$2, Başvuru!$J:$J, $B12) + COUNTIFS(Başvuru!$G:$G, "Doktora Tezi", Başvuru!$L:$L, Z$2, Başvuru!$K:$K, $B12)</f>
        <v/>
      </c>
      <c r="AA12" s="12">
        <f>SUM(T12:Z12)</f>
        <v/>
      </c>
      <c r="AB12" s="12">
        <f>COUNTIFS(Başvuru!$G:$G, "Uzmanlık Tezi", Başvuru!$L:$L, AB$2, Başvuru!$J:$J, $B12) + COUNTIFS(Başvuru!$G:$G, "Uzmanlık Tezi", Başvuru!$L:$L, AB$2, Başvuru!$K:$K, $B12)</f>
        <v/>
      </c>
      <c r="AC12" s="12">
        <f>COUNTIFS(Başvuru!$G:$G, "Uzmanlık Tezi", Başvuru!$L:$L, AC$2, Başvuru!$J:$J, $B12) + COUNTIFS(Başvuru!$G:$G, "Uzmanlık Tezi", Başvuru!$L:$L, AC$2, Başvuru!$K:$K, $B12)</f>
        <v/>
      </c>
      <c r="AD12" s="12">
        <f>COUNTIFS(Başvuru!$G:$G, "Uzmanlık Tezi", Başvuru!$L:$L, AD$2, Başvuru!$J:$J, $B12) + COUNTIFS(Başvuru!$G:$G, "Uzmanlık Tezi", Başvuru!$L:$L, AD$2, Başvuru!$K:$K, $B12)</f>
        <v/>
      </c>
      <c r="AE12" s="12">
        <f>COUNTIFS(Başvuru!$G:$G, "Uzmanlık Tezi", Başvuru!$L:$L, AE$2, Başvuru!$J:$J, $B12) + COUNTIFS(Başvuru!$G:$G, "Uzmanlık Tezi", Başvuru!$L:$L, AE$2, Başvuru!$K:$K, $B12)</f>
        <v/>
      </c>
      <c r="AF12" s="12">
        <f>COUNTIFS(Başvuru!$G:$G, "Uzmanlık Tezi", Başvuru!$L:$L, AF$2, Başvuru!$J:$J, $B12) + COUNTIFS(Başvuru!$G:$G, "Uzmanlık Tezi", Başvuru!$L:$L, AF$2, Başvuru!$K:$K, $B12)</f>
        <v/>
      </c>
      <c r="AG12" s="12">
        <f>COUNTIFS(Başvuru!$G:$G, "Uzmanlık Tezi", Başvuru!$L:$L, AG$2, Başvuru!$J:$J, $B12) + COUNTIFS(Başvuru!$G:$G, "Uzmanlık Tezi", Başvuru!$L:$L, AG$2, Başvuru!$K:$K, $B12)</f>
        <v/>
      </c>
      <c r="AH12" s="12">
        <f>COUNTIFS(Başvuru!$G:$G, "Uzmanlık Tezi", Başvuru!$L:$L, AH$2, Başvuru!$J:$J, $B12) + COUNTIFS(Başvuru!$G:$G, "Uzmanlık Tezi", Başvuru!$L:$L, AH$2, Başvuru!$K:$K, $B12)</f>
        <v/>
      </c>
      <c r="AI12" s="12">
        <f>SUM(AB12:AH12)</f>
        <v/>
      </c>
      <c r="AJ12" s="31">
        <f>SUM(D12,L12,T12,AB12)</f>
        <v/>
      </c>
      <c r="AK12" s="31">
        <f>SUM(E12,M12,U12,AC12)</f>
        <v/>
      </c>
      <c r="AL12" s="31">
        <f>SUM(F12,N12,V12,AD12)</f>
        <v/>
      </c>
      <c r="AM12" s="31">
        <f>SUM(G12,O12,W12,AE12)</f>
        <v/>
      </c>
      <c r="AN12" s="31">
        <f>SUM(H12,P12,X12,AF12)</f>
        <v/>
      </c>
      <c r="AO12" s="31">
        <f>SUM(I12,Q12,Y12,AG12)</f>
        <v/>
      </c>
      <c r="AP12" s="31">
        <f>SUM(J12,R12,Z12,AH12)</f>
        <v/>
      </c>
      <c r="AQ12" s="31">
        <f>SUM(AJ12:AP12)</f>
        <v/>
      </c>
    </row>
    <row r="13" ht="30" customFormat="1" customHeight="1" s="14">
      <c r="A13" s="21" t="inlineStr">
        <is>
          <t>11.</t>
        </is>
      </c>
      <c r="B13" s="22" t="inlineStr">
        <is>
          <t>Doç. Dr. Ekim GÜMELER</t>
        </is>
      </c>
      <c r="C13" s="12">
        <f>COUNTIF(Başvuru!$J:$K, $B13)</f>
        <v/>
      </c>
      <c r="D13" s="12">
        <f>COUNTIFS(Başvuru!$G:$G, "Bireysel Araştırma", Başvuru!$L:$L, D$2, Başvuru!$J:$J, $B13) + COUNTIFS(Başvuru!$G:$G, "Bireysel Araştırma", Başvuru!$L:$L, D$2, Başvuru!$K:$K, $B13)</f>
        <v/>
      </c>
      <c r="E13" s="12">
        <f>COUNTIFS(Başvuru!$G:$G, "Bireysel Araştırma", Başvuru!$L:$L, E$2, Başvuru!$J:$J, $B13) + COUNTIFS(Başvuru!$G:$G, "Bireysel Araştırma", Başvuru!$L:$L, E$2, Başvuru!$K:$K, $B13)</f>
        <v/>
      </c>
      <c r="F13" s="12">
        <f>COUNTIFS(Başvuru!$G:$G, "Bireysel Araştırma", Başvuru!$L:$L, F$2, Başvuru!$J:$J, $B13) + COUNTIFS(Başvuru!$G:$G, "Bireysel Araştırma", Başvuru!$L:$L, F$2, Başvuru!$K:$K, $B13)</f>
        <v/>
      </c>
      <c r="G13" s="12">
        <f>COUNTIFS(Başvuru!$G:$G, "Bireysel Araştırma", Başvuru!$L:$L, G$2, Başvuru!$J:$J, $B13) + COUNTIFS(Başvuru!$G:$G, "Bireysel Araştırma", Başvuru!$L:$L, G$2, Başvuru!$K:$K, $B13)</f>
        <v/>
      </c>
      <c r="H13" s="12">
        <f>COUNTIFS(Başvuru!$G:$G, "Bireysel Araştırma", Başvuru!$L:$L, H$2, Başvuru!$J:$J, $B13) + COUNTIFS(Başvuru!$G:$G, "Bireysel Araştırma", Başvuru!$L:$L, H$2, Başvuru!$K:$K, $B13)</f>
        <v/>
      </c>
      <c r="I13" s="12">
        <f>COUNTIFS(Başvuru!$G:$G, "Bireysel Araştırma", Başvuru!$L:$L, I$2, Başvuru!$J:$J, $B13) + COUNTIFS(Başvuru!$G:$G, "Bireysel Araştırma", Başvuru!$L:$L, I$2, Başvuru!$K:$K, $B13)</f>
        <v/>
      </c>
      <c r="J13" s="12">
        <f>COUNTIFS(Başvuru!$G:$G, "Bireysel Araştırma", Başvuru!$L:$L, J$2, Başvuru!$J:$J, $B13) + COUNTIFS(Başvuru!$G:$G, "Bireysel Araştırma", Başvuru!$L:$L, J$2, Başvuru!$K:$K, $B13)</f>
        <v/>
      </c>
      <c r="K13" s="12">
        <f>SUM(D13:J13)</f>
        <v/>
      </c>
      <c r="L13" s="12">
        <f>COUNTIFS(Başvuru!$G:$G, "Yüksek Lisans Tezi", Başvuru!$L:$L, L$2, Başvuru!$J:$J, $B13) + COUNTIFS(Başvuru!$G:$G, "Yüksek Lisans Tezi", Başvuru!$L:$L, L$2, Başvuru!$K:$K, $B13)</f>
        <v/>
      </c>
      <c r="M13" s="12">
        <f>COUNTIFS(Başvuru!$G:$G, "Yüksek Lisans Tezi", Başvuru!$L:$L, M$2, Başvuru!$J:$J, $B13) + COUNTIFS(Başvuru!$G:$G, "Yüksek Lisans Tezi", Başvuru!$L:$L, M$2, Başvuru!$K:$K, $B13)</f>
        <v/>
      </c>
      <c r="N13" s="12">
        <f>COUNTIFS(Başvuru!$G:$G, "Yüksek Lisans Tezi", Başvuru!$L:$L, N$2, Başvuru!$J:$J, $B13) + COUNTIFS(Başvuru!$G:$G, "Yüksek Lisans Tezi", Başvuru!$L:$L, N$2, Başvuru!$K:$K, $B13)</f>
        <v/>
      </c>
      <c r="O13" s="12">
        <f>COUNTIFS(Başvuru!$G:$G, "Yüksek Lisans Tezi", Başvuru!$L:$L, O$2, Başvuru!$J:$J, $B13) + COUNTIFS(Başvuru!$G:$G, "Yüksek Lisans Tezi", Başvuru!$L:$L, O$2, Başvuru!$K:$K, $B13)</f>
        <v/>
      </c>
      <c r="P13" s="12">
        <f>COUNTIFS(Başvuru!$G:$G, "Yüksek Lisans Tezi", Başvuru!$L:$L, P$2, Başvuru!$J:$J, $B13) + COUNTIFS(Başvuru!$G:$G, "Yüksek Lisans Tezi", Başvuru!$L:$L, P$2, Başvuru!$K:$K, $B13)</f>
        <v/>
      </c>
      <c r="Q13" s="12">
        <f>COUNTIFS(Başvuru!$G:$G, "Yüksek Lisans Tezi", Başvuru!$L:$L, Q$2, Başvuru!$J:$J, $B13) + COUNTIFS(Başvuru!$G:$G, "Yüksek Lisans Tezi", Başvuru!$L:$L, Q$2, Başvuru!$K:$K, $B13)</f>
        <v/>
      </c>
      <c r="R13" s="12">
        <f>COUNTIFS(Başvuru!$G:$G, "Yüksek Lisans Tezi", Başvuru!$L:$L, R$2, Başvuru!$J:$J, $B13) + COUNTIFS(Başvuru!$G:$G, "Yüksek Lisans Tezi", Başvuru!$L:$L, R$2, Başvuru!$K:$K, $B13)</f>
        <v/>
      </c>
      <c r="S13" s="12">
        <f>SUM(L13:R13)</f>
        <v/>
      </c>
      <c r="T13" s="12">
        <f>COUNTIFS(Başvuru!$G:$G, "Doktora Tezi", Başvuru!$L:$L, T$2, Başvuru!$J:$J, $B13) + COUNTIFS(Başvuru!$G:$G, "Doktora Tezi", Başvuru!$L:$L, T$2, Başvuru!$K:$K, $B13)</f>
        <v/>
      </c>
      <c r="U13" s="12">
        <f>COUNTIFS(Başvuru!$G:$G, "Doktora Tezi", Başvuru!$L:$L, U$2, Başvuru!$J:$J, $B13) + COUNTIFS(Başvuru!$G:$G, "Doktora Tezi", Başvuru!$L:$L, U$2, Başvuru!$K:$K, $B13)</f>
        <v/>
      </c>
      <c r="V13" s="12">
        <f>COUNTIFS(Başvuru!$G:$G, "Doktora Tezi", Başvuru!$L:$L, V$2, Başvuru!$J:$J, $B13) + COUNTIFS(Başvuru!$G:$G, "Doktora Tezi", Başvuru!$L:$L, V$2, Başvuru!$K:$K, $B13)</f>
        <v/>
      </c>
      <c r="W13" s="12">
        <f>COUNTIFS(Başvuru!$G:$G, "Doktora Tezi", Başvuru!$L:$L, W$2, Başvuru!$J:$J, $B13) + COUNTIFS(Başvuru!$G:$G, "Doktora Tezi", Başvuru!$L:$L, W$2, Başvuru!$K:$K, $B13)</f>
        <v/>
      </c>
      <c r="X13" s="12">
        <f>COUNTIFS(Başvuru!$G:$G, "Doktora Tezi", Başvuru!$L:$L, X$2, Başvuru!$J:$J, $B13) + COUNTIFS(Başvuru!$G:$G, "Doktora Tezi", Başvuru!$L:$L, X$2, Başvuru!$K:$K, $B13)</f>
        <v/>
      </c>
      <c r="Y13" s="12">
        <f>COUNTIFS(Başvuru!$G:$G, "Doktora Tezi", Başvuru!$L:$L, Y$2, Başvuru!$J:$J, $B13) + COUNTIFS(Başvuru!$G:$G, "Doktora Tezi", Başvuru!$L:$L, Y$2, Başvuru!$K:$K, $B13)</f>
        <v/>
      </c>
      <c r="Z13" s="12">
        <f>COUNTIFS(Başvuru!$G:$G, "Doktora Tezi", Başvuru!$L:$L, Z$2, Başvuru!$J:$J, $B13) + COUNTIFS(Başvuru!$G:$G, "Doktora Tezi", Başvuru!$L:$L, Z$2, Başvuru!$K:$K, $B13)</f>
        <v/>
      </c>
      <c r="AA13" s="12">
        <f>SUM(T13:Z13)</f>
        <v/>
      </c>
      <c r="AB13" s="12">
        <f>COUNTIFS(Başvuru!$G:$G, "Uzmanlık Tezi", Başvuru!$L:$L, AB$2, Başvuru!$J:$J, $B13) + COUNTIFS(Başvuru!$G:$G, "Uzmanlık Tezi", Başvuru!$L:$L, AB$2, Başvuru!$K:$K, $B13)</f>
        <v/>
      </c>
      <c r="AC13" s="12">
        <f>COUNTIFS(Başvuru!$G:$G, "Uzmanlık Tezi", Başvuru!$L:$L, AC$2, Başvuru!$J:$J, $B13) + COUNTIFS(Başvuru!$G:$G, "Uzmanlık Tezi", Başvuru!$L:$L, AC$2, Başvuru!$K:$K, $B13)</f>
        <v/>
      </c>
      <c r="AD13" s="12">
        <f>COUNTIFS(Başvuru!$G:$G, "Uzmanlık Tezi", Başvuru!$L:$L, AD$2, Başvuru!$J:$J, $B13) + COUNTIFS(Başvuru!$G:$G, "Uzmanlık Tezi", Başvuru!$L:$L, AD$2, Başvuru!$K:$K, $B13)</f>
        <v/>
      </c>
      <c r="AE13" s="12">
        <f>COUNTIFS(Başvuru!$G:$G, "Uzmanlık Tezi", Başvuru!$L:$L, AE$2, Başvuru!$J:$J, $B13) + COUNTIFS(Başvuru!$G:$G, "Uzmanlık Tezi", Başvuru!$L:$L, AE$2, Başvuru!$K:$K, $B13)</f>
        <v/>
      </c>
      <c r="AF13" s="12">
        <f>COUNTIFS(Başvuru!$G:$G, "Uzmanlık Tezi", Başvuru!$L:$L, AF$2, Başvuru!$J:$J, $B13) + COUNTIFS(Başvuru!$G:$G, "Uzmanlık Tezi", Başvuru!$L:$L, AF$2, Başvuru!$K:$K, $B13)</f>
        <v/>
      </c>
      <c r="AG13" s="12">
        <f>COUNTIFS(Başvuru!$G:$G, "Uzmanlık Tezi", Başvuru!$L:$L, AG$2, Başvuru!$J:$J, $B13) + COUNTIFS(Başvuru!$G:$G, "Uzmanlık Tezi", Başvuru!$L:$L, AG$2, Başvuru!$K:$K, $B13)</f>
        <v/>
      </c>
      <c r="AH13" s="12">
        <f>COUNTIFS(Başvuru!$G:$G, "Uzmanlık Tezi", Başvuru!$L:$L, AH$2, Başvuru!$J:$J, $B13) + COUNTIFS(Başvuru!$G:$G, "Uzmanlık Tezi", Başvuru!$L:$L, AH$2, Başvuru!$K:$K, $B13)</f>
        <v/>
      </c>
      <c r="AI13" s="12">
        <f>SUM(AB13:AH13)</f>
        <v/>
      </c>
      <c r="AJ13" s="31">
        <f>SUM(D13,L13,T13,AB13)</f>
        <v/>
      </c>
      <c r="AK13" s="31">
        <f>SUM(E13,M13,U13,AC13)</f>
        <v/>
      </c>
      <c r="AL13" s="31">
        <f>SUM(F13,N13,V13,AD13)</f>
        <v/>
      </c>
      <c r="AM13" s="31">
        <f>SUM(G13,O13,W13,AE13)</f>
        <v/>
      </c>
      <c r="AN13" s="31">
        <f>SUM(H13,P13,X13,AF13)</f>
        <v/>
      </c>
      <c r="AO13" s="31">
        <f>SUM(I13,Q13,Y13,AG13)</f>
        <v/>
      </c>
      <c r="AP13" s="31">
        <f>SUM(J13,R13,Z13,AH13)</f>
        <v/>
      </c>
      <c r="AQ13" s="31">
        <f>SUM(AJ13:AP13)</f>
        <v/>
      </c>
    </row>
    <row r="14" ht="30" customFormat="1" customHeight="1" s="14">
      <c r="A14" s="21" t="inlineStr">
        <is>
          <t>12.</t>
        </is>
      </c>
      <c r="B14" s="22" t="inlineStr">
        <is>
          <t>Dr. Öğr. Üyesi Müge DEMİR</t>
        </is>
      </c>
      <c r="C14" s="12">
        <f>COUNTIF(Başvuru!$J:$K, $B14)</f>
        <v/>
      </c>
      <c r="D14" s="12">
        <f>COUNTIFS(Başvuru!$G:$G, "Bireysel Araştırma", Başvuru!$L:$L, D$2, Başvuru!$J:$J, $B14) + COUNTIFS(Başvuru!$G:$G, "Bireysel Araştırma", Başvuru!$L:$L, D$2, Başvuru!$K:$K, $B14)</f>
        <v/>
      </c>
      <c r="E14" s="12">
        <f>COUNTIFS(Başvuru!$G:$G, "Bireysel Araştırma", Başvuru!$L:$L, E$2, Başvuru!$J:$J, $B14) + COUNTIFS(Başvuru!$G:$G, "Bireysel Araştırma", Başvuru!$L:$L, E$2, Başvuru!$K:$K, $B14)</f>
        <v/>
      </c>
      <c r="F14" s="12">
        <f>COUNTIFS(Başvuru!$G:$G, "Bireysel Araştırma", Başvuru!$L:$L, F$2, Başvuru!$J:$J, $B14) + COUNTIFS(Başvuru!$G:$G, "Bireysel Araştırma", Başvuru!$L:$L, F$2, Başvuru!$K:$K, $B14)</f>
        <v/>
      </c>
      <c r="G14" s="12">
        <f>COUNTIFS(Başvuru!$G:$G, "Bireysel Araştırma", Başvuru!$L:$L, G$2, Başvuru!$J:$J, $B14) + COUNTIFS(Başvuru!$G:$G, "Bireysel Araştırma", Başvuru!$L:$L, G$2, Başvuru!$K:$K, $B14)</f>
        <v/>
      </c>
      <c r="H14" s="12">
        <f>COUNTIFS(Başvuru!$G:$G, "Bireysel Araştırma", Başvuru!$L:$L, H$2, Başvuru!$J:$J, $B14) + COUNTIFS(Başvuru!$G:$G, "Bireysel Araştırma", Başvuru!$L:$L, H$2, Başvuru!$K:$K, $B14)</f>
        <v/>
      </c>
      <c r="I14" s="12">
        <f>COUNTIFS(Başvuru!$G:$G, "Bireysel Araştırma", Başvuru!$L:$L, I$2, Başvuru!$J:$J, $B14) + COUNTIFS(Başvuru!$G:$G, "Bireysel Araştırma", Başvuru!$L:$L, I$2, Başvuru!$K:$K, $B14)</f>
        <v/>
      </c>
      <c r="J14" s="12">
        <f>COUNTIFS(Başvuru!$G:$G, "Bireysel Araştırma", Başvuru!$L:$L, J$2, Başvuru!$J:$J, $B14) + COUNTIFS(Başvuru!$G:$G, "Bireysel Araştırma", Başvuru!$L:$L, J$2, Başvuru!$K:$K, $B14)</f>
        <v/>
      </c>
      <c r="K14" s="12">
        <f>SUM(D14:J14)</f>
        <v/>
      </c>
      <c r="L14" s="12">
        <f>COUNTIFS(Başvuru!$G:$G, "Yüksek Lisans Tezi", Başvuru!$L:$L, L$2, Başvuru!$J:$J, $B14) + COUNTIFS(Başvuru!$G:$G, "Yüksek Lisans Tezi", Başvuru!$L:$L, L$2, Başvuru!$K:$K, $B14)</f>
        <v/>
      </c>
      <c r="M14" s="12">
        <f>COUNTIFS(Başvuru!$G:$G, "Yüksek Lisans Tezi", Başvuru!$L:$L, M$2, Başvuru!$J:$J, $B14) + COUNTIFS(Başvuru!$G:$G, "Yüksek Lisans Tezi", Başvuru!$L:$L, M$2, Başvuru!$K:$K, $B14)</f>
        <v/>
      </c>
      <c r="N14" s="12">
        <f>COUNTIFS(Başvuru!$G:$G, "Yüksek Lisans Tezi", Başvuru!$L:$L, N$2, Başvuru!$J:$J, $B14) + COUNTIFS(Başvuru!$G:$G, "Yüksek Lisans Tezi", Başvuru!$L:$L, N$2, Başvuru!$K:$K, $B14)</f>
        <v/>
      </c>
      <c r="O14" s="12">
        <f>COUNTIFS(Başvuru!$G:$G, "Yüksek Lisans Tezi", Başvuru!$L:$L, O$2, Başvuru!$J:$J, $B14) + COUNTIFS(Başvuru!$G:$G, "Yüksek Lisans Tezi", Başvuru!$L:$L, O$2, Başvuru!$K:$K, $B14)</f>
        <v/>
      </c>
      <c r="P14" s="12">
        <f>COUNTIFS(Başvuru!$G:$G, "Yüksek Lisans Tezi", Başvuru!$L:$L, P$2, Başvuru!$J:$J, $B14) + COUNTIFS(Başvuru!$G:$G, "Yüksek Lisans Tezi", Başvuru!$L:$L, P$2, Başvuru!$K:$K, $B14)</f>
        <v/>
      </c>
      <c r="Q14" s="12">
        <f>COUNTIFS(Başvuru!$G:$G, "Yüksek Lisans Tezi", Başvuru!$L:$L, Q$2, Başvuru!$J:$J, $B14) + COUNTIFS(Başvuru!$G:$G, "Yüksek Lisans Tezi", Başvuru!$L:$L, Q$2, Başvuru!$K:$K, $B14)</f>
        <v/>
      </c>
      <c r="R14" s="12">
        <f>COUNTIFS(Başvuru!$G:$G, "Yüksek Lisans Tezi", Başvuru!$L:$L, R$2, Başvuru!$J:$J, $B14) + COUNTIFS(Başvuru!$G:$G, "Yüksek Lisans Tezi", Başvuru!$L:$L, R$2, Başvuru!$K:$K, $B14)</f>
        <v/>
      </c>
      <c r="S14" s="12">
        <f>SUM(L14:R14)</f>
        <v/>
      </c>
      <c r="T14" s="12">
        <f>COUNTIFS(Başvuru!$G:$G, "Doktora Tezi", Başvuru!$L:$L, T$2, Başvuru!$J:$J, $B14) + COUNTIFS(Başvuru!$G:$G, "Doktora Tezi", Başvuru!$L:$L, T$2, Başvuru!$K:$K, $B14)</f>
        <v/>
      </c>
      <c r="U14" s="12">
        <f>COUNTIFS(Başvuru!$G:$G, "Doktora Tezi", Başvuru!$L:$L, U$2, Başvuru!$J:$J, $B14) + COUNTIFS(Başvuru!$G:$G, "Doktora Tezi", Başvuru!$L:$L, U$2, Başvuru!$K:$K, $B14)</f>
        <v/>
      </c>
      <c r="V14" s="12">
        <f>COUNTIFS(Başvuru!$G:$G, "Doktora Tezi", Başvuru!$L:$L, V$2, Başvuru!$J:$J, $B14) + COUNTIFS(Başvuru!$G:$G, "Doktora Tezi", Başvuru!$L:$L, V$2, Başvuru!$K:$K, $B14)</f>
        <v/>
      </c>
      <c r="W14" s="12">
        <f>COUNTIFS(Başvuru!$G:$G, "Doktora Tezi", Başvuru!$L:$L, W$2, Başvuru!$J:$J, $B14) + COUNTIFS(Başvuru!$G:$G, "Doktora Tezi", Başvuru!$L:$L, W$2, Başvuru!$K:$K, $B14)</f>
        <v/>
      </c>
      <c r="X14" s="12">
        <f>COUNTIFS(Başvuru!$G:$G, "Doktora Tezi", Başvuru!$L:$L, X$2, Başvuru!$J:$J, $B14) + COUNTIFS(Başvuru!$G:$G, "Doktora Tezi", Başvuru!$L:$L, X$2, Başvuru!$K:$K, $B14)</f>
        <v/>
      </c>
      <c r="Y14" s="12">
        <f>COUNTIFS(Başvuru!$G:$G, "Doktora Tezi", Başvuru!$L:$L, Y$2, Başvuru!$J:$J, $B14) + COUNTIFS(Başvuru!$G:$G, "Doktora Tezi", Başvuru!$L:$L, Y$2, Başvuru!$K:$K, $B14)</f>
        <v/>
      </c>
      <c r="Z14" s="12">
        <f>COUNTIFS(Başvuru!$G:$G, "Doktora Tezi", Başvuru!$L:$L, Z$2, Başvuru!$J:$J, $B14) + COUNTIFS(Başvuru!$G:$G, "Doktora Tezi", Başvuru!$L:$L, Z$2, Başvuru!$K:$K, $B14)</f>
        <v/>
      </c>
      <c r="AA14" s="12">
        <f>SUM(T14:Z14)</f>
        <v/>
      </c>
      <c r="AB14" s="12">
        <f>COUNTIFS(Başvuru!$G:$G, "Uzmanlık Tezi", Başvuru!$L:$L, AB$2, Başvuru!$J:$J, $B14) + COUNTIFS(Başvuru!$G:$G, "Uzmanlık Tezi", Başvuru!$L:$L, AB$2, Başvuru!$K:$K, $B14)</f>
        <v/>
      </c>
      <c r="AC14" s="12">
        <f>COUNTIFS(Başvuru!$G:$G, "Uzmanlık Tezi", Başvuru!$L:$L, AC$2, Başvuru!$J:$J, $B14) + COUNTIFS(Başvuru!$G:$G, "Uzmanlık Tezi", Başvuru!$L:$L, AC$2, Başvuru!$K:$K, $B14)</f>
        <v/>
      </c>
      <c r="AD14" s="12">
        <f>COUNTIFS(Başvuru!$G:$G, "Uzmanlık Tezi", Başvuru!$L:$L, AD$2, Başvuru!$J:$J, $B14) + COUNTIFS(Başvuru!$G:$G, "Uzmanlık Tezi", Başvuru!$L:$L, AD$2, Başvuru!$K:$K, $B14)</f>
        <v/>
      </c>
      <c r="AE14" s="12">
        <f>COUNTIFS(Başvuru!$G:$G, "Uzmanlık Tezi", Başvuru!$L:$L, AE$2, Başvuru!$J:$J, $B14) + COUNTIFS(Başvuru!$G:$G, "Uzmanlık Tezi", Başvuru!$L:$L, AE$2, Başvuru!$K:$K, $B14)</f>
        <v/>
      </c>
      <c r="AF14" s="12">
        <f>COUNTIFS(Başvuru!$G:$G, "Uzmanlık Tezi", Başvuru!$L:$L, AF$2, Başvuru!$J:$J, $B14) + COUNTIFS(Başvuru!$G:$G, "Uzmanlık Tezi", Başvuru!$L:$L, AF$2, Başvuru!$K:$K, $B14)</f>
        <v/>
      </c>
      <c r="AG14" s="12">
        <f>COUNTIFS(Başvuru!$G:$G, "Uzmanlık Tezi", Başvuru!$L:$L, AG$2, Başvuru!$J:$J, $B14) + COUNTIFS(Başvuru!$G:$G, "Uzmanlık Tezi", Başvuru!$L:$L, AG$2, Başvuru!$K:$K, $B14)</f>
        <v/>
      </c>
      <c r="AH14" s="12">
        <f>COUNTIFS(Başvuru!$G:$G, "Uzmanlık Tezi", Başvuru!$L:$L, AH$2, Başvuru!$J:$J, $B14) + COUNTIFS(Başvuru!$G:$G, "Uzmanlık Tezi", Başvuru!$L:$L, AH$2, Başvuru!$K:$K, $B14)</f>
        <v/>
      </c>
      <c r="AI14" s="12">
        <f>SUM(AB14:AH14)</f>
        <v/>
      </c>
      <c r="AJ14" s="31">
        <f>SUM(D14,L14,T14,AB14)</f>
        <v/>
      </c>
      <c r="AK14" s="31">
        <f>SUM(E14,M14,U14,AC14)</f>
        <v/>
      </c>
      <c r="AL14" s="31">
        <f>SUM(F14,N14,V14,AD14)</f>
        <v/>
      </c>
      <c r="AM14" s="31">
        <f>SUM(G14,O14,W14,AE14)</f>
        <v/>
      </c>
      <c r="AN14" s="31">
        <f>SUM(H14,P14,X14,AF14)</f>
        <v/>
      </c>
      <c r="AO14" s="31">
        <f>SUM(I14,Q14,Y14,AG14)</f>
        <v/>
      </c>
      <c r="AP14" s="31">
        <f>SUM(J14,R14,Z14,AH14)</f>
        <v/>
      </c>
      <c r="AQ14" s="31">
        <f>SUM(AJ14:AP14)</f>
        <v/>
      </c>
    </row>
    <row r="15" ht="30" customFormat="1" customHeight="1" s="14">
      <c r="A15" s="205" t="inlineStr">
        <is>
          <t>TOPLAM</t>
        </is>
      </c>
      <c r="B15" s="222" t="n"/>
      <c r="C15" s="209">
        <f>SUM(C3:C14)</f>
        <v/>
      </c>
      <c r="D15" s="209">
        <f>SUM(D3:D14)</f>
        <v/>
      </c>
      <c r="E15" s="209">
        <f>SUM(E3:E14)</f>
        <v/>
      </c>
      <c r="F15" s="209">
        <f>SUM(F3:F14)</f>
        <v/>
      </c>
      <c r="G15" s="209">
        <f>SUM(G3:G14)</f>
        <v/>
      </c>
      <c r="H15" s="209">
        <f>SUM(H3:H14)</f>
        <v/>
      </c>
      <c r="I15" s="209">
        <f>SUM(I3:I14)</f>
        <v/>
      </c>
      <c r="J15" s="209">
        <f>SUM(J3:J14)</f>
        <v/>
      </c>
      <c r="K15" s="206">
        <f>SUM(K3:K14)</f>
        <v/>
      </c>
      <c r="L15" s="209">
        <f>SUM(L3:L14)</f>
        <v/>
      </c>
      <c r="M15" s="209">
        <f>SUM(M3:M14)</f>
        <v/>
      </c>
      <c r="N15" s="209">
        <f>SUM(N3:N14)</f>
        <v/>
      </c>
      <c r="O15" s="209">
        <f>SUM(O3:O14)</f>
        <v/>
      </c>
      <c r="P15" s="209">
        <f>SUM(P3:P14)</f>
        <v/>
      </c>
      <c r="Q15" s="209">
        <f>SUM(Q3:Q14)</f>
        <v/>
      </c>
      <c r="R15" s="209">
        <f>SUM(R3:R14)</f>
        <v/>
      </c>
      <c r="S15" s="206">
        <f>SUM(S3:S14)</f>
        <v/>
      </c>
      <c r="T15" s="209">
        <f>SUM(T3:T14)</f>
        <v/>
      </c>
      <c r="U15" s="209">
        <f>SUM(U3:U14)</f>
        <v/>
      </c>
      <c r="V15" s="209">
        <f>SUM(V3:V14)</f>
        <v/>
      </c>
      <c r="W15" s="209">
        <f>SUM(W3:W14)</f>
        <v/>
      </c>
      <c r="X15" s="209">
        <f>SUM(X3:X14)</f>
        <v/>
      </c>
      <c r="Y15" s="209">
        <f>SUM(Y3:Y14)</f>
        <v/>
      </c>
      <c r="Z15" s="209">
        <f>SUM(Z3:Z14)</f>
        <v/>
      </c>
      <c r="AA15" s="206">
        <f>SUM(AA3:AA14)</f>
        <v/>
      </c>
      <c r="AB15" s="209">
        <f>SUM(AB3:AB14)</f>
        <v/>
      </c>
      <c r="AC15" s="209">
        <f>SUM(AC3:AC14)</f>
        <v/>
      </c>
      <c r="AD15" s="209">
        <f>SUM(AD3:AD14)</f>
        <v/>
      </c>
      <c r="AE15" s="209">
        <f>SUM(AE3:AE14)</f>
        <v/>
      </c>
      <c r="AF15" s="209">
        <f>SUM(AF3:AF14)</f>
        <v/>
      </c>
      <c r="AG15" s="209">
        <f>SUM(AG3:AG14)</f>
        <v/>
      </c>
      <c r="AH15" s="209">
        <f>SUM(AH3:AH14)</f>
        <v/>
      </c>
      <c r="AI15" s="206">
        <f>SUM(AI3:AI14)</f>
        <v/>
      </c>
      <c r="AJ15" s="50">
        <f>SUM(AJ3:AJ14)</f>
        <v/>
      </c>
      <c r="AK15" s="50">
        <f>SUM(AK3:AK14)</f>
        <v/>
      </c>
      <c r="AL15" s="50">
        <f>SUM(AL3:AL14)</f>
        <v/>
      </c>
      <c r="AM15" s="50">
        <f>SUM(AM3:AM14)</f>
        <v/>
      </c>
      <c r="AN15" s="50">
        <f>SUM(AN3:AN14)</f>
        <v/>
      </c>
      <c r="AO15" s="50">
        <f>SUM(AO3:AO14)</f>
        <v/>
      </c>
      <c r="AP15" s="50">
        <f>SUM(AP3:AP14)</f>
        <v/>
      </c>
      <c r="AQ15" s="50">
        <f>SUM(AJ15:AP15)</f>
        <v/>
      </c>
    </row>
    <row r="16" ht="45.75" customFormat="1" customHeight="1" s="14">
      <c r="A16" s="24" t="n"/>
      <c r="C16" s="35">
        <f>C15/2</f>
        <v/>
      </c>
      <c r="D16" s="208">
        <f>SUM(D15:J15)</f>
        <v/>
      </c>
      <c r="L16" s="208">
        <f>SUM(L15:R15)</f>
        <v/>
      </c>
      <c r="T16" s="208">
        <f>SUM(T15:Z15)</f>
        <v/>
      </c>
      <c r="AB16" s="208">
        <f>SUM(AB15:AH15)</f>
        <v/>
      </c>
    </row>
    <row r="17" ht="45.75" customHeight="1" s="221">
      <c r="D17" s="211">
        <f>SUM(D16:AH16)</f>
        <v/>
      </c>
      <c r="AJ17" s="198">
        <f>C15-D17</f>
        <v/>
      </c>
      <c r="AN17" s="198">
        <f>C15-AQ15</f>
        <v/>
      </c>
    </row>
    <row r="21" ht="30" customHeight="1" s="221">
      <c r="A21" s="16" t="inlineStr">
        <is>
          <t>S.No</t>
        </is>
      </c>
      <c r="B21" s="209" t="inlineStr">
        <is>
          <t>Nitelik</t>
        </is>
      </c>
      <c r="C21" s="209" t="inlineStr">
        <is>
          <t>Dosya Sayısı</t>
        </is>
      </c>
    </row>
    <row r="22" ht="30" customHeight="1" s="221">
      <c r="A22" s="17" t="inlineStr">
        <is>
          <t>1.</t>
        </is>
      </c>
      <c r="B22" s="22" t="inlineStr">
        <is>
          <t>Bireysel Araştırma</t>
        </is>
      </c>
      <c r="C22" s="23">
        <f>COUNTIF(Başvuru!G2:G1223,"Bireysel Araştırma")</f>
        <v/>
      </c>
    </row>
    <row r="23" ht="30" customHeight="1" s="221">
      <c r="A23" s="18" t="inlineStr">
        <is>
          <t>2.</t>
        </is>
      </c>
      <c r="B23" s="25" t="inlineStr">
        <is>
          <t>Yüksek Lisans Tezi</t>
        </is>
      </c>
      <c r="C23" s="26">
        <f>COUNTIF(Başvuru!G2:G1223,"Yüksek Lisans Tezi")</f>
        <v/>
      </c>
    </row>
    <row r="24" ht="30" customHeight="1" s="221">
      <c r="A24" s="17" t="inlineStr">
        <is>
          <t>3.</t>
        </is>
      </c>
      <c r="B24" s="22" t="inlineStr">
        <is>
          <t>Doktora Tezi</t>
        </is>
      </c>
      <c r="C24" s="23">
        <f>COUNTIF(Başvuru!G2:G1223,"Doktora Tezi")</f>
        <v/>
      </c>
    </row>
    <row r="25" ht="30" customHeight="1" s="221">
      <c r="A25" s="18" t="inlineStr">
        <is>
          <t>4.</t>
        </is>
      </c>
      <c r="B25" s="25" t="inlineStr">
        <is>
          <t>Uzmanlık Tezi</t>
        </is>
      </c>
      <c r="C25" s="26">
        <f>COUNTIF(Başvuru!G2:G1223,"Uzmanlık Tezi")</f>
        <v/>
      </c>
    </row>
    <row r="26" ht="30" customHeight="1" s="221">
      <c r="A26" s="223" t="inlineStr">
        <is>
          <t>TOPLAM</t>
        </is>
      </c>
      <c r="B26" s="222" t="n"/>
      <c r="C26" s="209">
        <f>SUM(C22:C25)</f>
        <v/>
      </c>
    </row>
    <row r="27" ht="30" customHeight="1" s="221">
      <c r="B27" s="14" t="n"/>
      <c r="C27" s="14" t="n"/>
    </row>
    <row r="28" ht="30" customHeight="1" s="221">
      <c r="A28" s="16" t="inlineStr">
        <is>
          <t>S.No</t>
        </is>
      </c>
      <c r="B28" s="209" t="inlineStr">
        <is>
          <t>Karar</t>
        </is>
      </c>
      <c r="C28" s="209" t="inlineStr">
        <is>
          <t>Dosya Sayısı</t>
        </is>
      </c>
    </row>
    <row r="29" ht="30" customHeight="1" s="221">
      <c r="A29" s="19" t="inlineStr">
        <is>
          <t>1.</t>
        </is>
      </c>
      <c r="B29" s="27" t="inlineStr">
        <is>
          <t>Onay</t>
        </is>
      </c>
      <c r="C29" s="23">
        <f>COUNTIF(Başvuru!L2:L1223,"ONAY")</f>
        <v/>
      </c>
    </row>
    <row r="30" ht="30" customHeight="1" s="221">
      <c r="A30" s="19" t="inlineStr">
        <is>
          <t>2.</t>
        </is>
      </c>
      <c r="B30" s="27" t="inlineStr">
        <is>
          <t>Düzeltme</t>
        </is>
      </c>
      <c r="C30" s="23">
        <f>COUNTIF(Başvuru!L2:L1223,"DÜZELTME")</f>
        <v/>
      </c>
    </row>
    <row r="31" ht="30" customHeight="1" s="221">
      <c r="A31" s="19" t="inlineStr">
        <is>
          <t>3.</t>
        </is>
      </c>
      <c r="B31" s="27" t="inlineStr">
        <is>
          <t>KAEK</t>
        </is>
      </c>
      <c r="C31" s="23">
        <f>COUNTIF(Başvuru!L2:L1223,"KAEK")</f>
        <v/>
      </c>
    </row>
    <row r="32" ht="30" customHeight="1" s="221">
      <c r="A32" s="19" t="inlineStr">
        <is>
          <t>4.</t>
        </is>
      </c>
      <c r="B32" s="27" t="inlineStr">
        <is>
          <t>Görüş</t>
        </is>
      </c>
      <c r="C32" s="23">
        <f>COUNTIF(Başvuru!L2:L1223,"GÖRÜŞ")</f>
        <v/>
      </c>
    </row>
    <row r="33" ht="30" customHeight="1" s="221">
      <c r="A33" s="19" t="inlineStr">
        <is>
          <t>5.</t>
        </is>
      </c>
      <c r="B33" s="27" t="inlineStr">
        <is>
          <t>Ret</t>
        </is>
      </c>
      <c r="C33" s="23">
        <f>COUNTIF(Başvuru!L2:L1223,"RET")</f>
        <v/>
      </c>
    </row>
    <row r="34" ht="30" customHeight="1" s="221">
      <c r="A34" s="19" t="inlineStr">
        <is>
          <t>6.</t>
        </is>
      </c>
      <c r="B34" s="27" t="inlineStr">
        <is>
          <t>Kapsam Dışı</t>
        </is>
      </c>
      <c r="C34" s="23">
        <f>COUNTIF(Başvuru!L2:L1223,"KAPSAM DIŞI")</f>
        <v/>
      </c>
    </row>
    <row r="35" ht="30" customHeight="1" s="221">
      <c r="A35" s="19" t="inlineStr">
        <is>
          <t>7.</t>
        </is>
      </c>
      <c r="B35" s="27" t="inlineStr">
        <is>
          <t>Geri Çekildi</t>
        </is>
      </c>
      <c r="C35" s="23">
        <f>COUNTIF(Başvuru!L2:L1223,"GERİ ÇEKİLDİ")</f>
        <v/>
      </c>
    </row>
    <row r="36" ht="30" customHeight="1" s="221">
      <c r="A36" s="223" t="inlineStr">
        <is>
          <t>TOPLAM</t>
        </is>
      </c>
      <c r="B36" s="222" t="n"/>
      <c r="C36" s="209">
        <f>SUM(C29:C35)</f>
        <v/>
      </c>
    </row>
    <row r="40" ht="113.25" customHeight="1" s="221">
      <c r="B40" s="47" t="inlineStr">
        <is>
          <t>Gündem Sayıları</t>
        </is>
      </c>
      <c r="C40" s="47" t="inlineStr">
        <is>
          <t>Başvuru</t>
        </is>
      </c>
      <c r="D40" s="47" t="inlineStr">
        <is>
          <t>Düzeltme</t>
        </is>
      </c>
      <c r="E40" s="47" t="inlineStr">
        <is>
          <t>Dilekçe</t>
        </is>
      </c>
      <c r="F40" s="47" t="inlineStr">
        <is>
          <t>Toplam</t>
        </is>
      </c>
    </row>
    <row r="41" ht="20.25" customHeight="1" s="221">
      <c r="B41" s="46" t="n">
        <v>45670</v>
      </c>
      <c r="C41" s="45" t="n">
        <v>19</v>
      </c>
      <c r="D41" s="45" t="n">
        <v>43</v>
      </c>
      <c r="E41" s="45" t="n">
        <v>5</v>
      </c>
      <c r="F41" s="45">
        <f>SUM(C41:E41)</f>
        <v/>
      </c>
    </row>
    <row r="42" ht="20.25" customHeight="1" s="221">
      <c r="B42" s="46" t="n">
        <v>45685</v>
      </c>
      <c r="C42" s="45" t="n">
        <v>52</v>
      </c>
      <c r="D42" s="45" t="n">
        <v>20</v>
      </c>
      <c r="E42" s="45" t="n">
        <v>11</v>
      </c>
      <c r="F42" s="45">
        <f>SUM(C42:E42)</f>
        <v/>
      </c>
    </row>
    <row r="43" ht="20.25" customHeight="1" s="221">
      <c r="B43" s="46" t="n">
        <v>45692</v>
      </c>
      <c r="C43" s="45" t="n">
        <v>60</v>
      </c>
      <c r="D43" s="45" t="n">
        <v>7</v>
      </c>
      <c r="E43" s="45" t="n">
        <v>4</v>
      </c>
      <c r="F43" s="45">
        <f>SUM(C43:E43)</f>
        <v/>
      </c>
    </row>
    <row r="44" ht="20.25" customHeight="1" s="221">
      <c r="B44" s="46" t="n">
        <v>45706</v>
      </c>
      <c r="C44" s="45" t="n">
        <v>56</v>
      </c>
      <c r="D44" s="45" t="n">
        <v>30</v>
      </c>
      <c r="E44" s="45" t="n">
        <v>17</v>
      </c>
      <c r="F44" s="45">
        <f>SUM(C44:E44)</f>
        <v/>
      </c>
    </row>
    <row r="45" ht="20.25" customHeight="1" s="221">
      <c r="B45" s="46" t="n">
        <v>45720</v>
      </c>
      <c r="C45" s="45" t="n">
        <v>53</v>
      </c>
      <c r="D45" s="45" t="n">
        <v>26</v>
      </c>
      <c r="E45" s="45" t="n">
        <v>10</v>
      </c>
      <c r="F45" s="45">
        <f>SUM(C45:E45)</f>
        <v/>
      </c>
    </row>
    <row r="46" ht="20.25" customHeight="1" s="221">
      <c r="B46" s="46" t="n">
        <v>45734</v>
      </c>
      <c r="C46" s="45" t="n">
        <v>54</v>
      </c>
      <c r="D46" s="45" t="n">
        <v>19</v>
      </c>
      <c r="E46" s="45" t="n">
        <v>12</v>
      </c>
      <c r="F46" s="45">
        <f>SUM(C46:E46)</f>
        <v/>
      </c>
    </row>
    <row r="47" ht="20.25" customHeight="1" s="221">
      <c r="B47" s="46" t="n">
        <v>45755</v>
      </c>
      <c r="C47" s="45" t="n">
        <v>52</v>
      </c>
      <c r="D47" s="45" t="n">
        <v>24</v>
      </c>
      <c r="E47" s="45" t="n">
        <v>5</v>
      </c>
      <c r="F47" s="45">
        <f>SUM(C47:E47)</f>
        <v/>
      </c>
    </row>
    <row r="48" ht="20.25" customHeight="1" s="221">
      <c r="B48" s="46" t="n">
        <v>45771</v>
      </c>
      <c r="C48" s="45" t="n">
        <v>44</v>
      </c>
      <c r="D48" s="45" t="n">
        <v>20</v>
      </c>
      <c r="E48" s="45" t="n">
        <v>19</v>
      </c>
      <c r="F48" s="45">
        <f>SUM(C48:E48)</f>
        <v/>
      </c>
    </row>
    <row r="49" ht="20.25" customHeight="1" s="221">
      <c r="B49" s="46" t="n">
        <v>45783</v>
      </c>
      <c r="C49" s="45" t="n">
        <v>42</v>
      </c>
      <c r="D49" s="45" t="n">
        <v>5</v>
      </c>
      <c r="E49" s="45" t="n">
        <v>6</v>
      </c>
      <c r="F49" s="45">
        <f>SUM(C49:E49)</f>
        <v/>
      </c>
    </row>
    <row r="50" ht="20.25" customHeight="1" s="221">
      <c r="B50" s="46" t="n">
        <v>45797</v>
      </c>
      <c r="C50" s="45" t="n">
        <v>41</v>
      </c>
      <c r="D50" s="45" t="n">
        <v>17</v>
      </c>
      <c r="E50" s="45" t="n">
        <v>10</v>
      </c>
      <c r="F50" s="45">
        <f>SUM(C50:E50)</f>
        <v/>
      </c>
    </row>
    <row r="51" ht="20.25" customHeight="1" s="221">
      <c r="B51" s="46" t="n">
        <v>45811</v>
      </c>
      <c r="C51" s="45" t="n">
        <v>51</v>
      </c>
      <c r="D51" s="45" t="n">
        <v>21</v>
      </c>
      <c r="E51" s="45" t="n">
        <v>7</v>
      </c>
      <c r="F51" s="45">
        <f>SUM(C51:E51)</f>
        <v/>
      </c>
    </row>
    <row r="52" ht="20.25" customHeight="1" s="221">
      <c r="B52" s="46" t="n">
        <v>45832</v>
      </c>
      <c r="C52" s="45" t="n">
        <v>51</v>
      </c>
      <c r="D52" s="45" t="n">
        <v>24</v>
      </c>
      <c r="E52" s="45" t="n">
        <v>16</v>
      </c>
      <c r="F52" s="45">
        <f>SUM(C52:E52)</f>
        <v/>
      </c>
    </row>
    <row r="53" ht="20.25" customHeight="1" s="221">
      <c r="B53" s="46" t="n">
        <v>45846</v>
      </c>
      <c r="C53" s="45" t="n">
        <v>53</v>
      </c>
      <c r="D53" s="45" t="n">
        <v>25</v>
      </c>
      <c r="E53" s="45" t="n">
        <v>9</v>
      </c>
      <c r="F53" s="45">
        <f>SUM(C53:E53)</f>
        <v/>
      </c>
    </row>
    <row r="54" ht="20.25" customHeight="1" s="221">
      <c r="B54" s="46" t="n">
        <v>45860</v>
      </c>
      <c r="C54" s="45" t="n">
        <v>60</v>
      </c>
      <c r="D54" s="45" t="n">
        <v>12</v>
      </c>
      <c r="E54" s="45" t="n">
        <v>10</v>
      </c>
      <c r="F54" s="45">
        <f>SUM(C54:E54)</f>
        <v/>
      </c>
    </row>
    <row r="55" ht="20.25" customHeight="1" s="221">
      <c r="B55" s="46" t="n">
        <v>45895</v>
      </c>
      <c r="C55" s="45" t="n">
        <v>61</v>
      </c>
      <c r="D55" s="45" t="n">
        <v>33</v>
      </c>
      <c r="E55" s="45" t="n">
        <v>10</v>
      </c>
      <c r="F55" s="45">
        <f>SUM(C55:E55)</f>
        <v/>
      </c>
    </row>
    <row r="56" ht="20.25" customHeight="1" s="221">
      <c r="B56" s="46" t="n">
        <v>45909</v>
      </c>
      <c r="C56" s="45" t="n">
        <v>39</v>
      </c>
      <c r="D56" s="45" t="n">
        <v>4</v>
      </c>
      <c r="E56" s="45" t="n">
        <v>6</v>
      </c>
      <c r="F56" s="45">
        <f>SUM(C56:E56)</f>
        <v/>
      </c>
    </row>
    <row r="57" ht="20.25" customHeight="1" s="221">
      <c r="B57" s="46" t="n">
        <v>45923</v>
      </c>
      <c r="C57" s="45" t="n">
        <v>36</v>
      </c>
      <c r="D57" s="45" t="n">
        <v>19</v>
      </c>
      <c r="E57" s="45" t="n">
        <v>3</v>
      </c>
      <c r="F57" s="45">
        <f>SUM(C57:E57)</f>
        <v/>
      </c>
    </row>
    <row r="58" ht="20.25" customHeight="1" s="221">
      <c r="B58" s="46" t="n">
        <v>45937</v>
      </c>
      <c r="C58" s="45" t="n">
        <v>34</v>
      </c>
      <c r="D58" s="45" t="n">
        <v>14</v>
      </c>
      <c r="E58" s="45" t="n">
        <v>5</v>
      </c>
      <c r="F58" s="45">
        <f>SUM(C58:E58)</f>
        <v/>
      </c>
    </row>
    <row r="59" ht="20.25" customHeight="1" s="221">
      <c r="B59" s="46" t="n">
        <v>45951</v>
      </c>
      <c r="C59" s="45" t="n"/>
      <c r="D59" s="45" t="n"/>
      <c r="E59" s="45" t="n"/>
      <c r="F59" s="45" t="n"/>
    </row>
    <row r="60" ht="20.25" customHeight="1" s="221">
      <c r="B60" s="46" t="n"/>
      <c r="C60" s="45" t="n"/>
      <c r="D60" s="45" t="n"/>
      <c r="E60" s="45" t="n"/>
      <c r="F60" s="45" t="n"/>
    </row>
    <row r="61" ht="20.25" customHeight="1" s="221">
      <c r="B61" s="46" t="n"/>
      <c r="C61" s="45" t="n"/>
      <c r="D61" s="45" t="n"/>
      <c r="E61" s="45" t="n"/>
      <c r="F61" s="45" t="n"/>
    </row>
    <row r="62" ht="20.25" customHeight="1" s="221">
      <c r="B62" s="46" t="n"/>
      <c r="C62" s="45" t="n"/>
      <c r="D62" s="45" t="n"/>
      <c r="E62" s="45" t="n"/>
      <c r="F62" s="45" t="n"/>
    </row>
    <row r="63" ht="20.25" customHeight="1" s="221">
      <c r="B63" s="45" t="n"/>
      <c r="C63" s="45">
        <f>SUM(C41:C58)</f>
        <v/>
      </c>
      <c r="D63" s="45">
        <f>SUM(D41:D58)</f>
        <v/>
      </c>
      <c r="E63" s="45">
        <f>SUM(E41:E58)</f>
        <v/>
      </c>
      <c r="F63" s="45">
        <f>SUM(F41:F58)</f>
        <v/>
      </c>
    </row>
  </sheetData>
  <mergeCells count="22">
    <mergeCell ref="AI15:AI16"/>
    <mergeCell ref="A15:B15"/>
    <mergeCell ref="D1:K1"/>
    <mergeCell ref="A36:B36"/>
    <mergeCell ref="AN17:AQ17"/>
    <mergeCell ref="T16:Z16"/>
    <mergeCell ref="C1:C2"/>
    <mergeCell ref="AA15:AA16"/>
    <mergeCell ref="AB1:AI1"/>
    <mergeCell ref="B1:B2"/>
    <mergeCell ref="L16:R16"/>
    <mergeCell ref="S15:S16"/>
    <mergeCell ref="A26:B26"/>
    <mergeCell ref="D17:AI17"/>
    <mergeCell ref="AJ17:AM17"/>
    <mergeCell ref="L1:S1"/>
    <mergeCell ref="T1:AA1"/>
    <mergeCell ref="AB16:AH16"/>
    <mergeCell ref="D16:J16"/>
    <mergeCell ref="AJ1:AQ1"/>
    <mergeCell ref="K15:K16"/>
    <mergeCell ref="A1:A2"/>
  </mergeCells>
  <conditionalFormatting sqref="A22:C25">
    <cfRule type="expression" priority="1" dxfId="3">
      <formula>" =ÇİFTMİ(SATIR())"</formula>
    </cfRule>
  </conditionalFormatting>
  <conditionalFormatting sqref="A29:C35">
    <cfRule type="expression" priority="2" dxfId="3">
      <formula>ISEVEN(ROW())</formula>
    </cfRule>
  </conditionalFormatting>
  <conditionalFormatting sqref="A3:AI14">
    <cfRule type="expression" priority="3" dxfId="3" stopIfTrue="1">
      <formula>ISODD(ROW())</formula>
    </cfRule>
  </conditionalFormatting>
  <printOptions horizontalCentered="1" verticalCentered="1"/>
  <pageMargins left="0.3937007874015748" right="0.3937007874015748" top="0.3937007874015748" bottom="0.3937007874015748" header="0.3149606299212598" footer="0.3149606299212598"/>
  <pageSetup orientation="landscape" paperSize="9" scale="20"/>
</worksheet>
</file>

<file path=xl/worksheets/sheet4.xml><?xml version="1.0" encoding="utf-8"?>
<worksheet xmlns="http://schemas.openxmlformats.org/spreadsheetml/2006/main">
  <sheetPr>
    <tabColor rgb="FF00B050"/>
    <outlinePr summaryBelow="1" summaryRight="1"/>
    <pageSetUpPr/>
  </sheetPr>
  <dimension ref="A1:O12"/>
  <sheetViews>
    <sheetView zoomScale="50" zoomScaleNormal="50" workbookViewId="0">
      <selection activeCell="E1" sqref="E1"/>
    </sheetView>
  </sheetViews>
  <sheetFormatPr baseColWidth="8" defaultColWidth="7.85546875" defaultRowHeight="15"/>
  <cols>
    <col width="40.140625" bestFit="1" customWidth="1" style="101" min="1" max="1"/>
    <col width="55" bestFit="1" customWidth="1" style="101" min="2" max="2"/>
    <col width="50" bestFit="1" customWidth="1" style="101" min="3" max="3"/>
    <col width="47.28515625" bestFit="1" customWidth="1" style="101" min="4" max="4"/>
    <col width="37" bestFit="1" customWidth="1" style="101" min="5" max="5"/>
    <col width="14.7109375" bestFit="1" customWidth="1" style="101" min="6" max="6"/>
    <col width="26" bestFit="1" customWidth="1" style="99" min="7" max="7"/>
    <col width="20" customWidth="1" style="99" min="8" max="8"/>
    <col width="34.140625" bestFit="1" customWidth="1" style="101" min="9" max="10"/>
    <col width="27.7109375" bestFit="1" customWidth="1" style="101" min="11" max="14"/>
    <col width="26.5703125" bestFit="1" customWidth="1" style="101" min="15" max="15"/>
    <col width="7.85546875" customWidth="1" style="101" min="16" max="16384"/>
  </cols>
  <sheetData>
    <row r="1" ht="26.25" customFormat="1" customHeight="1" s="112">
      <c r="A1" s="110" t="inlineStr">
        <is>
          <t>RAPORTÖR SEÇİNİZ</t>
        </is>
      </c>
      <c r="B1" s="110" t="inlineStr">
        <is>
          <t>Prof. Dr. Yavuz AYHAN</t>
        </is>
      </c>
      <c r="C1" s="110" t="n"/>
      <c r="D1" s="110" t="inlineStr">
        <is>
          <t>TOPLANTI TARİHİ</t>
        </is>
      </c>
      <c r="E1" s="111" t="n">
        <v>46084</v>
      </c>
      <c r="F1" s="110" t="n"/>
      <c r="G1" s="111" t="inlineStr">
        <is>
          <t>TOPLAM DOSYA</t>
        </is>
      </c>
      <c r="H1" s="110">
        <f>IF(A6="Kayıt Yok", 0, COUNTA(INDEX(_xlfn.ANCHORARRAY(A6),,1)))</f>
        <v/>
      </c>
    </row>
    <row r="2" ht="78" customFormat="1" customHeight="1" s="113">
      <c r="G2" s="114" t="n"/>
      <c r="H2" s="114" t="n"/>
    </row>
    <row r="3" ht="25.5" customFormat="1" customHeight="1" s="113">
      <c r="A3" s="115" t="inlineStr">
        <is>
          <t>ONAY</t>
        </is>
      </c>
      <c r="B3" s="116" t="inlineStr">
        <is>
          <t>DÜZELTME</t>
        </is>
      </c>
      <c r="C3" s="115" t="inlineStr">
        <is>
          <t>KAEK</t>
        </is>
      </c>
      <c r="D3" s="115" t="inlineStr">
        <is>
          <t>GÖRÜŞ</t>
        </is>
      </c>
      <c r="E3" s="115" t="inlineStr">
        <is>
          <t>KAPSAM DIŞI</t>
        </is>
      </c>
      <c r="F3" s="115" t="inlineStr">
        <is>
          <t>RET</t>
        </is>
      </c>
      <c r="G3" s="117" t="inlineStr">
        <is>
          <t>GERİ ÇEKİLDİ</t>
        </is>
      </c>
      <c r="H3" s="114" t="n"/>
    </row>
    <row r="4" ht="25.5" customFormat="1" customHeight="1" s="113">
      <c r="A4" s="130">
        <f>IF($A$6="Kayıt Yok", 0, COUNTIFS(Başvuru!$I:$I, $E$1, Başvuru!$P:$P, A$3, Başvuru!$J:$J, $B$1) + COUNTIFS(Başvuru!$I:$I, $E$1, Başvuru!$P:$P, A$3, Başvuru!$K:$K, $B$1))</f>
        <v/>
      </c>
      <c r="B4" s="130">
        <f>IF($A$6="Kayıt Yok", 0, COUNTIFS(Başvuru!$I:$I, $E$1, Başvuru!$P:$P, B$3, Başvuru!$J:$J, $B$1) + COUNTIFS(Başvuru!$I:$I, $E$1, Başvuru!$P:$P, B$3, Başvuru!$K:$K, $B$1))</f>
        <v/>
      </c>
      <c r="C4" s="130">
        <f>IF($A$6="Kayıt Yok", 0, COUNTIFS(Başvuru!$I:$I, $E$1, Başvuru!$P:$P, C$3, Başvuru!$J:$J, $B$1) + COUNTIFS(Başvuru!$I:$I, $E$1, Başvuru!$P:$P, C$3, Başvuru!$K:$K, $B$1))</f>
        <v/>
      </c>
      <c r="D4" s="130">
        <f>IF($A$6="Kayıt Yok", 0, COUNTIFS(Başvuru!$I:$I, $E$1, Başvuru!$P:$P, D$3, Başvuru!$J:$J, $B$1) + COUNTIFS(Başvuru!$I:$I, $E$1, Başvuru!$P:$P, D$3, Başvuru!$K:$K, $B$1))</f>
        <v/>
      </c>
      <c r="E4" s="130">
        <f>IF($A$6="Kayıt Yok", 0, COUNTIFS(Başvuru!$I:$I, $E$1, Başvuru!$P:$P, E$3, Başvuru!$J:$J, $B$1) + COUNTIFS(Başvuru!$I:$I, $E$1, Başvuru!$P:$P, E$3, Başvuru!$K:$K, $B$1))</f>
        <v/>
      </c>
      <c r="F4" s="130">
        <f>IF($A$6="Kayıt Yok", 0, COUNTIFS(Başvuru!$I:$I, $E$1, Başvuru!$P:$P, F$3, Başvuru!$J:$J, $B$1) + COUNTIFS(Başvuru!$I:$I, $E$1, Başvuru!$P:$P, F$3, Başvuru!$K:$K, $B$1))</f>
        <v/>
      </c>
      <c r="G4" s="130">
        <f>IF($A$6="Kayıt Yok", 0, COUNTIFS(Başvuru!$I:$I, $E$1, Başvuru!$P:$P, G$3, Başvuru!$J:$J, $B$1) + COUNTIFS(Başvuru!$I:$I, $E$1, Başvuru!$P:$P, G$3, Başvuru!$K:$K, $B$1))</f>
        <v/>
      </c>
      <c r="H4" s="114" t="n"/>
    </row>
    <row r="5" ht="40.5" customFormat="1" customHeight="1" s="113">
      <c r="A5" s="118" t="inlineStr">
        <is>
          <t>SBA NUMARASI</t>
        </is>
      </c>
      <c r="B5" s="118" t="inlineStr">
        <is>
          <t>SORUMLUSU</t>
        </is>
      </c>
      <c r="C5" s="118" t="inlineStr">
        <is>
          <t>BİRİMİ</t>
        </is>
      </c>
      <c r="D5" s="118" t="inlineStr">
        <is>
          <t>YERİ</t>
        </is>
      </c>
      <c r="E5" s="118" t="inlineStr">
        <is>
          <t>ADI</t>
        </is>
      </c>
      <c r="F5" s="118" t="inlineStr">
        <is>
          <t>NİTELİĞİ</t>
        </is>
      </c>
      <c r="G5" s="119" t="inlineStr">
        <is>
          <t>BAŞVURU TARİHİ</t>
        </is>
      </c>
      <c r="H5" s="119" t="inlineStr">
        <is>
          <t>KURUL TARİHİ</t>
        </is>
      </c>
      <c r="I5" s="118" t="inlineStr">
        <is>
          <t>RAPORTÖR 1</t>
        </is>
      </c>
      <c r="J5" s="118" t="inlineStr">
        <is>
          <t>RAPORTÖR 2</t>
        </is>
      </c>
      <c r="K5" s="118" t="inlineStr">
        <is>
          <t>KURUL KARARI 1</t>
        </is>
      </c>
      <c r="L5" s="118" t="inlineStr">
        <is>
          <t>KURUL KARARI 2</t>
        </is>
      </c>
      <c r="M5" s="118" t="inlineStr">
        <is>
          <t>KURUL KARARI 3</t>
        </is>
      </c>
      <c r="N5" s="118" t="inlineStr">
        <is>
          <t>KURUL KARARI 4</t>
        </is>
      </c>
      <c r="O5" s="118" t="inlineStr">
        <is>
          <t>GÜNCEL DURUM</t>
        </is>
      </c>
    </row>
    <row r="6" ht="75" customHeight="1" s="221">
      <c r="A6" s="101">
        <f t="array" ref="A6:O12">IF(OR(B1="",E1=""), "Lütfen Üye ve Tarih Seçiniz", _xlfn._xlws.FILTER(Başvuru!B2:P1158, (VALUE(Başvuru!I2:I1158)=VALUE(E1))*((TRIM(Başvuru!J2:J1158)=TRIM(B1))+(TRIM(Başvuru!K2:K1158)=TRIM(B1))), "Kayıt Yok"))</f>
        <v/>
      </c>
      <c r="B6" s="101" t="inlineStr">
        <is>
          <t>Prof. Dr. Neşe DERİCİOĞLU</t>
        </is>
      </c>
      <c r="C6" s="101" t="inlineStr">
        <is>
          <t>Nöroloji Anabilim Dalı</t>
        </is>
      </c>
      <c r="D6" s="101" t="inlineStr">
        <is>
          <t>Üniversitemiz Tıp Fakültesi Nöroloji Anabilim Dalı öğretim üyelerinden Prof. Dr. Neşe DERİCİOĞLU'nun sorumlu araştırmacı olduğu, Arş. Gör. Dr. İlker ARSLAN ile birlikte çalışacakları,</t>
        </is>
      </c>
      <c r="E6" s="101" t="inlineStr">
        <is>
          <t>“Trifazik Dalgaların Faz-Spesifik Morfolojik Özelliklerinin Kantitatif Değerlendirilmesi ve Etiyolojiye Göre Karşılaştırılması: Retrospektif Bir Çalışma”</t>
        </is>
      </c>
      <c r="F6" s="101" t="inlineStr">
        <is>
          <t>Bireysel Araştırma</t>
        </is>
      </c>
      <c r="G6" s="99" t="n">
        <v>46071</v>
      </c>
      <c r="H6" s="99" t="n">
        <v>46084</v>
      </c>
      <c r="I6" s="101" t="inlineStr">
        <is>
          <t>Prof. Dr. Ayşe Nurten AKARSU</t>
        </is>
      </c>
      <c r="J6" s="101" t="inlineStr">
        <is>
          <t>Prof. Dr. Yavuz AYHAN</t>
        </is>
      </c>
      <c r="K6" s="101" t="inlineStr">
        <is>
          <t>ONAY</t>
        </is>
      </c>
      <c r="L6" s="101" t="n">
        <v>0</v>
      </c>
      <c r="M6" s="101" t="n">
        <v>0</v>
      </c>
      <c r="N6" s="101" t="n">
        <v>0</v>
      </c>
      <c r="O6" s="101" t="inlineStr">
        <is>
          <t>ONAY</t>
        </is>
      </c>
    </row>
    <row r="7" ht="60" customHeight="1" s="221">
      <c r="A7" s="101" t="inlineStr">
        <is>
          <t>SBA 26/197</t>
        </is>
      </c>
      <c r="B7" s="101" t="inlineStr">
        <is>
          <t>Prof. Dr. Mustafa CANKURTARAN</t>
        </is>
      </c>
      <c r="C7" s="101" t="inlineStr">
        <is>
          <t>İç Hastalıkları Anabilim Dalı</t>
        </is>
      </c>
      <c r="D7" s="101" t="inlineStr">
        <is>
          <t>Üniversitemiz Tıp Fakültesi İç Hastalıkları Anabilim Dalı öğretim üyelerinden Prof. Dr. Mustafa CANKURTARAN’ın sorumlu araştırmacı olduğu, Arş. Gör. Dr. Murat PEHLİVAN ile birlikte çalışacakları,</t>
        </is>
      </c>
      <c r="E7" s="101" t="inlineStr">
        <is>
          <t>“Mekanik Ventilasyon Uygulanan Geriatrik Hastalarda Solunum Yolu Mikrobiyom Disbiyozisi ve Pulmoner İnflamaging”</t>
        </is>
      </c>
      <c r="F7" s="101" t="inlineStr">
        <is>
          <t>Bireysel Araştırma</t>
        </is>
      </c>
      <c r="G7" s="99" t="n">
        <v>46071</v>
      </c>
      <c r="H7" s="99" t="n">
        <v>46084</v>
      </c>
      <c r="I7" s="101" t="inlineStr">
        <is>
          <t>Dr. Öğr. Üyesi Müge DEMİR</t>
        </is>
      </c>
      <c r="J7" s="101" t="inlineStr">
        <is>
          <t>Prof. Dr. Yavuz AYHAN</t>
        </is>
      </c>
      <c r="K7" s="101" t="inlineStr">
        <is>
          <t>KAPSAM DIŞI</t>
        </is>
      </c>
      <c r="L7" s="101" t="n">
        <v>0</v>
      </c>
      <c r="M7" s="101" t="n">
        <v>0</v>
      </c>
      <c r="N7" s="101" t="n">
        <v>0</v>
      </c>
      <c r="O7" s="101" t="inlineStr">
        <is>
          <t>KAPSAM DIŞI</t>
        </is>
      </c>
    </row>
    <row r="8" ht="60" customHeight="1" s="221">
      <c r="A8" s="101" t="inlineStr">
        <is>
          <t>SBA 26/198</t>
        </is>
      </c>
      <c r="B8" s="101" t="inlineStr">
        <is>
          <t>Prof. Dr. Mustafa CANKURTARAN</t>
        </is>
      </c>
      <c r="C8" s="101" t="inlineStr">
        <is>
          <t>İç Hastalıkları Anabilim Dalı</t>
        </is>
      </c>
      <c r="D8" s="101" t="inlineStr">
        <is>
          <t>Üniversitemiz Tıp Fakültesi İç Hastalıkları Anabilim Dalı öğretim üyelerinden Prof. Dr. Mustafa CANKURTARAN’ın sorumlu araştırmacı olduğu, Arş. Gör. Dr. Murat PEHLİVAN ile birlikte çalışacakları,</t>
        </is>
      </c>
      <c r="E8" s="101" t="inlineStr">
        <is>
          <t>“Akut Gastrointestinal Kanamalı Geriatrik Hastalarda İnflamatuvar, Nütrisyonel İndekslerin ve Demans Durumunun Analizi”</t>
        </is>
      </c>
      <c r="F8" s="101" t="inlineStr">
        <is>
          <t>Bireysel Araştırma</t>
        </is>
      </c>
      <c r="G8" s="99" t="n">
        <v>46071</v>
      </c>
      <c r="H8" s="99" t="n">
        <v>46084</v>
      </c>
      <c r="I8" s="101" t="inlineStr">
        <is>
          <t>Dr. Öğr. Üyesi Müge DEMİR</t>
        </is>
      </c>
      <c r="J8" s="101" t="inlineStr">
        <is>
          <t>Prof. Dr. Yavuz AYHAN</t>
        </is>
      </c>
      <c r="K8" s="101" t="inlineStr">
        <is>
          <t>KAPSAM DIŞI</t>
        </is>
      </c>
      <c r="L8" s="101" t="n">
        <v>0</v>
      </c>
      <c r="M8" s="101" t="n">
        <v>0</v>
      </c>
      <c r="N8" s="101" t="n">
        <v>0</v>
      </c>
      <c r="O8" s="101" t="inlineStr">
        <is>
          <t>KAPSAM DIŞI</t>
        </is>
      </c>
    </row>
    <row r="9" ht="60" customHeight="1" s="221">
      <c r="A9" s="101" t="inlineStr">
        <is>
          <t>SBA 26/199</t>
        </is>
      </c>
      <c r="B9" s="101" t="inlineStr">
        <is>
          <t>Prof. Dr. Mustafa CANKURTARAN</t>
        </is>
      </c>
      <c r="C9" s="101" t="inlineStr">
        <is>
          <t>İç Hastalıkları Anabilim Dalı</t>
        </is>
      </c>
      <c r="D9" s="101" t="inlineStr">
        <is>
          <t>Üniversitemiz Tıp Fakültesi İç Hastalıkları Anabilim Dalı öğretim üyelerinden Prof. Dr. Mustafa CANKURTARAN’ın sorumlu araştırmacı olduğu, Arş. Gör. Dr. Murat PEHLİVAN ile birlikte çalışacakları,</t>
        </is>
      </c>
      <c r="E9" s="101" t="inlineStr">
        <is>
          <t>“Suboptimal Ekokardiyografilerde Tanısal Belirsizlik ve Doğal Dil İşleme Analizi”</t>
        </is>
      </c>
      <c r="F9" s="101" t="inlineStr">
        <is>
          <t>Bireysel Araştırma</t>
        </is>
      </c>
      <c r="G9" s="99" t="n">
        <v>46071</v>
      </c>
      <c r="H9" s="99" t="n">
        <v>46084</v>
      </c>
      <c r="I9" s="101" t="inlineStr">
        <is>
          <t>Dr. Öğr. Üyesi Müge DEMİR</t>
        </is>
      </c>
      <c r="J9" s="101" t="inlineStr">
        <is>
          <t>Prof. Dr. Yavuz AYHAN</t>
        </is>
      </c>
      <c r="K9" s="101" t="inlineStr">
        <is>
          <t>KAPSAM DIŞI</t>
        </is>
      </c>
      <c r="L9" s="101" t="n">
        <v>0</v>
      </c>
      <c r="M9" s="101" t="n">
        <v>0</v>
      </c>
      <c r="N9" s="101" t="n">
        <v>0</v>
      </c>
      <c r="O9" s="101" t="inlineStr">
        <is>
          <t>KAPSAM DIŞI</t>
        </is>
      </c>
    </row>
    <row r="10" ht="75" customHeight="1" s="221">
      <c r="A10" s="101" t="inlineStr">
        <is>
          <t>SBA 26/211</t>
        </is>
      </c>
      <c r="B10" s="101" t="inlineStr">
        <is>
          <t>Doç. Dr. İdil Rana USER KILIÇ</t>
        </is>
      </c>
      <c r="C10" s="101" t="inlineStr">
        <is>
          <t>Çocuk Cerrahisi Anabilim Dalı</t>
        </is>
      </c>
      <c r="D10" s="101" t="inlineStr">
        <is>
          <t>Üniversitemiz Tıp Fakültesi Çocuk Cerrahisi Anabilim Dalı öğretim üyelerinden Doç. Dr. İdil Rana USER KILIÇ’ın sorumlu araştırmacı olduğu, Prof. Dr. Saniye EKİNCİ, Doç. Dr. Burak ARDIÇLI, Arş. Gör. Dr. Tunç TIĞLI ile birlikte çalışacakları,</t>
        </is>
      </c>
      <c r="E10" s="101" t="inlineStr">
        <is>
          <t>“Kompleks Obstrüktif Üropatili Çocuklarda Geçici Üriner Diversiyon Yöntemi Olarak Üreterokütaneostominin Klinik Değerlendirmesi”</t>
        </is>
      </c>
      <c r="F10" s="101" t="inlineStr">
        <is>
          <t>Bireysel Araştırma</t>
        </is>
      </c>
      <c r="G10" s="99" t="n">
        <v>46076</v>
      </c>
      <c r="H10" s="99" t="n">
        <v>46084</v>
      </c>
      <c r="I10" s="101" t="inlineStr">
        <is>
          <t>Doç. Dr. Kübra AYKAÇ</t>
        </is>
      </c>
      <c r="J10" s="101" t="inlineStr">
        <is>
          <t>Prof. Dr. Yavuz AYHAN</t>
        </is>
      </c>
      <c r="K10" s="101" t="inlineStr">
        <is>
          <t>ONAY</t>
        </is>
      </c>
      <c r="L10" s="101" t="n">
        <v>0</v>
      </c>
      <c r="M10" s="101" t="n">
        <v>0</v>
      </c>
      <c r="N10" s="101" t="n">
        <v>0</v>
      </c>
      <c r="O10" s="101" t="inlineStr">
        <is>
          <t>ONAY</t>
        </is>
      </c>
    </row>
    <row r="11" ht="90" customHeight="1" s="221">
      <c r="A11" s="101" t="inlineStr">
        <is>
          <t>SBA 26/212</t>
        </is>
      </c>
      <c r="B11" s="101" t="inlineStr">
        <is>
          <t>Doç. Dr. İdil Rana USER KILIÇ</t>
        </is>
      </c>
      <c r="C11" s="101" t="inlineStr">
        <is>
          <t>Çocuk Cerrahisi Anabilim Dalı</t>
        </is>
      </c>
      <c r="D11" s="101" t="inlineStr">
        <is>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is>
      </c>
      <c r="E11" s="101" t="inlineStr">
        <is>
          <t>“Pilonidal Hastalıkta Minimal İnvaziv Cerrahi: Ergen Olgularda Gips Prosedürünün Değerlendirilmesi”</t>
        </is>
      </c>
      <c r="F11" s="101" t="inlineStr">
        <is>
          <t>Bireysel Araştırma</t>
        </is>
      </c>
      <c r="G11" s="99" t="n">
        <v>46076</v>
      </c>
      <c r="H11" s="99" t="n">
        <v>46084</v>
      </c>
      <c r="I11" s="101" t="inlineStr">
        <is>
          <t>Doç. Dr. Kübra AYKAÇ</t>
        </is>
      </c>
      <c r="J11" s="101" t="inlineStr">
        <is>
          <t>Prof. Dr. Yavuz AYHAN</t>
        </is>
      </c>
      <c r="K11" s="101" t="inlineStr">
        <is>
          <t>ONAY</t>
        </is>
      </c>
      <c r="L11" s="101" t="n">
        <v>0</v>
      </c>
      <c r="M11" s="101" t="n">
        <v>0</v>
      </c>
      <c r="N11" s="101" t="n">
        <v>0</v>
      </c>
      <c r="O11" s="101" t="inlineStr">
        <is>
          <t>ONAY</t>
        </is>
      </c>
    </row>
    <row r="12" ht="75" customHeight="1" s="221">
      <c r="A12" s="101" t="inlineStr">
        <is>
          <t>SBA 26/225</t>
        </is>
      </c>
      <c r="B12" s="101" t="inlineStr">
        <is>
          <t>Prof. Dr. Meltem Gülhan HALİL</t>
        </is>
      </c>
      <c r="C12" s="101" t="inlineStr">
        <is>
          <t>İç Hastalıkları Anabilim Dalı</t>
        </is>
      </c>
      <c r="D12" s="101" t="inlineStr">
        <is>
          <t>Üniversitemiz Tıp Fakültesi İç Hastalıkları Anabilim Dalı öğretim üyelerinden Prof. Dr. Meltem Gülhan HALİL’in sorumlu araştırmacı olduğu, Arş. Gör. Dr. Okan TURHAN ile birlikte çalışacakları,</t>
        </is>
      </c>
      <c r="E12" s="101" t="inlineStr">
        <is>
          <t>“Geriatri Polikliniğine Başvuran Yaşlı Hastalarda C-Reaktif Protein Düzeyinin Tüm Nedenlere Bağlı Mortalite Üzerine Prognostik Etkisi: Tek Merkezli Retrospektif Kohort Çalışması”</t>
        </is>
      </c>
      <c r="F12" s="101" t="inlineStr">
        <is>
          <t>Bireysel Araştırma</t>
        </is>
      </c>
      <c r="G12" s="99" t="n">
        <v>46079</v>
      </c>
      <c r="H12" s="99" t="n">
        <v>46084</v>
      </c>
      <c r="I12" s="101" t="inlineStr">
        <is>
          <t>Prof. Dr. Yavuz AYHAN</t>
        </is>
      </c>
      <c r="J12" s="101" t="inlineStr">
        <is>
          <t>Doç. Dr. Tolga ÇAKMAK</t>
        </is>
      </c>
      <c r="K12" s="101" t="inlineStr">
        <is>
          <t>GÖRÜŞ</t>
        </is>
      </c>
      <c r="L12" s="101" t="inlineStr">
        <is>
          <t>DÜZELTME</t>
        </is>
      </c>
      <c r="M12" s="101" t="n">
        <v>0</v>
      </c>
      <c r="N12" s="101" t="n">
        <v>0</v>
      </c>
      <c r="O12" s="101" t="inlineStr">
        <is>
          <t>DÜZELTME</t>
        </is>
      </c>
    </row>
    <row r="13" ht="75" customHeight="1" s="221"/>
  </sheetData>
  <conditionalFormatting sqref="A6:O14">
    <cfRule type="expression" priority="13" dxfId="3">
      <formula>ISEVEN(ROW())</formula>
    </cfRule>
  </conditionalFormatting>
  <conditionalFormatting sqref="E5">
    <cfRule type="duplicateValues" priority="14" dxfId="4"/>
  </conditionalFormatting>
  <conditionalFormatting sqref="O1:O1048576">
    <cfRule type="containsText" priority="1" operator="containsText" dxfId="15" text="GERİ ÇEKİLDİ">
      <formula>NOT(ISERROR(SEARCH("GERİ ÇEKİLDİ",O1)))</formula>
    </cfRule>
    <cfRule type="containsText" priority="2" operator="containsText" dxfId="14" text="KAPSAM DIŞI">
      <formula>NOT(ISERROR(SEARCH("KAPSAM DIŞI",O1)))</formula>
    </cfRule>
    <cfRule type="containsText" priority="3" operator="containsText" dxfId="13" text="RET">
      <formula>NOT(ISERROR(SEARCH("RET",O1)))</formula>
    </cfRule>
    <cfRule type="containsText" priority="4" operator="containsText" dxfId="0" text="GÖRÜŞ">
      <formula>NOT(ISERROR(SEARCH("GÖRÜŞ",O1)))</formula>
    </cfRule>
    <cfRule type="containsText" priority="5" operator="containsText" dxfId="11" text="KAEK">
      <formula>NOT(ISERROR(SEARCH("KAEK",O1)))</formula>
    </cfRule>
    <cfRule type="containsText" priority="7" operator="containsText" dxfId="9" text="DÜZELTME">
      <formula>NOT(ISERROR(SEARCH("DÜZELTME",O1)))</formula>
    </cfRule>
    <cfRule type="containsText" priority="8" operator="containsText" dxfId="8" text="ONAY">
      <formula>NOT(ISERROR(SEARCH("ONAY",O1)))</formula>
    </cfRule>
  </conditionalFormatting>
  <conditionalFormatting sqref="O1:P1048576">
    <cfRule type="containsText" priority="6" operator="containsText" dxfId="0" text="GÖRÜŞ">
      <formula>NOT(ISERROR(SEARCH("GÖRÜŞ",O1)))</formula>
    </cfRule>
  </conditionalFormatting>
  <conditionalFormatting sqref="P1:P1048576">
    <cfRule type="containsText" priority="10" operator="containsText" dxfId="21" text="KAEK">
      <formula>NOT(ISERROR(SEARCH("KAEK",P1)))</formula>
    </cfRule>
    <cfRule type="containsText" priority="11" operator="containsText" dxfId="9" text="DÜZELTME">
      <formula>NOT(ISERROR(SEARCH("DÜZELTME",P1)))</formula>
    </cfRule>
    <cfRule type="containsText" priority="12" operator="containsText" dxfId="8" text="ONAY">
      <formula>NOT(ISERROR(SEARCH("ONAY",P1)))</formula>
    </cfRule>
  </conditionalFormatting>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tabColor rgb="FF00B050"/>
    <outlinePr summaryBelow="1" summaryRight="1"/>
    <pageSetUpPr/>
  </sheetPr>
  <dimension ref="A1:AE1072"/>
  <sheetViews>
    <sheetView zoomScale="80" zoomScaleNormal="80" workbookViewId="0">
      <selection activeCell="B20" sqref="B20"/>
    </sheetView>
  </sheetViews>
  <sheetFormatPr baseColWidth="8" defaultRowHeight="15"/>
  <cols>
    <col width="24.5703125" bestFit="1" customWidth="1" style="147" min="1" max="1"/>
    <col width="70.42578125" bestFit="1" customWidth="1" style="147" min="2" max="2"/>
    <col width="37.7109375" bestFit="1" customWidth="1" style="147" min="3" max="3"/>
    <col width="27.85546875" customWidth="1" style="147" min="4" max="4"/>
    <col width="19.7109375" bestFit="1" customWidth="1" style="148" min="5" max="5"/>
    <col width="17.7109375" bestFit="1" customWidth="1" style="147" min="6" max="6"/>
    <col width="28.7109375" bestFit="1" customWidth="1" style="147" min="7" max="7"/>
    <col width="23.7109375" bestFit="1" customWidth="1" style="147" min="8" max="8"/>
    <col width="30.85546875" bestFit="1" customWidth="1" style="147" min="9" max="9"/>
    <col width="29.140625" bestFit="1" customWidth="1" style="147" min="10" max="10"/>
    <col width="27.7109375" bestFit="1" customWidth="1" style="147" min="11" max="14"/>
    <col width="27.140625" bestFit="1" customWidth="1" style="147" min="15" max="15"/>
    <col width="9.140625" customWidth="1" style="147" min="16" max="24"/>
    <col width="37.85546875" bestFit="1" customWidth="1" style="147" min="25" max="25"/>
    <col width="17.140625" bestFit="1" customWidth="1" style="147" min="26" max="26"/>
    <col width="9.42578125" bestFit="1" customWidth="1" style="147" min="27" max="27"/>
    <col width="11.28515625" bestFit="1" customWidth="1" style="147" min="28" max="28"/>
    <col width="19.7109375" bestFit="1" customWidth="1" style="147" min="29" max="29"/>
    <col width="6.85546875" bestFit="1" customWidth="1" style="147" min="30" max="30"/>
    <col width="20.7109375" bestFit="1" customWidth="1" style="147" min="31" max="31"/>
    <col width="9.140625" customWidth="1" style="147" min="32" max="16384"/>
  </cols>
  <sheetData>
    <row r="1" ht="60.75" customFormat="1" customHeight="1" s="133">
      <c r="A1" s="208" t="inlineStr">
        <is>
          <t>BİRİM</t>
        </is>
      </c>
      <c r="B1" s="145" t="inlineStr">
        <is>
          <t>İç Hastalıkları Anabilim Dalı</t>
        </is>
      </c>
      <c r="D1" s="146" t="inlineStr">
        <is>
          <t>TOPLANTI
TARİHİ</t>
        </is>
      </c>
      <c r="E1" s="145" t="n">
        <v>46084</v>
      </c>
      <c r="G1" s="146" t="inlineStr">
        <is>
          <t>BİRİMİN 
TOPLAM DOSYASI</t>
        </is>
      </c>
      <c r="H1" s="133">
        <f>IF(A6="Kayıt Yok", 0, ROWS(_xlfn.ANCHORARRAY(A6)))</f>
        <v/>
      </c>
      <c r="Y1" s="208" t="inlineStr">
        <is>
          <t>BİRİM GENEL PERFORMANSI</t>
        </is>
      </c>
    </row>
    <row r="2">
      <c r="C2" s="147">
        <f>IF(OR(B1="",E1=""), "⚠️ LÜTFEN B1'DEN BİRİM VE E1'DEN TARİH SEÇİNİZ", "")</f>
        <v/>
      </c>
      <c r="Y2" s="131" t="n"/>
      <c r="Z2" s="131" t="n"/>
      <c r="AA2" s="131" t="n"/>
      <c r="AB2" s="131" t="n"/>
      <c r="AC2" s="131" t="n"/>
      <c r="AD2" s="131" t="n"/>
      <c r="AE2" s="131" t="n"/>
    </row>
    <row r="3" ht="20.25" customHeight="1" s="221">
      <c r="A3" s="115" t="inlineStr">
        <is>
          <t>ONAY</t>
        </is>
      </c>
      <c r="B3" s="116" t="inlineStr">
        <is>
          <t>DÜZELTME</t>
        </is>
      </c>
      <c r="C3" s="115" t="inlineStr">
        <is>
          <t>KAEK</t>
        </is>
      </c>
      <c r="D3" s="115" t="inlineStr">
        <is>
          <t>GÖRÜŞ</t>
        </is>
      </c>
      <c r="E3" s="115" t="inlineStr">
        <is>
          <t>KAPSAM DIŞI</t>
        </is>
      </c>
      <c r="F3" s="115" t="inlineStr">
        <is>
          <t>RET</t>
        </is>
      </c>
      <c r="G3" s="117" t="inlineStr">
        <is>
          <t>GERİ ÇEKİLDİ</t>
        </is>
      </c>
      <c r="Y3" s="115" t="inlineStr">
        <is>
          <t>ONAY</t>
        </is>
      </c>
      <c r="Z3" s="116" t="inlineStr">
        <is>
          <t>DÜZELTME</t>
        </is>
      </c>
      <c r="AA3" s="115" t="inlineStr">
        <is>
          <t>KAEK</t>
        </is>
      </c>
      <c r="AB3" s="115" t="inlineStr">
        <is>
          <t>GÖRÜŞ</t>
        </is>
      </c>
      <c r="AC3" s="115" t="inlineStr">
        <is>
          <t>KAPSAM DIŞI</t>
        </is>
      </c>
      <c r="AD3" s="115" t="inlineStr">
        <is>
          <t>RET</t>
        </is>
      </c>
      <c r="AE3" s="117" t="inlineStr">
        <is>
          <t>GERİ ÇEKİLDİ</t>
        </is>
      </c>
    </row>
    <row r="4" ht="20.25" customHeight="1" s="221">
      <c r="A4" s="130">
        <f>COUNTIFS(Başvuru!$I$2:$I$10158, $E$1, Başvuru!$P$2:$P$10158, A$3, Başvuru!$D$2:$D$10158, $B$1)</f>
        <v/>
      </c>
      <c r="B4" s="130">
        <f>COUNTIFS(Başvuru!$I$2:$I$10158, $E$1, Başvuru!$P$2:$P$10158, B$3, Başvuru!$D$2:$D$10158, $B$1)</f>
        <v/>
      </c>
      <c r="C4" s="130">
        <f>COUNTIFS(Başvuru!$I$2:$I$10158, $E$1, Başvuru!$P$2:$P$10158, C$3, Başvuru!$D$2:$D$10158, $B$1)</f>
        <v/>
      </c>
      <c r="D4" s="130">
        <f>COUNTIFS(Başvuru!$I$2:$I$10158, $E$1, Başvuru!$P$2:$P$10158, D$3, Başvuru!$D$2:$D$10158, $B$1)</f>
        <v/>
      </c>
      <c r="E4" s="130">
        <f>COUNTIFS(Başvuru!$I$2:$I$10158, $E$1, Başvuru!$P$2:$P$10158, E$3, Başvuru!$D$2:$D$10158, $B$1)</f>
        <v/>
      </c>
      <c r="F4" s="130">
        <f>COUNTIFS(Başvuru!$I$2:$I$10158, $E$1, Başvuru!$P$2:$P$10158, F$3, Başvuru!$D$2:$D$10158, $B$1)</f>
        <v/>
      </c>
      <c r="G4" s="130">
        <f>COUNTIFS(Başvuru!$I$2:$I$10158, $E$1, Başvuru!$P$2:$P$10158, G$3, Başvuru!$D$2:$D$10158, $B$1)</f>
        <v/>
      </c>
      <c r="Y4" s="14">
        <f>COUNTIFS(Başvuru!$P$2:$P$10158, "ONAY", Başvuru!$D$2:$D$10158, $B$1)</f>
        <v/>
      </c>
      <c r="Z4" s="14">
        <f>COUNTIFS(Başvuru!$P$2:$P$10158, "DÜZELTME", Başvuru!$D$2:$D$10158, $B$1)</f>
        <v/>
      </c>
      <c r="AA4" s="14">
        <f>COUNTIFS(Başvuru!$P$2:$P$10158, "KAEK", Başvuru!$D$2:$D$10158, $B$1)</f>
        <v/>
      </c>
      <c r="AB4" s="14">
        <f>COUNTIFS(Başvuru!$P$2:$P$10158, "GÖRÜŞ", Başvuru!$D$2:$D$10158, $B$1)</f>
        <v/>
      </c>
      <c r="AC4" s="14">
        <f>COUNTIFS(Başvuru!$P$2:$P$10158, "KAPSAM DIŞI", Başvuru!$D$2:$D$10158, $B$1)</f>
        <v/>
      </c>
      <c r="AD4" s="14">
        <f>COUNTIFS(Başvuru!$P$2:$P$10158, "RET", Başvuru!$D$2:$D$10158, $B$1)</f>
        <v/>
      </c>
      <c r="AE4" s="14">
        <f>COUNTIFS(Başvuru!$P$2:$P$10158, "GERİ ÇEKİLDİ", Başvuru!$D$2:$D$10158, $B$1)</f>
        <v/>
      </c>
    </row>
    <row r="5" ht="40.5" customHeight="1" s="221">
      <c r="A5" s="118" t="inlineStr">
        <is>
          <t>SBA NUMARASI</t>
        </is>
      </c>
      <c r="B5" s="118" t="inlineStr">
        <is>
          <t>SORUMLUSU</t>
        </is>
      </c>
      <c r="C5" s="118" t="inlineStr">
        <is>
          <t>BİRİMİ</t>
        </is>
      </c>
      <c r="D5" s="118" t="inlineStr">
        <is>
          <t>YERİ</t>
        </is>
      </c>
      <c r="E5" s="118" t="inlineStr">
        <is>
          <t>ADI</t>
        </is>
      </c>
      <c r="F5" s="118" t="inlineStr">
        <is>
          <t>NİTELİĞİ</t>
        </is>
      </c>
      <c r="G5" s="119" t="inlineStr">
        <is>
          <t>BAŞVURU TARİHİ</t>
        </is>
      </c>
      <c r="H5" s="119" t="inlineStr">
        <is>
          <t>KURUL TARİHİ</t>
        </is>
      </c>
      <c r="I5" s="118" t="inlineStr">
        <is>
          <t>RAPORTÖR 1</t>
        </is>
      </c>
      <c r="J5" s="118" t="inlineStr">
        <is>
          <t>RAPORTÖR 2</t>
        </is>
      </c>
      <c r="K5" s="118" t="inlineStr">
        <is>
          <t>KURUL KARARI 1</t>
        </is>
      </c>
      <c r="L5" s="118" t="inlineStr">
        <is>
          <t>KURUL KARARI 2</t>
        </is>
      </c>
      <c r="M5" s="118" t="inlineStr">
        <is>
          <t>KURUL KARARI 3</t>
        </is>
      </c>
      <c r="N5" s="118" t="inlineStr">
        <is>
          <t>KURUL KARARI 4</t>
        </is>
      </c>
      <c r="O5" s="118" t="inlineStr">
        <is>
          <t>GÜNCEL DURUM</t>
        </is>
      </c>
    </row>
    <row r="6">
      <c r="A6" s="147">
        <f t="array" ref="A6:O10">IF(OR(B1="",E1=""), "Lütfen Birim ve Tarih Seçiniz", _xlfn._xlws.FILTER(Başvuru!B2:P10158, (VALUE(Başvuru!I2:I10158)=VALUE(E1))*(TRIM(Başvuru!D2:D10158)=TRIM(B1)), "Bu birime ait kayıt bulunamadı."))</f>
        <v/>
      </c>
      <c r="B6" s="147" t="inlineStr">
        <is>
          <t>Prof. Dr. Mustafa CANKURTARAN</t>
        </is>
      </c>
      <c r="C6" s="147" t="inlineStr">
        <is>
          <t>İç Hastalıkları Anabilim Dalı</t>
        </is>
      </c>
      <c r="D6" s="147" t="inlineStr">
        <is>
          <t>Üniversitemiz Tıp Fakültesi İç Hastalıkları Anabilim Dalı öğretim üyelerinden Prof. Dr. Mustafa CANKURTARAN’ın sorumlu araştırmacı olduğu, Arş. Gör. Dr. Murat PEHLİVAN ile birlikte çalışacakları,</t>
        </is>
      </c>
      <c r="E6" s="148" t="inlineStr">
        <is>
          <t>“Mekanik Ventilasyon Uygulanan Geriatrik Hastalarda Solunum Yolu Mikrobiyom Disbiyozisi ve Pulmoner İnflamaging”</t>
        </is>
      </c>
      <c r="F6" s="147" t="inlineStr">
        <is>
          <t>Bireysel Araştırma</t>
        </is>
      </c>
      <c r="G6" s="148" t="n">
        <v>46071</v>
      </c>
      <c r="H6" s="148" t="n">
        <v>46084</v>
      </c>
      <c r="I6" s="147" t="inlineStr">
        <is>
          <t>Dr. Öğr. Üyesi Müge DEMİR</t>
        </is>
      </c>
      <c r="J6" s="147" t="inlineStr">
        <is>
          <t>Prof. Dr. Yavuz AYHAN</t>
        </is>
      </c>
      <c r="K6" s="147" t="inlineStr">
        <is>
          <t>KAPSAM DIŞI</t>
        </is>
      </c>
      <c r="L6" s="147" t="n">
        <v>0</v>
      </c>
      <c r="M6" s="147" t="n">
        <v>0</v>
      </c>
      <c r="N6" s="147" t="n">
        <v>0</v>
      </c>
      <c r="O6" s="147" t="inlineStr">
        <is>
          <t>KAPSAM DIŞI</t>
        </is>
      </c>
    </row>
    <row r="7">
      <c r="A7" s="147" t="inlineStr">
        <is>
          <t>SBA 26/198</t>
        </is>
      </c>
      <c r="B7" s="147" t="inlineStr">
        <is>
          <t>Prof. Dr. Mustafa CANKURTARAN</t>
        </is>
      </c>
      <c r="C7" s="147" t="inlineStr">
        <is>
          <t>İç Hastalıkları Anabilim Dalı</t>
        </is>
      </c>
      <c r="D7" s="147" t="inlineStr">
        <is>
          <t>Üniversitemiz Tıp Fakültesi İç Hastalıkları Anabilim Dalı öğretim üyelerinden Prof. Dr. Mustafa CANKURTARAN’ın sorumlu araştırmacı olduğu, Arş. Gör. Dr. Murat PEHLİVAN ile birlikte çalışacakları,</t>
        </is>
      </c>
      <c r="E7" s="148" t="inlineStr">
        <is>
          <t>“Akut Gastrointestinal Kanamalı Geriatrik Hastalarda İnflamatuvar, Nütrisyonel İndekslerin ve Demans Durumunun Analizi”</t>
        </is>
      </c>
      <c r="F7" s="147" t="inlineStr">
        <is>
          <t>Bireysel Araştırma</t>
        </is>
      </c>
      <c r="G7" s="148" t="n">
        <v>46071</v>
      </c>
      <c r="H7" s="148" t="n">
        <v>46084</v>
      </c>
      <c r="I7" s="147" t="inlineStr">
        <is>
          <t>Dr. Öğr. Üyesi Müge DEMİR</t>
        </is>
      </c>
      <c r="J7" s="147" t="inlineStr">
        <is>
          <t>Prof. Dr. Yavuz AYHAN</t>
        </is>
      </c>
      <c r="K7" s="147" t="inlineStr">
        <is>
          <t>KAPSAM DIŞI</t>
        </is>
      </c>
      <c r="L7" s="147" t="n">
        <v>0</v>
      </c>
      <c r="M7" s="147" t="n">
        <v>0</v>
      </c>
      <c r="N7" s="147" t="n">
        <v>0</v>
      </c>
      <c r="O7" s="147" t="inlineStr">
        <is>
          <t>KAPSAM DIŞI</t>
        </is>
      </c>
    </row>
    <row r="8">
      <c r="A8" s="147" t="inlineStr">
        <is>
          <t>SBA 26/199</t>
        </is>
      </c>
      <c r="B8" s="147" t="inlineStr">
        <is>
          <t>Prof. Dr. Mustafa CANKURTARAN</t>
        </is>
      </c>
      <c r="C8" s="147" t="inlineStr">
        <is>
          <t>İç Hastalıkları Anabilim Dalı</t>
        </is>
      </c>
      <c r="D8" s="147" t="inlineStr">
        <is>
          <t>Üniversitemiz Tıp Fakültesi İç Hastalıkları Anabilim Dalı öğretim üyelerinden Prof. Dr. Mustafa CANKURTARAN’ın sorumlu araştırmacı olduğu, Arş. Gör. Dr. Murat PEHLİVAN ile birlikte çalışacakları,</t>
        </is>
      </c>
      <c r="E8" s="148" t="inlineStr">
        <is>
          <t>“Suboptimal Ekokardiyografilerde Tanısal Belirsizlik ve Doğal Dil İşleme Analizi”</t>
        </is>
      </c>
      <c r="F8" s="147" t="inlineStr">
        <is>
          <t>Bireysel Araştırma</t>
        </is>
      </c>
      <c r="G8" s="148" t="n">
        <v>46071</v>
      </c>
      <c r="H8" s="148" t="n">
        <v>46084</v>
      </c>
      <c r="I8" s="147" t="inlineStr">
        <is>
          <t>Dr. Öğr. Üyesi Müge DEMİR</t>
        </is>
      </c>
      <c r="J8" s="147" t="inlineStr">
        <is>
          <t>Prof. Dr. Yavuz AYHAN</t>
        </is>
      </c>
      <c r="K8" s="147" t="inlineStr">
        <is>
          <t>KAPSAM DIŞI</t>
        </is>
      </c>
      <c r="L8" s="147" t="n">
        <v>0</v>
      </c>
      <c r="M8" s="147" t="n">
        <v>0</v>
      </c>
      <c r="N8" s="147" t="n">
        <v>0</v>
      </c>
      <c r="O8" s="147" t="inlineStr">
        <is>
          <t>KAPSAM DIŞI</t>
        </is>
      </c>
    </row>
    <row r="9">
      <c r="A9" s="147" t="inlineStr">
        <is>
          <t>SBA 26/201</t>
        </is>
      </c>
      <c r="B9" s="147" t="inlineStr">
        <is>
          <t>Prof. Dr. Meltem Gülhan HALİL</t>
        </is>
      </c>
      <c r="C9" s="147" t="inlineStr">
        <is>
          <t>İç Hastalıkları Anabilim Dalı</t>
        </is>
      </c>
      <c r="D9" s="147" t="inlineStr">
        <is>
          <t>Üniversitemiz Tıp Fakültesi İç Hastalıkları Anabilim Dalı öğretim üyelerinden Prof. Dr. Meltem Gülhan HALİL’in sorumlu araştırmacı olduğu, Arş. Gör. Dr. Ceyda KAYABAŞI ile birlikte çalışacakları,</t>
        </is>
      </c>
      <c r="E9" s="148" t="inlineStr">
        <is>
          <t>“Diabetes Mellitus Tanısı Olmayan Yaşlı Bireylerde Düşük Hba1c Düzeylerinin Mortalite ile İlişkisi”</t>
        </is>
      </c>
      <c r="F9" s="147" t="inlineStr">
        <is>
          <t>Bireysel Araştırma</t>
        </is>
      </c>
      <c r="G9" s="148" t="n">
        <v>46071</v>
      </c>
      <c r="H9" s="148" t="n">
        <v>46084</v>
      </c>
      <c r="I9" s="147" t="inlineStr">
        <is>
          <t>Doç. Dr. Kübra AYKAÇ</t>
        </is>
      </c>
      <c r="J9" s="147" t="inlineStr">
        <is>
          <t>Prof. Dr. Gözde GİRGİN</t>
        </is>
      </c>
      <c r="K9" s="147" t="inlineStr">
        <is>
          <t>GÖRÜŞ</t>
        </is>
      </c>
      <c r="L9" s="147" t="inlineStr">
        <is>
          <t>DÜZELTME</t>
        </is>
      </c>
      <c r="M9" s="147" t="n">
        <v>0</v>
      </c>
      <c r="N9" s="147" t="n">
        <v>0</v>
      </c>
      <c r="O9" s="147" t="inlineStr">
        <is>
          <t>DÜZELTME</t>
        </is>
      </c>
    </row>
    <row r="10">
      <c r="A10" s="147" t="inlineStr">
        <is>
          <t>SBA 26/225</t>
        </is>
      </c>
      <c r="B10" s="147" t="inlineStr">
        <is>
          <t>Prof. Dr. Meltem Gülhan HALİL</t>
        </is>
      </c>
      <c r="C10" s="147" t="inlineStr">
        <is>
          <t>İç Hastalıkları Anabilim Dalı</t>
        </is>
      </c>
      <c r="D10" s="147" t="inlineStr">
        <is>
          <t>Üniversitemiz Tıp Fakültesi İç Hastalıkları Anabilim Dalı öğretim üyelerinden Prof. Dr. Meltem Gülhan HALİL’in sorumlu araştırmacı olduğu, Arş. Gör. Dr. Okan TURHAN ile birlikte çalışacakları,</t>
        </is>
      </c>
      <c r="E10" s="148" t="inlineStr">
        <is>
          <t>“Geriatri Polikliniğine Başvuran Yaşlı Hastalarda C-Reaktif Protein Düzeyinin Tüm Nedenlere Bağlı Mortalite Üzerine Prognostik Etkisi: Tek Merkezli Retrospektif Kohort Çalışması”</t>
        </is>
      </c>
      <c r="F10" s="147" t="inlineStr">
        <is>
          <t>Bireysel Araştırma</t>
        </is>
      </c>
      <c r="G10" s="148" t="n">
        <v>46079</v>
      </c>
      <c r="H10" s="148" t="n">
        <v>46084</v>
      </c>
      <c r="I10" s="147" t="inlineStr">
        <is>
          <t>Prof. Dr. Yavuz AYHAN</t>
        </is>
      </c>
      <c r="J10" s="147" t="inlineStr">
        <is>
          <t>Doç. Dr. Tolga ÇAKMAK</t>
        </is>
      </c>
      <c r="K10" s="147" t="inlineStr">
        <is>
          <t>GÖRÜŞ</t>
        </is>
      </c>
      <c r="L10" s="147" t="inlineStr">
        <is>
          <t>DÜZELTME</t>
        </is>
      </c>
      <c r="M10" s="147" t="n">
        <v>0</v>
      </c>
      <c r="N10" s="147" t="n">
        <v>0</v>
      </c>
      <c r="O10" s="147" t="inlineStr">
        <is>
          <t>DÜZELTME</t>
        </is>
      </c>
    </row>
    <row r="11">
      <c r="G11" s="148" t="n"/>
      <c r="H11" s="148" t="n"/>
    </row>
    <row r="12">
      <c r="G12" s="148" t="n"/>
      <c r="H12" s="148" t="n"/>
    </row>
    <row r="13">
      <c r="G13" s="148" t="n"/>
      <c r="H13" s="148" t="n"/>
    </row>
    <row r="14">
      <c r="G14" s="148" t="n"/>
      <c r="H14" s="148" t="n"/>
    </row>
    <row r="15">
      <c r="G15" s="148" t="n"/>
      <c r="H15" s="148" t="n"/>
    </row>
    <row r="16">
      <c r="G16" s="148" t="n"/>
      <c r="H16" s="148" t="n"/>
    </row>
    <row r="17">
      <c r="G17" s="148" t="n"/>
      <c r="H17" s="148" t="n"/>
    </row>
    <row r="18">
      <c r="G18" s="148" t="n"/>
      <c r="H18" s="148" t="n"/>
    </row>
    <row r="19">
      <c r="G19" s="148" t="n"/>
      <c r="H19" s="148" t="n"/>
    </row>
    <row r="20">
      <c r="G20" s="148" t="n"/>
      <c r="H20" s="148" t="n"/>
    </row>
    <row r="21">
      <c r="G21" s="148" t="n"/>
      <c r="H21" s="148" t="n"/>
    </row>
    <row r="22">
      <c r="G22" s="148" t="n"/>
      <c r="H22" s="148" t="n"/>
    </row>
    <row r="23">
      <c r="G23" s="148" t="n"/>
      <c r="H23" s="148" t="n"/>
    </row>
    <row r="24">
      <c r="G24" s="148" t="n"/>
      <c r="H24" s="148" t="n"/>
    </row>
    <row r="25">
      <c r="G25" s="148" t="n"/>
      <c r="H25" s="148" t="n"/>
    </row>
    <row r="26">
      <c r="G26" s="148" t="n"/>
      <c r="H26" s="148" t="n"/>
    </row>
    <row r="27">
      <c r="G27" s="148" t="n"/>
      <c r="H27" s="148" t="n"/>
    </row>
    <row r="28">
      <c r="G28" s="148" t="n"/>
      <c r="H28" s="148" t="n"/>
    </row>
    <row r="29">
      <c r="G29" s="148" t="n"/>
      <c r="H29" s="148" t="n"/>
    </row>
    <row r="30">
      <c r="G30" s="148" t="n"/>
      <c r="H30" s="148" t="n"/>
    </row>
    <row r="31">
      <c r="G31" s="148" t="n"/>
      <c r="H31" s="148" t="n"/>
    </row>
    <row r="32">
      <c r="G32" s="148" t="n"/>
      <c r="H32" s="148" t="n"/>
    </row>
    <row r="33">
      <c r="G33" s="148" t="n"/>
      <c r="H33" s="148" t="n"/>
    </row>
    <row r="34">
      <c r="G34" s="148" t="n"/>
      <c r="H34" s="148" t="n"/>
    </row>
    <row r="35">
      <c r="G35" s="148" t="n"/>
      <c r="H35" s="148" t="n"/>
    </row>
    <row r="36">
      <c r="G36" s="148" t="n"/>
      <c r="H36" s="148" t="n"/>
    </row>
    <row r="37">
      <c r="G37" s="148" t="n"/>
      <c r="H37" s="148" t="n"/>
    </row>
    <row r="38">
      <c r="G38" s="148" t="n"/>
      <c r="H38" s="148" t="n"/>
    </row>
    <row r="39">
      <c r="G39" s="148" t="n"/>
      <c r="H39" s="148" t="n"/>
    </row>
    <row r="40">
      <c r="G40" s="148" t="n"/>
      <c r="H40" s="148" t="n"/>
    </row>
    <row r="41">
      <c r="G41" s="148" t="n"/>
      <c r="H41" s="148" t="n"/>
    </row>
    <row r="42">
      <c r="G42" s="148" t="n"/>
      <c r="H42" s="148" t="n"/>
    </row>
    <row r="43">
      <c r="G43" s="148" t="n"/>
      <c r="H43" s="148" t="n"/>
    </row>
    <row r="44">
      <c r="G44" s="148" t="n"/>
      <c r="H44" s="148" t="n"/>
    </row>
    <row r="45">
      <c r="G45" s="148" t="n"/>
      <c r="H45" s="148" t="n"/>
    </row>
    <row r="46">
      <c r="G46" s="148" t="n"/>
      <c r="H46" s="148" t="n"/>
    </row>
    <row r="47">
      <c r="G47" s="148" t="n"/>
      <c r="H47" s="148" t="n"/>
    </row>
    <row r="48">
      <c r="G48" s="148" t="n"/>
      <c r="H48" s="148" t="n"/>
    </row>
    <row r="49">
      <c r="G49" s="148" t="n"/>
      <c r="H49" s="148" t="n"/>
    </row>
    <row r="50">
      <c r="G50" s="148" t="n"/>
      <c r="H50" s="148" t="n"/>
    </row>
    <row r="51">
      <c r="G51" s="148" t="n"/>
      <c r="H51" s="148" t="n"/>
    </row>
    <row r="52">
      <c r="G52" s="148" t="n"/>
      <c r="H52" s="148" t="n"/>
    </row>
    <row r="53">
      <c r="G53" s="148" t="n"/>
      <c r="H53" s="148" t="n"/>
    </row>
    <row r="54">
      <c r="G54" s="148" t="n"/>
      <c r="H54" s="148" t="n"/>
    </row>
    <row r="55">
      <c r="G55" s="148" t="n"/>
      <c r="H55" s="148" t="n"/>
    </row>
    <row r="56">
      <c r="G56" s="148" t="n"/>
      <c r="H56" s="148" t="n"/>
    </row>
    <row r="57">
      <c r="G57" s="148" t="n"/>
      <c r="H57" s="148" t="n"/>
    </row>
    <row r="58">
      <c r="G58" s="148" t="n"/>
      <c r="H58" s="148" t="n"/>
    </row>
    <row r="59">
      <c r="G59" s="148" t="n"/>
      <c r="H59" s="148" t="n"/>
    </row>
    <row r="60">
      <c r="G60" s="148" t="n"/>
      <c r="H60" s="148" t="n"/>
    </row>
    <row r="61">
      <c r="G61" s="148" t="n"/>
      <c r="H61" s="148" t="n"/>
    </row>
    <row r="62">
      <c r="G62" s="148" t="n"/>
      <c r="H62" s="148" t="n"/>
    </row>
    <row r="63">
      <c r="G63" s="148" t="n"/>
      <c r="H63" s="148" t="n"/>
    </row>
    <row r="64">
      <c r="G64" s="148" t="n"/>
      <c r="H64" s="148" t="n"/>
    </row>
    <row r="65">
      <c r="G65" s="148" t="n"/>
      <c r="H65" s="148" t="n"/>
    </row>
    <row r="66">
      <c r="G66" s="148" t="n"/>
      <c r="H66" s="148" t="n"/>
    </row>
    <row r="67">
      <c r="G67" s="148" t="n"/>
      <c r="H67" s="148" t="n"/>
    </row>
    <row r="68">
      <c r="G68" s="148" t="n"/>
      <c r="H68" s="148" t="n"/>
    </row>
    <row r="69">
      <c r="G69" s="148" t="n"/>
      <c r="H69" s="148" t="n"/>
    </row>
    <row r="70">
      <c r="G70" s="148" t="n"/>
      <c r="H70" s="148" t="n"/>
    </row>
    <row r="71">
      <c r="G71" s="148" t="n"/>
      <c r="H71" s="148" t="n"/>
    </row>
    <row r="72">
      <c r="G72" s="148" t="n"/>
      <c r="H72" s="148" t="n"/>
    </row>
    <row r="73">
      <c r="G73" s="148" t="n"/>
      <c r="H73" s="148" t="n"/>
    </row>
    <row r="74">
      <c r="G74" s="148" t="n"/>
      <c r="H74" s="148" t="n"/>
    </row>
    <row r="75">
      <c r="G75" s="148" t="n"/>
      <c r="H75" s="148" t="n"/>
    </row>
    <row r="76">
      <c r="G76" s="148" t="n"/>
      <c r="H76" s="148" t="n"/>
    </row>
    <row r="77">
      <c r="G77" s="148" t="n"/>
      <c r="H77" s="148" t="n"/>
    </row>
    <row r="78">
      <c r="G78" s="148" t="n"/>
      <c r="H78" s="148" t="n"/>
    </row>
    <row r="79">
      <c r="G79" s="148" t="n"/>
      <c r="H79" s="148" t="n"/>
    </row>
    <row r="80">
      <c r="G80" s="148" t="n"/>
      <c r="H80" s="148" t="n"/>
    </row>
    <row r="81">
      <c r="G81" s="148" t="n"/>
      <c r="H81" s="148" t="n"/>
    </row>
    <row r="82">
      <c r="G82" s="148" t="n"/>
      <c r="H82" s="148" t="n"/>
    </row>
    <row r="83">
      <c r="G83" s="148" t="n"/>
      <c r="H83" s="148" t="n"/>
    </row>
    <row r="84">
      <c r="G84" s="148" t="n"/>
      <c r="H84" s="148" t="n"/>
    </row>
    <row r="85">
      <c r="G85" s="148" t="n"/>
      <c r="H85" s="148" t="n"/>
    </row>
    <row r="86">
      <c r="G86" s="148" t="n"/>
      <c r="H86" s="148" t="n"/>
    </row>
    <row r="87">
      <c r="G87" s="148" t="n"/>
      <c r="H87" s="148" t="n"/>
    </row>
    <row r="88">
      <c r="G88" s="148" t="n"/>
      <c r="H88" s="148" t="n"/>
    </row>
    <row r="89">
      <c r="G89" s="148" t="n"/>
      <c r="H89" s="148" t="n"/>
    </row>
    <row r="90">
      <c r="G90" s="148" t="n"/>
      <c r="H90" s="148" t="n"/>
    </row>
    <row r="91">
      <c r="G91" s="148" t="n"/>
      <c r="H91" s="148" t="n"/>
    </row>
    <row r="92">
      <c r="G92" s="148" t="n"/>
      <c r="H92" s="148" t="n"/>
    </row>
    <row r="93">
      <c r="G93" s="148" t="n"/>
      <c r="H93" s="148" t="n"/>
    </row>
    <row r="94">
      <c r="G94" s="148" t="n"/>
      <c r="H94" s="148" t="n"/>
    </row>
    <row r="95">
      <c r="G95" s="148" t="n"/>
      <c r="H95" s="148" t="n"/>
    </row>
    <row r="96">
      <c r="G96" s="148" t="n"/>
      <c r="H96" s="148" t="n"/>
    </row>
    <row r="97">
      <c r="G97" s="148" t="n"/>
      <c r="H97" s="148" t="n"/>
    </row>
    <row r="98">
      <c r="G98" s="148" t="n"/>
      <c r="H98" s="148" t="n"/>
    </row>
    <row r="99">
      <c r="G99" s="148" t="n"/>
      <c r="H99" s="148" t="n"/>
    </row>
    <row r="100">
      <c r="G100" s="148" t="n"/>
      <c r="H100" s="148" t="n"/>
    </row>
    <row r="101">
      <c r="G101" s="148" t="n"/>
      <c r="H101" s="148" t="n"/>
    </row>
    <row r="102">
      <c r="G102" s="148" t="n"/>
      <c r="H102" s="148" t="n"/>
    </row>
    <row r="103">
      <c r="G103" s="148" t="n"/>
      <c r="H103" s="148" t="n"/>
    </row>
    <row r="104">
      <c r="G104" s="148" t="n"/>
      <c r="H104" s="148" t="n"/>
    </row>
    <row r="105">
      <c r="G105" s="148" t="n"/>
      <c r="H105" s="148" t="n"/>
    </row>
    <row r="106">
      <c r="G106" s="148" t="n"/>
      <c r="H106" s="148" t="n"/>
    </row>
    <row r="107">
      <c r="G107" s="148" t="n"/>
      <c r="H107" s="148" t="n"/>
    </row>
    <row r="108">
      <c r="G108" s="148" t="n"/>
      <c r="H108" s="148" t="n"/>
    </row>
    <row r="109">
      <c r="G109" s="148" t="n"/>
      <c r="H109" s="148" t="n"/>
    </row>
    <row r="110">
      <c r="G110" s="148" t="n"/>
      <c r="H110" s="148" t="n"/>
    </row>
    <row r="111">
      <c r="G111" s="148" t="n"/>
      <c r="H111" s="148" t="n"/>
    </row>
    <row r="112">
      <c r="G112" s="148" t="n"/>
      <c r="H112" s="148" t="n"/>
    </row>
    <row r="113">
      <c r="G113" s="148" t="n"/>
      <c r="H113" s="148" t="n"/>
    </row>
    <row r="114">
      <c r="G114" s="148" t="n"/>
      <c r="H114" s="148" t="n"/>
    </row>
    <row r="115">
      <c r="G115" s="148" t="n"/>
      <c r="H115" s="148" t="n"/>
    </row>
    <row r="116">
      <c r="G116" s="148" t="n"/>
      <c r="H116" s="148" t="n"/>
    </row>
    <row r="117">
      <c r="G117" s="148" t="n"/>
      <c r="H117" s="148" t="n"/>
    </row>
    <row r="118">
      <c r="G118" s="148" t="n"/>
      <c r="H118" s="148" t="n"/>
    </row>
    <row r="119">
      <c r="G119" s="148" t="n"/>
      <c r="H119" s="148" t="n"/>
    </row>
    <row r="120">
      <c r="G120" s="148" t="n"/>
      <c r="H120" s="148" t="n"/>
    </row>
    <row r="121">
      <c r="G121" s="148" t="n"/>
      <c r="H121" s="148" t="n"/>
    </row>
    <row r="122">
      <c r="G122" s="148" t="n"/>
      <c r="H122" s="148" t="n"/>
    </row>
    <row r="123">
      <c r="G123" s="148" t="n"/>
      <c r="H123" s="148" t="n"/>
    </row>
    <row r="124">
      <c r="G124" s="148" t="n"/>
      <c r="H124" s="148" t="n"/>
    </row>
    <row r="125">
      <c r="G125" s="148" t="n"/>
      <c r="H125" s="148" t="n"/>
    </row>
    <row r="126">
      <c r="G126" s="148" t="n"/>
      <c r="H126" s="148" t="n"/>
    </row>
    <row r="127">
      <c r="G127" s="148" t="n"/>
      <c r="H127" s="148" t="n"/>
    </row>
    <row r="128">
      <c r="G128" s="148" t="n"/>
      <c r="H128" s="148" t="n"/>
    </row>
    <row r="129">
      <c r="G129" s="148" t="n"/>
      <c r="H129" s="148" t="n"/>
    </row>
    <row r="130">
      <c r="G130" s="148" t="n"/>
      <c r="H130" s="148" t="n"/>
    </row>
    <row r="131">
      <c r="G131" s="148" t="n"/>
      <c r="H131" s="148" t="n"/>
    </row>
    <row r="132">
      <c r="G132" s="148" t="n"/>
      <c r="H132" s="148" t="n"/>
    </row>
    <row r="133">
      <c r="G133" s="148" t="n"/>
      <c r="H133" s="148" t="n"/>
    </row>
    <row r="134">
      <c r="G134" s="148" t="n"/>
      <c r="H134" s="148" t="n"/>
    </row>
    <row r="135">
      <c r="G135" s="148" t="n"/>
      <c r="H135" s="148" t="n"/>
    </row>
    <row r="136">
      <c r="G136" s="148" t="n"/>
      <c r="H136" s="148" t="n"/>
    </row>
    <row r="137">
      <c r="G137" s="148" t="n"/>
      <c r="H137" s="148" t="n"/>
    </row>
    <row r="138">
      <c r="G138" s="148" t="n"/>
      <c r="H138" s="148" t="n"/>
    </row>
    <row r="139">
      <c r="G139" s="148" t="n"/>
      <c r="H139" s="148" t="n"/>
    </row>
    <row r="140">
      <c r="G140" s="148" t="n"/>
      <c r="H140" s="148" t="n"/>
    </row>
    <row r="141">
      <c r="G141" s="148" t="n"/>
      <c r="H141" s="148" t="n"/>
    </row>
    <row r="142">
      <c r="G142" s="148" t="n"/>
      <c r="H142" s="148" t="n"/>
    </row>
    <row r="143">
      <c r="G143" s="148" t="n"/>
      <c r="H143" s="148" t="n"/>
    </row>
    <row r="144">
      <c r="G144" s="148" t="n"/>
      <c r="H144" s="148" t="n"/>
    </row>
    <row r="145">
      <c r="G145" s="148" t="n"/>
      <c r="H145" s="148" t="n"/>
    </row>
    <row r="146">
      <c r="G146" s="148" t="n"/>
      <c r="H146" s="148" t="n"/>
    </row>
    <row r="147">
      <c r="G147" s="148" t="n"/>
      <c r="H147" s="148" t="n"/>
    </row>
    <row r="148">
      <c r="G148" s="148" t="n"/>
      <c r="H148" s="148" t="n"/>
    </row>
    <row r="149">
      <c r="G149" s="148" t="n"/>
      <c r="H149" s="148" t="n"/>
    </row>
    <row r="150">
      <c r="G150" s="148" t="n"/>
      <c r="H150" s="148" t="n"/>
    </row>
    <row r="151">
      <c r="G151" s="148" t="n"/>
      <c r="H151" s="148" t="n"/>
    </row>
    <row r="152">
      <c r="G152" s="148" t="n"/>
      <c r="H152" s="148" t="n"/>
    </row>
    <row r="153">
      <c r="G153" s="148" t="n"/>
      <c r="H153" s="148" t="n"/>
    </row>
    <row r="154">
      <c r="G154" s="148" t="n"/>
      <c r="H154" s="148" t="n"/>
    </row>
    <row r="155">
      <c r="G155" s="148" t="n"/>
      <c r="H155" s="148" t="n"/>
    </row>
    <row r="156">
      <c r="G156" s="148" t="n"/>
      <c r="H156" s="148" t="n"/>
    </row>
    <row r="157">
      <c r="G157" s="148" t="n"/>
      <c r="H157" s="148" t="n"/>
    </row>
    <row r="158">
      <c r="G158" s="148" t="n"/>
      <c r="H158" s="148" t="n"/>
    </row>
    <row r="159">
      <c r="G159" s="148" t="n"/>
      <c r="H159" s="148" t="n"/>
    </row>
    <row r="160">
      <c r="G160" s="148" t="n"/>
      <c r="H160" s="148" t="n"/>
    </row>
    <row r="161">
      <c r="G161" s="148" t="n"/>
      <c r="H161" s="148" t="n"/>
    </row>
    <row r="162">
      <c r="G162" s="148" t="n"/>
      <c r="H162" s="148" t="n"/>
    </row>
    <row r="163">
      <c r="G163" s="148" t="n"/>
      <c r="H163" s="148" t="n"/>
    </row>
    <row r="164">
      <c r="G164" s="148" t="n"/>
      <c r="H164" s="148" t="n"/>
    </row>
    <row r="165">
      <c r="G165" s="148" t="n"/>
      <c r="H165" s="148" t="n"/>
    </row>
    <row r="166">
      <c r="G166" s="148" t="n"/>
      <c r="H166" s="148" t="n"/>
    </row>
    <row r="167">
      <c r="G167" s="148" t="n"/>
      <c r="H167" s="148" t="n"/>
    </row>
    <row r="168">
      <c r="G168" s="148" t="n"/>
      <c r="H168" s="148" t="n"/>
    </row>
    <row r="169">
      <c r="G169" s="148" t="n"/>
      <c r="H169" s="148" t="n"/>
    </row>
    <row r="170">
      <c r="G170" s="148" t="n"/>
      <c r="H170" s="148" t="n"/>
    </row>
    <row r="171">
      <c r="G171" s="148" t="n"/>
      <c r="H171" s="148" t="n"/>
    </row>
    <row r="172">
      <c r="G172" s="148" t="n"/>
      <c r="H172" s="148" t="n"/>
    </row>
    <row r="173">
      <c r="G173" s="148" t="n"/>
      <c r="H173" s="148" t="n"/>
    </row>
    <row r="174">
      <c r="G174" s="148" t="n"/>
      <c r="H174" s="148" t="n"/>
    </row>
    <row r="175">
      <c r="G175" s="148" t="n"/>
      <c r="H175" s="148" t="n"/>
    </row>
    <row r="176">
      <c r="G176" s="148" t="n"/>
      <c r="H176" s="148" t="n"/>
    </row>
    <row r="177">
      <c r="G177" s="148" t="n"/>
      <c r="H177" s="148" t="n"/>
    </row>
    <row r="178">
      <c r="G178" s="148" t="n"/>
      <c r="H178" s="148" t="n"/>
    </row>
    <row r="179">
      <c r="G179" s="148" t="n"/>
      <c r="H179" s="148" t="n"/>
    </row>
    <row r="180">
      <c r="G180" s="148" t="n"/>
      <c r="H180" s="148" t="n"/>
    </row>
    <row r="181">
      <c r="G181" s="148" t="n"/>
      <c r="H181" s="148" t="n"/>
    </row>
    <row r="182">
      <c r="G182" s="148" t="n"/>
      <c r="H182" s="148" t="n"/>
    </row>
    <row r="183">
      <c r="G183" s="148" t="n"/>
      <c r="H183" s="148" t="n"/>
    </row>
    <row r="184">
      <c r="G184" s="148" t="n"/>
      <c r="H184" s="148" t="n"/>
    </row>
    <row r="185">
      <c r="G185" s="148" t="n"/>
      <c r="H185" s="148" t="n"/>
    </row>
    <row r="186">
      <c r="G186" s="148" t="n"/>
      <c r="H186" s="148" t="n"/>
    </row>
    <row r="187">
      <c r="G187" s="148" t="n"/>
      <c r="H187" s="148" t="n"/>
    </row>
    <row r="188">
      <c r="G188" s="148" t="n"/>
      <c r="H188" s="148" t="n"/>
    </row>
    <row r="189">
      <c r="G189" s="148" t="n"/>
      <c r="H189" s="148" t="n"/>
    </row>
    <row r="190">
      <c r="G190" s="148" t="n"/>
      <c r="H190" s="148" t="n"/>
    </row>
    <row r="191">
      <c r="G191" s="148" t="n"/>
      <c r="H191" s="148" t="n"/>
    </row>
    <row r="192">
      <c r="G192" s="148" t="n"/>
      <c r="H192" s="148" t="n"/>
    </row>
    <row r="193">
      <c r="G193" s="148" t="n"/>
      <c r="H193" s="148" t="n"/>
    </row>
    <row r="194">
      <c r="G194" s="148" t="n"/>
      <c r="H194" s="148" t="n"/>
    </row>
    <row r="195">
      <c r="G195" s="148" t="n"/>
      <c r="H195" s="148" t="n"/>
    </row>
    <row r="196">
      <c r="G196" s="148" t="n"/>
      <c r="H196" s="148" t="n"/>
    </row>
    <row r="197">
      <c r="G197" s="148" t="n"/>
      <c r="H197" s="148" t="n"/>
    </row>
    <row r="198">
      <c r="G198" s="148" t="n"/>
      <c r="H198" s="148" t="n"/>
    </row>
    <row r="199">
      <c r="G199" s="148" t="n"/>
      <c r="H199" s="148" t="n"/>
    </row>
    <row r="200">
      <c r="G200" s="148" t="n"/>
      <c r="H200" s="148" t="n"/>
    </row>
    <row r="201">
      <c r="G201" s="148" t="n"/>
      <c r="H201" s="148" t="n"/>
    </row>
    <row r="202">
      <c r="G202" s="148" t="n"/>
      <c r="H202" s="148" t="n"/>
    </row>
    <row r="203">
      <c r="G203" s="148" t="n"/>
      <c r="H203" s="148" t="n"/>
    </row>
    <row r="204">
      <c r="G204" s="148" t="n"/>
      <c r="H204" s="148" t="n"/>
    </row>
    <row r="205">
      <c r="G205" s="148" t="n"/>
      <c r="H205" s="148" t="n"/>
    </row>
    <row r="206">
      <c r="G206" s="148" t="n"/>
      <c r="H206" s="148" t="n"/>
    </row>
    <row r="207">
      <c r="G207" s="148" t="n"/>
      <c r="H207" s="148" t="n"/>
    </row>
    <row r="208">
      <c r="G208" s="148" t="n"/>
      <c r="H208" s="148" t="n"/>
    </row>
    <row r="209">
      <c r="G209" s="148" t="n"/>
      <c r="H209" s="148" t="n"/>
    </row>
    <row r="210">
      <c r="G210" s="148" t="n"/>
      <c r="H210" s="148" t="n"/>
    </row>
    <row r="211">
      <c r="G211" s="148" t="n"/>
      <c r="H211" s="148" t="n"/>
    </row>
    <row r="212">
      <c r="G212" s="148" t="n"/>
      <c r="H212" s="148" t="n"/>
    </row>
    <row r="213">
      <c r="G213" s="148" t="n"/>
      <c r="H213" s="148" t="n"/>
    </row>
    <row r="214">
      <c r="G214" s="148" t="n"/>
      <c r="H214" s="148" t="n"/>
    </row>
    <row r="215">
      <c r="G215" s="148" t="n"/>
      <c r="H215" s="148" t="n"/>
    </row>
    <row r="216">
      <c r="G216" s="148" t="n"/>
      <c r="H216" s="148" t="n"/>
    </row>
    <row r="217">
      <c r="G217" s="148" t="n"/>
      <c r="H217" s="148" t="n"/>
    </row>
    <row r="218">
      <c r="G218" s="148" t="n"/>
      <c r="H218" s="148" t="n"/>
    </row>
    <row r="219">
      <c r="G219" s="148" t="n"/>
      <c r="H219" s="148" t="n"/>
    </row>
    <row r="220">
      <c r="G220" s="148" t="n"/>
      <c r="H220" s="148" t="n"/>
    </row>
    <row r="221">
      <c r="G221" s="148" t="n"/>
      <c r="H221" s="148" t="n"/>
    </row>
    <row r="222">
      <c r="G222" s="148" t="n"/>
      <c r="H222" s="148" t="n"/>
    </row>
    <row r="223">
      <c r="G223" s="148" t="n"/>
      <c r="H223" s="148" t="n"/>
    </row>
    <row r="224">
      <c r="G224" s="148" t="n"/>
      <c r="H224" s="148" t="n"/>
    </row>
    <row r="225">
      <c r="G225" s="148" t="n"/>
      <c r="H225" s="148" t="n"/>
    </row>
    <row r="226">
      <c r="G226" s="148" t="n"/>
      <c r="H226" s="148" t="n"/>
    </row>
    <row r="227">
      <c r="G227" s="148" t="n"/>
      <c r="H227" s="148" t="n"/>
    </row>
    <row r="228">
      <c r="G228" s="148" t="n"/>
      <c r="H228" s="148" t="n"/>
    </row>
    <row r="229">
      <c r="G229" s="148" t="n"/>
      <c r="H229" s="148" t="n"/>
    </row>
    <row r="230">
      <c r="G230" s="148" t="n"/>
      <c r="H230" s="148" t="n"/>
    </row>
    <row r="231">
      <c r="G231" s="148" t="n"/>
      <c r="H231" s="148" t="n"/>
    </row>
    <row r="232">
      <c r="G232" s="148" t="n"/>
      <c r="H232" s="148" t="n"/>
    </row>
    <row r="233">
      <c r="G233" s="148" t="n"/>
      <c r="H233" s="148" t="n"/>
    </row>
    <row r="234">
      <c r="G234" s="148" t="n"/>
      <c r="H234" s="148" t="n"/>
    </row>
    <row r="235">
      <c r="G235" s="148" t="n"/>
      <c r="H235" s="148" t="n"/>
    </row>
    <row r="236">
      <c r="G236" s="148" t="n"/>
      <c r="H236" s="148" t="n"/>
    </row>
    <row r="237">
      <c r="G237" s="148" t="n"/>
      <c r="H237" s="148" t="n"/>
    </row>
    <row r="238">
      <c r="G238" s="148" t="n"/>
      <c r="H238" s="148" t="n"/>
    </row>
    <row r="239">
      <c r="G239" s="148" t="n"/>
      <c r="H239" s="148" t="n"/>
    </row>
    <row r="240">
      <c r="G240" s="148" t="n"/>
      <c r="H240" s="148" t="n"/>
    </row>
    <row r="241">
      <c r="G241" s="148" t="n"/>
      <c r="H241" s="148" t="n"/>
    </row>
    <row r="242">
      <c r="G242" s="148" t="n"/>
      <c r="H242" s="148" t="n"/>
    </row>
    <row r="243">
      <c r="G243" s="148" t="n"/>
      <c r="H243" s="148" t="n"/>
    </row>
    <row r="244">
      <c r="G244" s="148" t="n"/>
      <c r="H244" s="148" t="n"/>
    </row>
    <row r="245">
      <c r="G245" s="148" t="n"/>
      <c r="H245" s="148" t="n"/>
    </row>
    <row r="246">
      <c r="G246" s="148" t="n"/>
      <c r="H246" s="148" t="n"/>
    </row>
    <row r="247">
      <c r="G247" s="148" t="n"/>
      <c r="H247" s="148" t="n"/>
    </row>
    <row r="248">
      <c r="G248" s="148" t="n"/>
      <c r="H248" s="148" t="n"/>
    </row>
    <row r="249">
      <c r="G249" s="148" t="n"/>
      <c r="H249" s="148" t="n"/>
    </row>
    <row r="250">
      <c r="G250" s="148" t="n"/>
      <c r="H250" s="148" t="n"/>
    </row>
    <row r="251">
      <c r="G251" s="148" t="n"/>
      <c r="H251" s="148" t="n"/>
    </row>
    <row r="252">
      <c r="G252" s="148" t="n"/>
      <c r="H252" s="148" t="n"/>
    </row>
    <row r="253">
      <c r="G253" s="148" t="n"/>
      <c r="H253" s="148" t="n"/>
    </row>
    <row r="254">
      <c r="G254" s="148" t="n"/>
      <c r="H254" s="148" t="n"/>
    </row>
    <row r="255">
      <c r="G255" s="148" t="n"/>
      <c r="H255" s="148" t="n"/>
    </row>
    <row r="256">
      <c r="G256" s="148" t="n"/>
      <c r="H256" s="148" t="n"/>
    </row>
    <row r="257">
      <c r="G257" s="148" t="n"/>
      <c r="H257" s="148" t="n"/>
    </row>
    <row r="258">
      <c r="G258" s="148" t="n"/>
      <c r="H258" s="148" t="n"/>
    </row>
    <row r="259">
      <c r="G259" s="148" t="n"/>
      <c r="H259" s="148" t="n"/>
    </row>
    <row r="260">
      <c r="G260" s="148" t="n"/>
      <c r="H260" s="148" t="n"/>
    </row>
    <row r="261">
      <c r="G261" s="148" t="n"/>
      <c r="H261" s="148" t="n"/>
    </row>
    <row r="262">
      <c r="G262" s="148" t="n"/>
      <c r="H262" s="148" t="n"/>
    </row>
    <row r="263">
      <c r="G263" s="148" t="n"/>
      <c r="H263" s="148" t="n"/>
    </row>
    <row r="264">
      <c r="G264" s="148" t="n"/>
      <c r="H264" s="148" t="n"/>
    </row>
    <row r="265">
      <c r="G265" s="148" t="n"/>
      <c r="H265" s="148" t="n"/>
    </row>
    <row r="266">
      <c r="G266" s="148" t="n"/>
      <c r="H266" s="148" t="n"/>
    </row>
    <row r="267">
      <c r="G267" s="148" t="n"/>
      <c r="H267" s="148" t="n"/>
    </row>
    <row r="268">
      <c r="G268" s="148" t="n"/>
      <c r="H268" s="148" t="n"/>
    </row>
    <row r="269">
      <c r="G269" s="148" t="n"/>
      <c r="H269" s="148" t="n"/>
    </row>
    <row r="270">
      <c r="G270" s="148" t="n"/>
      <c r="H270" s="148" t="n"/>
    </row>
    <row r="271">
      <c r="G271" s="148" t="n"/>
      <c r="H271" s="148" t="n"/>
    </row>
    <row r="272">
      <c r="G272" s="148" t="n"/>
      <c r="H272" s="148" t="n"/>
    </row>
    <row r="273">
      <c r="G273" s="148" t="n"/>
      <c r="H273" s="148" t="n"/>
    </row>
    <row r="274">
      <c r="G274" s="148" t="n"/>
      <c r="H274" s="148" t="n"/>
    </row>
    <row r="275">
      <c r="G275" s="148" t="n"/>
      <c r="H275" s="148" t="n"/>
    </row>
    <row r="276">
      <c r="G276" s="148" t="n"/>
      <c r="H276" s="148" t="n"/>
    </row>
    <row r="277">
      <c r="G277" s="148" t="n"/>
      <c r="H277" s="148" t="n"/>
    </row>
    <row r="278">
      <c r="G278" s="148" t="n"/>
      <c r="H278" s="148" t="n"/>
    </row>
    <row r="279">
      <c r="G279" s="148" t="n"/>
      <c r="H279" s="148" t="n"/>
    </row>
    <row r="280">
      <c r="G280" s="148" t="n"/>
      <c r="H280" s="148" t="n"/>
    </row>
    <row r="281">
      <c r="G281" s="148" t="n"/>
      <c r="H281" s="148" t="n"/>
    </row>
    <row r="282">
      <c r="G282" s="148" t="n"/>
      <c r="H282" s="148" t="n"/>
    </row>
    <row r="283">
      <c r="G283" s="148" t="n"/>
      <c r="H283" s="148" t="n"/>
    </row>
    <row r="284">
      <c r="G284" s="148" t="n"/>
      <c r="H284" s="148" t="n"/>
    </row>
    <row r="285">
      <c r="G285" s="148" t="n"/>
      <c r="H285" s="148" t="n"/>
    </row>
    <row r="286">
      <c r="G286" s="148" t="n"/>
      <c r="H286" s="148" t="n"/>
    </row>
    <row r="287">
      <c r="G287" s="148" t="n"/>
      <c r="H287" s="148" t="n"/>
    </row>
    <row r="288">
      <c r="G288" s="148" t="n"/>
      <c r="H288" s="148" t="n"/>
    </row>
    <row r="289">
      <c r="G289" s="148" t="n"/>
      <c r="H289" s="148" t="n"/>
    </row>
    <row r="290">
      <c r="G290" s="148" t="n"/>
      <c r="H290" s="148" t="n"/>
    </row>
    <row r="291">
      <c r="G291" s="148" t="n"/>
      <c r="H291" s="148" t="n"/>
    </row>
    <row r="292">
      <c r="G292" s="148" t="n"/>
      <c r="H292" s="148" t="n"/>
    </row>
    <row r="293">
      <c r="G293" s="148" t="n"/>
      <c r="H293" s="148" t="n"/>
    </row>
    <row r="294">
      <c r="G294" s="148" t="n"/>
      <c r="H294" s="148" t="n"/>
    </row>
    <row r="295">
      <c r="G295" s="148" t="n"/>
      <c r="H295" s="148" t="n"/>
    </row>
    <row r="296">
      <c r="G296" s="148" t="n"/>
      <c r="H296" s="148" t="n"/>
    </row>
    <row r="297">
      <c r="G297" s="148" t="n"/>
      <c r="H297" s="148" t="n"/>
    </row>
    <row r="298">
      <c r="G298" s="148" t="n"/>
      <c r="H298" s="148" t="n"/>
    </row>
    <row r="299">
      <c r="G299" s="148" t="n"/>
      <c r="H299" s="148" t="n"/>
    </row>
    <row r="300">
      <c r="G300" s="148" t="n"/>
      <c r="H300" s="148" t="n"/>
    </row>
    <row r="301">
      <c r="G301" s="148" t="n"/>
      <c r="H301" s="148" t="n"/>
    </row>
    <row r="302">
      <c r="G302" s="148" t="n"/>
      <c r="H302" s="148" t="n"/>
    </row>
    <row r="303">
      <c r="G303" s="148" t="n"/>
      <c r="H303" s="148" t="n"/>
    </row>
    <row r="304">
      <c r="G304" s="148" t="n"/>
      <c r="H304" s="148" t="n"/>
    </row>
    <row r="305">
      <c r="G305" s="148" t="n"/>
      <c r="H305" s="148" t="n"/>
    </row>
    <row r="306">
      <c r="G306" s="148" t="n"/>
      <c r="H306" s="148" t="n"/>
    </row>
    <row r="307">
      <c r="G307" s="148" t="n"/>
      <c r="H307" s="148" t="n"/>
    </row>
    <row r="308">
      <c r="G308" s="148" t="n"/>
      <c r="H308" s="148" t="n"/>
    </row>
    <row r="309">
      <c r="G309" s="148" t="n"/>
      <c r="H309" s="148" t="n"/>
    </row>
    <row r="310">
      <c r="G310" s="148" t="n"/>
      <c r="H310" s="148" t="n"/>
    </row>
    <row r="311">
      <c r="G311" s="148" t="n"/>
      <c r="H311" s="148" t="n"/>
    </row>
    <row r="312">
      <c r="G312" s="148" t="n"/>
      <c r="H312" s="148" t="n"/>
    </row>
    <row r="313">
      <c r="G313" s="148" t="n"/>
      <c r="H313" s="148" t="n"/>
    </row>
    <row r="314">
      <c r="G314" s="148" t="n"/>
      <c r="H314" s="148" t="n"/>
    </row>
    <row r="315">
      <c r="G315" s="148" t="n"/>
      <c r="H315" s="148" t="n"/>
    </row>
    <row r="316">
      <c r="G316" s="148" t="n"/>
      <c r="H316" s="148" t="n"/>
    </row>
    <row r="317">
      <c r="G317" s="148" t="n"/>
      <c r="H317" s="148" t="n"/>
    </row>
    <row r="318">
      <c r="G318" s="148" t="n"/>
      <c r="H318" s="148" t="n"/>
    </row>
    <row r="319">
      <c r="G319" s="148" t="n"/>
      <c r="H319" s="148" t="n"/>
    </row>
    <row r="320">
      <c r="G320" s="148" t="n"/>
      <c r="H320" s="148" t="n"/>
    </row>
    <row r="321">
      <c r="G321" s="148" t="n"/>
      <c r="H321" s="148" t="n"/>
    </row>
    <row r="322">
      <c r="G322" s="148" t="n"/>
      <c r="H322" s="148" t="n"/>
    </row>
    <row r="323">
      <c r="G323" s="148" t="n"/>
      <c r="H323" s="148" t="n"/>
    </row>
    <row r="324">
      <c r="G324" s="148" t="n"/>
      <c r="H324" s="148" t="n"/>
    </row>
    <row r="325">
      <c r="G325" s="148" t="n"/>
      <c r="H325" s="148" t="n"/>
    </row>
    <row r="326">
      <c r="G326" s="148" t="n"/>
      <c r="H326" s="148" t="n"/>
    </row>
    <row r="327">
      <c r="G327" s="148" t="n"/>
      <c r="H327" s="148" t="n"/>
    </row>
    <row r="328">
      <c r="G328" s="148" t="n"/>
      <c r="H328" s="148" t="n"/>
    </row>
    <row r="329">
      <c r="G329" s="148" t="n"/>
      <c r="H329" s="148" t="n"/>
    </row>
    <row r="330">
      <c r="G330" s="148" t="n"/>
      <c r="H330" s="148" t="n"/>
    </row>
    <row r="331">
      <c r="G331" s="148" t="n"/>
      <c r="H331" s="148" t="n"/>
    </row>
    <row r="332">
      <c r="G332" s="148" t="n"/>
      <c r="H332" s="148" t="n"/>
    </row>
    <row r="333">
      <c r="G333" s="148" t="n"/>
      <c r="H333" s="148" t="n"/>
    </row>
    <row r="334">
      <c r="G334" s="148" t="n"/>
      <c r="H334" s="148" t="n"/>
    </row>
    <row r="335">
      <c r="G335" s="148" t="n"/>
      <c r="H335" s="148" t="n"/>
    </row>
    <row r="336">
      <c r="G336" s="148" t="n"/>
      <c r="H336" s="148" t="n"/>
    </row>
    <row r="337">
      <c r="G337" s="148" t="n"/>
      <c r="H337" s="148" t="n"/>
    </row>
    <row r="338">
      <c r="G338" s="148" t="n"/>
      <c r="H338" s="148" t="n"/>
    </row>
    <row r="339">
      <c r="G339" s="148" t="n"/>
      <c r="H339" s="148" t="n"/>
    </row>
    <row r="340">
      <c r="G340" s="148" t="n"/>
      <c r="H340" s="148" t="n"/>
    </row>
    <row r="341">
      <c r="G341" s="148" t="n"/>
      <c r="H341" s="148" t="n"/>
    </row>
    <row r="342">
      <c r="G342" s="148" t="n"/>
      <c r="H342" s="148" t="n"/>
    </row>
    <row r="343">
      <c r="G343" s="148" t="n"/>
      <c r="H343" s="148" t="n"/>
    </row>
    <row r="344">
      <c r="G344" s="148" t="n"/>
      <c r="H344" s="148" t="n"/>
    </row>
    <row r="345">
      <c r="G345" s="148" t="n"/>
      <c r="H345" s="148" t="n"/>
    </row>
    <row r="346">
      <c r="G346" s="148" t="n"/>
      <c r="H346" s="148" t="n"/>
    </row>
    <row r="347">
      <c r="G347" s="148" t="n"/>
      <c r="H347" s="148" t="n"/>
    </row>
    <row r="348">
      <c r="G348" s="148" t="n"/>
      <c r="H348" s="148" t="n"/>
    </row>
    <row r="349">
      <c r="G349" s="148" t="n"/>
      <c r="H349" s="148" t="n"/>
    </row>
    <row r="350">
      <c r="G350" s="148" t="n"/>
      <c r="H350" s="148" t="n"/>
    </row>
    <row r="351">
      <c r="G351" s="148" t="n"/>
      <c r="H351" s="148" t="n"/>
    </row>
    <row r="352">
      <c r="G352" s="148" t="n"/>
      <c r="H352" s="148" t="n"/>
    </row>
    <row r="353">
      <c r="G353" s="148" t="n"/>
      <c r="H353" s="148" t="n"/>
    </row>
    <row r="354">
      <c r="G354" s="148" t="n"/>
      <c r="H354" s="148" t="n"/>
    </row>
    <row r="355">
      <c r="G355" s="148" t="n"/>
      <c r="H355" s="148" t="n"/>
    </row>
    <row r="356">
      <c r="G356" s="148" t="n"/>
      <c r="H356" s="148" t="n"/>
    </row>
    <row r="357">
      <c r="G357" s="148" t="n"/>
      <c r="H357" s="148" t="n"/>
    </row>
    <row r="358">
      <c r="G358" s="148" t="n"/>
      <c r="H358" s="148" t="n"/>
    </row>
    <row r="359">
      <c r="G359" s="148" t="n"/>
      <c r="H359" s="148" t="n"/>
    </row>
    <row r="360">
      <c r="G360" s="148" t="n"/>
      <c r="H360" s="148" t="n"/>
    </row>
    <row r="361">
      <c r="G361" s="148" t="n"/>
      <c r="H361" s="148" t="n"/>
    </row>
    <row r="362">
      <c r="G362" s="148" t="n"/>
      <c r="H362" s="148" t="n"/>
    </row>
    <row r="363">
      <c r="G363" s="148" t="n"/>
      <c r="H363" s="148" t="n"/>
    </row>
    <row r="364">
      <c r="G364" s="148" t="n"/>
      <c r="H364" s="148" t="n"/>
    </row>
    <row r="365">
      <c r="G365" s="148" t="n"/>
      <c r="H365" s="148" t="n"/>
    </row>
    <row r="366">
      <c r="G366" s="148" t="n"/>
      <c r="H366" s="148" t="n"/>
    </row>
    <row r="367">
      <c r="G367" s="148" t="n"/>
      <c r="H367" s="148" t="n"/>
    </row>
    <row r="368">
      <c r="G368" s="148" t="n"/>
      <c r="H368" s="148" t="n"/>
    </row>
    <row r="369">
      <c r="G369" s="148" t="n"/>
      <c r="H369" s="148" t="n"/>
    </row>
    <row r="370">
      <c r="G370" s="148" t="n"/>
      <c r="H370" s="148" t="n"/>
    </row>
    <row r="371">
      <c r="G371" s="148" t="n"/>
      <c r="H371" s="148" t="n"/>
    </row>
    <row r="372">
      <c r="G372" s="148" t="n"/>
      <c r="H372" s="148" t="n"/>
    </row>
    <row r="373">
      <c r="G373" s="148" t="n"/>
      <c r="H373" s="148" t="n"/>
    </row>
    <row r="374">
      <c r="G374" s="148" t="n"/>
      <c r="H374" s="148" t="n"/>
    </row>
    <row r="375">
      <c r="G375" s="148" t="n"/>
      <c r="H375" s="148" t="n"/>
    </row>
    <row r="376">
      <c r="G376" s="148" t="n"/>
      <c r="H376" s="148" t="n"/>
    </row>
    <row r="377">
      <c r="G377" s="148" t="n"/>
      <c r="H377" s="148" t="n"/>
    </row>
    <row r="378">
      <c r="G378" s="148" t="n"/>
      <c r="H378" s="148" t="n"/>
    </row>
    <row r="379">
      <c r="G379" s="148" t="n"/>
      <c r="H379" s="148" t="n"/>
    </row>
    <row r="380">
      <c r="G380" s="148" t="n"/>
      <c r="H380" s="148" t="n"/>
    </row>
    <row r="381">
      <c r="G381" s="148" t="n"/>
      <c r="H381" s="148" t="n"/>
    </row>
    <row r="382">
      <c r="G382" s="148" t="n"/>
      <c r="H382" s="148" t="n"/>
    </row>
    <row r="383">
      <c r="G383" s="148" t="n"/>
      <c r="H383" s="148" t="n"/>
    </row>
    <row r="384">
      <c r="G384" s="148" t="n"/>
      <c r="H384" s="148" t="n"/>
    </row>
    <row r="385">
      <c r="G385" s="148" t="n"/>
      <c r="H385" s="148" t="n"/>
    </row>
    <row r="386">
      <c r="G386" s="148" t="n"/>
      <c r="H386" s="148" t="n"/>
    </row>
    <row r="387">
      <c r="G387" s="148" t="n"/>
      <c r="H387" s="148" t="n"/>
    </row>
    <row r="388">
      <c r="G388" s="148" t="n"/>
      <c r="H388" s="148" t="n"/>
    </row>
    <row r="389">
      <c r="G389" s="148" t="n"/>
      <c r="H389" s="148" t="n"/>
    </row>
    <row r="390">
      <c r="G390" s="148" t="n"/>
      <c r="H390" s="148" t="n"/>
    </row>
    <row r="391">
      <c r="G391" s="148" t="n"/>
      <c r="H391" s="148" t="n"/>
    </row>
    <row r="392">
      <c r="G392" s="148" t="n"/>
      <c r="H392" s="148" t="n"/>
    </row>
    <row r="393">
      <c r="G393" s="148" t="n"/>
      <c r="H393" s="148" t="n"/>
    </row>
    <row r="394">
      <c r="G394" s="148" t="n"/>
      <c r="H394" s="148" t="n"/>
    </row>
    <row r="395">
      <c r="G395" s="148" t="n"/>
      <c r="H395" s="148" t="n"/>
    </row>
    <row r="396">
      <c r="G396" s="148" t="n"/>
      <c r="H396" s="148" t="n"/>
    </row>
    <row r="397">
      <c r="G397" s="148" t="n"/>
      <c r="H397" s="148" t="n"/>
    </row>
    <row r="398">
      <c r="G398" s="148" t="n"/>
      <c r="H398" s="148" t="n"/>
    </row>
    <row r="399">
      <c r="G399" s="148" t="n"/>
      <c r="H399" s="148" t="n"/>
    </row>
    <row r="400">
      <c r="G400" s="148" t="n"/>
      <c r="H400" s="148" t="n"/>
    </row>
    <row r="401">
      <c r="G401" s="148" t="n"/>
      <c r="H401" s="148" t="n"/>
    </row>
    <row r="402">
      <c r="G402" s="148" t="n"/>
      <c r="H402" s="148" t="n"/>
    </row>
    <row r="403">
      <c r="G403" s="148" t="n"/>
      <c r="H403" s="148" t="n"/>
    </row>
    <row r="404">
      <c r="G404" s="148" t="n"/>
      <c r="H404" s="148" t="n"/>
    </row>
    <row r="405">
      <c r="G405" s="148" t="n"/>
      <c r="H405" s="148" t="n"/>
    </row>
    <row r="406">
      <c r="G406" s="148" t="n"/>
      <c r="H406" s="148" t="n"/>
    </row>
    <row r="407">
      <c r="G407" s="148" t="n"/>
      <c r="H407" s="148" t="n"/>
    </row>
    <row r="408">
      <c r="G408" s="148" t="n"/>
      <c r="H408" s="148" t="n"/>
    </row>
    <row r="409">
      <c r="G409" s="148" t="n"/>
      <c r="H409" s="148" t="n"/>
    </row>
    <row r="410">
      <c r="G410" s="148" t="n"/>
      <c r="H410" s="148" t="n"/>
    </row>
    <row r="411">
      <c r="G411" s="148" t="n"/>
      <c r="H411" s="148" t="n"/>
    </row>
    <row r="412">
      <c r="G412" s="148" t="n"/>
      <c r="H412" s="148" t="n"/>
    </row>
    <row r="413">
      <c r="G413" s="148" t="n"/>
      <c r="H413" s="148" t="n"/>
    </row>
    <row r="414">
      <c r="G414" s="148" t="n"/>
      <c r="H414" s="148" t="n"/>
    </row>
    <row r="415">
      <c r="G415" s="148" t="n"/>
      <c r="H415" s="148" t="n"/>
    </row>
    <row r="416">
      <c r="G416" s="148" t="n"/>
      <c r="H416" s="148" t="n"/>
    </row>
    <row r="417">
      <c r="G417" s="148" t="n"/>
      <c r="H417" s="148" t="n"/>
    </row>
    <row r="418">
      <c r="G418" s="148" t="n"/>
      <c r="H418" s="148" t="n"/>
    </row>
    <row r="419">
      <c r="G419" s="148" t="n"/>
      <c r="H419" s="148" t="n"/>
    </row>
    <row r="420">
      <c r="G420" s="148" t="n"/>
      <c r="H420" s="148" t="n"/>
    </row>
    <row r="421">
      <c r="G421" s="148" t="n"/>
      <c r="H421" s="148" t="n"/>
    </row>
    <row r="422">
      <c r="G422" s="148" t="n"/>
      <c r="H422" s="148" t="n"/>
    </row>
    <row r="423">
      <c r="G423" s="148" t="n"/>
      <c r="H423" s="148" t="n"/>
    </row>
    <row r="424">
      <c r="G424" s="148" t="n"/>
      <c r="H424" s="148" t="n"/>
    </row>
    <row r="425">
      <c r="G425" s="148" t="n"/>
      <c r="H425" s="148" t="n"/>
    </row>
    <row r="426">
      <c r="G426" s="148" t="n"/>
      <c r="H426" s="148" t="n"/>
    </row>
    <row r="427">
      <c r="G427" s="148" t="n"/>
      <c r="H427" s="148" t="n"/>
    </row>
    <row r="428">
      <c r="G428" s="148" t="n"/>
      <c r="H428" s="148" t="n"/>
    </row>
    <row r="429">
      <c r="G429" s="148" t="n"/>
      <c r="H429" s="148" t="n"/>
    </row>
    <row r="430">
      <c r="G430" s="148" t="n"/>
      <c r="H430" s="148" t="n"/>
    </row>
    <row r="431">
      <c r="G431" s="148" t="n"/>
      <c r="H431" s="148" t="n"/>
    </row>
    <row r="432">
      <c r="G432" s="148" t="n"/>
      <c r="H432" s="148" t="n"/>
    </row>
    <row r="433">
      <c r="G433" s="148" t="n"/>
      <c r="H433" s="148" t="n"/>
    </row>
    <row r="434">
      <c r="G434" s="148" t="n"/>
      <c r="H434" s="148" t="n"/>
    </row>
    <row r="435">
      <c r="G435" s="148" t="n"/>
      <c r="H435" s="148" t="n"/>
    </row>
    <row r="436">
      <c r="G436" s="148" t="n"/>
      <c r="H436" s="148" t="n"/>
    </row>
    <row r="437">
      <c r="G437" s="148" t="n"/>
      <c r="H437" s="148" t="n"/>
    </row>
    <row r="438">
      <c r="G438" s="148" t="n"/>
      <c r="H438" s="148" t="n"/>
    </row>
    <row r="439">
      <c r="G439" s="148" t="n"/>
      <c r="H439" s="148" t="n"/>
    </row>
    <row r="440">
      <c r="G440" s="148" t="n"/>
      <c r="H440" s="148" t="n"/>
    </row>
    <row r="441">
      <c r="G441" s="148" t="n"/>
      <c r="H441" s="148" t="n"/>
    </row>
    <row r="442">
      <c r="G442" s="148" t="n"/>
      <c r="H442" s="148" t="n"/>
    </row>
    <row r="443">
      <c r="G443" s="148" t="n"/>
      <c r="H443" s="148" t="n"/>
    </row>
    <row r="444">
      <c r="G444" s="148" t="n"/>
      <c r="H444" s="148" t="n"/>
    </row>
    <row r="445">
      <c r="G445" s="148" t="n"/>
      <c r="H445" s="148" t="n"/>
    </row>
    <row r="446">
      <c r="G446" s="148" t="n"/>
      <c r="H446" s="148" t="n"/>
    </row>
    <row r="447">
      <c r="G447" s="148" t="n"/>
      <c r="H447" s="148" t="n"/>
    </row>
    <row r="448">
      <c r="G448" s="148" t="n"/>
      <c r="H448" s="148" t="n"/>
    </row>
    <row r="449">
      <c r="G449" s="148" t="n"/>
      <c r="H449" s="148" t="n"/>
    </row>
    <row r="450">
      <c r="G450" s="148" t="n"/>
      <c r="H450" s="148" t="n"/>
    </row>
    <row r="451">
      <c r="G451" s="148" t="n"/>
      <c r="H451" s="148" t="n"/>
    </row>
    <row r="452">
      <c r="G452" s="148" t="n"/>
      <c r="H452" s="148" t="n"/>
    </row>
    <row r="453">
      <c r="G453" s="148" t="n"/>
      <c r="H453" s="148" t="n"/>
    </row>
    <row r="454">
      <c r="G454" s="148" t="n"/>
      <c r="H454" s="148" t="n"/>
    </row>
    <row r="455">
      <c r="G455" s="148" t="n"/>
      <c r="H455" s="148" t="n"/>
    </row>
    <row r="456">
      <c r="G456" s="148" t="n"/>
      <c r="H456" s="148" t="n"/>
    </row>
    <row r="457">
      <c r="G457" s="148" t="n"/>
      <c r="H457" s="148" t="n"/>
    </row>
    <row r="458">
      <c r="G458" s="148" t="n"/>
      <c r="H458" s="148" t="n"/>
    </row>
    <row r="459">
      <c r="G459" s="148" t="n"/>
      <c r="H459" s="148" t="n"/>
    </row>
    <row r="460">
      <c r="G460" s="148" t="n"/>
      <c r="H460" s="148" t="n"/>
    </row>
    <row r="461">
      <c r="G461" s="148" t="n"/>
      <c r="H461" s="148" t="n"/>
    </row>
    <row r="462">
      <c r="G462" s="148" t="n"/>
      <c r="H462" s="148" t="n"/>
    </row>
    <row r="463">
      <c r="G463" s="148" t="n"/>
      <c r="H463" s="148" t="n"/>
    </row>
    <row r="464">
      <c r="G464" s="148" t="n"/>
      <c r="H464" s="148" t="n"/>
    </row>
    <row r="465">
      <c r="G465" s="148" t="n"/>
      <c r="H465" s="148" t="n"/>
    </row>
    <row r="466">
      <c r="G466" s="148" t="n"/>
      <c r="H466" s="148" t="n"/>
    </row>
    <row r="467">
      <c r="G467" s="148" t="n"/>
      <c r="H467" s="148" t="n"/>
    </row>
    <row r="468">
      <c r="G468" s="148" t="n"/>
      <c r="H468" s="148" t="n"/>
    </row>
    <row r="469">
      <c r="G469" s="148" t="n"/>
      <c r="H469" s="148" t="n"/>
    </row>
    <row r="470">
      <c r="G470" s="148" t="n"/>
      <c r="H470" s="148" t="n"/>
    </row>
    <row r="471">
      <c r="G471" s="148" t="n"/>
      <c r="H471" s="148" t="n"/>
    </row>
    <row r="472">
      <c r="G472" s="148" t="n"/>
      <c r="H472" s="148" t="n"/>
    </row>
    <row r="473">
      <c r="G473" s="148" t="n"/>
      <c r="H473" s="148" t="n"/>
    </row>
    <row r="474">
      <c r="G474" s="148" t="n"/>
      <c r="H474" s="148" t="n"/>
    </row>
    <row r="475">
      <c r="G475" s="148" t="n"/>
      <c r="H475" s="148" t="n"/>
    </row>
    <row r="476">
      <c r="G476" s="148" t="n"/>
      <c r="H476" s="148" t="n"/>
    </row>
    <row r="477">
      <c r="G477" s="148" t="n"/>
      <c r="H477" s="148" t="n"/>
    </row>
    <row r="478">
      <c r="G478" s="148" t="n"/>
      <c r="H478" s="148" t="n"/>
    </row>
    <row r="479">
      <c r="G479" s="148" t="n"/>
      <c r="H479" s="148" t="n"/>
    </row>
    <row r="480">
      <c r="G480" s="148" t="n"/>
      <c r="H480" s="148" t="n"/>
    </row>
    <row r="481">
      <c r="G481" s="148" t="n"/>
      <c r="H481" s="148" t="n"/>
    </row>
    <row r="482">
      <c r="G482" s="148" t="n"/>
      <c r="H482" s="148" t="n"/>
    </row>
    <row r="483">
      <c r="G483" s="148" t="n"/>
      <c r="H483" s="148" t="n"/>
    </row>
    <row r="484">
      <c r="G484" s="148" t="n"/>
      <c r="H484" s="148" t="n"/>
    </row>
    <row r="485">
      <c r="G485" s="148" t="n"/>
      <c r="H485" s="148" t="n"/>
    </row>
    <row r="486">
      <c r="G486" s="148" t="n"/>
      <c r="H486" s="148" t="n"/>
    </row>
    <row r="487">
      <c r="G487" s="148" t="n"/>
      <c r="H487" s="148" t="n"/>
    </row>
    <row r="488">
      <c r="G488" s="148" t="n"/>
      <c r="H488" s="148" t="n"/>
    </row>
    <row r="489">
      <c r="G489" s="148" t="n"/>
      <c r="H489" s="148" t="n"/>
    </row>
    <row r="490">
      <c r="G490" s="148" t="n"/>
      <c r="H490" s="148" t="n"/>
    </row>
    <row r="491">
      <c r="G491" s="148" t="n"/>
      <c r="H491" s="148" t="n"/>
    </row>
    <row r="492">
      <c r="G492" s="148" t="n"/>
      <c r="H492" s="148" t="n"/>
    </row>
    <row r="493">
      <c r="G493" s="148" t="n"/>
      <c r="H493" s="148" t="n"/>
    </row>
    <row r="494">
      <c r="G494" s="148" t="n"/>
      <c r="H494" s="148" t="n"/>
    </row>
    <row r="495">
      <c r="G495" s="148" t="n"/>
      <c r="H495" s="148" t="n"/>
    </row>
    <row r="496">
      <c r="G496" s="148" t="n"/>
      <c r="H496" s="148" t="n"/>
    </row>
    <row r="497">
      <c r="G497" s="148" t="n"/>
      <c r="H497" s="148" t="n"/>
    </row>
    <row r="498">
      <c r="G498" s="148" t="n"/>
      <c r="H498" s="148" t="n"/>
    </row>
    <row r="499">
      <c r="G499" s="148" t="n"/>
      <c r="H499" s="148" t="n"/>
    </row>
    <row r="500">
      <c r="G500" s="148" t="n"/>
      <c r="H500" s="148" t="n"/>
    </row>
    <row r="501">
      <c r="G501" s="148" t="n"/>
      <c r="H501" s="148" t="n"/>
    </row>
    <row r="502">
      <c r="G502" s="148" t="n"/>
      <c r="H502" s="148" t="n"/>
    </row>
    <row r="503">
      <c r="G503" s="148" t="n"/>
      <c r="H503" s="148" t="n"/>
    </row>
    <row r="504">
      <c r="G504" s="148" t="n"/>
      <c r="H504" s="148" t="n"/>
    </row>
    <row r="505">
      <c r="G505" s="148" t="n"/>
      <c r="H505" s="148" t="n"/>
    </row>
    <row r="506">
      <c r="G506" s="148" t="n"/>
      <c r="H506" s="148" t="n"/>
    </row>
    <row r="507">
      <c r="G507" s="148" t="n"/>
      <c r="H507" s="148" t="n"/>
    </row>
    <row r="508">
      <c r="G508" s="148" t="n"/>
      <c r="H508" s="148" t="n"/>
    </row>
    <row r="509">
      <c r="G509" s="148" t="n"/>
      <c r="H509" s="148" t="n"/>
    </row>
    <row r="510">
      <c r="G510" s="148" t="n"/>
      <c r="H510" s="148" t="n"/>
    </row>
    <row r="511">
      <c r="G511" s="148" t="n"/>
      <c r="H511" s="148" t="n"/>
    </row>
    <row r="512">
      <c r="G512" s="148" t="n"/>
      <c r="H512" s="148" t="n"/>
    </row>
    <row r="513">
      <c r="G513" s="148" t="n"/>
      <c r="H513" s="148" t="n"/>
    </row>
    <row r="514">
      <c r="G514" s="148" t="n"/>
      <c r="H514" s="148" t="n"/>
    </row>
    <row r="515">
      <c r="G515" s="148" t="n"/>
      <c r="H515" s="148" t="n"/>
    </row>
    <row r="516">
      <c r="G516" s="148" t="n"/>
      <c r="H516" s="148" t="n"/>
    </row>
    <row r="517">
      <c r="G517" s="148" t="n"/>
      <c r="H517" s="148" t="n"/>
    </row>
    <row r="518">
      <c r="G518" s="148" t="n"/>
      <c r="H518" s="148" t="n"/>
    </row>
    <row r="519">
      <c r="G519" s="148" t="n"/>
      <c r="H519" s="148" t="n"/>
    </row>
    <row r="520">
      <c r="G520" s="148" t="n"/>
      <c r="H520" s="148" t="n"/>
    </row>
    <row r="521">
      <c r="G521" s="148" t="n"/>
      <c r="H521" s="148" t="n"/>
    </row>
    <row r="522">
      <c r="G522" s="148" t="n"/>
      <c r="H522" s="148" t="n"/>
    </row>
    <row r="523">
      <c r="G523" s="148" t="n"/>
      <c r="H523" s="148" t="n"/>
    </row>
    <row r="524">
      <c r="G524" s="148" t="n"/>
      <c r="H524" s="148" t="n"/>
    </row>
    <row r="525">
      <c r="G525" s="148" t="n"/>
      <c r="H525" s="148" t="n"/>
    </row>
    <row r="526">
      <c r="G526" s="148" t="n"/>
      <c r="H526" s="148" t="n"/>
    </row>
    <row r="527">
      <c r="G527" s="148" t="n"/>
      <c r="H527" s="148" t="n"/>
    </row>
    <row r="528">
      <c r="G528" s="148" t="n"/>
      <c r="H528" s="148" t="n"/>
    </row>
    <row r="529">
      <c r="G529" s="148" t="n"/>
      <c r="H529" s="148" t="n"/>
    </row>
    <row r="530">
      <c r="G530" s="148" t="n"/>
      <c r="H530" s="148" t="n"/>
    </row>
    <row r="531">
      <c r="G531" s="148" t="n"/>
      <c r="H531" s="148" t="n"/>
    </row>
    <row r="532">
      <c r="G532" s="148" t="n"/>
      <c r="H532" s="148" t="n"/>
    </row>
    <row r="533">
      <c r="G533" s="148" t="n"/>
      <c r="H533" s="148" t="n"/>
    </row>
    <row r="534">
      <c r="G534" s="148" t="n"/>
      <c r="H534" s="148" t="n"/>
    </row>
    <row r="535">
      <c r="G535" s="148" t="n"/>
      <c r="H535" s="148" t="n"/>
    </row>
    <row r="536">
      <c r="G536" s="148" t="n"/>
      <c r="H536" s="148" t="n"/>
    </row>
    <row r="537">
      <c r="G537" s="148" t="n"/>
      <c r="H537" s="148" t="n"/>
    </row>
    <row r="538">
      <c r="G538" s="148" t="n"/>
      <c r="H538" s="148" t="n"/>
    </row>
    <row r="539">
      <c r="G539" s="148" t="n"/>
      <c r="H539" s="148" t="n"/>
    </row>
    <row r="540">
      <c r="G540" s="148" t="n"/>
      <c r="H540" s="148" t="n"/>
    </row>
    <row r="541">
      <c r="G541" s="148" t="n"/>
      <c r="H541" s="148" t="n"/>
    </row>
    <row r="542">
      <c r="G542" s="148" t="n"/>
      <c r="H542" s="148" t="n"/>
    </row>
    <row r="543">
      <c r="G543" s="148" t="n"/>
      <c r="H543" s="148" t="n"/>
    </row>
    <row r="544">
      <c r="G544" s="148" t="n"/>
      <c r="H544" s="148" t="n"/>
    </row>
    <row r="545">
      <c r="G545" s="148" t="n"/>
      <c r="H545" s="148" t="n"/>
    </row>
    <row r="546">
      <c r="G546" s="148" t="n"/>
      <c r="H546" s="148" t="n"/>
    </row>
    <row r="547">
      <c r="G547" s="148" t="n"/>
      <c r="H547" s="148" t="n"/>
    </row>
    <row r="548">
      <c r="G548" s="148" t="n"/>
      <c r="H548" s="148" t="n"/>
    </row>
    <row r="549">
      <c r="G549" s="148" t="n"/>
      <c r="H549" s="148" t="n"/>
    </row>
    <row r="550">
      <c r="G550" s="148" t="n"/>
      <c r="H550" s="148" t="n"/>
    </row>
    <row r="551">
      <c r="G551" s="148" t="n"/>
      <c r="H551" s="148" t="n"/>
    </row>
    <row r="552">
      <c r="G552" s="148" t="n"/>
      <c r="H552" s="148" t="n"/>
    </row>
    <row r="553">
      <c r="G553" s="148" t="n"/>
      <c r="H553" s="148" t="n"/>
    </row>
    <row r="554">
      <c r="G554" s="148" t="n"/>
      <c r="H554" s="148" t="n"/>
    </row>
    <row r="555">
      <c r="G555" s="148" t="n"/>
      <c r="H555" s="148" t="n"/>
    </row>
    <row r="556">
      <c r="G556" s="148" t="n"/>
      <c r="H556" s="148" t="n"/>
    </row>
    <row r="557">
      <c r="G557" s="148" t="n"/>
      <c r="H557" s="148" t="n"/>
    </row>
    <row r="558">
      <c r="G558" s="148" t="n"/>
      <c r="H558" s="148" t="n"/>
    </row>
    <row r="559">
      <c r="G559" s="148" t="n"/>
      <c r="H559" s="148" t="n"/>
    </row>
    <row r="560">
      <c r="G560" s="148" t="n"/>
      <c r="H560" s="148" t="n"/>
    </row>
    <row r="561">
      <c r="G561" s="148" t="n"/>
      <c r="H561" s="148" t="n"/>
    </row>
    <row r="562">
      <c r="G562" s="148" t="n"/>
      <c r="H562" s="148" t="n"/>
    </row>
    <row r="563">
      <c r="G563" s="148" t="n"/>
      <c r="H563" s="148" t="n"/>
    </row>
    <row r="564">
      <c r="G564" s="148" t="n"/>
      <c r="H564" s="148" t="n"/>
    </row>
    <row r="565">
      <c r="G565" s="148" t="n"/>
      <c r="H565" s="148" t="n"/>
    </row>
    <row r="566">
      <c r="G566" s="148" t="n"/>
      <c r="H566" s="148" t="n"/>
    </row>
    <row r="567">
      <c r="G567" s="148" t="n"/>
      <c r="H567" s="148" t="n"/>
    </row>
    <row r="568">
      <c r="G568" s="148" t="n"/>
      <c r="H568" s="148" t="n"/>
    </row>
    <row r="569">
      <c r="G569" s="148" t="n"/>
      <c r="H569" s="148" t="n"/>
    </row>
    <row r="570">
      <c r="G570" s="148" t="n"/>
      <c r="H570" s="148" t="n"/>
    </row>
    <row r="571">
      <c r="G571" s="148" t="n"/>
      <c r="H571" s="148" t="n"/>
    </row>
    <row r="572">
      <c r="G572" s="148" t="n"/>
      <c r="H572" s="148" t="n"/>
    </row>
    <row r="573">
      <c r="G573" s="148" t="n"/>
      <c r="H573" s="148" t="n"/>
    </row>
    <row r="574">
      <c r="G574" s="148" t="n"/>
      <c r="H574" s="148" t="n"/>
    </row>
    <row r="575">
      <c r="G575" s="148" t="n"/>
      <c r="H575" s="148" t="n"/>
    </row>
    <row r="576">
      <c r="G576" s="148" t="n"/>
      <c r="H576" s="148" t="n"/>
    </row>
    <row r="577">
      <c r="G577" s="148" t="n"/>
      <c r="H577" s="148" t="n"/>
    </row>
    <row r="578">
      <c r="G578" s="148" t="n"/>
      <c r="H578" s="148" t="n"/>
    </row>
    <row r="579">
      <c r="G579" s="148" t="n"/>
      <c r="H579" s="148" t="n"/>
    </row>
    <row r="580">
      <c r="G580" s="148" t="n"/>
      <c r="H580" s="148" t="n"/>
    </row>
    <row r="581">
      <c r="G581" s="148" t="n"/>
      <c r="H581" s="148" t="n"/>
    </row>
    <row r="582">
      <c r="G582" s="148" t="n"/>
      <c r="H582" s="148" t="n"/>
    </row>
    <row r="583">
      <c r="G583" s="148" t="n"/>
      <c r="H583" s="148" t="n"/>
    </row>
    <row r="584">
      <c r="G584" s="148" t="n"/>
      <c r="H584" s="148" t="n"/>
    </row>
    <row r="585">
      <c r="G585" s="148" t="n"/>
      <c r="H585" s="148" t="n"/>
    </row>
    <row r="586">
      <c r="G586" s="148" t="n"/>
      <c r="H586" s="148" t="n"/>
    </row>
    <row r="587">
      <c r="G587" s="148" t="n"/>
      <c r="H587" s="148" t="n"/>
    </row>
    <row r="588">
      <c r="G588" s="148" t="n"/>
      <c r="H588" s="148" t="n"/>
    </row>
    <row r="589">
      <c r="G589" s="148" t="n"/>
      <c r="H589" s="148" t="n"/>
    </row>
    <row r="590">
      <c r="G590" s="148" t="n"/>
      <c r="H590" s="148" t="n"/>
    </row>
    <row r="591">
      <c r="G591" s="148" t="n"/>
      <c r="H591" s="148" t="n"/>
    </row>
    <row r="592">
      <c r="G592" s="148" t="n"/>
      <c r="H592" s="148" t="n"/>
    </row>
    <row r="593">
      <c r="G593" s="148" t="n"/>
      <c r="H593" s="148" t="n"/>
    </row>
    <row r="594">
      <c r="G594" s="148" t="n"/>
      <c r="H594" s="148" t="n"/>
    </row>
    <row r="595">
      <c r="G595" s="148" t="n"/>
      <c r="H595" s="148" t="n"/>
    </row>
    <row r="596">
      <c r="G596" s="148" t="n"/>
      <c r="H596" s="148" t="n"/>
    </row>
    <row r="597">
      <c r="G597" s="148" t="n"/>
      <c r="H597" s="148" t="n"/>
    </row>
    <row r="598">
      <c r="G598" s="148" t="n"/>
      <c r="H598" s="148" t="n"/>
    </row>
    <row r="599">
      <c r="G599" s="148" t="n"/>
      <c r="H599" s="148" t="n"/>
    </row>
    <row r="600">
      <c r="G600" s="148" t="n"/>
      <c r="H600" s="148" t="n"/>
    </row>
    <row r="601">
      <c r="G601" s="148" t="n"/>
      <c r="H601" s="148" t="n"/>
    </row>
    <row r="602">
      <c r="G602" s="148" t="n"/>
      <c r="H602" s="148" t="n"/>
    </row>
    <row r="603">
      <c r="G603" s="148" t="n"/>
      <c r="H603" s="148" t="n"/>
    </row>
    <row r="604">
      <c r="G604" s="148" t="n"/>
      <c r="H604" s="148" t="n"/>
    </row>
    <row r="605">
      <c r="G605" s="148" t="n"/>
      <c r="H605" s="148" t="n"/>
    </row>
    <row r="606">
      <c r="G606" s="148" t="n"/>
      <c r="H606" s="148" t="n"/>
    </row>
    <row r="607">
      <c r="G607" s="148" t="n"/>
      <c r="H607" s="148" t="n"/>
    </row>
    <row r="608">
      <c r="G608" s="148" t="n"/>
      <c r="H608" s="148" t="n"/>
    </row>
    <row r="609">
      <c r="G609" s="148" t="n"/>
      <c r="H609" s="148" t="n"/>
    </row>
    <row r="610">
      <c r="G610" s="148" t="n"/>
      <c r="H610" s="148" t="n"/>
    </row>
    <row r="611">
      <c r="G611" s="148" t="n"/>
      <c r="H611" s="148" t="n"/>
    </row>
    <row r="612">
      <c r="G612" s="148" t="n"/>
      <c r="H612" s="148" t="n"/>
    </row>
    <row r="613">
      <c r="G613" s="148" t="n"/>
      <c r="H613" s="148" t="n"/>
    </row>
    <row r="614">
      <c r="G614" s="148" t="n"/>
      <c r="H614" s="148" t="n"/>
    </row>
    <row r="615">
      <c r="G615" s="148" t="n"/>
      <c r="H615" s="148" t="n"/>
    </row>
    <row r="616">
      <c r="G616" s="148" t="n"/>
      <c r="H616" s="148" t="n"/>
    </row>
    <row r="617">
      <c r="G617" s="148" t="n"/>
      <c r="H617" s="148" t="n"/>
    </row>
    <row r="618">
      <c r="G618" s="148" t="n"/>
      <c r="H618" s="148" t="n"/>
    </row>
    <row r="619">
      <c r="G619" s="148" t="n"/>
      <c r="H619" s="148" t="n"/>
    </row>
    <row r="620">
      <c r="G620" s="148" t="n"/>
      <c r="H620" s="148" t="n"/>
    </row>
    <row r="621">
      <c r="G621" s="148" t="n"/>
      <c r="H621" s="148" t="n"/>
    </row>
    <row r="622">
      <c r="G622" s="148" t="n"/>
      <c r="H622" s="148" t="n"/>
    </row>
    <row r="623">
      <c r="G623" s="148" t="n"/>
      <c r="H623" s="148" t="n"/>
    </row>
    <row r="624">
      <c r="G624" s="148" t="n"/>
      <c r="H624" s="148" t="n"/>
    </row>
    <row r="625">
      <c r="G625" s="148" t="n"/>
      <c r="H625" s="148" t="n"/>
    </row>
    <row r="626">
      <c r="G626" s="148" t="n"/>
      <c r="H626" s="148" t="n"/>
    </row>
    <row r="627">
      <c r="G627" s="148" t="n"/>
      <c r="H627" s="148" t="n"/>
    </row>
    <row r="628">
      <c r="G628" s="148" t="n"/>
      <c r="H628" s="148" t="n"/>
    </row>
    <row r="629">
      <c r="G629" s="148" t="n"/>
      <c r="H629" s="148" t="n"/>
    </row>
    <row r="630">
      <c r="G630" s="148" t="n"/>
      <c r="H630" s="148" t="n"/>
    </row>
    <row r="631">
      <c r="G631" s="148" t="n"/>
      <c r="H631" s="148" t="n"/>
    </row>
    <row r="632">
      <c r="G632" s="148" t="n"/>
      <c r="H632" s="148" t="n"/>
    </row>
    <row r="633">
      <c r="G633" s="148" t="n"/>
      <c r="H633" s="148" t="n"/>
    </row>
    <row r="634">
      <c r="G634" s="148" t="n"/>
      <c r="H634" s="148" t="n"/>
    </row>
    <row r="635">
      <c r="G635" s="148" t="n"/>
      <c r="H635" s="148" t="n"/>
    </row>
    <row r="636">
      <c r="G636" s="148" t="n"/>
      <c r="H636" s="148" t="n"/>
    </row>
    <row r="637">
      <c r="G637" s="148" t="n"/>
      <c r="H637" s="148" t="n"/>
    </row>
    <row r="638">
      <c r="G638" s="148" t="n"/>
      <c r="H638" s="148" t="n"/>
    </row>
    <row r="639">
      <c r="G639" s="148" t="n"/>
      <c r="H639" s="148" t="n"/>
    </row>
    <row r="640">
      <c r="G640" s="148" t="n"/>
      <c r="H640" s="148" t="n"/>
    </row>
    <row r="641">
      <c r="G641" s="148" t="n"/>
      <c r="H641" s="148" t="n"/>
    </row>
    <row r="642">
      <c r="G642" s="148" t="n"/>
      <c r="H642" s="148" t="n"/>
    </row>
    <row r="643">
      <c r="G643" s="148" t="n"/>
      <c r="H643" s="148" t="n"/>
    </row>
    <row r="644">
      <c r="G644" s="148" t="n"/>
      <c r="H644" s="148" t="n"/>
    </row>
    <row r="645">
      <c r="G645" s="148" t="n"/>
      <c r="H645" s="148" t="n"/>
    </row>
    <row r="646">
      <c r="G646" s="148" t="n"/>
      <c r="H646" s="148" t="n"/>
    </row>
    <row r="647">
      <c r="G647" s="148" t="n"/>
      <c r="H647" s="148" t="n"/>
    </row>
    <row r="648">
      <c r="G648" s="148" t="n"/>
      <c r="H648" s="148" t="n"/>
    </row>
    <row r="649">
      <c r="G649" s="148" t="n"/>
      <c r="H649" s="148" t="n"/>
    </row>
    <row r="650">
      <c r="G650" s="148" t="n"/>
      <c r="H650" s="148" t="n"/>
    </row>
    <row r="651">
      <c r="G651" s="148" t="n"/>
      <c r="H651" s="148" t="n"/>
    </row>
    <row r="652">
      <c r="G652" s="148" t="n"/>
      <c r="H652" s="148" t="n"/>
    </row>
    <row r="653">
      <c r="G653" s="148" t="n"/>
      <c r="H653" s="148" t="n"/>
    </row>
    <row r="654">
      <c r="G654" s="148" t="n"/>
      <c r="H654" s="148" t="n"/>
    </row>
    <row r="655">
      <c r="G655" s="148" t="n"/>
      <c r="H655" s="148" t="n"/>
    </row>
    <row r="656">
      <c r="G656" s="148" t="n"/>
      <c r="H656" s="148" t="n"/>
    </row>
    <row r="657">
      <c r="G657" s="148" t="n"/>
      <c r="H657" s="148" t="n"/>
    </row>
    <row r="658">
      <c r="G658" s="148" t="n"/>
      <c r="H658" s="148" t="n"/>
    </row>
    <row r="659">
      <c r="G659" s="148" t="n"/>
      <c r="H659" s="148" t="n"/>
    </row>
    <row r="660">
      <c r="G660" s="148" t="n"/>
      <c r="H660" s="148" t="n"/>
    </row>
    <row r="661">
      <c r="G661" s="148" t="n"/>
      <c r="H661" s="148" t="n"/>
    </row>
    <row r="662">
      <c r="G662" s="148" t="n"/>
      <c r="H662" s="148" t="n"/>
    </row>
    <row r="663">
      <c r="G663" s="148" t="n"/>
      <c r="H663" s="148" t="n"/>
    </row>
    <row r="664">
      <c r="G664" s="148" t="n"/>
      <c r="H664" s="148" t="n"/>
    </row>
    <row r="665">
      <c r="G665" s="148" t="n"/>
      <c r="H665" s="148" t="n"/>
    </row>
    <row r="666">
      <c r="G666" s="148" t="n"/>
      <c r="H666" s="148" t="n"/>
    </row>
    <row r="667">
      <c r="G667" s="148" t="n"/>
      <c r="H667" s="148" t="n"/>
    </row>
    <row r="668">
      <c r="G668" s="148" t="n"/>
      <c r="H668" s="148" t="n"/>
    </row>
    <row r="669">
      <c r="G669" s="148" t="n"/>
      <c r="H669" s="148" t="n"/>
    </row>
    <row r="670">
      <c r="G670" s="148" t="n"/>
      <c r="H670" s="148" t="n"/>
    </row>
    <row r="671">
      <c r="G671" s="148" t="n"/>
      <c r="H671" s="148" t="n"/>
    </row>
    <row r="672">
      <c r="G672" s="148" t="n"/>
      <c r="H672" s="148" t="n"/>
    </row>
    <row r="673">
      <c r="G673" s="148" t="n"/>
      <c r="H673" s="148" t="n"/>
    </row>
    <row r="674">
      <c r="G674" s="148" t="n"/>
      <c r="H674" s="148" t="n"/>
    </row>
    <row r="675">
      <c r="G675" s="148" t="n"/>
      <c r="H675" s="148" t="n"/>
    </row>
    <row r="676">
      <c r="G676" s="148" t="n"/>
      <c r="H676" s="148" t="n"/>
    </row>
    <row r="677">
      <c r="G677" s="148" t="n"/>
      <c r="H677" s="148" t="n"/>
    </row>
    <row r="678">
      <c r="G678" s="148" t="n"/>
      <c r="H678" s="148" t="n"/>
    </row>
    <row r="679">
      <c r="G679" s="148" t="n"/>
      <c r="H679" s="148" t="n"/>
    </row>
    <row r="680">
      <c r="G680" s="148" t="n"/>
      <c r="H680" s="148" t="n"/>
    </row>
    <row r="681">
      <c r="G681" s="148" t="n"/>
      <c r="H681" s="148" t="n"/>
    </row>
    <row r="682">
      <c r="G682" s="148" t="n"/>
      <c r="H682" s="148" t="n"/>
    </row>
    <row r="683">
      <c r="G683" s="148" t="n"/>
      <c r="H683" s="148" t="n"/>
    </row>
    <row r="684">
      <c r="G684" s="148" t="n"/>
      <c r="H684" s="148" t="n"/>
    </row>
    <row r="685">
      <c r="G685" s="148" t="n"/>
      <c r="H685" s="148" t="n"/>
    </row>
    <row r="686">
      <c r="G686" s="148" t="n"/>
      <c r="H686" s="148" t="n"/>
    </row>
    <row r="687">
      <c r="G687" s="148" t="n"/>
      <c r="H687" s="148" t="n"/>
    </row>
    <row r="688">
      <c r="G688" s="148" t="n"/>
      <c r="H688" s="148" t="n"/>
    </row>
    <row r="689">
      <c r="G689" s="148" t="n"/>
      <c r="H689" s="148" t="n"/>
    </row>
    <row r="690">
      <c r="G690" s="148" t="n"/>
      <c r="H690" s="148" t="n"/>
    </row>
    <row r="691">
      <c r="G691" s="148" t="n"/>
      <c r="H691" s="148" t="n"/>
    </row>
    <row r="692">
      <c r="G692" s="148" t="n"/>
      <c r="H692" s="148" t="n"/>
    </row>
    <row r="693">
      <c r="G693" s="148" t="n"/>
      <c r="H693" s="148" t="n"/>
    </row>
    <row r="694">
      <c r="G694" s="148" t="n"/>
      <c r="H694" s="148" t="n"/>
    </row>
    <row r="695">
      <c r="G695" s="148" t="n"/>
      <c r="H695" s="148" t="n"/>
    </row>
    <row r="696">
      <c r="G696" s="148" t="n"/>
      <c r="H696" s="148" t="n"/>
    </row>
    <row r="697">
      <c r="G697" s="148" t="n"/>
      <c r="H697" s="148" t="n"/>
    </row>
    <row r="698">
      <c r="G698" s="148" t="n"/>
      <c r="H698" s="148" t="n"/>
    </row>
    <row r="699">
      <c r="G699" s="148" t="n"/>
      <c r="H699" s="148" t="n"/>
    </row>
    <row r="700">
      <c r="G700" s="148" t="n"/>
      <c r="H700" s="148" t="n"/>
    </row>
    <row r="701">
      <c r="G701" s="148" t="n"/>
      <c r="H701" s="148" t="n"/>
    </row>
    <row r="702">
      <c r="G702" s="148" t="n"/>
      <c r="H702" s="148" t="n"/>
    </row>
    <row r="703">
      <c r="G703" s="148" t="n"/>
      <c r="H703" s="148" t="n"/>
    </row>
    <row r="704">
      <c r="G704" s="148" t="n"/>
      <c r="H704" s="148" t="n"/>
    </row>
    <row r="705">
      <c r="G705" s="148" t="n"/>
      <c r="H705" s="148" t="n"/>
    </row>
    <row r="706">
      <c r="G706" s="148" t="n"/>
      <c r="H706" s="148" t="n"/>
    </row>
    <row r="707">
      <c r="G707" s="148" t="n"/>
      <c r="H707" s="148" t="n"/>
    </row>
    <row r="708">
      <c r="G708" s="148" t="n"/>
      <c r="H708" s="148" t="n"/>
    </row>
    <row r="709">
      <c r="G709" s="148" t="n"/>
      <c r="H709" s="148" t="n"/>
    </row>
    <row r="710">
      <c r="G710" s="148" t="n"/>
      <c r="H710" s="148" t="n"/>
    </row>
    <row r="711">
      <c r="G711" s="148" t="n"/>
      <c r="H711" s="148" t="n"/>
    </row>
    <row r="712">
      <c r="G712" s="148" t="n"/>
      <c r="H712" s="148" t="n"/>
    </row>
    <row r="713">
      <c r="G713" s="148" t="n"/>
      <c r="H713" s="148" t="n"/>
    </row>
    <row r="714">
      <c r="G714" s="148" t="n"/>
      <c r="H714" s="148" t="n"/>
    </row>
    <row r="715">
      <c r="G715" s="148" t="n"/>
      <c r="H715" s="148" t="n"/>
    </row>
    <row r="716">
      <c r="G716" s="148" t="n"/>
      <c r="H716" s="148" t="n"/>
    </row>
    <row r="717">
      <c r="G717" s="148" t="n"/>
      <c r="H717" s="148" t="n"/>
    </row>
    <row r="718">
      <c r="G718" s="148" t="n"/>
      <c r="H718" s="148" t="n"/>
    </row>
    <row r="719">
      <c r="G719" s="148" t="n"/>
      <c r="H719" s="148" t="n"/>
    </row>
    <row r="720">
      <c r="G720" s="148" t="n"/>
      <c r="H720" s="148" t="n"/>
    </row>
    <row r="721">
      <c r="G721" s="148" t="n"/>
      <c r="H721" s="148" t="n"/>
    </row>
    <row r="722">
      <c r="G722" s="148" t="n"/>
      <c r="H722" s="148" t="n"/>
    </row>
    <row r="723">
      <c r="G723" s="148" t="n"/>
      <c r="H723" s="148" t="n"/>
    </row>
    <row r="724">
      <c r="G724" s="148" t="n"/>
      <c r="H724" s="148" t="n"/>
    </row>
    <row r="725">
      <c r="G725" s="148" t="n"/>
      <c r="H725" s="148" t="n"/>
    </row>
    <row r="726">
      <c r="G726" s="148" t="n"/>
      <c r="H726" s="148" t="n"/>
    </row>
    <row r="727">
      <c r="G727" s="148" t="n"/>
      <c r="H727" s="148" t="n"/>
    </row>
    <row r="728">
      <c r="G728" s="148" t="n"/>
      <c r="H728" s="148" t="n"/>
    </row>
    <row r="729">
      <c r="G729" s="148" t="n"/>
      <c r="H729" s="148" t="n"/>
    </row>
    <row r="730">
      <c r="G730" s="148" t="n"/>
      <c r="H730" s="148" t="n"/>
    </row>
    <row r="731">
      <c r="G731" s="148" t="n"/>
      <c r="H731" s="148" t="n"/>
    </row>
    <row r="732">
      <c r="G732" s="148" t="n"/>
      <c r="H732" s="148" t="n"/>
    </row>
    <row r="733">
      <c r="G733" s="148" t="n"/>
      <c r="H733" s="148" t="n"/>
    </row>
    <row r="734">
      <c r="G734" s="148" t="n"/>
      <c r="H734" s="148" t="n"/>
    </row>
    <row r="735">
      <c r="G735" s="148" t="n"/>
      <c r="H735" s="148" t="n"/>
    </row>
    <row r="736">
      <c r="G736" s="148" t="n"/>
      <c r="H736" s="148" t="n"/>
    </row>
    <row r="737">
      <c r="G737" s="148" t="n"/>
      <c r="H737" s="148" t="n"/>
    </row>
    <row r="738">
      <c r="G738" s="148" t="n"/>
      <c r="H738" s="148" t="n"/>
    </row>
    <row r="739">
      <c r="G739" s="148" t="n"/>
      <c r="H739" s="148" t="n"/>
    </row>
    <row r="740">
      <c r="G740" s="148" t="n"/>
      <c r="H740" s="148" t="n"/>
    </row>
    <row r="741">
      <c r="G741" s="148" t="n"/>
      <c r="H741" s="148" t="n"/>
    </row>
    <row r="742">
      <c r="G742" s="148" t="n"/>
      <c r="H742" s="148" t="n"/>
    </row>
    <row r="743">
      <c r="G743" s="148" t="n"/>
      <c r="H743" s="148" t="n"/>
    </row>
    <row r="744">
      <c r="G744" s="148" t="n"/>
      <c r="H744" s="148" t="n"/>
    </row>
    <row r="745">
      <c r="G745" s="148" t="n"/>
      <c r="H745" s="148" t="n"/>
    </row>
    <row r="746">
      <c r="G746" s="148" t="n"/>
      <c r="H746" s="148" t="n"/>
    </row>
    <row r="747">
      <c r="G747" s="148" t="n"/>
      <c r="H747" s="148" t="n"/>
    </row>
    <row r="748">
      <c r="G748" s="148" t="n"/>
      <c r="H748" s="148" t="n"/>
    </row>
    <row r="749">
      <c r="G749" s="148" t="n"/>
      <c r="H749" s="148" t="n"/>
    </row>
    <row r="750">
      <c r="G750" s="148" t="n"/>
      <c r="H750" s="148" t="n"/>
    </row>
    <row r="751">
      <c r="G751" s="148" t="n"/>
      <c r="H751" s="148" t="n"/>
    </row>
    <row r="752">
      <c r="G752" s="148" t="n"/>
      <c r="H752" s="148" t="n"/>
    </row>
    <row r="753">
      <c r="G753" s="148" t="n"/>
      <c r="H753" s="148" t="n"/>
    </row>
    <row r="754">
      <c r="G754" s="148" t="n"/>
      <c r="H754" s="148" t="n"/>
    </row>
    <row r="755">
      <c r="G755" s="148" t="n"/>
      <c r="H755" s="148" t="n"/>
    </row>
    <row r="756">
      <c r="G756" s="148" t="n"/>
      <c r="H756" s="148" t="n"/>
    </row>
    <row r="757">
      <c r="G757" s="148" t="n"/>
      <c r="H757" s="148" t="n"/>
    </row>
    <row r="758">
      <c r="G758" s="148" t="n"/>
      <c r="H758" s="148" t="n"/>
    </row>
    <row r="759">
      <c r="G759" s="148" t="n"/>
      <c r="H759" s="148" t="n"/>
    </row>
    <row r="760">
      <c r="G760" s="148" t="n"/>
      <c r="H760" s="148" t="n"/>
    </row>
    <row r="761">
      <c r="G761" s="148" t="n"/>
      <c r="H761" s="148" t="n"/>
    </row>
    <row r="762">
      <c r="G762" s="148" t="n"/>
      <c r="H762" s="148" t="n"/>
    </row>
    <row r="763">
      <c r="G763" s="148" t="n"/>
      <c r="H763" s="148" t="n"/>
    </row>
    <row r="764">
      <c r="G764" s="148" t="n"/>
      <c r="H764" s="148" t="n"/>
    </row>
    <row r="765">
      <c r="G765" s="148" t="n"/>
      <c r="H765" s="148" t="n"/>
    </row>
    <row r="766">
      <c r="G766" s="148" t="n"/>
      <c r="H766" s="148" t="n"/>
    </row>
    <row r="767">
      <c r="G767" s="148" t="n"/>
      <c r="H767" s="148" t="n"/>
    </row>
    <row r="768">
      <c r="G768" s="148" t="n"/>
      <c r="H768" s="148" t="n"/>
    </row>
    <row r="769">
      <c r="G769" s="148" t="n"/>
      <c r="H769" s="148" t="n"/>
    </row>
    <row r="770">
      <c r="G770" s="148" t="n"/>
      <c r="H770" s="148" t="n"/>
    </row>
    <row r="771">
      <c r="G771" s="148" t="n"/>
      <c r="H771" s="148" t="n"/>
    </row>
    <row r="772">
      <c r="G772" s="148" t="n"/>
      <c r="H772" s="148" t="n"/>
    </row>
    <row r="773">
      <c r="G773" s="148" t="n"/>
      <c r="H773" s="148" t="n"/>
    </row>
    <row r="774">
      <c r="G774" s="148" t="n"/>
      <c r="H774" s="148" t="n"/>
    </row>
    <row r="775">
      <c r="G775" s="148" t="n"/>
      <c r="H775" s="148" t="n"/>
    </row>
    <row r="776">
      <c r="G776" s="148" t="n"/>
      <c r="H776" s="148" t="n"/>
    </row>
    <row r="777">
      <c r="G777" s="148" t="n"/>
      <c r="H777" s="148" t="n"/>
    </row>
    <row r="778">
      <c r="G778" s="148" t="n"/>
      <c r="H778" s="148" t="n"/>
    </row>
    <row r="779">
      <c r="G779" s="148" t="n"/>
      <c r="H779" s="148" t="n"/>
    </row>
    <row r="780">
      <c r="G780" s="148" t="n"/>
      <c r="H780" s="148" t="n"/>
    </row>
    <row r="781">
      <c r="G781" s="148" t="n"/>
      <c r="H781" s="148" t="n"/>
    </row>
    <row r="782">
      <c r="G782" s="148" t="n"/>
      <c r="H782" s="148" t="n"/>
    </row>
    <row r="783">
      <c r="G783" s="148" t="n"/>
      <c r="H783" s="148" t="n"/>
    </row>
    <row r="784">
      <c r="G784" s="148" t="n"/>
      <c r="H784" s="148" t="n"/>
    </row>
    <row r="785">
      <c r="G785" s="148" t="n"/>
      <c r="H785" s="148" t="n"/>
    </row>
    <row r="786">
      <c r="G786" s="148" t="n"/>
      <c r="H786" s="148" t="n"/>
    </row>
    <row r="787">
      <c r="G787" s="148" t="n"/>
      <c r="H787" s="148" t="n"/>
    </row>
    <row r="788">
      <c r="G788" s="148" t="n"/>
      <c r="H788" s="148" t="n"/>
    </row>
    <row r="789">
      <c r="G789" s="148" t="n"/>
      <c r="H789" s="148" t="n"/>
    </row>
    <row r="790">
      <c r="G790" s="148" t="n"/>
      <c r="H790" s="148" t="n"/>
    </row>
    <row r="791">
      <c r="G791" s="148" t="n"/>
      <c r="H791" s="148" t="n"/>
    </row>
    <row r="792">
      <c r="G792" s="148" t="n"/>
      <c r="H792" s="148" t="n"/>
    </row>
    <row r="793">
      <c r="G793" s="148" t="n"/>
      <c r="H793" s="148" t="n"/>
    </row>
    <row r="794">
      <c r="G794" s="148" t="n"/>
      <c r="H794" s="148" t="n"/>
    </row>
    <row r="795">
      <c r="G795" s="148" t="n"/>
      <c r="H795" s="148" t="n"/>
    </row>
    <row r="796">
      <c r="G796" s="148" t="n"/>
      <c r="H796" s="148" t="n"/>
    </row>
    <row r="797">
      <c r="G797" s="148" t="n"/>
      <c r="H797" s="148" t="n"/>
    </row>
    <row r="798">
      <c r="G798" s="148" t="n"/>
      <c r="H798" s="148" t="n"/>
    </row>
    <row r="799">
      <c r="G799" s="148" t="n"/>
      <c r="H799" s="148" t="n"/>
    </row>
    <row r="800">
      <c r="G800" s="148" t="n"/>
      <c r="H800" s="148" t="n"/>
    </row>
    <row r="801">
      <c r="G801" s="148" t="n"/>
      <c r="H801" s="148" t="n"/>
    </row>
    <row r="802">
      <c r="G802" s="148" t="n"/>
      <c r="H802" s="148" t="n"/>
    </row>
    <row r="803">
      <c r="G803" s="148" t="n"/>
      <c r="H803" s="148" t="n"/>
    </row>
    <row r="804">
      <c r="G804" s="148" t="n"/>
      <c r="H804" s="148" t="n"/>
    </row>
    <row r="805">
      <c r="G805" s="148" t="n"/>
      <c r="H805" s="148" t="n"/>
    </row>
    <row r="806">
      <c r="G806" s="148" t="n"/>
      <c r="H806" s="148" t="n"/>
    </row>
    <row r="807">
      <c r="G807" s="148" t="n"/>
      <c r="H807" s="148" t="n"/>
    </row>
    <row r="808">
      <c r="G808" s="148" t="n"/>
      <c r="H808" s="148" t="n"/>
    </row>
    <row r="809">
      <c r="G809" s="148" t="n"/>
      <c r="H809" s="148" t="n"/>
    </row>
    <row r="810">
      <c r="G810" s="148" t="n"/>
      <c r="H810" s="148" t="n"/>
    </row>
    <row r="811">
      <c r="G811" s="148" t="n"/>
      <c r="H811" s="148" t="n"/>
    </row>
    <row r="812">
      <c r="G812" s="148" t="n"/>
      <c r="H812" s="148" t="n"/>
    </row>
    <row r="813">
      <c r="G813" s="148" t="n"/>
      <c r="H813" s="148" t="n"/>
    </row>
    <row r="814">
      <c r="G814" s="148" t="n"/>
      <c r="H814" s="148" t="n"/>
    </row>
    <row r="815">
      <c r="G815" s="148" t="n"/>
      <c r="H815" s="148" t="n"/>
    </row>
    <row r="816">
      <c r="G816" s="148" t="n"/>
      <c r="H816" s="148" t="n"/>
    </row>
    <row r="817">
      <c r="G817" s="148" t="n"/>
      <c r="H817" s="148" t="n"/>
    </row>
    <row r="818">
      <c r="G818" s="148" t="n"/>
      <c r="H818" s="148" t="n"/>
    </row>
    <row r="819">
      <c r="G819" s="148" t="n"/>
      <c r="H819" s="148" t="n"/>
    </row>
    <row r="820">
      <c r="G820" s="148" t="n"/>
      <c r="H820" s="148" t="n"/>
    </row>
    <row r="821">
      <c r="G821" s="148" t="n"/>
      <c r="H821" s="148" t="n"/>
    </row>
    <row r="822">
      <c r="G822" s="148" t="n"/>
      <c r="H822" s="148" t="n"/>
    </row>
    <row r="823">
      <c r="G823" s="148" t="n"/>
      <c r="H823" s="148" t="n"/>
    </row>
    <row r="824">
      <c r="G824" s="148" t="n"/>
      <c r="H824" s="148" t="n"/>
    </row>
    <row r="825">
      <c r="G825" s="148" t="n"/>
      <c r="H825" s="148" t="n"/>
    </row>
    <row r="826">
      <c r="G826" s="148" t="n"/>
      <c r="H826" s="148" t="n"/>
    </row>
    <row r="827">
      <c r="G827" s="148" t="n"/>
      <c r="H827" s="148" t="n"/>
    </row>
    <row r="828">
      <c r="G828" s="148" t="n"/>
      <c r="H828" s="148" t="n"/>
    </row>
    <row r="829">
      <c r="G829" s="148" t="n"/>
      <c r="H829" s="148" t="n"/>
    </row>
    <row r="830">
      <c r="G830" s="148" t="n"/>
      <c r="H830" s="148" t="n"/>
    </row>
    <row r="831">
      <c r="G831" s="148" t="n"/>
      <c r="H831" s="148" t="n"/>
    </row>
    <row r="832">
      <c r="G832" s="148" t="n"/>
      <c r="H832" s="148" t="n"/>
    </row>
    <row r="833">
      <c r="G833" s="148" t="n"/>
      <c r="H833" s="148" t="n"/>
    </row>
    <row r="834">
      <c r="G834" s="148" t="n"/>
      <c r="H834" s="148" t="n"/>
    </row>
    <row r="835">
      <c r="G835" s="148" t="n"/>
      <c r="H835" s="148" t="n"/>
    </row>
    <row r="836">
      <c r="G836" s="148" t="n"/>
      <c r="H836" s="148" t="n"/>
    </row>
    <row r="837">
      <c r="G837" s="148" t="n"/>
      <c r="H837" s="148" t="n"/>
    </row>
    <row r="838">
      <c r="G838" s="148" t="n"/>
      <c r="H838" s="148" t="n"/>
    </row>
    <row r="839">
      <c r="G839" s="148" t="n"/>
      <c r="H839" s="148" t="n"/>
    </row>
    <row r="840">
      <c r="G840" s="148" t="n"/>
      <c r="H840" s="148" t="n"/>
    </row>
    <row r="841">
      <c r="G841" s="148" t="n"/>
      <c r="H841" s="148" t="n"/>
    </row>
    <row r="842">
      <c r="G842" s="148" t="n"/>
      <c r="H842" s="148" t="n"/>
    </row>
    <row r="843">
      <c r="G843" s="148" t="n"/>
      <c r="H843" s="148" t="n"/>
    </row>
    <row r="844">
      <c r="G844" s="148" t="n"/>
      <c r="H844" s="148" t="n"/>
    </row>
    <row r="845">
      <c r="G845" s="148" t="n"/>
      <c r="H845" s="148" t="n"/>
    </row>
    <row r="846">
      <c r="G846" s="148" t="n"/>
      <c r="H846" s="148" t="n"/>
    </row>
    <row r="847">
      <c r="G847" s="148" t="n"/>
      <c r="H847" s="148" t="n"/>
    </row>
    <row r="848">
      <c r="G848" s="148" t="n"/>
      <c r="H848" s="148" t="n"/>
    </row>
    <row r="849">
      <c r="G849" s="148" t="n"/>
      <c r="H849" s="148" t="n"/>
    </row>
    <row r="850">
      <c r="G850" s="148" t="n"/>
      <c r="H850" s="148" t="n"/>
    </row>
    <row r="851">
      <c r="G851" s="148" t="n"/>
      <c r="H851" s="148" t="n"/>
    </row>
    <row r="852">
      <c r="G852" s="148" t="n"/>
      <c r="H852" s="148" t="n"/>
    </row>
    <row r="853">
      <c r="G853" s="148" t="n"/>
      <c r="H853" s="148" t="n"/>
    </row>
    <row r="854">
      <c r="G854" s="148" t="n"/>
      <c r="H854" s="148" t="n"/>
    </row>
    <row r="855">
      <c r="G855" s="148" t="n"/>
      <c r="H855" s="148" t="n"/>
    </row>
    <row r="856">
      <c r="G856" s="148" t="n"/>
      <c r="H856" s="148" t="n"/>
    </row>
    <row r="857">
      <c r="G857" s="148" t="n"/>
      <c r="H857" s="148" t="n"/>
    </row>
    <row r="858">
      <c r="G858" s="148" t="n"/>
      <c r="H858" s="148" t="n"/>
    </row>
    <row r="859">
      <c r="G859" s="148" t="n"/>
      <c r="H859" s="148" t="n"/>
    </row>
    <row r="860">
      <c r="G860" s="148" t="n"/>
      <c r="H860" s="148" t="n"/>
    </row>
    <row r="861">
      <c r="G861" s="148" t="n"/>
      <c r="H861" s="148" t="n"/>
    </row>
    <row r="862">
      <c r="G862" s="148" t="n"/>
      <c r="H862" s="148" t="n"/>
    </row>
    <row r="863">
      <c r="G863" s="148" t="n"/>
      <c r="H863" s="148" t="n"/>
    </row>
    <row r="864">
      <c r="G864" s="148" t="n"/>
      <c r="H864" s="148" t="n"/>
    </row>
    <row r="865">
      <c r="G865" s="148" t="n"/>
      <c r="H865" s="148" t="n"/>
    </row>
    <row r="866">
      <c r="G866" s="148" t="n"/>
      <c r="H866" s="148" t="n"/>
    </row>
    <row r="867">
      <c r="G867" s="148" t="n"/>
      <c r="H867" s="148" t="n"/>
    </row>
    <row r="868">
      <c r="G868" s="148" t="n"/>
      <c r="H868" s="148" t="n"/>
    </row>
    <row r="869">
      <c r="G869" s="148" t="n"/>
      <c r="H869" s="148" t="n"/>
    </row>
    <row r="870">
      <c r="G870" s="148" t="n"/>
      <c r="H870" s="148" t="n"/>
    </row>
    <row r="871">
      <c r="G871" s="148" t="n"/>
      <c r="H871" s="148" t="n"/>
    </row>
    <row r="872">
      <c r="G872" s="148" t="n"/>
      <c r="H872" s="148" t="n"/>
    </row>
    <row r="873">
      <c r="G873" s="148" t="n"/>
      <c r="H873" s="148" t="n"/>
    </row>
    <row r="874">
      <c r="G874" s="148" t="n"/>
      <c r="H874" s="148" t="n"/>
    </row>
    <row r="875">
      <c r="G875" s="148" t="n"/>
      <c r="H875" s="148" t="n"/>
    </row>
    <row r="876">
      <c r="G876" s="148" t="n"/>
      <c r="H876" s="148" t="n"/>
    </row>
    <row r="877">
      <c r="G877" s="148" t="n"/>
      <c r="H877" s="148" t="n"/>
    </row>
    <row r="878">
      <c r="G878" s="148" t="n"/>
      <c r="H878" s="148" t="n"/>
    </row>
    <row r="879">
      <c r="G879" s="148" t="n"/>
      <c r="H879" s="148" t="n"/>
    </row>
    <row r="880">
      <c r="G880" s="148" t="n"/>
      <c r="H880" s="148" t="n"/>
    </row>
    <row r="881">
      <c r="G881" s="148" t="n"/>
      <c r="H881" s="148" t="n"/>
    </row>
    <row r="882">
      <c r="G882" s="148" t="n"/>
      <c r="H882" s="148" t="n"/>
    </row>
    <row r="883">
      <c r="G883" s="148" t="n"/>
      <c r="H883" s="148" t="n"/>
    </row>
    <row r="884">
      <c r="G884" s="148" t="n"/>
      <c r="H884" s="148" t="n"/>
    </row>
    <row r="885">
      <c r="G885" s="148" t="n"/>
      <c r="H885" s="148" t="n"/>
    </row>
    <row r="886">
      <c r="G886" s="148" t="n"/>
      <c r="H886" s="148" t="n"/>
    </row>
    <row r="887">
      <c r="G887" s="148" t="n"/>
      <c r="H887" s="148" t="n"/>
    </row>
    <row r="888">
      <c r="G888" s="148" t="n"/>
      <c r="H888" s="148" t="n"/>
    </row>
    <row r="889">
      <c r="G889" s="148" t="n"/>
      <c r="H889" s="148" t="n"/>
    </row>
    <row r="890">
      <c r="G890" s="148" t="n"/>
      <c r="H890" s="148" t="n"/>
    </row>
    <row r="891">
      <c r="G891" s="148" t="n"/>
      <c r="H891" s="148" t="n"/>
    </row>
    <row r="892">
      <c r="G892" s="148" t="n"/>
      <c r="H892" s="148" t="n"/>
    </row>
    <row r="893">
      <c r="G893" s="148" t="n"/>
      <c r="H893" s="148" t="n"/>
    </row>
    <row r="894">
      <c r="G894" s="148" t="n"/>
      <c r="H894" s="148" t="n"/>
    </row>
    <row r="895">
      <c r="G895" s="148" t="n"/>
      <c r="H895" s="148" t="n"/>
    </row>
    <row r="896">
      <c r="G896" s="148" t="n"/>
      <c r="H896" s="148" t="n"/>
    </row>
    <row r="897">
      <c r="G897" s="148" t="n"/>
      <c r="H897" s="148" t="n"/>
    </row>
    <row r="898">
      <c r="G898" s="148" t="n"/>
      <c r="H898" s="148" t="n"/>
    </row>
    <row r="899">
      <c r="G899" s="148" t="n"/>
      <c r="H899" s="148" t="n"/>
    </row>
    <row r="900">
      <c r="G900" s="148" t="n"/>
      <c r="H900" s="148" t="n"/>
    </row>
    <row r="901">
      <c r="G901" s="148" t="n"/>
      <c r="H901" s="148" t="n"/>
    </row>
    <row r="902">
      <c r="G902" s="148" t="n"/>
      <c r="H902" s="148" t="n"/>
    </row>
    <row r="903">
      <c r="G903" s="148" t="n"/>
      <c r="H903" s="148" t="n"/>
    </row>
    <row r="904">
      <c r="G904" s="148" t="n"/>
      <c r="H904" s="148" t="n"/>
    </row>
    <row r="905">
      <c r="G905" s="148" t="n"/>
      <c r="H905" s="148" t="n"/>
    </row>
    <row r="906">
      <c r="G906" s="148" t="n"/>
      <c r="H906" s="148" t="n"/>
    </row>
    <row r="907">
      <c r="G907" s="148" t="n"/>
      <c r="H907" s="148" t="n"/>
    </row>
    <row r="908">
      <c r="G908" s="148" t="n"/>
      <c r="H908" s="148" t="n"/>
    </row>
    <row r="909">
      <c r="G909" s="148" t="n"/>
      <c r="H909" s="148" t="n"/>
    </row>
    <row r="910">
      <c r="G910" s="148" t="n"/>
      <c r="H910" s="148" t="n"/>
    </row>
    <row r="911">
      <c r="G911" s="148" t="n"/>
      <c r="H911" s="148" t="n"/>
    </row>
    <row r="912">
      <c r="G912" s="148" t="n"/>
      <c r="H912" s="148" t="n"/>
    </row>
    <row r="913">
      <c r="G913" s="148" t="n"/>
      <c r="H913" s="148" t="n"/>
    </row>
    <row r="914">
      <c r="G914" s="148" t="n"/>
      <c r="H914" s="148" t="n"/>
    </row>
    <row r="915">
      <c r="G915" s="148" t="n"/>
      <c r="H915" s="148" t="n"/>
    </row>
    <row r="916">
      <c r="G916" s="148" t="n"/>
      <c r="H916" s="148" t="n"/>
    </row>
    <row r="917">
      <c r="G917" s="148" t="n"/>
      <c r="H917" s="148" t="n"/>
    </row>
    <row r="918">
      <c r="G918" s="148" t="n"/>
      <c r="H918" s="148" t="n"/>
    </row>
    <row r="919">
      <c r="G919" s="148" t="n"/>
      <c r="H919" s="148" t="n"/>
    </row>
    <row r="920">
      <c r="G920" s="148" t="n"/>
      <c r="H920" s="148" t="n"/>
    </row>
    <row r="921">
      <c r="G921" s="148" t="n"/>
      <c r="H921" s="148" t="n"/>
    </row>
    <row r="922">
      <c r="G922" s="148" t="n"/>
      <c r="H922" s="148" t="n"/>
    </row>
    <row r="923">
      <c r="G923" s="148" t="n"/>
      <c r="H923" s="148" t="n"/>
    </row>
    <row r="924">
      <c r="G924" s="148" t="n"/>
      <c r="H924" s="148" t="n"/>
    </row>
    <row r="925">
      <c r="G925" s="148" t="n"/>
      <c r="H925" s="148" t="n"/>
    </row>
    <row r="926">
      <c r="G926" s="148" t="n"/>
      <c r="H926" s="148" t="n"/>
    </row>
    <row r="927">
      <c r="G927" s="148" t="n"/>
      <c r="H927" s="148" t="n"/>
    </row>
    <row r="928">
      <c r="G928" s="148" t="n"/>
      <c r="H928" s="148" t="n"/>
    </row>
    <row r="929">
      <c r="G929" s="148" t="n"/>
      <c r="H929" s="148" t="n"/>
    </row>
    <row r="930">
      <c r="G930" s="148" t="n"/>
      <c r="H930" s="148" t="n"/>
    </row>
    <row r="931">
      <c r="G931" s="148" t="n"/>
      <c r="H931" s="148" t="n"/>
    </row>
    <row r="932">
      <c r="G932" s="148" t="n"/>
      <c r="H932" s="148" t="n"/>
    </row>
    <row r="933">
      <c r="G933" s="148" t="n"/>
      <c r="H933" s="148" t="n"/>
    </row>
    <row r="934">
      <c r="G934" s="148" t="n"/>
      <c r="H934" s="148" t="n"/>
    </row>
    <row r="935">
      <c r="G935" s="148" t="n"/>
      <c r="H935" s="148" t="n"/>
    </row>
    <row r="936">
      <c r="G936" s="148" t="n"/>
      <c r="H936" s="148" t="n"/>
    </row>
    <row r="937">
      <c r="G937" s="148" t="n"/>
      <c r="H937" s="148" t="n"/>
    </row>
    <row r="938">
      <c r="G938" s="148" t="n"/>
      <c r="H938" s="148" t="n"/>
    </row>
    <row r="939">
      <c r="G939" s="148" t="n"/>
      <c r="H939" s="148" t="n"/>
    </row>
    <row r="940">
      <c r="G940" s="148" t="n"/>
      <c r="H940" s="148" t="n"/>
    </row>
    <row r="941">
      <c r="G941" s="148" t="n"/>
      <c r="H941" s="148" t="n"/>
    </row>
    <row r="942">
      <c r="G942" s="148" t="n"/>
      <c r="H942" s="148" t="n"/>
    </row>
    <row r="943">
      <c r="G943" s="148" t="n"/>
      <c r="H943" s="148" t="n"/>
    </row>
    <row r="944">
      <c r="G944" s="148" t="n"/>
      <c r="H944" s="148" t="n"/>
    </row>
    <row r="945">
      <c r="G945" s="148" t="n"/>
      <c r="H945" s="148" t="n"/>
    </row>
    <row r="946">
      <c r="G946" s="148" t="n"/>
      <c r="H946" s="148" t="n"/>
    </row>
    <row r="947">
      <c r="G947" s="148" t="n"/>
      <c r="H947" s="148" t="n"/>
    </row>
    <row r="948">
      <c r="G948" s="148" t="n"/>
      <c r="H948" s="148" t="n"/>
    </row>
    <row r="949">
      <c r="G949" s="148" t="n"/>
      <c r="H949" s="148" t="n"/>
    </row>
    <row r="950">
      <c r="G950" s="148" t="n"/>
      <c r="H950" s="148" t="n"/>
    </row>
    <row r="951">
      <c r="G951" s="148" t="n"/>
      <c r="H951" s="148" t="n"/>
    </row>
    <row r="952">
      <c r="G952" s="148" t="n"/>
      <c r="H952" s="148" t="n"/>
    </row>
    <row r="953">
      <c r="G953" s="148" t="n"/>
      <c r="H953" s="148" t="n"/>
    </row>
    <row r="954">
      <c r="G954" s="148" t="n"/>
      <c r="H954" s="148" t="n"/>
    </row>
    <row r="955">
      <c r="G955" s="148" t="n"/>
      <c r="H955" s="148" t="n"/>
    </row>
    <row r="956">
      <c r="G956" s="148" t="n"/>
      <c r="H956" s="148" t="n"/>
    </row>
    <row r="957">
      <c r="G957" s="148" t="n"/>
      <c r="H957" s="148" t="n"/>
    </row>
    <row r="958">
      <c r="G958" s="148" t="n"/>
      <c r="H958" s="148" t="n"/>
    </row>
    <row r="959">
      <c r="G959" s="148" t="n"/>
      <c r="H959" s="148" t="n"/>
    </row>
    <row r="960">
      <c r="G960" s="148" t="n"/>
      <c r="H960" s="148" t="n"/>
    </row>
    <row r="961">
      <c r="G961" s="148" t="n"/>
      <c r="H961" s="148" t="n"/>
    </row>
    <row r="962">
      <c r="G962" s="148" t="n"/>
      <c r="H962" s="148" t="n"/>
    </row>
    <row r="963">
      <c r="G963" s="148" t="n"/>
      <c r="H963" s="148" t="n"/>
    </row>
    <row r="964">
      <c r="G964" s="148" t="n"/>
      <c r="H964" s="148" t="n"/>
    </row>
    <row r="965">
      <c r="G965" s="148" t="n"/>
      <c r="H965" s="148" t="n"/>
    </row>
    <row r="966">
      <c r="G966" s="148" t="n"/>
      <c r="H966" s="148" t="n"/>
    </row>
    <row r="967">
      <c r="G967" s="148" t="n"/>
      <c r="H967" s="148" t="n"/>
    </row>
    <row r="968">
      <c r="G968" s="148" t="n"/>
      <c r="H968" s="148" t="n"/>
    </row>
    <row r="969">
      <c r="G969" s="148" t="n"/>
      <c r="H969" s="148" t="n"/>
    </row>
    <row r="970">
      <c r="G970" s="148" t="n"/>
      <c r="H970" s="148" t="n"/>
    </row>
    <row r="971">
      <c r="G971" s="148" t="n"/>
      <c r="H971" s="148" t="n"/>
    </row>
    <row r="972">
      <c r="G972" s="148" t="n"/>
      <c r="H972" s="148" t="n"/>
    </row>
    <row r="973">
      <c r="G973" s="148" t="n"/>
      <c r="H973" s="148" t="n"/>
    </row>
    <row r="974">
      <c r="G974" s="148" t="n"/>
      <c r="H974" s="148" t="n"/>
    </row>
    <row r="975">
      <c r="G975" s="148" t="n"/>
      <c r="H975" s="148" t="n"/>
    </row>
    <row r="976">
      <c r="G976" s="148" t="n"/>
      <c r="H976" s="148" t="n"/>
    </row>
    <row r="977">
      <c r="G977" s="148" t="n"/>
      <c r="H977" s="148" t="n"/>
    </row>
    <row r="978">
      <c r="G978" s="148" t="n"/>
      <c r="H978" s="148" t="n"/>
    </row>
    <row r="979">
      <c r="G979" s="148" t="n"/>
      <c r="H979" s="148" t="n"/>
    </row>
    <row r="980">
      <c r="G980" s="148" t="n"/>
      <c r="H980" s="148" t="n"/>
    </row>
    <row r="981">
      <c r="G981" s="148" t="n"/>
      <c r="H981" s="148" t="n"/>
    </row>
    <row r="982">
      <c r="G982" s="148" t="n"/>
      <c r="H982" s="148" t="n"/>
    </row>
    <row r="983">
      <c r="G983" s="148" t="n"/>
      <c r="H983" s="148" t="n"/>
    </row>
    <row r="984">
      <c r="G984" s="148" t="n"/>
      <c r="H984" s="148" t="n"/>
    </row>
    <row r="985">
      <c r="G985" s="148" t="n"/>
      <c r="H985" s="148" t="n"/>
    </row>
    <row r="986">
      <c r="G986" s="148" t="n"/>
      <c r="H986" s="148" t="n"/>
    </row>
    <row r="987">
      <c r="G987" s="148" t="n"/>
      <c r="H987" s="148" t="n"/>
    </row>
    <row r="988">
      <c r="G988" s="148" t="n"/>
      <c r="H988" s="148" t="n"/>
    </row>
    <row r="989">
      <c r="G989" s="148" t="n"/>
      <c r="H989" s="148" t="n"/>
    </row>
    <row r="990">
      <c r="G990" s="148" t="n"/>
      <c r="H990" s="148" t="n"/>
    </row>
    <row r="991">
      <c r="G991" s="148" t="n"/>
      <c r="H991" s="148" t="n"/>
    </row>
    <row r="992">
      <c r="G992" s="148" t="n"/>
      <c r="H992" s="148" t="n"/>
    </row>
    <row r="993">
      <c r="G993" s="148" t="n"/>
      <c r="H993" s="148" t="n"/>
    </row>
    <row r="994">
      <c r="G994" s="148" t="n"/>
      <c r="H994" s="148" t="n"/>
    </row>
    <row r="995">
      <c r="G995" s="148" t="n"/>
      <c r="H995" s="148" t="n"/>
    </row>
    <row r="996">
      <c r="G996" s="148" t="n"/>
      <c r="H996" s="148" t="n"/>
    </row>
    <row r="997">
      <c r="G997" s="148" t="n"/>
      <c r="H997" s="148" t="n"/>
    </row>
    <row r="998">
      <c r="G998" s="148" t="n"/>
      <c r="H998" s="148" t="n"/>
    </row>
    <row r="999">
      <c r="G999" s="148" t="n"/>
      <c r="H999" s="148" t="n"/>
    </row>
    <row r="1000">
      <c r="G1000" s="148" t="n"/>
      <c r="H1000" s="148" t="n"/>
    </row>
    <row r="1001">
      <c r="G1001" s="148" t="n"/>
      <c r="H1001" s="148" t="n"/>
    </row>
    <row r="1002">
      <c r="G1002" s="148" t="n"/>
      <c r="H1002" s="148" t="n"/>
    </row>
    <row r="1003">
      <c r="G1003" s="148" t="n"/>
      <c r="H1003" s="148" t="n"/>
    </row>
    <row r="1004">
      <c r="G1004" s="148" t="n"/>
      <c r="H1004" s="148" t="n"/>
    </row>
    <row r="1005">
      <c r="G1005" s="148" t="n"/>
      <c r="H1005" s="148" t="n"/>
    </row>
    <row r="1006">
      <c r="G1006" s="148" t="n"/>
      <c r="H1006" s="148" t="n"/>
    </row>
    <row r="1007">
      <c r="G1007" s="148" t="n"/>
      <c r="H1007" s="148" t="n"/>
    </row>
    <row r="1008">
      <c r="G1008" s="148" t="n"/>
      <c r="H1008" s="148" t="n"/>
    </row>
    <row r="1009">
      <c r="G1009" s="148" t="n"/>
      <c r="H1009" s="148" t="n"/>
    </row>
    <row r="1010">
      <c r="G1010" s="148" t="n"/>
      <c r="H1010" s="148" t="n"/>
    </row>
    <row r="1011">
      <c r="G1011" s="148" t="n"/>
      <c r="H1011" s="148" t="n"/>
    </row>
    <row r="1012">
      <c r="G1012" s="148" t="n"/>
      <c r="H1012" s="148" t="n"/>
    </row>
    <row r="1013">
      <c r="G1013" s="148" t="n"/>
      <c r="H1013" s="148" t="n"/>
    </row>
    <row r="1014">
      <c r="G1014" s="148" t="n"/>
      <c r="H1014" s="148" t="n"/>
    </row>
    <row r="1015">
      <c r="G1015" s="148" t="n"/>
      <c r="H1015" s="148" t="n"/>
    </row>
    <row r="1016">
      <c r="G1016" s="148" t="n"/>
      <c r="H1016" s="148" t="n"/>
    </row>
    <row r="1017">
      <c r="G1017" s="148" t="n"/>
      <c r="H1017" s="148" t="n"/>
    </row>
    <row r="1018">
      <c r="G1018" s="148" t="n"/>
      <c r="H1018" s="148" t="n"/>
    </row>
    <row r="1019">
      <c r="G1019" s="148" t="n"/>
      <c r="H1019" s="148" t="n"/>
    </row>
    <row r="1020">
      <c r="G1020" s="148" t="n"/>
      <c r="H1020" s="148" t="n"/>
    </row>
    <row r="1021">
      <c r="G1021" s="148" t="n"/>
      <c r="H1021" s="148" t="n"/>
    </row>
    <row r="1022">
      <c r="G1022" s="148" t="n"/>
      <c r="H1022" s="148" t="n"/>
    </row>
    <row r="1023">
      <c r="G1023" s="148" t="n"/>
      <c r="H1023" s="148" t="n"/>
    </row>
    <row r="1024">
      <c r="G1024" s="148" t="n"/>
      <c r="H1024" s="148" t="n"/>
    </row>
    <row r="1025">
      <c r="G1025" s="148" t="n"/>
      <c r="H1025" s="148" t="n"/>
    </row>
    <row r="1026">
      <c r="G1026" s="148" t="n"/>
      <c r="H1026" s="148" t="n"/>
    </row>
    <row r="1027">
      <c r="G1027" s="148" t="n"/>
      <c r="H1027" s="148" t="n"/>
    </row>
    <row r="1028">
      <c r="G1028" s="148" t="n"/>
      <c r="H1028" s="148" t="n"/>
    </row>
    <row r="1029">
      <c r="G1029" s="148" t="n"/>
      <c r="H1029" s="148" t="n"/>
    </row>
    <row r="1030">
      <c r="G1030" s="148" t="n"/>
      <c r="H1030" s="148" t="n"/>
    </row>
    <row r="1031">
      <c r="G1031" s="148" t="n"/>
      <c r="H1031" s="148" t="n"/>
    </row>
    <row r="1032">
      <c r="G1032" s="148" t="n"/>
      <c r="H1032" s="148" t="n"/>
    </row>
    <row r="1033">
      <c r="G1033" s="148" t="n"/>
      <c r="H1033" s="148" t="n"/>
    </row>
    <row r="1034">
      <c r="G1034" s="148" t="n"/>
      <c r="H1034" s="148" t="n"/>
    </row>
    <row r="1035">
      <c r="G1035" s="148" t="n"/>
      <c r="H1035" s="148" t="n"/>
    </row>
    <row r="1036">
      <c r="G1036" s="148" t="n"/>
      <c r="H1036" s="148" t="n"/>
    </row>
    <row r="1037">
      <c r="G1037" s="148" t="n"/>
      <c r="H1037" s="148" t="n"/>
    </row>
    <row r="1038">
      <c r="G1038" s="148" t="n"/>
      <c r="H1038" s="148" t="n"/>
    </row>
    <row r="1039">
      <c r="G1039" s="148" t="n"/>
      <c r="H1039" s="148" t="n"/>
    </row>
    <row r="1040">
      <c r="G1040" s="148" t="n"/>
      <c r="H1040" s="148" t="n"/>
    </row>
    <row r="1041">
      <c r="G1041" s="148" t="n"/>
      <c r="H1041" s="148" t="n"/>
    </row>
    <row r="1042">
      <c r="G1042" s="148" t="n"/>
      <c r="H1042" s="148" t="n"/>
    </row>
    <row r="1043">
      <c r="G1043" s="148" t="n"/>
      <c r="H1043" s="148" t="n"/>
    </row>
    <row r="1044">
      <c r="G1044" s="148" t="n"/>
      <c r="H1044" s="148" t="n"/>
    </row>
    <row r="1045">
      <c r="G1045" s="148" t="n"/>
      <c r="H1045" s="148" t="n"/>
    </row>
    <row r="1046">
      <c r="G1046" s="148" t="n"/>
      <c r="H1046" s="148" t="n"/>
    </row>
    <row r="1047">
      <c r="G1047" s="148" t="n"/>
      <c r="H1047" s="148" t="n"/>
    </row>
    <row r="1048">
      <c r="G1048" s="148" t="n"/>
      <c r="H1048" s="148" t="n"/>
    </row>
    <row r="1049">
      <c r="G1049" s="148" t="n"/>
      <c r="H1049" s="148" t="n"/>
    </row>
    <row r="1050">
      <c r="G1050" s="148" t="n"/>
      <c r="H1050" s="148" t="n"/>
    </row>
    <row r="1051">
      <c r="G1051" s="148" t="n"/>
      <c r="H1051" s="148" t="n"/>
    </row>
    <row r="1052">
      <c r="G1052" s="148" t="n"/>
      <c r="H1052" s="148" t="n"/>
    </row>
    <row r="1053">
      <c r="G1053" s="148" t="n"/>
      <c r="H1053" s="148" t="n"/>
    </row>
    <row r="1054">
      <c r="G1054" s="148" t="n"/>
      <c r="H1054" s="148" t="n"/>
    </row>
    <row r="1055">
      <c r="G1055" s="148" t="n"/>
      <c r="H1055" s="148" t="n"/>
    </row>
    <row r="1056">
      <c r="G1056" s="148" t="n"/>
      <c r="H1056" s="148" t="n"/>
    </row>
    <row r="1057">
      <c r="G1057" s="148" t="n"/>
      <c r="H1057" s="148" t="n"/>
    </row>
    <row r="1058">
      <c r="G1058" s="148" t="n"/>
      <c r="H1058" s="148" t="n"/>
    </row>
    <row r="1059">
      <c r="G1059" s="148" t="n"/>
      <c r="H1059" s="148" t="n"/>
    </row>
    <row r="1060">
      <c r="G1060" s="148" t="n"/>
      <c r="H1060" s="148" t="n"/>
    </row>
    <row r="1061">
      <c r="G1061" s="148" t="n"/>
      <c r="H1061" s="148" t="n"/>
    </row>
    <row r="1062">
      <c r="G1062" s="148" t="n"/>
      <c r="H1062" s="148" t="n"/>
    </row>
    <row r="1063">
      <c r="G1063" s="148" t="n"/>
      <c r="H1063" s="148" t="n"/>
    </row>
    <row r="1064">
      <c r="G1064" s="148" t="n"/>
      <c r="H1064" s="148" t="n"/>
    </row>
    <row r="1065">
      <c r="G1065" s="148" t="n"/>
      <c r="H1065" s="148" t="n"/>
    </row>
    <row r="1066">
      <c r="G1066" s="148" t="n"/>
      <c r="H1066" s="148" t="n"/>
    </row>
    <row r="1067">
      <c r="G1067" s="148" t="n"/>
    </row>
    <row r="1068">
      <c r="G1068" s="148" t="n"/>
    </row>
    <row r="1069">
      <c r="G1069" s="148" t="n"/>
    </row>
    <row r="1070">
      <c r="G1070" s="148" t="n"/>
    </row>
    <row r="1071">
      <c r="G1071" s="148" t="n"/>
    </row>
    <row r="1072">
      <c r="G1072" s="148" t="n"/>
    </row>
  </sheetData>
  <mergeCells count="1">
    <mergeCell ref="Y1:AE1"/>
  </mergeCells>
  <conditionalFormatting sqref="B1">
    <cfRule type="expression" priority="2" dxfId="5">
      <formula>B1=""</formula>
    </cfRule>
  </conditionalFormatting>
  <conditionalFormatting sqref="E1">
    <cfRule type="expression" priority="1" dxfId="5">
      <formula>E1=""</formula>
    </cfRule>
  </conditionalFormatting>
  <conditionalFormatting sqref="E5">
    <cfRule type="duplicateValues" priority="11" dxfId="4"/>
  </conditionalFormatting>
  <conditionalFormatting sqref="O5">
    <cfRule type="containsText" priority="3" operator="containsText" dxfId="15" text="GERİ ÇEKİLDİ">
      <formula>NOT(ISERROR(SEARCH("GERİ ÇEKİLDİ",O5)))</formula>
    </cfRule>
    <cfRule type="containsText" priority="4" operator="containsText" dxfId="14" text="KAPSAM DIŞI">
      <formula>NOT(ISERROR(SEARCH("KAPSAM DIŞI",O5)))</formula>
    </cfRule>
    <cfRule type="containsText" priority="5" operator="containsText" dxfId="13" text="RET">
      <formula>NOT(ISERROR(SEARCH("RET",O5)))</formula>
    </cfRule>
    <cfRule type="containsText" priority="6" operator="containsText" dxfId="0" text="GÖRÜŞ">
      <formula>NOT(ISERROR(SEARCH("GÖRÜŞ",O5)))</formula>
    </cfRule>
    <cfRule type="containsText" priority="7" operator="containsText" dxfId="11" text="KAEK">
      <formula>NOT(ISERROR(SEARCH("KAEK",O5)))</formula>
    </cfRule>
    <cfRule type="containsText" priority="8" operator="containsText" dxfId="0" text="GÖRÜŞ">
      <formula>NOT(ISERROR(SEARCH("GÖRÜŞ",O5)))</formula>
    </cfRule>
    <cfRule type="containsText" priority="9" operator="containsText" dxfId="9" text="DÜZELTME">
      <formula>NOT(ISERROR(SEARCH("DÜZELTME",O5)))</formula>
    </cfRule>
    <cfRule type="containsText" priority="10" operator="containsText" dxfId="8" text="ONAY">
      <formula>NOT(ISERROR(SEARCH("ONAY",O5)))</formula>
    </cfRule>
  </conditionalFormatting>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tabColor rgb="FF00B050"/>
    <outlinePr summaryBelow="1" summaryRight="1"/>
    <pageSetUpPr/>
  </sheetPr>
  <dimension ref="A1:I49"/>
  <sheetViews>
    <sheetView workbookViewId="0">
      <selection activeCell="C4" sqref="C4"/>
    </sheetView>
  </sheetViews>
  <sheetFormatPr baseColWidth="8" defaultRowHeight="20.25"/>
  <cols>
    <col width="59.5703125" bestFit="1" customWidth="1" style="133" min="1" max="1"/>
    <col width="29.7109375" customWidth="1" style="133" min="2" max="2"/>
    <col width="15.42578125" bestFit="1" customWidth="1" style="133" min="3" max="3"/>
    <col width="18.28515625" bestFit="1" customWidth="1" style="133" min="4" max="4"/>
    <col width="10.28515625" bestFit="1" customWidth="1" style="133" min="5" max="5"/>
    <col width="11.85546875" bestFit="1" customWidth="1" style="133" min="6" max="6"/>
    <col width="21.28515625" bestFit="1" customWidth="1" style="133" min="7" max="7"/>
    <col width="7.28515625" bestFit="1" customWidth="1" style="133" min="8" max="8"/>
    <col width="22.5703125" bestFit="1" customWidth="1" style="133" min="9" max="9"/>
    <col width="9.140625" customWidth="1" style="133" min="10" max="16384"/>
  </cols>
  <sheetData>
    <row r="1">
      <c r="A1" s="212" t="inlineStr">
        <is>
          <t>ETİK KURUL TOPLANTI RAPORU</t>
        </is>
      </c>
    </row>
    <row r="2">
      <c r="B2" s="134" t="n"/>
    </row>
    <row r="3" ht="21" customHeight="1" s="221" thickBot="1"/>
    <row r="4" ht="21" customHeight="1" s="221" thickBot="1">
      <c r="B4" s="138" t="inlineStr">
        <is>
          <t>Toplantı Tarihi:</t>
        </is>
      </c>
      <c r="C4" s="136" t="n">
        <v>46070</v>
      </c>
    </row>
    <row r="5" ht="21" customHeight="1" s="221" thickBot="1">
      <c r="B5" s="137" t="inlineStr">
        <is>
          <t>Toplam Dosya Sayısı:</t>
        </is>
      </c>
      <c r="C5" s="139">
        <f t="array" ref="C5">SUMPRODUCT(--(VALUE(Başvuru!$I$2:$I$5158)=VALUE($C$4)))</f>
        <v/>
      </c>
    </row>
    <row r="7" ht="21" customHeight="1" s="221" thickBot="1"/>
    <row r="8" ht="21" customHeight="1" s="221" thickBot="1">
      <c r="A8" s="141" t="inlineStr">
        <is>
          <t>BİRİM ADI</t>
        </is>
      </c>
      <c r="B8" s="142" t="inlineStr">
        <is>
          <t>TOPLAM DOSYA</t>
        </is>
      </c>
      <c r="C8" s="143" t="inlineStr">
        <is>
          <t>ONAY</t>
        </is>
      </c>
      <c r="D8" s="142" t="inlineStr">
        <is>
          <t>DÜZELTME</t>
        </is>
      </c>
      <c r="E8" s="143" t="inlineStr">
        <is>
          <t>KAEK</t>
        </is>
      </c>
      <c r="F8" s="143" t="inlineStr">
        <is>
          <t>GÖRÜŞ</t>
        </is>
      </c>
      <c r="G8" s="143" t="inlineStr">
        <is>
          <t>KAPSAM DIŞI</t>
        </is>
      </c>
      <c r="H8" s="143" t="inlineStr">
        <is>
          <t>RET</t>
        </is>
      </c>
      <c r="I8" s="144" t="inlineStr">
        <is>
          <t>GERİ ÇEKİLDİ</t>
        </is>
      </c>
    </row>
    <row r="9">
      <c r="A9" s="133">
        <f t="array" ref="A9:A32">_xlfn._xlws.SORT(_xlfn.UNIQUE(_xlfn._xlws.FILTER(Başvuru!$D$2:$D$10158, Başvuru!$I$2:$I$10158=$C$4, "Kayıt Yok")))</f>
        <v/>
      </c>
      <c r="B9" s="140">
        <f t="array" ref="B9">SUMPRODUCT((Başvuru!$D$2:$D$5158=$A9)*(VALUE(Başvuru!$I$2:$I$5158)=VALUE($C$4)))</f>
        <v/>
      </c>
      <c r="C9" s="140">
        <f t="array" ref="C9">SUMPRODUCT((Başvuru!$D$2:$D$5158=$A9)*(VALUE(Başvuru!$I$2:$I$5158)=VALUE($C$4))*(Başvuru!$P$2:$P$5158=C$8))</f>
        <v/>
      </c>
      <c r="D9" s="140">
        <f t="array" ref="D9">SUMPRODUCT((Başvuru!$D$2:$D$5158=$A9)*(VALUE(Başvuru!$I$2:$I$5158)=VALUE($C$4))*(Başvuru!$P$2:$P$5158=D$8))</f>
        <v/>
      </c>
      <c r="E9" s="140">
        <f t="array" ref="E9">SUMPRODUCT((Başvuru!$D$2:$D$5158=$A9)*(VALUE(Başvuru!$I$2:$I$5158)=VALUE($C$4))*(Başvuru!$P$2:$P$5158=E$8))</f>
        <v/>
      </c>
      <c r="F9" s="140">
        <f t="array" ref="F9">SUMPRODUCT((Başvuru!$D$2:$D$5158=$A9)*(VALUE(Başvuru!$I$2:$I$5158)=VALUE($C$4))*(Başvuru!$P$2:$P$5158=F$8))</f>
        <v/>
      </c>
      <c r="G9" s="140">
        <f t="array" ref="G9">SUMPRODUCT((Başvuru!$D$2:$D$5158=$A9)*(VALUE(Başvuru!$I$2:$I$5158)=VALUE($C$4))*(Başvuru!$P$2:$P$5158=G$8))</f>
        <v/>
      </c>
      <c r="H9" s="140">
        <f t="array" ref="H9">SUMPRODUCT((Başvuru!$D$2:$D$5158=$A9)*(VALUE(Başvuru!$I$2:$I$5158)=VALUE($C$4))*(Başvuru!$P$2:$P$5158=H$8))</f>
        <v/>
      </c>
      <c r="I9" s="140">
        <f t="array" ref="I9">SUMPRODUCT((Başvuru!$D$2:$D$5158=$A9)*(VALUE(Başvuru!$I$2:$I$5158)=VALUE($C$4))*(Başvuru!$P$2:$P$5158=I$8))</f>
        <v/>
      </c>
    </row>
    <row r="10">
      <c r="A10" s="133" t="inlineStr">
        <is>
          <t>Anatomi Anabilim Dalı</t>
        </is>
      </c>
      <c r="B10" s="140">
        <f t="array" ref="B10">SUMPRODUCT((Başvuru!$D$2:$D$5158=$A10)*(VALUE(Başvuru!$I$2:$I$5158)=VALUE($C$4)))</f>
        <v/>
      </c>
      <c r="C10" s="140">
        <f t="array" ref="C10">SUMPRODUCT((Başvuru!$D$2:$D$5158=$A10)*(VALUE(Başvuru!$I$2:$I$5158)=VALUE($C$4))*(Başvuru!$P$2:$P$5158=C$8))</f>
        <v/>
      </c>
      <c r="D10" s="140">
        <f t="array" ref="D10">SUMPRODUCT((Başvuru!$D$2:$D$5158=$A10)*(VALUE(Başvuru!$I$2:$I$5158)=VALUE($C$4))*(Başvuru!$P$2:$P$5158=D$8))</f>
        <v/>
      </c>
      <c r="E10" s="140">
        <f t="array" ref="E10">SUMPRODUCT((Başvuru!$D$2:$D$5158=$A10)*(VALUE(Başvuru!$I$2:$I$5158)=VALUE($C$4))*(Başvuru!$P$2:$P$5158=E$8))</f>
        <v/>
      </c>
      <c r="F10" s="140">
        <f t="array" ref="F10">SUMPRODUCT((Başvuru!$D$2:$D$5158=$A10)*(VALUE(Başvuru!$I$2:$I$5158)=VALUE($C$4))*(Başvuru!$P$2:$P$5158=F$8))</f>
        <v/>
      </c>
      <c r="G10" s="140">
        <f t="array" ref="G10">SUMPRODUCT((Başvuru!$D$2:$D$5158=$A10)*(VALUE(Başvuru!$I$2:$I$5158)=VALUE($C$4))*(Başvuru!$P$2:$P$5158=G$8))</f>
        <v/>
      </c>
      <c r="H10" s="140">
        <f t="array" ref="H10">SUMPRODUCT((Başvuru!$D$2:$D$5158=$A10)*(VALUE(Başvuru!$I$2:$I$5158)=VALUE($C$4))*(Başvuru!$P$2:$P$5158=H$8))</f>
        <v/>
      </c>
      <c r="I10" s="140">
        <f t="array" ref="I10">SUMPRODUCT((Başvuru!$D$2:$D$5158=$A10)*(VALUE(Başvuru!$I$2:$I$5158)=VALUE($C$4))*(Başvuru!$P$2:$P$5158=I$8))</f>
        <v/>
      </c>
    </row>
    <row r="11">
      <c r="A11" s="133" t="inlineStr">
        <is>
          <t>Anesteziyoloji ve Reanimasyon Anabilim Dalı</t>
        </is>
      </c>
      <c r="B11" s="140">
        <f t="array" ref="B11">SUMPRODUCT((Başvuru!$D$2:$D$5158=$A11)*(VALUE(Başvuru!$I$2:$I$5158)=VALUE($C$4)))</f>
        <v/>
      </c>
      <c r="C11" s="140">
        <f t="array" ref="C11">SUMPRODUCT((Başvuru!$D$2:$D$5158=$A11)*(VALUE(Başvuru!$I$2:$I$5158)=VALUE($C$4))*(Başvuru!$P$2:$P$5158=C$8))</f>
        <v/>
      </c>
      <c r="D11" s="140">
        <f t="array" ref="D11">SUMPRODUCT((Başvuru!$D$2:$D$5158=$A11)*(VALUE(Başvuru!$I$2:$I$5158)=VALUE($C$4))*(Başvuru!$P$2:$P$5158=D$8))</f>
        <v/>
      </c>
      <c r="E11" s="140">
        <f t="array" ref="E11">SUMPRODUCT((Başvuru!$D$2:$D$5158=$A11)*(VALUE(Başvuru!$I$2:$I$5158)=VALUE($C$4))*(Başvuru!$P$2:$P$5158=E$8))</f>
        <v/>
      </c>
      <c r="F11" s="140">
        <f t="array" ref="F11">SUMPRODUCT((Başvuru!$D$2:$D$5158=$A11)*(VALUE(Başvuru!$I$2:$I$5158)=VALUE($C$4))*(Başvuru!$P$2:$P$5158=F$8))</f>
        <v/>
      </c>
      <c r="G11" s="140">
        <f t="array" ref="G11">SUMPRODUCT((Başvuru!$D$2:$D$5158=$A11)*(VALUE(Başvuru!$I$2:$I$5158)=VALUE($C$4))*(Başvuru!$P$2:$P$5158=G$8))</f>
        <v/>
      </c>
      <c r="H11" s="140">
        <f t="array" ref="H11">SUMPRODUCT((Başvuru!$D$2:$D$5158=$A11)*(VALUE(Başvuru!$I$2:$I$5158)=VALUE($C$4))*(Başvuru!$P$2:$P$5158=H$8))</f>
        <v/>
      </c>
      <c r="I11" s="140">
        <f t="array" ref="I11">SUMPRODUCT((Başvuru!$D$2:$D$5158=$A11)*(VALUE(Başvuru!$I$2:$I$5158)=VALUE($C$4))*(Başvuru!$P$2:$P$5158=I$8))</f>
        <v/>
      </c>
    </row>
    <row r="12">
      <c r="A12" s="133" t="inlineStr">
        <is>
          <t>Çocuk Sağlığı ve Hastalıkları Anabilim Dalı</t>
        </is>
      </c>
      <c r="B12" s="140">
        <f t="array" ref="B12">SUMPRODUCT((Başvuru!$D$2:$D$5158=$A12)*(VALUE(Başvuru!$I$2:$I$5158)=VALUE($C$4)))</f>
        <v/>
      </c>
      <c r="C12" s="140">
        <f t="array" ref="C12">SUMPRODUCT((Başvuru!$D$2:$D$5158=$A12)*(VALUE(Başvuru!$I$2:$I$5158)=VALUE($C$4))*(Başvuru!$P$2:$P$5158=C$8))</f>
        <v/>
      </c>
      <c r="D12" s="140">
        <f t="array" ref="D12">SUMPRODUCT((Başvuru!$D$2:$D$5158=$A12)*(VALUE(Başvuru!$I$2:$I$5158)=VALUE($C$4))*(Başvuru!$P$2:$P$5158=D$8))</f>
        <v/>
      </c>
      <c r="E12" s="140">
        <f t="array" ref="E12">SUMPRODUCT((Başvuru!$D$2:$D$5158=$A12)*(VALUE(Başvuru!$I$2:$I$5158)=VALUE($C$4))*(Başvuru!$P$2:$P$5158=E$8))</f>
        <v/>
      </c>
      <c r="F12" s="140">
        <f t="array" ref="F12">SUMPRODUCT((Başvuru!$D$2:$D$5158=$A12)*(VALUE(Başvuru!$I$2:$I$5158)=VALUE($C$4))*(Başvuru!$P$2:$P$5158=F$8))</f>
        <v/>
      </c>
      <c r="G12" s="140">
        <f t="array" ref="G12">SUMPRODUCT((Başvuru!$D$2:$D$5158=$A12)*(VALUE(Başvuru!$I$2:$I$5158)=VALUE($C$4))*(Başvuru!$P$2:$P$5158=G$8))</f>
        <v/>
      </c>
      <c r="H12" s="140">
        <f t="array" ref="H12">SUMPRODUCT((Başvuru!$D$2:$D$5158=$A12)*(VALUE(Başvuru!$I$2:$I$5158)=VALUE($C$4))*(Başvuru!$P$2:$P$5158=H$8))</f>
        <v/>
      </c>
      <c r="I12" s="140">
        <f t="array" ref="I12">SUMPRODUCT((Başvuru!$D$2:$D$5158=$A12)*(VALUE(Başvuru!$I$2:$I$5158)=VALUE($C$4))*(Başvuru!$P$2:$P$5158=I$8))</f>
        <v/>
      </c>
    </row>
    <row r="13">
      <c r="A13" s="133" t="inlineStr">
        <is>
          <t>Deri ve Zührevi Hastalıklar Anabilim Dalı</t>
        </is>
      </c>
      <c r="B13" s="140">
        <f t="array" ref="B13">SUMPRODUCT((Başvuru!$D$2:$D$5158=$A13)*(VALUE(Başvuru!$I$2:$I$5158)=VALUE($C$4)))</f>
        <v/>
      </c>
      <c r="C13" s="140">
        <f t="array" ref="C13">SUMPRODUCT((Başvuru!$D$2:$D$5158=$A13)*(VALUE(Başvuru!$I$2:$I$5158)=VALUE($C$4))*(Başvuru!$P$2:$P$5158=C$8))</f>
        <v/>
      </c>
      <c r="D13" s="140">
        <f t="array" ref="D13">SUMPRODUCT((Başvuru!$D$2:$D$5158=$A13)*(VALUE(Başvuru!$I$2:$I$5158)=VALUE($C$4))*(Başvuru!$P$2:$P$5158=D$8))</f>
        <v/>
      </c>
      <c r="E13" s="140">
        <f t="array" ref="E13">SUMPRODUCT((Başvuru!$D$2:$D$5158=$A13)*(VALUE(Başvuru!$I$2:$I$5158)=VALUE($C$4))*(Başvuru!$P$2:$P$5158=E$8))</f>
        <v/>
      </c>
      <c r="F13" s="140">
        <f t="array" ref="F13">SUMPRODUCT((Başvuru!$D$2:$D$5158=$A13)*(VALUE(Başvuru!$I$2:$I$5158)=VALUE($C$4))*(Başvuru!$P$2:$P$5158=F$8))</f>
        <v/>
      </c>
      <c r="G13" s="140">
        <f t="array" ref="G13">SUMPRODUCT((Başvuru!$D$2:$D$5158=$A13)*(VALUE(Başvuru!$I$2:$I$5158)=VALUE($C$4))*(Başvuru!$P$2:$P$5158=G$8))</f>
        <v/>
      </c>
      <c r="H13" s="140">
        <f t="array" ref="H13">SUMPRODUCT((Başvuru!$D$2:$D$5158=$A13)*(VALUE(Başvuru!$I$2:$I$5158)=VALUE($C$4))*(Başvuru!$P$2:$P$5158=H$8))</f>
        <v/>
      </c>
      <c r="I13" s="140">
        <f t="array" ref="I13">SUMPRODUCT((Başvuru!$D$2:$D$5158=$A13)*(VALUE(Başvuru!$I$2:$I$5158)=VALUE($C$4))*(Başvuru!$P$2:$P$5158=I$8))</f>
        <v/>
      </c>
    </row>
    <row r="14">
      <c r="A14" s="133" t="inlineStr">
        <is>
          <t>Endodonti Anabilim Dalı</t>
        </is>
      </c>
      <c r="B14" s="140">
        <f t="array" ref="B14">SUMPRODUCT((Başvuru!$D$2:$D$5158=$A14)*(VALUE(Başvuru!$I$2:$I$5158)=VALUE($C$4)))</f>
        <v/>
      </c>
      <c r="C14" s="140">
        <f t="array" ref="C14">SUMPRODUCT((Başvuru!$D$2:$D$5158=$A14)*(VALUE(Başvuru!$I$2:$I$5158)=VALUE($C$4))*(Başvuru!$P$2:$P$5158=C$8))</f>
        <v/>
      </c>
      <c r="D14" s="140">
        <f t="array" ref="D14">SUMPRODUCT((Başvuru!$D$2:$D$5158=$A14)*(VALUE(Başvuru!$I$2:$I$5158)=VALUE($C$4))*(Başvuru!$P$2:$P$5158=D$8))</f>
        <v/>
      </c>
      <c r="E14" s="140">
        <f t="array" ref="E14">SUMPRODUCT((Başvuru!$D$2:$D$5158=$A14)*(VALUE(Başvuru!$I$2:$I$5158)=VALUE($C$4))*(Başvuru!$P$2:$P$5158=E$8))</f>
        <v/>
      </c>
      <c r="F14" s="140">
        <f t="array" ref="F14">SUMPRODUCT((Başvuru!$D$2:$D$5158=$A14)*(VALUE(Başvuru!$I$2:$I$5158)=VALUE($C$4))*(Başvuru!$P$2:$P$5158=F$8))</f>
        <v/>
      </c>
      <c r="G14" s="140">
        <f t="array" ref="G14">SUMPRODUCT((Başvuru!$D$2:$D$5158=$A14)*(VALUE(Başvuru!$I$2:$I$5158)=VALUE($C$4))*(Başvuru!$P$2:$P$5158=G$8))</f>
        <v/>
      </c>
      <c r="H14" s="140">
        <f t="array" ref="H14">SUMPRODUCT((Başvuru!$D$2:$D$5158=$A14)*(VALUE(Başvuru!$I$2:$I$5158)=VALUE($C$4))*(Başvuru!$P$2:$P$5158=H$8))</f>
        <v/>
      </c>
      <c r="I14" s="140">
        <f t="array" ref="I14">SUMPRODUCT((Başvuru!$D$2:$D$5158=$A14)*(VALUE(Başvuru!$I$2:$I$5158)=VALUE($C$4))*(Başvuru!$P$2:$P$5158=I$8))</f>
        <v/>
      </c>
    </row>
    <row r="15">
      <c r="A15" s="133" t="inlineStr">
        <is>
          <t>Fizyoloji Anabilim Dalı</t>
        </is>
      </c>
      <c r="B15" s="140">
        <f t="array" ref="B15">SUMPRODUCT((Başvuru!$D$2:$D$5158=$A15)*(VALUE(Başvuru!$I$2:$I$5158)=VALUE($C$4)))</f>
        <v/>
      </c>
      <c r="C15" s="140">
        <f t="array" ref="C15">SUMPRODUCT((Başvuru!$D$2:$D$5158=$A15)*(VALUE(Başvuru!$I$2:$I$5158)=VALUE($C$4))*(Başvuru!$P$2:$P$5158=C$8))</f>
        <v/>
      </c>
      <c r="D15" s="140">
        <f t="array" ref="D15">SUMPRODUCT((Başvuru!$D$2:$D$5158=$A15)*(VALUE(Başvuru!$I$2:$I$5158)=VALUE($C$4))*(Başvuru!$P$2:$P$5158=D$8))</f>
        <v/>
      </c>
      <c r="E15" s="140">
        <f t="array" ref="E15">SUMPRODUCT((Başvuru!$D$2:$D$5158=$A15)*(VALUE(Başvuru!$I$2:$I$5158)=VALUE($C$4))*(Başvuru!$P$2:$P$5158=E$8))</f>
        <v/>
      </c>
      <c r="F15" s="140">
        <f t="array" ref="F15">SUMPRODUCT((Başvuru!$D$2:$D$5158=$A15)*(VALUE(Başvuru!$I$2:$I$5158)=VALUE($C$4))*(Başvuru!$P$2:$P$5158=F$8))</f>
        <v/>
      </c>
      <c r="G15" s="140">
        <f t="array" ref="G15">SUMPRODUCT((Başvuru!$D$2:$D$5158=$A15)*(VALUE(Başvuru!$I$2:$I$5158)=VALUE($C$4))*(Başvuru!$P$2:$P$5158=G$8))</f>
        <v/>
      </c>
      <c r="H15" s="140">
        <f t="array" ref="H15">SUMPRODUCT((Başvuru!$D$2:$D$5158=$A15)*(VALUE(Başvuru!$I$2:$I$5158)=VALUE($C$4))*(Başvuru!$P$2:$P$5158=H$8))</f>
        <v/>
      </c>
      <c r="I15" s="140">
        <f t="array" ref="I15">SUMPRODUCT((Başvuru!$D$2:$D$5158=$A15)*(VALUE(Başvuru!$I$2:$I$5158)=VALUE($C$4))*(Başvuru!$P$2:$P$5158=I$8))</f>
        <v/>
      </c>
    </row>
    <row r="16">
      <c r="A16" s="133" t="inlineStr">
        <is>
          <t>Göğüs Hastalıkları Anabilim Dalı</t>
        </is>
      </c>
      <c r="B16" s="140">
        <f t="array" ref="B16">SUMPRODUCT((Başvuru!$D$2:$D$5158=$A16)*(VALUE(Başvuru!$I$2:$I$5158)=VALUE($C$4)))</f>
        <v/>
      </c>
      <c r="C16" s="140">
        <f t="array" ref="C16">SUMPRODUCT((Başvuru!$D$2:$D$5158=$A16)*(VALUE(Başvuru!$I$2:$I$5158)=VALUE($C$4))*(Başvuru!$P$2:$P$5158=C$8))</f>
        <v/>
      </c>
      <c r="D16" s="140">
        <f t="array" ref="D16">SUMPRODUCT((Başvuru!$D$2:$D$5158=$A16)*(VALUE(Başvuru!$I$2:$I$5158)=VALUE($C$4))*(Başvuru!$P$2:$P$5158=D$8))</f>
        <v/>
      </c>
      <c r="E16" s="140">
        <f t="array" ref="E16">SUMPRODUCT((Başvuru!$D$2:$D$5158=$A16)*(VALUE(Başvuru!$I$2:$I$5158)=VALUE($C$4))*(Başvuru!$P$2:$P$5158=E$8))</f>
        <v/>
      </c>
      <c r="F16" s="140">
        <f t="array" ref="F16">SUMPRODUCT((Başvuru!$D$2:$D$5158=$A16)*(VALUE(Başvuru!$I$2:$I$5158)=VALUE($C$4))*(Başvuru!$P$2:$P$5158=F$8))</f>
        <v/>
      </c>
      <c r="G16" s="140">
        <f t="array" ref="G16">SUMPRODUCT((Başvuru!$D$2:$D$5158=$A16)*(VALUE(Başvuru!$I$2:$I$5158)=VALUE($C$4))*(Başvuru!$P$2:$P$5158=G$8))</f>
        <v/>
      </c>
      <c r="H16" s="140">
        <f t="array" ref="H16">SUMPRODUCT((Başvuru!$D$2:$D$5158=$A16)*(VALUE(Başvuru!$I$2:$I$5158)=VALUE($C$4))*(Başvuru!$P$2:$P$5158=H$8))</f>
        <v/>
      </c>
      <c r="I16" s="140">
        <f t="array" ref="I16">SUMPRODUCT((Başvuru!$D$2:$D$5158=$A16)*(VALUE(Başvuru!$I$2:$I$5158)=VALUE($C$4))*(Başvuru!$P$2:$P$5158=I$8))</f>
        <v/>
      </c>
    </row>
    <row r="17">
      <c r="A17" s="133" t="inlineStr">
        <is>
          <t>Göz Hastalıkları Anabilim Dalı</t>
        </is>
      </c>
      <c r="B17" s="140">
        <f t="array" ref="B17">SUMPRODUCT((Başvuru!$D$2:$D$5158=$A17)*(VALUE(Başvuru!$I$2:$I$5158)=VALUE($C$4)))</f>
        <v/>
      </c>
      <c r="C17" s="140">
        <f t="array" ref="C17">SUMPRODUCT((Başvuru!$D$2:$D$5158=$A17)*(VALUE(Başvuru!$I$2:$I$5158)=VALUE($C$4))*(Başvuru!$P$2:$P$5158=C$8))</f>
        <v/>
      </c>
      <c r="D17" s="140">
        <f t="array" ref="D17">SUMPRODUCT((Başvuru!$D$2:$D$5158=$A17)*(VALUE(Başvuru!$I$2:$I$5158)=VALUE($C$4))*(Başvuru!$P$2:$P$5158=D$8))</f>
        <v/>
      </c>
      <c r="E17" s="140">
        <f t="array" ref="E17">SUMPRODUCT((Başvuru!$D$2:$D$5158=$A17)*(VALUE(Başvuru!$I$2:$I$5158)=VALUE($C$4))*(Başvuru!$P$2:$P$5158=E$8))</f>
        <v/>
      </c>
      <c r="F17" s="140">
        <f t="array" ref="F17">SUMPRODUCT((Başvuru!$D$2:$D$5158=$A17)*(VALUE(Başvuru!$I$2:$I$5158)=VALUE($C$4))*(Başvuru!$P$2:$P$5158=F$8))</f>
        <v/>
      </c>
      <c r="G17" s="140">
        <f t="array" ref="G17">SUMPRODUCT((Başvuru!$D$2:$D$5158=$A17)*(VALUE(Başvuru!$I$2:$I$5158)=VALUE($C$4))*(Başvuru!$P$2:$P$5158=G$8))</f>
        <v/>
      </c>
      <c r="H17" s="140">
        <f t="array" ref="H17">SUMPRODUCT((Başvuru!$D$2:$D$5158=$A17)*(VALUE(Başvuru!$I$2:$I$5158)=VALUE($C$4))*(Başvuru!$P$2:$P$5158=H$8))</f>
        <v/>
      </c>
      <c r="I17" s="140">
        <f t="array" ref="I17">SUMPRODUCT((Başvuru!$D$2:$D$5158=$A17)*(VALUE(Başvuru!$I$2:$I$5158)=VALUE($C$4))*(Başvuru!$P$2:$P$5158=I$8))</f>
        <v/>
      </c>
    </row>
    <row r="18">
      <c r="A18" s="133" t="inlineStr">
        <is>
          <t>Gülhane Sağlık Bilimleri Üniversitesi
Hemşirelik Fakültesi
Doğum ve Kadın Hastalıkları Hemşireliği Anabilim Dalı</t>
        </is>
      </c>
      <c r="B18" s="140">
        <f t="array" ref="B18">SUMPRODUCT((Başvuru!$D$2:$D$5158=$A18)*(VALUE(Başvuru!$I$2:$I$5158)=VALUE($C$4)))</f>
        <v/>
      </c>
      <c r="C18" s="140">
        <f t="array" ref="C18">SUMPRODUCT((Başvuru!$D$2:$D$5158=$A18)*(VALUE(Başvuru!$I$2:$I$5158)=VALUE($C$4))*(Başvuru!$P$2:$P$5158=C$8))</f>
        <v/>
      </c>
      <c r="D18" s="140">
        <f t="array" ref="D18">SUMPRODUCT((Başvuru!$D$2:$D$5158=$A18)*(VALUE(Başvuru!$I$2:$I$5158)=VALUE($C$4))*(Başvuru!$P$2:$P$5158=D$8))</f>
        <v/>
      </c>
      <c r="E18" s="140">
        <f t="array" ref="E18">SUMPRODUCT((Başvuru!$D$2:$D$5158=$A18)*(VALUE(Başvuru!$I$2:$I$5158)=VALUE($C$4))*(Başvuru!$P$2:$P$5158=E$8))</f>
        <v/>
      </c>
      <c r="F18" s="140">
        <f t="array" ref="F18">SUMPRODUCT((Başvuru!$D$2:$D$5158=$A18)*(VALUE(Başvuru!$I$2:$I$5158)=VALUE($C$4))*(Başvuru!$P$2:$P$5158=F$8))</f>
        <v/>
      </c>
      <c r="G18" s="140">
        <f t="array" ref="G18">SUMPRODUCT((Başvuru!$D$2:$D$5158=$A18)*(VALUE(Başvuru!$I$2:$I$5158)=VALUE($C$4))*(Başvuru!$P$2:$P$5158=G$8))</f>
        <v/>
      </c>
      <c r="H18" s="140">
        <f t="array" ref="H18">SUMPRODUCT((Başvuru!$D$2:$D$5158=$A18)*(VALUE(Başvuru!$I$2:$I$5158)=VALUE($C$4))*(Başvuru!$P$2:$P$5158=H$8))</f>
        <v/>
      </c>
      <c r="I18" s="140">
        <f t="array" ref="I18">SUMPRODUCT((Başvuru!$D$2:$D$5158=$A18)*(VALUE(Başvuru!$I$2:$I$5158)=VALUE($C$4))*(Başvuru!$P$2:$P$5158=I$8))</f>
        <v/>
      </c>
    </row>
    <row r="19">
      <c r="A19" s="133" t="inlineStr">
        <is>
          <t>Halk Sağlığı Anabilim Dalı</t>
        </is>
      </c>
      <c r="B19" s="140">
        <f t="array" ref="B19">SUMPRODUCT((Başvuru!$D$2:$D$5158=$A19)*(VALUE(Başvuru!$I$2:$I$5158)=VALUE($C$4)))</f>
        <v/>
      </c>
      <c r="C19" s="140">
        <f t="array" ref="C19">SUMPRODUCT((Başvuru!$D$2:$D$5158=$A19)*(VALUE(Başvuru!$I$2:$I$5158)=VALUE($C$4))*(Başvuru!$P$2:$P$5158=C$8))</f>
        <v/>
      </c>
      <c r="D19" s="140">
        <f t="array" ref="D19">SUMPRODUCT((Başvuru!$D$2:$D$5158=$A19)*(VALUE(Başvuru!$I$2:$I$5158)=VALUE($C$4))*(Başvuru!$P$2:$P$5158=D$8))</f>
        <v/>
      </c>
      <c r="E19" s="140">
        <f t="array" ref="E19">SUMPRODUCT((Başvuru!$D$2:$D$5158=$A19)*(VALUE(Başvuru!$I$2:$I$5158)=VALUE($C$4))*(Başvuru!$P$2:$P$5158=E$8))</f>
        <v/>
      </c>
      <c r="F19" s="140">
        <f t="array" ref="F19">SUMPRODUCT((Başvuru!$D$2:$D$5158=$A19)*(VALUE(Başvuru!$I$2:$I$5158)=VALUE($C$4))*(Başvuru!$P$2:$P$5158=F$8))</f>
        <v/>
      </c>
      <c r="G19" s="140">
        <f t="array" ref="G19">SUMPRODUCT((Başvuru!$D$2:$D$5158=$A19)*(VALUE(Başvuru!$I$2:$I$5158)=VALUE($C$4))*(Başvuru!$P$2:$P$5158=G$8))</f>
        <v/>
      </c>
      <c r="H19" s="140">
        <f t="array" ref="H19">SUMPRODUCT((Başvuru!$D$2:$D$5158=$A19)*(VALUE(Başvuru!$I$2:$I$5158)=VALUE($C$4))*(Başvuru!$P$2:$P$5158=H$8))</f>
        <v/>
      </c>
      <c r="I19" s="140">
        <f t="array" ref="I19">SUMPRODUCT((Başvuru!$D$2:$D$5158=$A19)*(VALUE(Başvuru!$I$2:$I$5158)=VALUE($C$4))*(Başvuru!$P$2:$P$5158=I$8))</f>
        <v/>
      </c>
    </row>
    <row r="20">
      <c r="A20" s="133" t="inlineStr">
        <is>
          <t>İç Hastalıkları Anabilim Dalı</t>
        </is>
      </c>
      <c r="B20" s="140">
        <f t="array" ref="B20">SUMPRODUCT((Başvuru!$D$2:$D$5158=$A20)*(VALUE(Başvuru!$I$2:$I$5158)=VALUE($C$4)))</f>
        <v/>
      </c>
      <c r="C20" s="140">
        <f t="array" ref="C20">SUMPRODUCT((Başvuru!$D$2:$D$5158=$A20)*(VALUE(Başvuru!$I$2:$I$5158)=VALUE($C$4))*(Başvuru!$P$2:$P$5158=C$8))</f>
        <v/>
      </c>
      <c r="D20" s="140">
        <f t="array" ref="D20">SUMPRODUCT((Başvuru!$D$2:$D$5158=$A20)*(VALUE(Başvuru!$I$2:$I$5158)=VALUE($C$4))*(Başvuru!$P$2:$P$5158=D$8))</f>
        <v/>
      </c>
      <c r="E20" s="140">
        <f t="array" ref="E20">SUMPRODUCT((Başvuru!$D$2:$D$5158=$A20)*(VALUE(Başvuru!$I$2:$I$5158)=VALUE($C$4))*(Başvuru!$P$2:$P$5158=E$8))</f>
        <v/>
      </c>
      <c r="F20" s="140">
        <f t="array" ref="F20">SUMPRODUCT((Başvuru!$D$2:$D$5158=$A20)*(VALUE(Başvuru!$I$2:$I$5158)=VALUE($C$4))*(Başvuru!$P$2:$P$5158=F$8))</f>
        <v/>
      </c>
      <c r="G20" s="140">
        <f t="array" ref="G20">SUMPRODUCT((Başvuru!$D$2:$D$5158=$A20)*(VALUE(Başvuru!$I$2:$I$5158)=VALUE($C$4))*(Başvuru!$P$2:$P$5158=G$8))</f>
        <v/>
      </c>
      <c r="H20" s="140">
        <f t="array" ref="H20">SUMPRODUCT((Başvuru!$D$2:$D$5158=$A20)*(VALUE(Başvuru!$I$2:$I$5158)=VALUE($C$4))*(Başvuru!$P$2:$P$5158=H$8))</f>
        <v/>
      </c>
      <c r="I20" s="140">
        <f t="array" ref="I20">SUMPRODUCT((Başvuru!$D$2:$D$5158=$A20)*(VALUE(Başvuru!$I$2:$I$5158)=VALUE($C$4))*(Başvuru!$P$2:$P$5158=I$8))</f>
        <v/>
      </c>
    </row>
    <row r="21">
      <c r="A21" s="133" t="inlineStr">
        <is>
          <t>Kadın Hastalıkları ve Doğum Anabilim Dalı</t>
        </is>
      </c>
      <c r="B21" s="140">
        <f t="array" ref="B21">SUMPRODUCT((Başvuru!$D$2:$D$5158=$A21)*(VALUE(Başvuru!$I$2:$I$5158)=VALUE($C$4)))</f>
        <v/>
      </c>
      <c r="C21" s="140">
        <f t="array" ref="C21">SUMPRODUCT((Başvuru!$D$2:$D$5158=$A21)*(VALUE(Başvuru!$I$2:$I$5158)=VALUE($C$4))*(Başvuru!$P$2:$P$5158=C$8))</f>
        <v/>
      </c>
      <c r="D21" s="140">
        <f t="array" ref="D21">SUMPRODUCT((Başvuru!$D$2:$D$5158=$A21)*(VALUE(Başvuru!$I$2:$I$5158)=VALUE($C$4))*(Başvuru!$P$2:$P$5158=D$8))</f>
        <v/>
      </c>
      <c r="E21" s="140">
        <f t="array" ref="E21">SUMPRODUCT((Başvuru!$D$2:$D$5158=$A21)*(VALUE(Başvuru!$I$2:$I$5158)=VALUE($C$4))*(Başvuru!$P$2:$P$5158=E$8))</f>
        <v/>
      </c>
      <c r="F21" s="140">
        <f t="array" ref="F21">SUMPRODUCT((Başvuru!$D$2:$D$5158=$A21)*(VALUE(Başvuru!$I$2:$I$5158)=VALUE($C$4))*(Başvuru!$P$2:$P$5158=F$8))</f>
        <v/>
      </c>
      <c r="G21" s="140">
        <f t="array" ref="G21">SUMPRODUCT((Başvuru!$D$2:$D$5158=$A21)*(VALUE(Başvuru!$I$2:$I$5158)=VALUE($C$4))*(Başvuru!$P$2:$P$5158=G$8))</f>
        <v/>
      </c>
      <c r="H21" s="140">
        <f t="array" ref="H21">SUMPRODUCT((Başvuru!$D$2:$D$5158=$A21)*(VALUE(Başvuru!$I$2:$I$5158)=VALUE($C$4))*(Başvuru!$P$2:$P$5158=H$8))</f>
        <v/>
      </c>
      <c r="I21" s="140">
        <f t="array" ref="I21">SUMPRODUCT((Başvuru!$D$2:$D$5158=$A21)*(VALUE(Başvuru!$I$2:$I$5158)=VALUE($C$4))*(Başvuru!$P$2:$P$5158=I$8))</f>
        <v/>
      </c>
    </row>
    <row r="22">
      <c r="A22" s="133" t="inlineStr">
        <is>
          <t>Klinik Eczacılık Anabilim Dalı</t>
        </is>
      </c>
      <c r="B22" s="140">
        <f t="array" ref="B22">SUMPRODUCT((Başvuru!$D$2:$D$5158=$A22)*(VALUE(Başvuru!$I$2:$I$5158)=VALUE($C$4)))</f>
        <v/>
      </c>
      <c r="C22" s="140">
        <f t="array" ref="C22">SUMPRODUCT((Başvuru!$D$2:$D$5158=$A22)*(VALUE(Başvuru!$I$2:$I$5158)=VALUE($C$4))*(Başvuru!$P$2:$P$5158=C$8))</f>
        <v/>
      </c>
      <c r="D22" s="140">
        <f t="array" ref="D22">SUMPRODUCT((Başvuru!$D$2:$D$5158=$A22)*(VALUE(Başvuru!$I$2:$I$5158)=VALUE($C$4))*(Başvuru!$P$2:$P$5158=D$8))</f>
        <v/>
      </c>
      <c r="E22" s="140">
        <f t="array" ref="E22">SUMPRODUCT((Başvuru!$D$2:$D$5158=$A22)*(VALUE(Başvuru!$I$2:$I$5158)=VALUE($C$4))*(Başvuru!$P$2:$P$5158=E$8))</f>
        <v/>
      </c>
      <c r="F22" s="140">
        <f t="array" ref="F22">SUMPRODUCT((Başvuru!$D$2:$D$5158=$A22)*(VALUE(Başvuru!$I$2:$I$5158)=VALUE($C$4))*(Başvuru!$P$2:$P$5158=F$8))</f>
        <v/>
      </c>
      <c r="G22" s="140">
        <f t="array" ref="G22">SUMPRODUCT((Başvuru!$D$2:$D$5158=$A22)*(VALUE(Başvuru!$I$2:$I$5158)=VALUE($C$4))*(Başvuru!$P$2:$P$5158=G$8))</f>
        <v/>
      </c>
      <c r="H22" s="140">
        <f t="array" ref="H22">SUMPRODUCT((Başvuru!$D$2:$D$5158=$A22)*(VALUE(Başvuru!$I$2:$I$5158)=VALUE($C$4))*(Başvuru!$P$2:$P$5158=H$8))</f>
        <v/>
      </c>
      <c r="I22" s="140">
        <f t="array" ref="I22">SUMPRODUCT((Başvuru!$D$2:$D$5158=$A22)*(VALUE(Başvuru!$I$2:$I$5158)=VALUE($C$4))*(Başvuru!$P$2:$P$5158=I$8))</f>
        <v/>
      </c>
    </row>
    <row r="23">
      <c r="A23" s="133" t="inlineStr">
        <is>
          <t>Kulak Burun Boğaz Anabilim Dalı</t>
        </is>
      </c>
      <c r="B23" s="140">
        <f t="array" ref="B23">SUMPRODUCT((Başvuru!$D$2:$D$5158=$A23)*(VALUE(Başvuru!$I$2:$I$5158)=VALUE($C$4)))</f>
        <v/>
      </c>
      <c r="C23" s="140">
        <f t="array" ref="C23">SUMPRODUCT((Başvuru!$D$2:$D$5158=$A23)*(VALUE(Başvuru!$I$2:$I$5158)=VALUE($C$4))*(Başvuru!$P$2:$P$5158=C$8))</f>
        <v/>
      </c>
      <c r="D23" s="140">
        <f t="array" ref="D23">SUMPRODUCT((Başvuru!$D$2:$D$5158=$A23)*(VALUE(Başvuru!$I$2:$I$5158)=VALUE($C$4))*(Başvuru!$P$2:$P$5158=D$8))</f>
        <v/>
      </c>
      <c r="E23" s="140">
        <f t="array" ref="E23">SUMPRODUCT((Başvuru!$D$2:$D$5158=$A23)*(VALUE(Başvuru!$I$2:$I$5158)=VALUE($C$4))*(Başvuru!$P$2:$P$5158=E$8))</f>
        <v/>
      </c>
      <c r="F23" s="140">
        <f t="array" ref="F23">SUMPRODUCT((Başvuru!$D$2:$D$5158=$A23)*(VALUE(Başvuru!$I$2:$I$5158)=VALUE($C$4))*(Başvuru!$P$2:$P$5158=F$8))</f>
        <v/>
      </c>
      <c r="G23" s="140">
        <f t="array" ref="G23">SUMPRODUCT((Başvuru!$D$2:$D$5158=$A23)*(VALUE(Başvuru!$I$2:$I$5158)=VALUE($C$4))*(Başvuru!$P$2:$P$5158=G$8))</f>
        <v/>
      </c>
      <c r="H23" s="140">
        <f t="array" ref="H23">SUMPRODUCT((Başvuru!$D$2:$D$5158=$A23)*(VALUE(Başvuru!$I$2:$I$5158)=VALUE($C$4))*(Başvuru!$P$2:$P$5158=H$8))</f>
        <v/>
      </c>
      <c r="I23" s="140">
        <f t="array" ref="I23">SUMPRODUCT((Başvuru!$D$2:$D$5158=$A23)*(VALUE(Başvuru!$I$2:$I$5158)=VALUE($C$4))*(Başvuru!$P$2:$P$5158=I$8))</f>
        <v/>
      </c>
    </row>
    <row r="24">
      <c r="A24" s="133" t="inlineStr">
        <is>
          <t>Nöroloji Anabilim Dalı</t>
        </is>
      </c>
      <c r="B24" s="140">
        <f t="array" ref="B24">SUMPRODUCT((Başvuru!$D$2:$D$5158=$A24)*(VALUE(Başvuru!$I$2:$I$5158)=VALUE($C$4)))</f>
        <v/>
      </c>
      <c r="C24" s="140">
        <f t="array" ref="C24">SUMPRODUCT((Başvuru!$D$2:$D$5158=$A24)*(VALUE(Başvuru!$I$2:$I$5158)=VALUE($C$4))*(Başvuru!$P$2:$P$5158=C$8))</f>
        <v/>
      </c>
      <c r="D24" s="140">
        <f t="array" ref="D24">SUMPRODUCT((Başvuru!$D$2:$D$5158=$A24)*(VALUE(Başvuru!$I$2:$I$5158)=VALUE($C$4))*(Başvuru!$P$2:$P$5158=D$8))</f>
        <v/>
      </c>
      <c r="E24" s="140">
        <f t="array" ref="E24">SUMPRODUCT((Başvuru!$D$2:$D$5158=$A24)*(VALUE(Başvuru!$I$2:$I$5158)=VALUE($C$4))*(Başvuru!$P$2:$P$5158=E$8))</f>
        <v/>
      </c>
      <c r="F24" s="140">
        <f t="array" ref="F24">SUMPRODUCT((Başvuru!$D$2:$D$5158=$A24)*(VALUE(Başvuru!$I$2:$I$5158)=VALUE($C$4))*(Başvuru!$P$2:$P$5158=F$8))</f>
        <v/>
      </c>
      <c r="G24" s="140">
        <f t="array" ref="G24">SUMPRODUCT((Başvuru!$D$2:$D$5158=$A24)*(VALUE(Başvuru!$I$2:$I$5158)=VALUE($C$4))*(Başvuru!$P$2:$P$5158=G$8))</f>
        <v/>
      </c>
      <c r="H24" s="140">
        <f t="array" ref="H24">SUMPRODUCT((Başvuru!$D$2:$D$5158=$A24)*(VALUE(Başvuru!$I$2:$I$5158)=VALUE($C$4))*(Başvuru!$P$2:$P$5158=H$8))</f>
        <v/>
      </c>
      <c r="I24" s="140">
        <f t="array" ref="I24">SUMPRODUCT((Başvuru!$D$2:$D$5158=$A24)*(VALUE(Başvuru!$I$2:$I$5158)=VALUE($C$4))*(Başvuru!$P$2:$P$5158=I$8))</f>
        <v/>
      </c>
    </row>
    <row r="25">
      <c r="A25" s="133" t="inlineStr">
        <is>
          <t>Ortopedi ve Travmatoloji Anabilim Dalı</t>
        </is>
      </c>
      <c r="B25" s="140">
        <f t="array" ref="B25">SUMPRODUCT((Başvuru!$D$2:$D$5158=$A25)*(VALUE(Başvuru!$I$2:$I$5158)=VALUE($C$4)))</f>
        <v/>
      </c>
      <c r="C25" s="140">
        <f t="array" ref="C25">SUMPRODUCT((Başvuru!$D$2:$D$5158=$A25)*(VALUE(Başvuru!$I$2:$I$5158)=VALUE($C$4))*(Başvuru!$P$2:$P$5158=C$8))</f>
        <v/>
      </c>
      <c r="D25" s="140">
        <f t="array" ref="D25">SUMPRODUCT((Başvuru!$D$2:$D$5158=$A25)*(VALUE(Başvuru!$I$2:$I$5158)=VALUE($C$4))*(Başvuru!$P$2:$P$5158=D$8))</f>
        <v/>
      </c>
      <c r="E25" s="140">
        <f t="array" ref="E25">SUMPRODUCT((Başvuru!$D$2:$D$5158=$A25)*(VALUE(Başvuru!$I$2:$I$5158)=VALUE($C$4))*(Başvuru!$P$2:$P$5158=E$8))</f>
        <v/>
      </c>
      <c r="F25" s="140">
        <f t="array" ref="F25">SUMPRODUCT((Başvuru!$D$2:$D$5158=$A25)*(VALUE(Başvuru!$I$2:$I$5158)=VALUE($C$4))*(Başvuru!$P$2:$P$5158=F$8))</f>
        <v/>
      </c>
      <c r="G25" s="140">
        <f t="array" ref="G25">SUMPRODUCT((Başvuru!$D$2:$D$5158=$A25)*(VALUE(Başvuru!$I$2:$I$5158)=VALUE($C$4))*(Başvuru!$P$2:$P$5158=G$8))</f>
        <v/>
      </c>
      <c r="H25" s="140">
        <f t="array" ref="H25">SUMPRODUCT((Başvuru!$D$2:$D$5158=$A25)*(VALUE(Başvuru!$I$2:$I$5158)=VALUE($C$4))*(Başvuru!$P$2:$P$5158=H$8))</f>
        <v/>
      </c>
      <c r="I25" s="140">
        <f t="array" ref="I25">SUMPRODUCT((Başvuru!$D$2:$D$5158=$A25)*(VALUE(Başvuru!$I$2:$I$5158)=VALUE($C$4))*(Başvuru!$P$2:$P$5158=I$8))</f>
        <v/>
      </c>
    </row>
    <row r="26">
      <c r="A26" s="133" t="inlineStr">
        <is>
          <t>Pediatrik Temel Bilimler Anabilim Dalı</t>
        </is>
      </c>
      <c r="B26" s="140">
        <f t="array" ref="B26">SUMPRODUCT((Başvuru!$D$2:$D$5158=$A26)*(VALUE(Başvuru!$I$2:$I$5158)=VALUE($C$4)))</f>
        <v/>
      </c>
      <c r="C26" s="140">
        <f t="array" ref="C26">SUMPRODUCT((Başvuru!$D$2:$D$5158=$A26)*(VALUE(Başvuru!$I$2:$I$5158)=VALUE($C$4))*(Başvuru!$P$2:$P$5158=C$8))</f>
        <v/>
      </c>
      <c r="D26" s="140">
        <f t="array" ref="D26">SUMPRODUCT((Başvuru!$D$2:$D$5158=$A26)*(VALUE(Başvuru!$I$2:$I$5158)=VALUE($C$4))*(Başvuru!$P$2:$P$5158=D$8))</f>
        <v/>
      </c>
      <c r="E26" s="140">
        <f t="array" ref="E26">SUMPRODUCT((Başvuru!$D$2:$D$5158=$A26)*(VALUE(Başvuru!$I$2:$I$5158)=VALUE($C$4))*(Başvuru!$P$2:$P$5158=E$8))</f>
        <v/>
      </c>
      <c r="F26" s="140">
        <f t="array" ref="F26">SUMPRODUCT((Başvuru!$D$2:$D$5158=$A26)*(VALUE(Başvuru!$I$2:$I$5158)=VALUE($C$4))*(Başvuru!$P$2:$P$5158=F$8))</f>
        <v/>
      </c>
      <c r="G26" s="140">
        <f t="array" ref="G26">SUMPRODUCT((Başvuru!$D$2:$D$5158=$A26)*(VALUE(Başvuru!$I$2:$I$5158)=VALUE($C$4))*(Başvuru!$P$2:$P$5158=G$8))</f>
        <v/>
      </c>
      <c r="H26" s="140">
        <f t="array" ref="H26">SUMPRODUCT((Başvuru!$D$2:$D$5158=$A26)*(VALUE(Başvuru!$I$2:$I$5158)=VALUE($C$4))*(Başvuru!$P$2:$P$5158=H$8))</f>
        <v/>
      </c>
      <c r="I26" s="140">
        <f t="array" ref="I26">SUMPRODUCT((Başvuru!$D$2:$D$5158=$A26)*(VALUE(Başvuru!$I$2:$I$5158)=VALUE($C$4))*(Başvuru!$P$2:$P$5158=I$8))</f>
        <v/>
      </c>
    </row>
    <row r="27">
      <c r="A27" s="133" t="inlineStr">
        <is>
          <t>Periodontoloji Anabilim Dalı</t>
        </is>
      </c>
      <c r="B27" s="140">
        <f t="array" ref="B27">SUMPRODUCT((Başvuru!$D$2:$D$5158=$A27)*(VALUE(Başvuru!$I$2:$I$5158)=VALUE($C$4)))</f>
        <v/>
      </c>
      <c r="C27" s="140">
        <f t="array" ref="C27">SUMPRODUCT((Başvuru!$D$2:$D$5158=$A27)*(VALUE(Başvuru!$I$2:$I$5158)=VALUE($C$4))*(Başvuru!$P$2:$P$5158=C$8))</f>
        <v/>
      </c>
      <c r="D27" s="140">
        <f t="array" ref="D27">SUMPRODUCT((Başvuru!$D$2:$D$5158=$A27)*(VALUE(Başvuru!$I$2:$I$5158)=VALUE($C$4))*(Başvuru!$P$2:$P$5158=D$8))</f>
        <v/>
      </c>
      <c r="E27" s="140">
        <f t="array" ref="E27">SUMPRODUCT((Başvuru!$D$2:$D$5158=$A27)*(VALUE(Başvuru!$I$2:$I$5158)=VALUE($C$4))*(Başvuru!$P$2:$P$5158=E$8))</f>
        <v/>
      </c>
      <c r="F27" s="140">
        <f t="array" ref="F27">SUMPRODUCT((Başvuru!$D$2:$D$5158=$A27)*(VALUE(Başvuru!$I$2:$I$5158)=VALUE($C$4))*(Başvuru!$P$2:$P$5158=F$8))</f>
        <v/>
      </c>
      <c r="G27" s="140">
        <f t="array" ref="G27">SUMPRODUCT((Başvuru!$D$2:$D$5158=$A27)*(VALUE(Başvuru!$I$2:$I$5158)=VALUE($C$4))*(Başvuru!$P$2:$P$5158=G$8))</f>
        <v/>
      </c>
      <c r="H27" s="140">
        <f t="array" ref="H27">SUMPRODUCT((Başvuru!$D$2:$D$5158=$A27)*(VALUE(Başvuru!$I$2:$I$5158)=VALUE($C$4))*(Başvuru!$P$2:$P$5158=H$8))</f>
        <v/>
      </c>
      <c r="I27" s="140">
        <f t="array" ref="I27">SUMPRODUCT((Başvuru!$D$2:$D$5158=$A27)*(VALUE(Başvuru!$I$2:$I$5158)=VALUE($C$4))*(Başvuru!$P$2:$P$5158=I$8))</f>
        <v/>
      </c>
    </row>
    <row r="28">
      <c r="A28" s="133" t="inlineStr">
        <is>
          <t>Protetik Diş Tedavisi Anabilim Dalı</t>
        </is>
      </c>
      <c r="B28" s="140">
        <f t="array" ref="B28">SUMPRODUCT((Başvuru!$D$2:$D$5158=$A28)*(VALUE(Başvuru!$I$2:$I$5158)=VALUE($C$4)))</f>
        <v/>
      </c>
      <c r="C28" s="140">
        <f t="array" ref="C28">SUMPRODUCT((Başvuru!$D$2:$D$5158=$A28)*(VALUE(Başvuru!$I$2:$I$5158)=VALUE($C$4))*(Başvuru!$P$2:$P$5158=C$8))</f>
        <v/>
      </c>
      <c r="D28" s="140">
        <f t="array" ref="D28">SUMPRODUCT((Başvuru!$D$2:$D$5158=$A28)*(VALUE(Başvuru!$I$2:$I$5158)=VALUE($C$4))*(Başvuru!$P$2:$P$5158=D$8))</f>
        <v/>
      </c>
      <c r="E28" s="140">
        <f t="array" ref="E28">SUMPRODUCT((Başvuru!$D$2:$D$5158=$A28)*(VALUE(Başvuru!$I$2:$I$5158)=VALUE($C$4))*(Başvuru!$P$2:$P$5158=E$8))</f>
        <v/>
      </c>
      <c r="F28" s="140">
        <f t="array" ref="F28">SUMPRODUCT((Başvuru!$D$2:$D$5158=$A28)*(VALUE(Başvuru!$I$2:$I$5158)=VALUE($C$4))*(Başvuru!$P$2:$P$5158=F$8))</f>
        <v/>
      </c>
      <c r="G28" s="140">
        <f t="array" ref="G28">SUMPRODUCT((Başvuru!$D$2:$D$5158=$A28)*(VALUE(Başvuru!$I$2:$I$5158)=VALUE($C$4))*(Başvuru!$P$2:$P$5158=G$8))</f>
        <v/>
      </c>
      <c r="H28" s="140">
        <f t="array" ref="H28">SUMPRODUCT((Başvuru!$D$2:$D$5158=$A28)*(VALUE(Başvuru!$I$2:$I$5158)=VALUE($C$4))*(Başvuru!$P$2:$P$5158=H$8))</f>
        <v/>
      </c>
      <c r="I28" s="140">
        <f t="array" ref="I28">SUMPRODUCT((Başvuru!$D$2:$D$5158=$A28)*(VALUE(Başvuru!$I$2:$I$5158)=VALUE($C$4))*(Başvuru!$P$2:$P$5158=I$8))</f>
        <v/>
      </c>
    </row>
    <row r="29">
      <c r="A29" s="133" t="inlineStr">
        <is>
          <t>Radyoloji Anabilim Dalı</t>
        </is>
      </c>
      <c r="B29" s="140">
        <f t="array" ref="B29">SUMPRODUCT((Başvuru!$D$2:$D$5158=$A29)*(VALUE(Başvuru!$I$2:$I$5158)=VALUE($C$4)))</f>
        <v/>
      </c>
      <c r="C29" s="140">
        <f t="array" ref="C29">SUMPRODUCT((Başvuru!$D$2:$D$5158=$A29)*(VALUE(Başvuru!$I$2:$I$5158)=VALUE($C$4))*(Başvuru!$P$2:$P$5158=C$8))</f>
        <v/>
      </c>
      <c r="D29" s="140">
        <f t="array" ref="D29">SUMPRODUCT((Başvuru!$D$2:$D$5158=$A29)*(VALUE(Başvuru!$I$2:$I$5158)=VALUE($C$4))*(Başvuru!$P$2:$P$5158=D$8))</f>
        <v/>
      </c>
      <c r="E29" s="140">
        <f t="array" ref="E29">SUMPRODUCT((Başvuru!$D$2:$D$5158=$A29)*(VALUE(Başvuru!$I$2:$I$5158)=VALUE($C$4))*(Başvuru!$P$2:$P$5158=E$8))</f>
        <v/>
      </c>
      <c r="F29" s="140">
        <f t="array" ref="F29">SUMPRODUCT((Başvuru!$D$2:$D$5158=$A29)*(VALUE(Başvuru!$I$2:$I$5158)=VALUE($C$4))*(Başvuru!$P$2:$P$5158=F$8))</f>
        <v/>
      </c>
      <c r="G29" s="140">
        <f t="array" ref="G29">SUMPRODUCT((Başvuru!$D$2:$D$5158=$A29)*(VALUE(Başvuru!$I$2:$I$5158)=VALUE($C$4))*(Başvuru!$P$2:$P$5158=G$8))</f>
        <v/>
      </c>
      <c r="H29" s="140">
        <f t="array" ref="H29">SUMPRODUCT((Başvuru!$D$2:$D$5158=$A29)*(VALUE(Başvuru!$I$2:$I$5158)=VALUE($C$4))*(Başvuru!$P$2:$P$5158=H$8))</f>
        <v/>
      </c>
      <c r="I29" s="140">
        <f t="array" ref="I29">SUMPRODUCT((Başvuru!$D$2:$D$5158=$A29)*(VALUE(Başvuru!$I$2:$I$5158)=VALUE($C$4))*(Başvuru!$P$2:$P$5158=I$8))</f>
        <v/>
      </c>
    </row>
    <row r="30">
      <c r="A30" s="133" t="inlineStr">
        <is>
          <t>Restoratif Diş Tedavisi Anabilim Dalı</t>
        </is>
      </c>
      <c r="B30" s="140">
        <f t="array" ref="B30">SUMPRODUCT((Başvuru!$D$2:$D$5158=$A30)*(VALUE(Başvuru!$I$2:$I$5158)=VALUE($C$4)))</f>
        <v/>
      </c>
      <c r="C30" s="140">
        <f t="array" ref="C30">SUMPRODUCT((Başvuru!$D$2:$D$5158=$A30)*(VALUE(Başvuru!$I$2:$I$5158)=VALUE($C$4))*(Başvuru!$P$2:$P$5158=C$8))</f>
        <v/>
      </c>
      <c r="D30" s="140">
        <f t="array" ref="D30">SUMPRODUCT((Başvuru!$D$2:$D$5158=$A30)*(VALUE(Başvuru!$I$2:$I$5158)=VALUE($C$4))*(Başvuru!$P$2:$P$5158=D$8))</f>
        <v/>
      </c>
      <c r="E30" s="140">
        <f t="array" ref="E30">SUMPRODUCT((Başvuru!$D$2:$D$5158=$A30)*(VALUE(Başvuru!$I$2:$I$5158)=VALUE($C$4))*(Başvuru!$P$2:$P$5158=E$8))</f>
        <v/>
      </c>
      <c r="F30" s="140">
        <f t="array" ref="F30">SUMPRODUCT((Başvuru!$D$2:$D$5158=$A30)*(VALUE(Başvuru!$I$2:$I$5158)=VALUE($C$4))*(Başvuru!$P$2:$P$5158=F$8))</f>
        <v/>
      </c>
      <c r="G30" s="140">
        <f t="array" ref="G30">SUMPRODUCT((Başvuru!$D$2:$D$5158=$A30)*(VALUE(Başvuru!$I$2:$I$5158)=VALUE($C$4))*(Başvuru!$P$2:$P$5158=G$8))</f>
        <v/>
      </c>
      <c r="H30" s="140">
        <f t="array" ref="H30">SUMPRODUCT((Başvuru!$D$2:$D$5158=$A30)*(VALUE(Başvuru!$I$2:$I$5158)=VALUE($C$4))*(Başvuru!$P$2:$P$5158=H$8))</f>
        <v/>
      </c>
      <c r="I30" s="140">
        <f t="array" ref="I30">SUMPRODUCT((Başvuru!$D$2:$D$5158=$A30)*(VALUE(Başvuru!$I$2:$I$5158)=VALUE($C$4))*(Başvuru!$P$2:$P$5158=I$8))</f>
        <v/>
      </c>
    </row>
    <row r="31">
      <c r="A31" s="133" t="inlineStr">
        <is>
          <t>Sosyal Hizmet Anabilim Dalı</t>
        </is>
      </c>
      <c r="B31" s="140">
        <f t="array" ref="B31">SUMPRODUCT((Başvuru!$D$2:$D$5158=$A31)*(VALUE(Başvuru!$I$2:$I$5158)=VALUE($C$4)))</f>
        <v/>
      </c>
      <c r="C31" s="140">
        <f t="array" ref="C31">SUMPRODUCT((Başvuru!$D$2:$D$5158=$A31)*(VALUE(Başvuru!$I$2:$I$5158)=VALUE($C$4))*(Başvuru!$P$2:$P$5158=C$8))</f>
        <v/>
      </c>
      <c r="D31" s="140">
        <f t="array" ref="D31">SUMPRODUCT((Başvuru!$D$2:$D$5158=$A31)*(VALUE(Başvuru!$I$2:$I$5158)=VALUE($C$4))*(Başvuru!$P$2:$P$5158=D$8))</f>
        <v/>
      </c>
      <c r="E31" s="140">
        <f t="array" ref="E31">SUMPRODUCT((Başvuru!$D$2:$D$5158=$A31)*(VALUE(Başvuru!$I$2:$I$5158)=VALUE($C$4))*(Başvuru!$P$2:$P$5158=E$8))</f>
        <v/>
      </c>
      <c r="F31" s="140">
        <f t="array" ref="F31">SUMPRODUCT((Başvuru!$D$2:$D$5158=$A31)*(VALUE(Başvuru!$I$2:$I$5158)=VALUE($C$4))*(Başvuru!$P$2:$P$5158=F$8))</f>
        <v/>
      </c>
      <c r="G31" s="140">
        <f t="array" ref="G31">SUMPRODUCT((Başvuru!$D$2:$D$5158=$A31)*(VALUE(Başvuru!$I$2:$I$5158)=VALUE($C$4))*(Başvuru!$P$2:$P$5158=G$8))</f>
        <v/>
      </c>
      <c r="H31" s="140">
        <f t="array" ref="H31">SUMPRODUCT((Başvuru!$D$2:$D$5158=$A31)*(VALUE(Başvuru!$I$2:$I$5158)=VALUE($C$4))*(Başvuru!$P$2:$P$5158=H$8))</f>
        <v/>
      </c>
      <c r="I31" s="140">
        <f t="array" ref="I31">SUMPRODUCT((Başvuru!$D$2:$D$5158=$A31)*(VALUE(Başvuru!$I$2:$I$5158)=VALUE($C$4))*(Başvuru!$P$2:$P$5158=I$8))</f>
        <v/>
      </c>
    </row>
    <row r="32">
      <c r="A32" s="133" t="inlineStr">
        <is>
          <t>Üroloji Anabilim Dalı</t>
        </is>
      </c>
      <c r="B32" s="140">
        <f t="array" ref="B32">SUMPRODUCT((Başvuru!$D$2:$D$5158=$A32)*(VALUE(Başvuru!$I$2:$I$5158)=VALUE($C$4)))</f>
        <v/>
      </c>
      <c r="C32" s="140">
        <f t="array" ref="C32">SUMPRODUCT((Başvuru!$D$2:$D$5158=$A32)*(VALUE(Başvuru!$I$2:$I$5158)=VALUE($C$4))*(Başvuru!$P$2:$P$5158=C$8))</f>
        <v/>
      </c>
      <c r="D32" s="140">
        <f t="array" ref="D32">SUMPRODUCT((Başvuru!$D$2:$D$5158=$A32)*(VALUE(Başvuru!$I$2:$I$5158)=VALUE($C$4))*(Başvuru!$P$2:$P$5158=D$8))</f>
        <v/>
      </c>
      <c r="E32" s="140">
        <f t="array" ref="E32">SUMPRODUCT((Başvuru!$D$2:$D$5158=$A32)*(VALUE(Başvuru!$I$2:$I$5158)=VALUE($C$4))*(Başvuru!$P$2:$P$5158=E$8))</f>
        <v/>
      </c>
      <c r="F32" s="140">
        <f t="array" ref="F32">SUMPRODUCT((Başvuru!$D$2:$D$5158=$A32)*(VALUE(Başvuru!$I$2:$I$5158)=VALUE($C$4))*(Başvuru!$P$2:$P$5158=F$8))</f>
        <v/>
      </c>
      <c r="G32" s="140">
        <f t="array" ref="G32">SUMPRODUCT((Başvuru!$D$2:$D$5158=$A32)*(VALUE(Başvuru!$I$2:$I$5158)=VALUE($C$4))*(Başvuru!$P$2:$P$5158=G$8))</f>
        <v/>
      </c>
      <c r="H32" s="140">
        <f t="array" ref="H32">SUMPRODUCT((Başvuru!$D$2:$D$5158=$A32)*(VALUE(Başvuru!$I$2:$I$5158)=VALUE($C$4))*(Başvuru!$P$2:$P$5158=H$8))</f>
        <v/>
      </c>
      <c r="I32" s="140">
        <f t="array" ref="I32">SUMPRODUCT((Başvuru!$D$2:$D$5158=$A32)*(VALUE(Başvuru!$I$2:$I$5158)=VALUE($C$4))*(Başvuru!$P$2:$P$5158=I$8))</f>
        <v/>
      </c>
    </row>
    <row r="33">
      <c r="B33" s="140">
        <f t="array" ref="B33">SUMPRODUCT((Başvuru!$D$2:$D$5158=$A33)*(VALUE(Başvuru!$I$2:$I$5158)=VALUE($C$4)))</f>
        <v/>
      </c>
      <c r="C33" s="140">
        <f t="array" ref="C33">SUMPRODUCT((Başvuru!$D$2:$D$5158=$A33)*(VALUE(Başvuru!$I$2:$I$5158)=VALUE($C$4))*(Başvuru!$P$2:$P$5158=C$8))</f>
        <v/>
      </c>
      <c r="D33" s="140">
        <f t="array" ref="D33">SUMPRODUCT((Başvuru!$D$2:$D$5158=$A33)*(VALUE(Başvuru!$I$2:$I$5158)=VALUE($C$4))*(Başvuru!$P$2:$P$5158=D$8))</f>
        <v/>
      </c>
      <c r="E33" s="140">
        <f t="array" ref="E33">SUMPRODUCT((Başvuru!$D$2:$D$5158=$A33)*(VALUE(Başvuru!$I$2:$I$5158)=VALUE($C$4))*(Başvuru!$P$2:$P$5158=E$8))</f>
        <v/>
      </c>
      <c r="F33" s="140">
        <f t="array" ref="F33">SUMPRODUCT((Başvuru!$D$2:$D$5158=$A33)*(VALUE(Başvuru!$I$2:$I$5158)=VALUE($C$4))*(Başvuru!$P$2:$P$5158=F$8))</f>
        <v/>
      </c>
      <c r="G33" s="140">
        <f t="array" ref="G33">SUMPRODUCT((Başvuru!$D$2:$D$5158=$A33)*(VALUE(Başvuru!$I$2:$I$5158)=VALUE($C$4))*(Başvuru!$P$2:$P$5158=G$8))</f>
        <v/>
      </c>
      <c r="H33" s="140">
        <f t="array" ref="H33">SUMPRODUCT((Başvuru!$D$2:$D$5158=$A33)*(VALUE(Başvuru!$I$2:$I$5158)=VALUE($C$4))*(Başvuru!$P$2:$P$5158=H$8))</f>
        <v/>
      </c>
      <c r="I33" s="140">
        <f t="array" ref="I33">SUMPRODUCT((Başvuru!$D$2:$D$5158=$A33)*(VALUE(Başvuru!$I$2:$I$5158)=VALUE($C$4))*(Başvuru!$P$2:$P$5158=I$8))</f>
        <v/>
      </c>
    </row>
    <row r="34">
      <c r="B34" s="140">
        <f t="array" ref="B34">SUMPRODUCT((Başvuru!$D$2:$D$5158=$A34)*(VALUE(Başvuru!$I$2:$I$5158)=VALUE($C$4)))</f>
        <v/>
      </c>
      <c r="C34" s="140">
        <f t="array" ref="C34">SUMPRODUCT((Başvuru!$D$2:$D$5158=$A34)*(VALUE(Başvuru!$I$2:$I$5158)=VALUE($C$4))*(Başvuru!$P$2:$P$5158=C$8))</f>
        <v/>
      </c>
      <c r="D34" s="140">
        <f t="array" ref="D34">SUMPRODUCT((Başvuru!$D$2:$D$5158=$A34)*(VALUE(Başvuru!$I$2:$I$5158)=VALUE($C$4))*(Başvuru!$P$2:$P$5158=D$8))</f>
        <v/>
      </c>
      <c r="E34" s="140">
        <f t="array" ref="E34">SUMPRODUCT((Başvuru!$D$2:$D$5158=$A34)*(VALUE(Başvuru!$I$2:$I$5158)=VALUE($C$4))*(Başvuru!$P$2:$P$5158=E$8))</f>
        <v/>
      </c>
      <c r="F34" s="140">
        <f t="array" ref="F34">SUMPRODUCT((Başvuru!$D$2:$D$5158=$A34)*(VALUE(Başvuru!$I$2:$I$5158)=VALUE($C$4))*(Başvuru!$P$2:$P$5158=F$8))</f>
        <v/>
      </c>
      <c r="G34" s="140">
        <f t="array" ref="G34">SUMPRODUCT((Başvuru!$D$2:$D$5158=$A34)*(VALUE(Başvuru!$I$2:$I$5158)=VALUE($C$4))*(Başvuru!$P$2:$P$5158=G$8))</f>
        <v/>
      </c>
      <c r="H34" s="140">
        <f t="array" ref="H34">SUMPRODUCT((Başvuru!$D$2:$D$5158=$A34)*(VALUE(Başvuru!$I$2:$I$5158)=VALUE($C$4))*(Başvuru!$P$2:$P$5158=H$8))</f>
        <v/>
      </c>
      <c r="I34" s="140">
        <f t="array" ref="I34">SUMPRODUCT((Başvuru!$D$2:$D$5158=$A34)*(VALUE(Başvuru!$I$2:$I$5158)=VALUE($C$4))*(Başvuru!$P$2:$P$5158=I$8))</f>
        <v/>
      </c>
    </row>
    <row r="35">
      <c r="B35" s="140">
        <f t="array" ref="B35">SUMPRODUCT((Başvuru!$D$2:$D$5158=$A35)*(VALUE(Başvuru!$I$2:$I$5158)=VALUE($C$4)))</f>
        <v/>
      </c>
      <c r="C35" s="140">
        <f t="array" ref="C35">SUMPRODUCT((Başvuru!$D$2:$D$5158=$A35)*(VALUE(Başvuru!$I$2:$I$5158)=VALUE($C$4))*(Başvuru!$P$2:$P$5158=C$8))</f>
        <v/>
      </c>
      <c r="D35" s="140">
        <f t="array" ref="D35">SUMPRODUCT((Başvuru!$D$2:$D$5158=$A35)*(VALUE(Başvuru!$I$2:$I$5158)=VALUE($C$4))*(Başvuru!$P$2:$P$5158=D$8))</f>
        <v/>
      </c>
      <c r="E35" s="140">
        <f t="array" ref="E35">SUMPRODUCT((Başvuru!$D$2:$D$5158=$A35)*(VALUE(Başvuru!$I$2:$I$5158)=VALUE($C$4))*(Başvuru!$P$2:$P$5158=E$8))</f>
        <v/>
      </c>
      <c r="F35" s="140">
        <f t="array" ref="F35">SUMPRODUCT((Başvuru!$D$2:$D$5158=$A35)*(VALUE(Başvuru!$I$2:$I$5158)=VALUE($C$4))*(Başvuru!$P$2:$P$5158=F$8))</f>
        <v/>
      </c>
      <c r="G35" s="140">
        <f t="array" ref="G35">SUMPRODUCT((Başvuru!$D$2:$D$5158=$A35)*(VALUE(Başvuru!$I$2:$I$5158)=VALUE($C$4))*(Başvuru!$P$2:$P$5158=G$8))</f>
        <v/>
      </c>
      <c r="H35" s="140">
        <f t="array" ref="H35">SUMPRODUCT((Başvuru!$D$2:$D$5158=$A35)*(VALUE(Başvuru!$I$2:$I$5158)=VALUE($C$4))*(Başvuru!$P$2:$P$5158=H$8))</f>
        <v/>
      </c>
      <c r="I35" s="140">
        <f t="array" ref="I35">SUMPRODUCT((Başvuru!$D$2:$D$5158=$A35)*(VALUE(Başvuru!$I$2:$I$5158)=VALUE($C$4))*(Başvuru!$P$2:$P$5158=I$8))</f>
        <v/>
      </c>
    </row>
    <row r="36">
      <c r="B36" s="140">
        <f t="array" ref="B36">SUMPRODUCT((Başvuru!$D$2:$D$5158=$A36)*(VALUE(Başvuru!$I$2:$I$5158)=VALUE($C$4)))</f>
        <v/>
      </c>
      <c r="C36" s="140">
        <f t="array" ref="C36">SUMPRODUCT((Başvuru!$D$2:$D$5158=$A36)*(VALUE(Başvuru!$I$2:$I$5158)=VALUE($C$4))*(Başvuru!$P$2:$P$5158=C$8))</f>
        <v/>
      </c>
      <c r="D36" s="140">
        <f t="array" ref="D36">SUMPRODUCT((Başvuru!$D$2:$D$5158=$A36)*(VALUE(Başvuru!$I$2:$I$5158)=VALUE($C$4))*(Başvuru!$P$2:$P$5158=D$8))</f>
        <v/>
      </c>
      <c r="E36" s="140">
        <f t="array" ref="E36">SUMPRODUCT((Başvuru!$D$2:$D$5158=$A36)*(VALUE(Başvuru!$I$2:$I$5158)=VALUE($C$4))*(Başvuru!$P$2:$P$5158=E$8))</f>
        <v/>
      </c>
      <c r="F36" s="140">
        <f t="array" ref="F36">SUMPRODUCT((Başvuru!$D$2:$D$5158=$A36)*(VALUE(Başvuru!$I$2:$I$5158)=VALUE($C$4))*(Başvuru!$P$2:$P$5158=F$8))</f>
        <v/>
      </c>
      <c r="G36" s="140">
        <f t="array" ref="G36">SUMPRODUCT((Başvuru!$D$2:$D$5158=$A36)*(VALUE(Başvuru!$I$2:$I$5158)=VALUE($C$4))*(Başvuru!$P$2:$P$5158=G$8))</f>
        <v/>
      </c>
      <c r="H36" s="140">
        <f t="array" ref="H36">SUMPRODUCT((Başvuru!$D$2:$D$5158=$A36)*(VALUE(Başvuru!$I$2:$I$5158)=VALUE($C$4))*(Başvuru!$P$2:$P$5158=H$8))</f>
        <v/>
      </c>
      <c r="I36" s="140">
        <f t="array" ref="I36">SUMPRODUCT((Başvuru!$D$2:$D$5158=$A36)*(VALUE(Başvuru!$I$2:$I$5158)=VALUE($C$4))*(Başvuru!$P$2:$P$5158=I$8))</f>
        <v/>
      </c>
    </row>
    <row r="37">
      <c r="B37" s="140">
        <f t="array" ref="B37">SUMPRODUCT((Başvuru!$D$2:$D$5158=$A37)*(VALUE(Başvuru!$I$2:$I$5158)=VALUE($C$4)))</f>
        <v/>
      </c>
      <c r="C37" s="140">
        <f t="array" ref="C37">SUMPRODUCT((Başvuru!$D$2:$D$5158=$A37)*(VALUE(Başvuru!$I$2:$I$5158)=VALUE($C$4))*(Başvuru!$P$2:$P$5158=C$8))</f>
        <v/>
      </c>
      <c r="D37" s="140">
        <f t="array" ref="D37">SUMPRODUCT((Başvuru!$D$2:$D$5158=$A37)*(VALUE(Başvuru!$I$2:$I$5158)=VALUE($C$4))*(Başvuru!$P$2:$P$5158=D$8))</f>
        <v/>
      </c>
      <c r="E37" s="140">
        <f t="array" ref="E37">SUMPRODUCT((Başvuru!$D$2:$D$5158=$A37)*(VALUE(Başvuru!$I$2:$I$5158)=VALUE($C$4))*(Başvuru!$P$2:$P$5158=E$8))</f>
        <v/>
      </c>
      <c r="F37" s="140">
        <f t="array" ref="F37">SUMPRODUCT((Başvuru!$D$2:$D$5158=$A37)*(VALUE(Başvuru!$I$2:$I$5158)=VALUE($C$4))*(Başvuru!$P$2:$P$5158=F$8))</f>
        <v/>
      </c>
      <c r="G37" s="140">
        <f t="array" ref="G37">SUMPRODUCT((Başvuru!$D$2:$D$5158=$A37)*(VALUE(Başvuru!$I$2:$I$5158)=VALUE($C$4))*(Başvuru!$P$2:$P$5158=G$8))</f>
        <v/>
      </c>
      <c r="H37" s="140">
        <f t="array" ref="H37">SUMPRODUCT((Başvuru!$D$2:$D$5158=$A37)*(VALUE(Başvuru!$I$2:$I$5158)=VALUE($C$4))*(Başvuru!$P$2:$P$5158=H$8))</f>
        <v/>
      </c>
      <c r="I37" s="140">
        <f t="array" ref="I37">SUMPRODUCT((Başvuru!$D$2:$D$5158=$A37)*(VALUE(Başvuru!$I$2:$I$5158)=VALUE($C$4))*(Başvuru!$P$2:$P$5158=I$8))</f>
        <v/>
      </c>
    </row>
    <row r="38">
      <c r="B38" s="140">
        <f t="array" ref="B38">SUMPRODUCT((Başvuru!$D$2:$D$5158=$A38)*(VALUE(Başvuru!$I$2:$I$5158)=VALUE($C$4)))</f>
        <v/>
      </c>
      <c r="C38" s="140">
        <f t="array" ref="C38">SUMPRODUCT((Başvuru!$D$2:$D$5158=$A38)*(VALUE(Başvuru!$I$2:$I$5158)=VALUE($C$4))*(Başvuru!$P$2:$P$5158=C$8))</f>
        <v/>
      </c>
      <c r="D38" s="140">
        <f t="array" ref="D38">SUMPRODUCT((Başvuru!$D$2:$D$5158=$A38)*(VALUE(Başvuru!$I$2:$I$5158)=VALUE($C$4))*(Başvuru!$P$2:$P$5158=D$8))</f>
        <v/>
      </c>
      <c r="E38" s="140">
        <f t="array" ref="E38">SUMPRODUCT((Başvuru!$D$2:$D$5158=$A38)*(VALUE(Başvuru!$I$2:$I$5158)=VALUE($C$4))*(Başvuru!$P$2:$P$5158=E$8))</f>
        <v/>
      </c>
      <c r="F38" s="140">
        <f t="array" ref="F38">SUMPRODUCT((Başvuru!$D$2:$D$5158=$A38)*(VALUE(Başvuru!$I$2:$I$5158)=VALUE($C$4))*(Başvuru!$P$2:$P$5158=F$8))</f>
        <v/>
      </c>
      <c r="G38" s="140">
        <f t="array" ref="G38">SUMPRODUCT((Başvuru!$D$2:$D$5158=$A38)*(VALUE(Başvuru!$I$2:$I$5158)=VALUE($C$4))*(Başvuru!$P$2:$P$5158=G$8))</f>
        <v/>
      </c>
      <c r="H38" s="140">
        <f t="array" ref="H38">SUMPRODUCT((Başvuru!$D$2:$D$5158=$A38)*(VALUE(Başvuru!$I$2:$I$5158)=VALUE($C$4))*(Başvuru!$P$2:$P$5158=H$8))</f>
        <v/>
      </c>
      <c r="I38" s="140">
        <f t="array" ref="I38">SUMPRODUCT((Başvuru!$D$2:$D$5158=$A38)*(VALUE(Başvuru!$I$2:$I$5158)=VALUE($C$4))*(Başvuru!$P$2:$P$5158=I$8))</f>
        <v/>
      </c>
    </row>
    <row r="39">
      <c r="B39" s="140">
        <f t="array" ref="B39">SUMPRODUCT((Başvuru!$D$2:$D$5158=$A39)*(VALUE(Başvuru!$I$2:$I$5158)=VALUE($C$4)))</f>
        <v/>
      </c>
      <c r="C39" s="140">
        <f t="array" ref="C39">SUMPRODUCT((Başvuru!$D$2:$D$5158=$A39)*(VALUE(Başvuru!$I$2:$I$5158)=VALUE($C$4))*(Başvuru!$P$2:$P$5158=C$8))</f>
        <v/>
      </c>
      <c r="D39" s="140">
        <f t="array" ref="D39">SUMPRODUCT((Başvuru!$D$2:$D$5158=$A39)*(VALUE(Başvuru!$I$2:$I$5158)=VALUE($C$4))*(Başvuru!$P$2:$P$5158=D$8))</f>
        <v/>
      </c>
      <c r="E39" s="140">
        <f t="array" ref="E39">SUMPRODUCT((Başvuru!$D$2:$D$5158=$A39)*(VALUE(Başvuru!$I$2:$I$5158)=VALUE($C$4))*(Başvuru!$P$2:$P$5158=E$8))</f>
        <v/>
      </c>
      <c r="F39" s="140">
        <f t="array" ref="F39">SUMPRODUCT((Başvuru!$D$2:$D$5158=$A39)*(VALUE(Başvuru!$I$2:$I$5158)=VALUE($C$4))*(Başvuru!$P$2:$P$5158=F$8))</f>
        <v/>
      </c>
      <c r="G39" s="140">
        <f t="array" ref="G39">SUMPRODUCT((Başvuru!$D$2:$D$5158=$A39)*(VALUE(Başvuru!$I$2:$I$5158)=VALUE($C$4))*(Başvuru!$P$2:$P$5158=G$8))</f>
        <v/>
      </c>
      <c r="H39" s="140">
        <f t="array" ref="H39">SUMPRODUCT((Başvuru!$D$2:$D$5158=$A39)*(VALUE(Başvuru!$I$2:$I$5158)=VALUE($C$4))*(Başvuru!$P$2:$P$5158=H$8))</f>
        <v/>
      </c>
      <c r="I39" s="140">
        <f t="array" ref="I39">SUMPRODUCT((Başvuru!$D$2:$D$5158=$A39)*(VALUE(Başvuru!$I$2:$I$5158)=VALUE($C$4))*(Başvuru!$P$2:$P$5158=I$8))</f>
        <v/>
      </c>
    </row>
    <row r="40">
      <c r="B40" s="140">
        <f t="array" ref="B40">SUMPRODUCT((Başvuru!$D$2:$D$5158=$A40)*(VALUE(Başvuru!$I$2:$I$5158)=VALUE($C$4)))</f>
        <v/>
      </c>
      <c r="C40" s="140">
        <f t="array" ref="C40">SUMPRODUCT((Başvuru!$D$2:$D$5158=$A40)*(VALUE(Başvuru!$I$2:$I$5158)=VALUE($C$4))*(Başvuru!$P$2:$P$5158=C$8))</f>
        <v/>
      </c>
      <c r="D40" s="140">
        <f t="array" ref="D40">SUMPRODUCT((Başvuru!$D$2:$D$5158=$A40)*(VALUE(Başvuru!$I$2:$I$5158)=VALUE($C$4))*(Başvuru!$P$2:$P$5158=D$8))</f>
        <v/>
      </c>
      <c r="E40" s="140">
        <f t="array" ref="E40">SUMPRODUCT((Başvuru!$D$2:$D$5158=$A40)*(VALUE(Başvuru!$I$2:$I$5158)=VALUE($C$4))*(Başvuru!$P$2:$P$5158=E$8))</f>
        <v/>
      </c>
      <c r="F40" s="140">
        <f t="array" ref="F40">SUMPRODUCT((Başvuru!$D$2:$D$5158=$A40)*(VALUE(Başvuru!$I$2:$I$5158)=VALUE($C$4))*(Başvuru!$P$2:$P$5158=F$8))</f>
        <v/>
      </c>
      <c r="G40" s="140">
        <f t="array" ref="G40">SUMPRODUCT((Başvuru!$D$2:$D$5158=$A40)*(VALUE(Başvuru!$I$2:$I$5158)=VALUE($C$4))*(Başvuru!$P$2:$P$5158=G$8))</f>
        <v/>
      </c>
      <c r="H40" s="140">
        <f t="array" ref="H40">SUMPRODUCT((Başvuru!$D$2:$D$5158=$A40)*(VALUE(Başvuru!$I$2:$I$5158)=VALUE($C$4))*(Başvuru!$P$2:$P$5158=H$8))</f>
        <v/>
      </c>
      <c r="I40" s="140">
        <f t="array" ref="I40">SUMPRODUCT((Başvuru!$D$2:$D$5158=$A40)*(VALUE(Başvuru!$I$2:$I$5158)=VALUE($C$4))*(Başvuru!$P$2:$P$5158=I$8))</f>
        <v/>
      </c>
    </row>
    <row r="41">
      <c r="B41" s="140">
        <f t="array" ref="B41">SUMPRODUCT((Başvuru!$D$2:$D$5158=$A41)*(VALUE(Başvuru!$I$2:$I$5158)=VALUE($C$4)))</f>
        <v/>
      </c>
      <c r="C41" s="140">
        <f t="array" ref="C41">SUMPRODUCT((Başvuru!$D$2:$D$5158=$A41)*(VALUE(Başvuru!$I$2:$I$5158)=VALUE($C$4))*(Başvuru!$P$2:$P$5158=C$8))</f>
        <v/>
      </c>
      <c r="D41" s="140">
        <f t="array" ref="D41">SUMPRODUCT((Başvuru!$D$2:$D$5158=$A41)*(VALUE(Başvuru!$I$2:$I$5158)=VALUE($C$4))*(Başvuru!$P$2:$P$5158=D$8))</f>
        <v/>
      </c>
      <c r="E41" s="140">
        <f t="array" ref="E41">SUMPRODUCT((Başvuru!$D$2:$D$5158=$A41)*(VALUE(Başvuru!$I$2:$I$5158)=VALUE($C$4))*(Başvuru!$P$2:$P$5158=E$8))</f>
        <v/>
      </c>
      <c r="F41" s="140">
        <f t="array" ref="F41">SUMPRODUCT((Başvuru!$D$2:$D$5158=$A41)*(VALUE(Başvuru!$I$2:$I$5158)=VALUE($C$4))*(Başvuru!$P$2:$P$5158=F$8))</f>
        <v/>
      </c>
      <c r="G41" s="140">
        <f t="array" ref="G41">SUMPRODUCT((Başvuru!$D$2:$D$5158=$A41)*(VALUE(Başvuru!$I$2:$I$5158)=VALUE($C$4))*(Başvuru!$P$2:$P$5158=G$8))</f>
        <v/>
      </c>
      <c r="H41" s="140">
        <f t="array" ref="H41">SUMPRODUCT((Başvuru!$D$2:$D$5158=$A41)*(VALUE(Başvuru!$I$2:$I$5158)=VALUE($C$4))*(Başvuru!$P$2:$P$5158=H$8))</f>
        <v/>
      </c>
      <c r="I41" s="140">
        <f t="array" ref="I41">SUMPRODUCT((Başvuru!$D$2:$D$5158=$A41)*(VALUE(Başvuru!$I$2:$I$5158)=VALUE($C$4))*(Başvuru!$P$2:$P$5158=I$8))</f>
        <v/>
      </c>
    </row>
    <row r="42">
      <c r="B42" s="140">
        <f t="array" ref="B42">SUMPRODUCT((Başvuru!$D$2:$D$5158=$A42)*(VALUE(Başvuru!$I$2:$I$5158)=VALUE($C$4)))</f>
        <v/>
      </c>
      <c r="C42" s="140">
        <f t="array" ref="C42">SUMPRODUCT((Başvuru!$D$2:$D$5158=$A42)*(VALUE(Başvuru!$I$2:$I$5158)=VALUE($C$4))*(Başvuru!$P$2:$P$5158=C$8))</f>
        <v/>
      </c>
      <c r="D42" s="140">
        <f t="array" ref="D42">SUMPRODUCT((Başvuru!$D$2:$D$5158=$A42)*(VALUE(Başvuru!$I$2:$I$5158)=VALUE($C$4))*(Başvuru!$P$2:$P$5158=D$8))</f>
        <v/>
      </c>
      <c r="E42" s="140">
        <f t="array" ref="E42">SUMPRODUCT((Başvuru!$D$2:$D$5158=$A42)*(VALUE(Başvuru!$I$2:$I$5158)=VALUE($C$4))*(Başvuru!$P$2:$P$5158=E$8))</f>
        <v/>
      </c>
      <c r="F42" s="140">
        <f t="array" ref="F42">SUMPRODUCT((Başvuru!$D$2:$D$5158=$A42)*(VALUE(Başvuru!$I$2:$I$5158)=VALUE($C$4))*(Başvuru!$P$2:$P$5158=F$8))</f>
        <v/>
      </c>
      <c r="G42" s="140">
        <f t="array" ref="G42">SUMPRODUCT((Başvuru!$D$2:$D$5158=$A42)*(VALUE(Başvuru!$I$2:$I$5158)=VALUE($C$4))*(Başvuru!$P$2:$P$5158=G$8))</f>
        <v/>
      </c>
      <c r="H42" s="140">
        <f t="array" ref="H42">SUMPRODUCT((Başvuru!$D$2:$D$5158=$A42)*(VALUE(Başvuru!$I$2:$I$5158)=VALUE($C$4))*(Başvuru!$P$2:$P$5158=H$8))</f>
        <v/>
      </c>
      <c r="I42" s="140">
        <f t="array" ref="I42">SUMPRODUCT((Başvuru!$D$2:$D$5158=$A42)*(VALUE(Başvuru!$I$2:$I$5158)=VALUE($C$4))*(Başvuru!$P$2:$P$5158=I$8))</f>
        <v/>
      </c>
    </row>
    <row r="43" ht="21" customHeight="1" s="221" thickBot="1">
      <c r="B43" s="140">
        <f t="array" ref="B43">SUMPRODUCT((Başvuru!$D$2:$D$5158=$A43)*(VALUE(Başvuru!$I$2:$I$5158)=VALUE($C$4)))</f>
        <v/>
      </c>
      <c r="C43" s="140">
        <f t="array" ref="C43">SUMPRODUCT((Başvuru!$D$2:$D$5158=$A43)*(VALUE(Başvuru!$I$2:$I$5158)=VALUE($C$4))*(Başvuru!$P$2:$P$5158=C$8))</f>
        <v/>
      </c>
      <c r="D43" s="140">
        <f t="array" ref="D43">SUMPRODUCT((Başvuru!$D$2:$D$5158=$A43)*(VALUE(Başvuru!$I$2:$I$5158)=VALUE($C$4))*(Başvuru!$P$2:$P$5158=D$8))</f>
        <v/>
      </c>
      <c r="E43" s="140">
        <f t="array" ref="E43">SUMPRODUCT((Başvuru!$D$2:$D$5158=$A43)*(VALUE(Başvuru!$I$2:$I$5158)=VALUE($C$4))*(Başvuru!$P$2:$P$5158=E$8))</f>
        <v/>
      </c>
      <c r="F43" s="140">
        <f t="array" ref="F43">SUMPRODUCT((Başvuru!$D$2:$D$5158=$A43)*(VALUE(Başvuru!$I$2:$I$5158)=VALUE($C$4))*(Başvuru!$P$2:$P$5158=F$8))</f>
        <v/>
      </c>
      <c r="G43" s="140">
        <f t="array" ref="G43">SUMPRODUCT((Başvuru!$D$2:$D$5158=$A43)*(VALUE(Başvuru!$I$2:$I$5158)=VALUE($C$4))*(Başvuru!$P$2:$P$5158=G$8))</f>
        <v/>
      </c>
      <c r="H43" s="140">
        <f t="array" ref="H43">SUMPRODUCT((Başvuru!$D$2:$D$5158=$A43)*(VALUE(Başvuru!$I$2:$I$5158)=VALUE($C$4))*(Başvuru!$P$2:$P$5158=H$8))</f>
        <v/>
      </c>
      <c r="I43" s="140">
        <f t="array" ref="I43">SUMPRODUCT((Başvuru!$D$2:$D$5158=$A43)*(VALUE(Başvuru!$I$2:$I$5158)=VALUE($C$4))*(Başvuru!$P$2:$P$5158=I$8))</f>
        <v/>
      </c>
    </row>
    <row r="44" ht="21" customHeight="1" s="221" thickBot="1">
      <c r="B44" s="140">
        <f t="array" ref="B44">SUMPRODUCT((Başvuru!$D$2:$D$5158=$A44)*(VALUE(Başvuru!$I$2:$I$5158)=VALUE($C$4)))</f>
        <v/>
      </c>
      <c r="C44" s="143" t="inlineStr">
        <is>
          <t>ONAY</t>
        </is>
      </c>
      <c r="D44" s="142" t="inlineStr">
        <is>
          <t>DÜZELTME</t>
        </is>
      </c>
      <c r="E44" s="143" t="inlineStr">
        <is>
          <t>KAEK</t>
        </is>
      </c>
      <c r="F44" s="143" t="inlineStr">
        <is>
          <t>GÖRÜŞ</t>
        </is>
      </c>
      <c r="G44" s="143" t="inlineStr">
        <is>
          <t>KAPSAM DIŞI</t>
        </is>
      </c>
      <c r="H44" s="143" t="inlineStr">
        <is>
          <t>RET</t>
        </is>
      </c>
      <c r="I44" s="144" t="inlineStr">
        <is>
          <t>GERİ ÇEKİLDİ</t>
        </is>
      </c>
    </row>
    <row r="45">
      <c r="B45" s="140" t="inlineStr">
        <is>
          <t>GENEL TOPLAM</t>
        </is>
      </c>
      <c r="C45" s="149">
        <f>SUM(C9:C40)</f>
        <v/>
      </c>
      <c r="D45" s="149">
        <f>SUM(D9:D40)</f>
        <v/>
      </c>
      <c r="E45" s="149">
        <f>SUM(E9:E40)</f>
        <v/>
      </c>
      <c r="F45" s="149">
        <f>SUM(F9:F40)</f>
        <v/>
      </c>
      <c r="G45" s="149">
        <f>SUM(G9:G40)</f>
        <v/>
      </c>
      <c r="H45" s="149">
        <f>SUM(H9:H40)</f>
        <v/>
      </c>
      <c r="I45" s="149">
        <f>SUM(I9:I40)</f>
        <v/>
      </c>
    </row>
    <row r="46">
      <c r="B46" s="140">
        <f t="array" ref="B46">SUMPRODUCT((Başvuru!$D$2:$D$5158=$A46)*(VALUE(Başvuru!$I$2:$I$5158)=VALUE($C$4)))</f>
        <v/>
      </c>
      <c r="C46" s="140">
        <f t="array" ref="C46">SUMPRODUCT((Başvuru!$D$2:$D$5158=$A46)*(VALUE(Başvuru!$I$2:$I$5158)=VALUE($C$4))*(Başvuru!$P$2:$P$5158=C$8))</f>
        <v/>
      </c>
      <c r="D46" s="140">
        <f t="array" ref="D46">SUMPRODUCT((Başvuru!$D$2:$D$5158=$A46)*(VALUE(Başvuru!$I$2:$I$5158)=VALUE($C$4))*(Başvuru!$P$2:$P$5158=D$8))</f>
        <v/>
      </c>
      <c r="E46" s="140">
        <f t="array" ref="E46">SUMPRODUCT((Başvuru!$D$2:$D$5158=$A46)*(VALUE(Başvuru!$I$2:$I$5158)=VALUE($C$4))*(Başvuru!$P$2:$P$5158=E$8))</f>
        <v/>
      </c>
      <c r="F46" s="140">
        <f t="array" ref="F46">SUMPRODUCT((Başvuru!$D$2:$D$5158=$A46)*(VALUE(Başvuru!$I$2:$I$5158)=VALUE($C$4))*(Başvuru!$P$2:$P$5158=F$8))</f>
        <v/>
      </c>
      <c r="G46" s="140">
        <f t="array" ref="G46">SUMPRODUCT((Başvuru!$D$2:$D$5158=$A46)*(VALUE(Başvuru!$I$2:$I$5158)=VALUE($C$4))*(Başvuru!$P$2:$P$5158=G$8))</f>
        <v/>
      </c>
      <c r="H46" s="140">
        <f t="array" ref="H46">SUMPRODUCT((Başvuru!$D$2:$D$5158=$A46)*(VALUE(Başvuru!$I$2:$I$5158)=VALUE($C$4))*(Başvuru!$P$2:$P$5158=H$8))</f>
        <v/>
      </c>
      <c r="I46" s="140">
        <f t="array" ref="I46">SUMPRODUCT((Başvuru!$D$2:$D$5158=$A46)*(VALUE(Başvuru!$I$2:$I$5158)=VALUE($C$4))*(Başvuru!$P$2:$P$5158=I$8))</f>
        <v/>
      </c>
    </row>
    <row r="47">
      <c r="B47" s="140">
        <f t="array" ref="B47">SUMPRODUCT((Başvuru!$D$2:$D$5158=$A47)*(VALUE(Başvuru!$I$2:$I$5158)=VALUE($C$4)))</f>
        <v/>
      </c>
      <c r="C47" s="140">
        <f t="array" ref="C47">SUMPRODUCT((Başvuru!$D$2:$D$5158=$A47)*(VALUE(Başvuru!$I$2:$I$5158)=VALUE($C$4))*(Başvuru!$P$2:$P$5158=C$8))</f>
        <v/>
      </c>
      <c r="D47" s="140">
        <f t="array" ref="D47">SUMPRODUCT((Başvuru!$D$2:$D$5158=$A47)*(VALUE(Başvuru!$I$2:$I$5158)=VALUE($C$4))*(Başvuru!$P$2:$P$5158=D$8))</f>
        <v/>
      </c>
      <c r="E47" s="140">
        <f t="array" ref="E47">SUMPRODUCT((Başvuru!$D$2:$D$5158=$A47)*(VALUE(Başvuru!$I$2:$I$5158)=VALUE($C$4))*(Başvuru!$P$2:$P$5158=E$8))</f>
        <v/>
      </c>
      <c r="F47" s="140">
        <f t="array" ref="F47">SUMPRODUCT((Başvuru!$D$2:$D$5158=$A47)*(VALUE(Başvuru!$I$2:$I$5158)=VALUE($C$4))*(Başvuru!$P$2:$P$5158=F$8))</f>
        <v/>
      </c>
      <c r="G47" s="140">
        <f t="array" ref="G47">SUMPRODUCT((Başvuru!$D$2:$D$5158=$A47)*(VALUE(Başvuru!$I$2:$I$5158)=VALUE($C$4))*(Başvuru!$P$2:$P$5158=G$8))</f>
        <v/>
      </c>
      <c r="H47" s="140">
        <f t="array" ref="H47">SUMPRODUCT((Başvuru!$D$2:$D$5158=$A47)*(VALUE(Başvuru!$I$2:$I$5158)=VALUE($C$4))*(Başvuru!$P$2:$P$5158=H$8))</f>
        <v/>
      </c>
      <c r="I47" s="140">
        <f t="array" ref="I47">SUMPRODUCT((Başvuru!$D$2:$D$5158=$A47)*(VALUE(Başvuru!$I$2:$I$5158)=VALUE($C$4))*(Başvuru!$P$2:$P$5158=I$8))</f>
        <v/>
      </c>
    </row>
    <row r="48">
      <c r="B48" s="140">
        <f t="array" ref="B48">SUMPRODUCT((Başvuru!$D$2:$D$5158=$A48)*(VALUE(Başvuru!$I$2:$I$5158)=VALUE($C$4)))</f>
        <v/>
      </c>
      <c r="C48" s="140">
        <f t="array" ref="C48">SUMPRODUCT((Başvuru!$D$2:$D$5158=$A48)*(VALUE(Başvuru!$I$2:$I$5158)=VALUE($C$4))*(Başvuru!$P$2:$P$5158=C$8))</f>
        <v/>
      </c>
      <c r="D48" s="140">
        <f t="array" ref="D48">SUMPRODUCT((Başvuru!$D$2:$D$5158=$A48)*(VALUE(Başvuru!$I$2:$I$5158)=VALUE($C$4))*(Başvuru!$P$2:$P$5158=D$8))</f>
        <v/>
      </c>
      <c r="E48" s="140">
        <f t="array" ref="E48">SUMPRODUCT((Başvuru!$D$2:$D$5158=$A48)*(VALUE(Başvuru!$I$2:$I$5158)=VALUE($C$4))*(Başvuru!$P$2:$P$5158=E$8))</f>
        <v/>
      </c>
      <c r="F48" s="140">
        <f t="array" ref="F48">SUMPRODUCT((Başvuru!$D$2:$D$5158=$A48)*(VALUE(Başvuru!$I$2:$I$5158)=VALUE($C$4))*(Başvuru!$P$2:$P$5158=F$8))</f>
        <v/>
      </c>
      <c r="G48" s="140">
        <f t="array" ref="G48">SUMPRODUCT((Başvuru!$D$2:$D$5158=$A48)*(VALUE(Başvuru!$I$2:$I$5158)=VALUE($C$4))*(Başvuru!$P$2:$P$5158=G$8))</f>
        <v/>
      </c>
      <c r="H48" s="140">
        <f t="array" ref="H48">SUMPRODUCT((Başvuru!$D$2:$D$5158=$A48)*(VALUE(Başvuru!$I$2:$I$5158)=VALUE($C$4))*(Başvuru!$P$2:$P$5158=H$8))</f>
        <v/>
      </c>
      <c r="I48" s="140">
        <f t="array" ref="I48">SUMPRODUCT((Başvuru!$D$2:$D$5158=$A48)*(VALUE(Başvuru!$I$2:$I$5158)=VALUE($C$4))*(Başvuru!$P$2:$P$5158=I$8))</f>
        <v/>
      </c>
    </row>
    <row r="49">
      <c r="B49" s="140">
        <f t="array" ref="B49">SUMPRODUCT((Başvuru!$D$2:$D$5158=$A49)*(VALUE(Başvuru!$I$2:$I$5158)=VALUE($C$4)))</f>
        <v/>
      </c>
      <c r="C49" s="140">
        <f t="array" ref="C49">SUMPRODUCT((Başvuru!$D$2:$D$5158=$A49)*(VALUE(Başvuru!$I$2:$I$5158)=VALUE($C$4))*(Başvuru!$P$2:$P$5158=C$8))</f>
        <v/>
      </c>
      <c r="D49" s="140">
        <f t="array" ref="D49">SUMPRODUCT((Başvuru!$D$2:$D$5158=$A49)*(VALUE(Başvuru!$I$2:$I$5158)=VALUE($C$4))*(Başvuru!$P$2:$P$5158=D$8))</f>
        <v/>
      </c>
      <c r="E49" s="140">
        <f t="array" ref="E49">SUMPRODUCT((Başvuru!$D$2:$D$5158=$A49)*(VALUE(Başvuru!$I$2:$I$5158)=VALUE($C$4))*(Başvuru!$P$2:$P$5158=E$8))</f>
        <v/>
      </c>
      <c r="F49" s="140">
        <f t="array" ref="F49">SUMPRODUCT((Başvuru!$D$2:$D$5158=$A49)*(VALUE(Başvuru!$I$2:$I$5158)=VALUE($C$4))*(Başvuru!$P$2:$P$5158=F$8))</f>
        <v/>
      </c>
      <c r="G49" s="140">
        <f t="array" ref="G49">SUMPRODUCT((Başvuru!$D$2:$D$5158=$A49)*(VALUE(Başvuru!$I$2:$I$5158)=VALUE($C$4))*(Başvuru!$P$2:$P$5158=G$8))</f>
        <v/>
      </c>
      <c r="H49" s="140">
        <f t="array" ref="H49">SUMPRODUCT((Başvuru!$D$2:$D$5158=$A49)*(VALUE(Başvuru!$I$2:$I$5158)=VALUE($C$4))*(Başvuru!$P$2:$P$5158=H$8))</f>
        <v/>
      </c>
      <c r="I49" s="140">
        <f t="array" ref="I49">SUMPRODUCT((Başvuru!$D$2:$D$5158=$A49)*(VALUE(Başvuru!$I$2:$I$5158)=VALUE($C$4))*(Başvuru!$P$2:$P$5158=I$8))</f>
        <v/>
      </c>
    </row>
  </sheetData>
  <mergeCells count="1">
    <mergeCell ref="A1:I1"/>
  </mergeCells>
  <conditionalFormatting sqref="A9:I43 A44:B45 A46:I100">
    <cfRule type="expression" priority="1" dxfId="3">
      <formula>AND($A9&lt;&gt;"", ISEVEN(ROW()))</formula>
    </cfRule>
    <cfRule type="expression" priority="2" dxfId="6">
      <formula>$A9&lt;&gt;""</formula>
    </cfRule>
  </conditionalFormatting>
  <conditionalFormatting sqref="C4">
    <cfRule type="expression" priority="6" dxfId="5">
      <formula>C4=""</formula>
    </cfRule>
  </conditionalFormatting>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tabColor rgb="FF00B050"/>
    <outlinePr summaryBelow="1" summaryRight="1"/>
    <pageSetUpPr/>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baseColWidth="8" defaultRowHeight="21"/>
  <cols>
    <col width="18.85546875" bestFit="1" customWidth="1" style="221" min="1" max="1"/>
    <col width="37.42578125" bestFit="1" customWidth="1" style="221" min="2" max="2"/>
    <col width="50.140625" customWidth="1" style="221" min="3" max="3"/>
    <col width="71.28515625" customWidth="1" style="101" min="4" max="4"/>
    <col width="45.28515625" customWidth="1" style="101" min="5" max="5"/>
    <col width="17.28515625" bestFit="1" customWidth="1" style="107" min="6" max="6"/>
    <col width="12.85546875" customWidth="1" style="99" min="7" max="7"/>
    <col width="15" bestFit="1" customWidth="1" style="99" min="8" max="8"/>
    <col width="34.140625" bestFit="1" customWidth="1" style="221" min="9" max="10"/>
    <col width="20.7109375" bestFit="1" customWidth="1" style="221" min="11" max="14"/>
    <col width="20.140625" bestFit="1" customWidth="1" style="221" min="15" max="15"/>
    <col width="10.5703125" customWidth="1" style="103" min="16" max="16"/>
    <col width="37.42578125" bestFit="1" customWidth="1" style="97" min="18" max="18"/>
    <col width="9.140625" customWidth="1" style="97" min="19" max="19"/>
    <col width="50" bestFit="1" customWidth="1" style="97" min="21" max="21"/>
    <col width="9.140625" customWidth="1" style="97" min="22" max="22"/>
    <col width="37.42578125" bestFit="1" customWidth="1" style="97" min="23" max="23"/>
    <col width="9.140625" customWidth="1" style="98" min="24" max="24"/>
    <col width="59.5703125" bestFit="1" customWidth="1" style="97" min="25" max="25"/>
    <col width="9.140625" customWidth="1" style="98" min="26" max="26"/>
    <col width="18" bestFit="1" customWidth="1" style="105" min="27" max="27"/>
    <col width="27.28515625" bestFit="1" customWidth="1" style="221" min="28" max="28"/>
    <col width="24.85546875" bestFit="1" customWidth="1" style="221" min="29" max="29"/>
    <col width="18.42578125" bestFit="1" customWidth="1" style="221" min="30" max="30"/>
    <col width="19.28515625" bestFit="1" customWidth="1" style="221" min="31" max="31"/>
    <col width="10.7109375" bestFit="1" customWidth="1" style="221" min="32" max="32"/>
    <col width="13.7109375" bestFit="1" customWidth="1" style="221" min="34" max="34"/>
    <col width="7.42578125" bestFit="1" customWidth="1" style="221" min="35" max="35"/>
    <col width="9" bestFit="1" customWidth="1" style="221" min="36" max="36"/>
    <col width="5.5703125" bestFit="1" customWidth="1" style="221" min="37" max="37"/>
    <col width="16.140625" bestFit="1" customWidth="1" style="221" min="38" max="38"/>
    <col width="17" bestFit="1" customWidth="1" style="221" min="39" max="39"/>
    <col width="26.28515625" bestFit="1" customWidth="1" style="99" min="41" max="41"/>
    <col width="34.140625" bestFit="1" customWidth="1" style="221" min="43" max="43"/>
    <col width="35.85546875" bestFit="1" customWidth="1" style="221" min="46" max="46"/>
    <col width="17.140625" bestFit="1" customWidth="1" style="221" min="47" max="47"/>
    <col width="9.42578125" bestFit="1" customWidth="1" style="221" min="48" max="48"/>
    <col width="59.5703125" bestFit="1" customWidth="1" style="221" min="49" max="49"/>
    <col width="6.85546875" bestFit="1" customWidth="1" style="221" min="50" max="50"/>
    <col width="20.7109375" bestFit="1" customWidth="1" style="221" min="51" max="51"/>
    <col width="6.42578125" bestFit="1" customWidth="1" style="128" min="52" max="52"/>
  </cols>
  <sheetData>
    <row r="1" ht="18.75" customHeight="1" s="221">
      <c r="A1" t="inlineStr">
        <is>
          <t>NİTELİK SEÇ</t>
        </is>
      </c>
      <c r="C1" t="inlineStr">
        <is>
          <t>NİTELİK TOPLAM DOSYA</t>
        </is>
      </c>
      <c r="D1" s="101" t="inlineStr">
        <is>
          <t>BEKLEYEN</t>
        </is>
      </c>
      <c r="E1" s="101" t="inlineStr">
        <is>
          <t>BEKLEYEN</t>
        </is>
      </c>
      <c r="F1" s="107" t="inlineStr">
        <is>
          <t>BİRİM</t>
        </is>
      </c>
      <c r="H1" s="99" t="inlineStr">
        <is>
          <t>TOPLAM DOSYA</t>
        </is>
      </c>
      <c r="I1">
        <f>IF(A6="Kayıt Yok", 0, COUNTA(INDEX(_xlfn.ANCHORARRAY(A6),,1)))</f>
        <v/>
      </c>
      <c r="AQ1">
        <f t="array" ref="AQ1:AQ13">_xlfn._xlws.SORT(_xlfn.UNIQUE(_xlfn.VSTACK(Başvuru!J2:J706, Başvuru!K2:K331)))</f>
        <v/>
      </c>
      <c r="AT1" s="120" t="inlineStr">
        <is>
          <t xml:space="preserve"> </t>
        </is>
      </c>
      <c r="AU1" s="120" t="inlineStr">
        <is>
          <t>SAYI</t>
        </is>
      </c>
      <c r="AW1" s="120" t="inlineStr">
        <is>
          <t>BİRİMLER</t>
        </is>
      </c>
      <c r="AY1" s="120" t="inlineStr">
        <is>
          <t>KARAR</t>
        </is>
      </c>
      <c r="AZ1" s="120" t="inlineStr">
        <is>
          <t>SAYI</t>
        </is>
      </c>
    </row>
    <row r="2">
      <c r="A2" t="inlineStr">
        <is>
          <t>Doktora Tezi</t>
        </is>
      </c>
      <c r="C2">
        <f>COUNTIF(Başvuru!G:G, A2)</f>
        <v/>
      </c>
      <c r="D2" s="101">
        <f>COUNTIF(Başvuru!G:G, A2)</f>
        <v/>
      </c>
      <c r="E2" s="101">
        <f>COUNTIFS(Başvuru!G:G, A2, Başvuru!P:P, "")</f>
        <v/>
      </c>
      <c r="F2" s="107">
        <f>COUNTIFS(Başvuru!G:G, A2, Başvuru!P:P, "")</f>
        <v/>
      </c>
      <c r="AQ2" t="inlineStr">
        <is>
          <t>Doç. Dr. Ekim GÜMELER</t>
        </is>
      </c>
      <c r="AT2" s="124" t="inlineStr">
        <is>
          <t>ONAY</t>
        </is>
      </c>
      <c r="AU2" s="128">
        <f>Üye_Yeni!A4</f>
        <v/>
      </c>
      <c r="AW2">
        <f t="array" ref="AW2:AW62">_xlfn._xlws.SORT(_xlfn.UNIQUE(Başvuru!D2:D10158))</f>
        <v/>
      </c>
      <c r="AY2" s="124" t="inlineStr">
        <is>
          <t>ONAY</t>
        </is>
      </c>
      <c r="AZ2" s="128">
        <f>Birim_Yeni!A4</f>
        <v/>
      </c>
    </row>
    <row r="3" ht="31.5" customHeight="1" s="221">
      <c r="A3" s="48" t="inlineStr">
        <is>
          <t>SBA NUMARASI</t>
        </is>
      </c>
      <c r="B3" s="48" t="inlineStr">
        <is>
          <t>SORUMLUSU</t>
        </is>
      </c>
      <c r="C3" s="48" t="inlineStr">
        <is>
          <t>BİRİMİ</t>
        </is>
      </c>
      <c r="D3" s="48" t="inlineStr">
        <is>
          <t>YERİ</t>
        </is>
      </c>
      <c r="E3" s="48" t="inlineStr">
        <is>
          <t>ADI</t>
        </is>
      </c>
      <c r="F3" s="108" t="inlineStr">
        <is>
          <t>NİTELİĞİ</t>
        </is>
      </c>
      <c r="G3" s="49" t="inlineStr">
        <is>
          <t>BAŞVURU TARİHİ</t>
        </is>
      </c>
      <c r="H3" s="49" t="inlineStr">
        <is>
          <t>KURUL TARİHİ</t>
        </is>
      </c>
      <c r="I3" s="48" t="inlineStr">
        <is>
          <t>RAPORTÖR 1</t>
        </is>
      </c>
      <c r="J3" s="48" t="inlineStr">
        <is>
          <t>RAPORTÖR 2</t>
        </is>
      </c>
      <c r="K3" s="64" t="inlineStr">
        <is>
          <t>KURUL KARARI 1</t>
        </is>
      </c>
      <c r="L3" s="65" t="inlineStr">
        <is>
          <t>KURUL KARARI 2</t>
        </is>
      </c>
      <c r="M3" s="65" t="inlineStr">
        <is>
          <t>KURUL KARARI 3</t>
        </is>
      </c>
      <c r="N3" s="70" t="inlineStr">
        <is>
          <t>KURUL KARARI 4</t>
        </is>
      </c>
      <c r="O3" s="65" t="inlineStr">
        <is>
          <t>GÜNCEL DURUM</t>
        </is>
      </c>
      <c r="P3" s="65" t="inlineStr">
        <is>
          <t>BOŞ MU</t>
        </is>
      </c>
      <c r="R3" s="48" t="inlineStr">
        <is>
          <t>ARAŞTIRMACI LİSTESİ</t>
        </is>
      </c>
      <c r="S3" s="98" t="n"/>
      <c r="T3" s="102" t="n"/>
      <c r="U3" s="48" t="inlineStr">
        <is>
          <t>BİRİM LİSTESİ</t>
        </is>
      </c>
      <c r="W3" s="48" t="inlineStr">
        <is>
          <t>GENEL ARAŞTIRMACI LİSTESİ</t>
        </is>
      </c>
      <c r="Y3" s="48" t="inlineStr">
        <is>
          <t>GENEL BİRİM LİSTESİ</t>
        </is>
      </c>
      <c r="AA3" s="106" t="inlineStr">
        <is>
          <t>KURUL TARİHİ</t>
        </is>
      </c>
      <c r="AB3" s="48" t="inlineStr">
        <is>
          <t>Bireysel Araştırma</t>
        </is>
      </c>
      <c r="AC3" s="48" t="inlineStr">
        <is>
          <t>Yüksek Lisans Tezi</t>
        </is>
      </c>
      <c r="AD3" s="48" t="inlineStr">
        <is>
          <t>Doktora Tezi</t>
        </is>
      </c>
      <c r="AE3" s="48" t="inlineStr">
        <is>
          <t>Uzmanlık Tezi</t>
        </is>
      </c>
      <c r="AF3" s="109" t="inlineStr">
        <is>
          <t>TOPLAM</t>
        </is>
      </c>
      <c r="AG3" s="48" t="inlineStr">
        <is>
          <t>ONAY</t>
        </is>
      </c>
      <c r="AH3" s="48" t="inlineStr">
        <is>
          <t>DÜZELTME</t>
        </is>
      </c>
      <c r="AI3" s="48" t="inlineStr">
        <is>
          <t>KAEK</t>
        </is>
      </c>
      <c r="AJ3" s="48" t="inlineStr">
        <is>
          <t>GÖRÜŞ</t>
        </is>
      </c>
      <c r="AK3" s="48" t="inlineStr">
        <is>
          <t>RET</t>
        </is>
      </c>
      <c r="AL3" s="48" t="inlineStr">
        <is>
          <t>KAPSAM DIŞI</t>
        </is>
      </c>
      <c r="AM3" s="48" t="inlineStr">
        <is>
          <t>GERİ ÇEKİLDİ</t>
        </is>
      </c>
      <c r="AO3" s="48" t="inlineStr">
        <is>
          <t>TOPLANTI TARİHLERİ</t>
        </is>
      </c>
      <c r="AQ3" t="inlineStr">
        <is>
          <t>Doç. Dr. Kübra AYKAÇ</t>
        </is>
      </c>
      <c r="AT3" s="125" t="inlineStr">
        <is>
          <t>DÜZELTME</t>
        </is>
      </c>
      <c r="AU3" s="128">
        <f>Üye_Yeni!B4</f>
        <v/>
      </c>
      <c r="AW3" t="inlineStr">
        <is>
          <t>Ağız, Diş ve Çene Cerrahisi Anabilim Dalı</t>
        </is>
      </c>
      <c r="AY3" s="125" t="inlineStr">
        <is>
          <t>DÜZELTME</t>
        </is>
      </c>
      <c r="AZ3" s="128">
        <f>Birim_Yeni!B4</f>
        <v/>
      </c>
    </row>
    <row r="4" ht="60" customHeight="1" s="221">
      <c r="A4" s="100">
        <f t="array" ref="A4:P24">_xlfn._xlws.FILTER(Başvuru!B2:Q1198, Başvuru!G2:G1198=A2, "Seçilen nitelikte kayıt bulunamadı")</f>
        <v/>
      </c>
      <c r="B4" s="100" t="inlineStr">
        <is>
          <t>Prof. Dr. Bayram ŞAHİN</t>
        </is>
      </c>
      <c r="C4" s="100" t="inlineStr">
        <is>
          <t>Lokman Hekim Üniversitesi
Sağlık Hizmetleri Meslek Yüksekokulu</t>
        </is>
      </c>
      <c r="D4" s="96" t="inlineStr">
        <is>
          <t>Lokman Hekim Üniversitesi Sağlık Hizmetleri Meslek Yüksekokulu öğretim üyelerinden Prof. Dr. Bayram ŞAHİN'in sorumlu araştırmacı olduğu; Prof. Dr. Müberra AKDOĞAN, Uzm. Dr. Aykut Burak BAYAV ile birlikte çalışacakları ve Gülcan AYDIN’ın doktora tezi olan,</t>
        </is>
      </c>
      <c r="E4" s="96" t="inlineStr">
        <is>
          <t>“Katarakt Cerrahisinin Uygunluğunun Değerlendirilmesi”</t>
        </is>
      </c>
      <c r="F4" s="100" t="inlineStr">
        <is>
          <t>Doktora Tezi</t>
        </is>
      </c>
      <c r="G4" s="99" t="n">
        <v>0</v>
      </c>
      <c r="H4" s="99" t="n">
        <v>46028</v>
      </c>
      <c r="I4" s="100" t="inlineStr">
        <is>
          <t>Doç. Dr. Tolga ÇAKMAK</t>
        </is>
      </c>
      <c r="J4" s="100" t="inlineStr">
        <is>
          <t>Doç. Dr. Burcu ERSÖZ ALAN</t>
        </is>
      </c>
      <c r="K4" s="100" t="inlineStr">
        <is>
          <t>DÜZELTME</t>
        </is>
      </c>
      <c r="L4" s="100" t="inlineStr">
        <is>
          <t>ONAY</t>
        </is>
      </c>
      <c r="M4" s="100" t="n">
        <v>0</v>
      </c>
      <c r="N4" s="100" t="n">
        <v>0</v>
      </c>
      <c r="O4" s="100" t="inlineStr">
        <is>
          <t>ONAY</t>
        </is>
      </c>
      <c r="P4" s="104" t="n">
        <v>0</v>
      </c>
      <c r="R4" s="97">
        <f t="array" ref="R4:S19">_xlfn._xlws.SORT(_xlfn.HSTACK(_xlfn.UNIQUE(_xlfn._xlws.FILTER(Başvuru!C2:C698, Başvuru!G2:G698=A2)), COUNTIF(Başvuru!C2:C698, _xlfn.UNIQUE(_xlfn._xlws.FILTER(Başvuru!C2:C698, Başvuru!G2:G698=A2)))))</f>
        <v/>
      </c>
      <c r="S4" s="97" t="n">
        <v>2</v>
      </c>
      <c r="U4" s="97">
        <f t="array" ref="U4:V17">_xlfn._xlws.SORT(_xlfn.HSTACK(_xlfn.UNIQUE(_xlfn._xlws.FILTER(Başvuru!D2:D698, Başvuru!G2:G698=A2)), COUNTIF(Başvuru!D2:D698, _xlfn.UNIQUE(_xlfn._xlws.FILTER(Başvuru!D2:D698, Başvuru!G2:G698=A2)))), 2, -1)</f>
        <v/>
      </c>
      <c r="V4" s="97" t="n">
        <v>42</v>
      </c>
      <c r="W4" s="97">
        <f t="array" ref="W4:X198">_xlfn._xlws.SORT(_xlfn.HSTACK(_xlfn.UNIQUE(_xlfn._xlws.FILTER(Başvuru!C2:C698, Başvuru!C2:C698&lt;&gt;"")), COUNTIF(Başvuru!C2:C698, _xlfn.UNIQUE(_xlfn._xlws.FILTER(Başvuru!C2:C698, Başvuru!C2:C698&lt;&gt;"")))))</f>
        <v/>
      </c>
      <c r="X4" s="98" t="n">
        <v>1</v>
      </c>
      <c r="Y4" s="97">
        <f t="array" ref="Y4:Z63">_xlfn._xlws.SORT(_xlfn.HSTACK(_xlfn.UNIQUE(_xlfn._xlws.FILTER(Başvuru!D2:D698, Başvuru!D2:D698&lt;&gt;"")), COUNTIF(Başvuru!D2:D698, _xlfn.UNIQUE(_xlfn._xlws.FILTER(Başvuru!D2:D698, Başvuru!D2:D698&lt;&gt;"")))), 2, -1)</f>
        <v/>
      </c>
      <c r="Z4" s="98" t="n">
        <v>46</v>
      </c>
      <c r="AA4" s="99">
        <f t="array" ref="AA4:AA10">_xlfn._xlws.SORT(_xlfn.UNIQUE(_xlfn._xlws.FILTER(Başvuru!I2:I706, Başvuru!I2:I706&lt;&gt;"")))</f>
        <v/>
      </c>
      <c r="AB4" s="98">
        <f t="array" ref="AB4:AB10">COUNTIFS(Başvuru!$I:$I,_xlfn.ANCHORARRAY( $AA$4), Başvuru!$G:$G, AB$3)</f>
        <v/>
      </c>
      <c r="AC4" s="98">
        <f t="array" ref="AC4:AC10">COUNTIFS(Başvuru!$I:$I,_xlfn.ANCHORARRAY( $AA$4), Başvuru!$G:$G, AC$3)</f>
        <v/>
      </c>
      <c r="AD4" s="98">
        <f t="array" ref="AD4:AD10">COUNTIFS(Başvuru!$I:$I,_xlfn.ANCHORARRAY( $AA$4), Başvuru!$G:$G, AD$3)</f>
        <v/>
      </c>
      <c r="AE4" s="98">
        <f t="array" ref="AE4:AE10">COUNTIFS(Başvuru!$I:$I,_xlfn.ANCHORARRAY( $AA$4), Başvuru!$G:$G, AE$3)</f>
        <v/>
      </c>
      <c r="AF4" s="98">
        <f t="array" ref="AF4:AF10">_xlfn.ANCHORARRAY(AB4) +_xlfn.ANCHORARRAY( AC4) +_xlfn.ANCHORARRAY( AD4) +_xlfn.ANCHORARRAY( AE4)</f>
        <v/>
      </c>
      <c r="AG4" s="98">
        <f t="array" ref="AG4:AG10">COUNTIFS(Başvuru!$I:$I,_xlfn.ANCHORARRAY( $AA$4), Başvuru!$P:$P, "ONAY")</f>
        <v/>
      </c>
      <c r="AH4" s="98">
        <f t="array" ref="AH4:AH10">COUNTIFS(Başvuru!$I:$I,_xlfn.ANCHORARRAY( $AA$4), Başvuru!$P:$P, "DÜZELTME")</f>
        <v/>
      </c>
      <c r="AI4" s="98">
        <f t="array" ref="AI4:AI10">COUNTIFS(Başvuru!$I:$I,_xlfn.ANCHORARRAY( $AA$4), Başvuru!$P:$P, "KAEK")</f>
        <v/>
      </c>
      <c r="AJ4" s="98">
        <f t="array" ref="AJ4:AJ10">COUNTIFS(Başvuru!$I:$I,_xlfn.ANCHORARRAY( $AA$4), Başvuru!$P:$P, "GÖRÜŞ")</f>
        <v/>
      </c>
      <c r="AK4" s="98">
        <f t="array" ref="AK4:AK10">COUNTIFS(Başvuru!$I:$I,_xlfn.ANCHORARRAY( $AA$4), Başvuru!$P:$P, "RET")</f>
        <v/>
      </c>
      <c r="AL4" s="98">
        <f t="array" ref="AL4:AL10">COUNTIFS(Başvuru!$I:$I,_xlfn.ANCHORARRAY( $AA$4), Başvuru!$P:$P, "KAPSAM DIŞI")</f>
        <v/>
      </c>
      <c r="AM4" s="98">
        <f t="array" ref="AM4:AM10">COUNTIFS(Başvuru!$I:$I,_xlfn.ANCHORARRAY( $AA$4), Başvuru!$P:$P, "GERİ ÇEKİLDİ")</f>
        <v/>
      </c>
      <c r="AO4" s="99">
        <f t="array" ref="AO4:AO10">_xlfn._xlws.SORT(_xlfn.UNIQUE(_xlfn._xlws.FILTER(Başvuru!I2:I706, Başvuru!I2:I706&lt;&gt;"")))</f>
        <v/>
      </c>
      <c r="AQ4" t="inlineStr">
        <is>
          <t>Doç. Dr. Tolga ÇAKMAK</t>
        </is>
      </c>
      <c r="AT4" s="121" t="inlineStr">
        <is>
          <t>KAEK</t>
        </is>
      </c>
      <c r="AU4" s="128">
        <f>Üye_Yeni!C4</f>
        <v/>
      </c>
      <c r="AW4" t="inlineStr">
        <is>
          <t>Ağız, Diş ve Çene Radyolojisi Anabilim Dalı</t>
        </is>
      </c>
      <c r="AY4" s="121" t="inlineStr">
        <is>
          <t>KAEK</t>
        </is>
      </c>
      <c r="AZ4" s="128">
        <f>Birim_Yeni!C4</f>
        <v/>
      </c>
    </row>
    <row r="5" ht="45" customHeight="1" s="221">
      <c r="A5" s="100" t="inlineStr">
        <is>
          <t>SBA 26/005</t>
        </is>
      </c>
      <c r="B5" s="100" t="inlineStr">
        <is>
          <t>Prof. Dr. Ömür ÇELİKBIÇAK</t>
        </is>
      </c>
      <c r="C5" s="100" t="inlineStr">
        <is>
          <t>Fizikokimya Anabilim Dalı</t>
        </is>
      </c>
      <c r="D5" s="96" t="inlineStr">
        <is>
          <t>Üniversitemiz Fen Fakültesi Fizikokimya Anabilim Dalı öğretim üyelerinden Prof. Dr. Ömür ÇELİKBIÇAK’ın sorumlu araştırmacı olduğu, Neslihan ZENCİRCİ’nin doktora tezi olan,</t>
        </is>
      </c>
      <c r="E5" s="96" t="inlineStr">
        <is>
          <t>“Sentetik Peptit Temelli Yeni Nesil Biyosidal Malzemelerin Geliştirilmesi”</t>
        </is>
      </c>
      <c r="F5" s="100" t="inlineStr">
        <is>
          <t>Doktora Tezi</t>
        </is>
      </c>
      <c r="G5" s="99" t="n">
        <v>0</v>
      </c>
      <c r="H5" s="99" t="n">
        <v>46028</v>
      </c>
      <c r="I5" s="100" t="inlineStr">
        <is>
          <t>Prof. Dr. Yavuz AYHAN</t>
        </is>
      </c>
      <c r="J5" s="100" t="inlineStr">
        <is>
          <t>Prof. Dr. Melih Önder BABAOĞLU</t>
        </is>
      </c>
      <c r="K5" s="100" t="inlineStr">
        <is>
          <t>DÜZELTME</t>
        </is>
      </c>
      <c r="L5" s="100" t="inlineStr">
        <is>
          <t>ONAY</t>
        </is>
      </c>
      <c r="M5" s="100" t="n">
        <v>0</v>
      </c>
      <c r="N5" s="100" t="n">
        <v>0</v>
      </c>
      <c r="O5" s="100" t="inlineStr">
        <is>
          <t>ONAY</t>
        </is>
      </c>
      <c r="P5" s="104" t="n">
        <v>0</v>
      </c>
      <c r="R5" s="97" t="inlineStr">
        <is>
          <t>Doç. Dr. Burcu HATİBOĞLU</t>
        </is>
      </c>
      <c r="S5" s="97" t="n">
        <v>1</v>
      </c>
      <c r="U5" s="97" t="inlineStr">
        <is>
          <t>Klinik Eczacılık Anabilim Dalı</t>
        </is>
      </c>
      <c r="V5" s="97" t="n">
        <v>10</v>
      </c>
      <c r="W5" s="97" t="inlineStr">
        <is>
          <t>Arş. Gör. Dr. Sebiha Şükran GÜNDEŞLİ</t>
        </is>
      </c>
      <c r="X5" s="98" t="n">
        <v>2</v>
      </c>
      <c r="Y5" s="97" t="inlineStr">
        <is>
          <t>İç Hastalıkları Anabilim Dalı</t>
        </is>
      </c>
      <c r="Z5" s="98" t="n">
        <v>42</v>
      </c>
      <c r="AA5" s="99" t="n">
        <v>46042</v>
      </c>
      <c r="AB5" s="98" t="n">
        <v>30</v>
      </c>
      <c r="AC5" s="98" t="n">
        <v>1</v>
      </c>
      <c r="AD5" s="98" t="n">
        <v>5</v>
      </c>
      <c r="AE5" s="98" t="n">
        <v>9</v>
      </c>
      <c r="AF5" s="98" t="n">
        <v>45</v>
      </c>
      <c r="AG5" s="98" t="n">
        <v>36</v>
      </c>
      <c r="AH5" s="98" t="n">
        <v>4</v>
      </c>
      <c r="AI5" s="98" t="n">
        <v>0</v>
      </c>
      <c r="AJ5" s="98" t="n">
        <v>2</v>
      </c>
      <c r="AK5" s="98" t="n">
        <v>0</v>
      </c>
      <c r="AL5" s="98" t="n">
        <v>0</v>
      </c>
      <c r="AM5" s="98" t="n">
        <v>3</v>
      </c>
      <c r="AO5" s="99" t="n">
        <v>46042</v>
      </c>
      <c r="AQ5" t="inlineStr">
        <is>
          <t>Dr. Öğr. Üyesi Müge DEMİR</t>
        </is>
      </c>
      <c r="AT5" s="126" t="inlineStr">
        <is>
          <t>GÖRÜŞ</t>
        </is>
      </c>
      <c r="AU5" s="128">
        <f>Üye_Yeni!D4</f>
        <v/>
      </c>
      <c r="AW5" t="inlineStr">
        <is>
          <t>Aile Hekimliği Anabilim Dalı</t>
        </is>
      </c>
      <c r="AY5" s="126" t="inlineStr">
        <is>
          <t>GÖRÜŞ</t>
        </is>
      </c>
      <c r="AZ5" s="128">
        <f>Birim_Yeni!D4</f>
        <v/>
      </c>
    </row>
    <row r="6" ht="75" customHeight="1" s="221">
      <c r="A6" s="100" t="inlineStr">
        <is>
          <t>SBA 26/010</t>
        </is>
      </c>
      <c r="B6" s="100" t="inlineStr">
        <is>
          <t>Prof. Dr. Yakut AKYÖN YILMAZ</t>
        </is>
      </c>
      <c r="C6" s="100" t="inlineStr">
        <is>
          <t>Tıbbi Mikrobiyoloji Anabilim Dalı</t>
        </is>
      </c>
      <c r="D6" s="96" t="inlineStr">
        <is>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is>
      </c>
      <c r="E6" s="96" t="inlineStr">
        <is>
          <t>“Apikal Periyodontitis Etiyopatogenezinde İnflamatuar Sitokin Polimorfizmleri -Mikrobiyom İlişkisinin Araştırılması”</t>
        </is>
      </c>
      <c r="F6" s="100" t="inlineStr">
        <is>
          <t>Doktora Tezi</t>
        </is>
      </c>
      <c r="G6" s="99" t="n">
        <v>0</v>
      </c>
      <c r="H6" s="99" t="n">
        <v>46028</v>
      </c>
      <c r="I6" s="97" t="inlineStr">
        <is>
          <t>Prof. Dr. M. Özgür UYANIK</t>
        </is>
      </c>
      <c r="J6" s="97" t="inlineStr">
        <is>
          <t>Prof. Dr. Ayşe Nurten AKARSU</t>
        </is>
      </c>
      <c r="K6" s="97" t="inlineStr">
        <is>
          <t>DÜZELTME</t>
        </is>
      </c>
      <c r="L6" s="97" t="inlineStr">
        <is>
          <t>ONAY</t>
        </is>
      </c>
      <c r="M6" s="97" t="n">
        <v>0</v>
      </c>
      <c r="N6" s="97" t="n">
        <v>0</v>
      </c>
      <c r="O6" s="97" t="inlineStr">
        <is>
          <t>ONAY</t>
        </is>
      </c>
      <c r="P6" s="104" t="n">
        <v>0</v>
      </c>
      <c r="R6" s="97" t="inlineStr">
        <is>
          <t>Doç. Dr. Ceren GÜNENÇ BEŞER</t>
        </is>
      </c>
      <c r="S6" s="97" t="n">
        <v>2</v>
      </c>
      <c r="U6" s="97" t="inlineStr">
        <is>
          <t>Anatomi Anabilim Dalı</t>
        </is>
      </c>
      <c r="V6" s="97" t="n">
        <v>7</v>
      </c>
      <c r="W6" s="97" t="inlineStr">
        <is>
          <t>Arş. Gör. Dr. Şükran BAYRAK</t>
        </is>
      </c>
      <c r="X6" s="98" t="n">
        <v>2</v>
      </c>
      <c r="Y6" s="97" t="inlineStr">
        <is>
          <t>Kadın Hastalıkları ve Doğum Anabilim Dalı</t>
        </is>
      </c>
      <c r="Z6" s="98" t="n">
        <v>19</v>
      </c>
      <c r="AA6" s="99" t="n">
        <v>46057</v>
      </c>
      <c r="AB6" s="98" t="n">
        <v>32</v>
      </c>
      <c r="AC6" s="98" t="n">
        <v>1</v>
      </c>
      <c r="AD6" s="98" t="n">
        <v>4</v>
      </c>
      <c r="AE6" s="98" t="n">
        <v>8</v>
      </c>
      <c r="AF6" s="98" t="n">
        <v>45</v>
      </c>
      <c r="AG6" s="98" t="n">
        <v>36</v>
      </c>
      <c r="AH6" t="n">
        <v>8</v>
      </c>
      <c r="AI6" t="n">
        <v>1</v>
      </c>
      <c r="AJ6" t="n">
        <v>0</v>
      </c>
      <c r="AK6" t="n">
        <v>0</v>
      </c>
      <c r="AL6" t="n">
        <v>0</v>
      </c>
      <c r="AM6" t="n">
        <v>0</v>
      </c>
      <c r="AO6" s="99" t="n">
        <v>46057</v>
      </c>
      <c r="AQ6" t="inlineStr">
        <is>
          <t>Prof. Dr. Ayşe KİN İŞLER</t>
        </is>
      </c>
      <c r="AT6" s="122" t="inlineStr">
        <is>
          <t>KAPSAM DIŞI</t>
        </is>
      </c>
      <c r="AU6" s="128">
        <f>Üye_Yeni!E4</f>
        <v/>
      </c>
      <c r="AW6" t="inlineStr">
        <is>
          <t>Anatomi Anabilim Dalı</t>
        </is>
      </c>
      <c r="AY6" s="122" t="inlineStr">
        <is>
          <t>KAPSAM DIŞI</t>
        </is>
      </c>
      <c r="AZ6" s="128">
        <f>Birim_Yeni!E4</f>
        <v/>
      </c>
    </row>
    <row r="7" ht="60" customHeight="1" s="221">
      <c r="A7" s="100" t="inlineStr">
        <is>
          <t>SBA 26/021</t>
        </is>
      </c>
      <c r="B7" s="100" t="inlineStr">
        <is>
          <t>Prof. Dr. Oğuz IŞIK</t>
        </is>
      </c>
      <c r="C7" s="100" t="inlineStr">
        <is>
          <t>Sağlık Yönetimi Anabilim Dalı</t>
        </is>
      </c>
      <c r="D7" s="96" t="inlineStr">
        <is>
          <t>Üniversitemiz İktisadi İdari Bilimler Fakültesi Sağlık Yönetimi Anabilim Dalı öğretim üyelerinden Prof. Dr. Oğuz IŞIK’ın sorumlu araştırmacı olduğu, Kübra TEKAYAK’ın doktora tezi olan,</t>
        </is>
      </c>
      <c r="E7" s="96" t="inlineStr">
        <is>
          <t>“Sağlık Hizmetlerinde Aşırı Kullanım Algısı: Nedenleri, Sonuçları ve Hekime Güven ile İlişkisinin Hasta Perspektifinden Değerlendirilmesi”</t>
        </is>
      </c>
      <c r="F7" s="100" t="inlineStr">
        <is>
          <t>Doktora Tezi</t>
        </is>
      </c>
      <c r="G7" s="99" t="n">
        <v>0</v>
      </c>
      <c r="H7" s="99" t="n">
        <v>46028</v>
      </c>
      <c r="I7" s="97" t="inlineStr">
        <is>
          <t>Prof. Dr. Ayşe KİN İŞLER</t>
        </is>
      </c>
      <c r="J7" s="97" t="inlineStr">
        <is>
          <t>Prof. Dr. Melih Önder BABAOĞLU</t>
        </is>
      </c>
      <c r="K7" s="97" t="inlineStr">
        <is>
          <t>DÜZELTME</t>
        </is>
      </c>
      <c r="L7" s="97" t="inlineStr">
        <is>
          <t>GÖRÜŞ</t>
        </is>
      </c>
      <c r="M7" s="97" t="inlineStr">
        <is>
          <t>ONAY</t>
        </is>
      </c>
      <c r="N7" s="97" t="n">
        <v>0</v>
      </c>
      <c r="O7" s="97" t="inlineStr">
        <is>
          <t>ONAY</t>
        </is>
      </c>
      <c r="P7" s="104" t="n">
        <v>0</v>
      </c>
      <c r="R7" s="97" t="inlineStr">
        <is>
          <t>Doç. Dr. Ceren ÖZKUL KOÇAK</t>
        </is>
      </c>
      <c r="S7" s="97" t="n">
        <v>1</v>
      </c>
      <c r="U7" s="97" t="inlineStr">
        <is>
          <t>Sağlık Yönetimi Anabilim Dalı</t>
        </is>
      </c>
      <c r="V7" s="97" t="n">
        <v>5</v>
      </c>
      <c r="W7" s="97" t="inlineStr">
        <is>
          <t>Arş. Gör. Dr. Tuğçe TAŞKINDERE ABBASOĞLU</t>
        </is>
      </c>
      <c r="X7" s="98" t="n">
        <v>1</v>
      </c>
      <c r="Y7" s="97" t="inlineStr">
        <is>
          <t>Radyoloji Anabilim Dalı</t>
        </is>
      </c>
      <c r="Z7" s="98" t="n">
        <v>12</v>
      </c>
      <c r="AA7" s="99" t="n">
        <v>46070</v>
      </c>
      <c r="AB7" s="98" t="n">
        <v>32</v>
      </c>
      <c r="AC7" s="98" t="n">
        <v>2</v>
      </c>
      <c r="AD7" s="98" t="n">
        <v>3</v>
      </c>
      <c r="AE7" s="98" t="n">
        <v>8</v>
      </c>
      <c r="AF7" s="98" t="n">
        <v>45</v>
      </c>
      <c r="AG7" s="98" t="n">
        <v>36</v>
      </c>
      <c r="AH7" t="n">
        <v>5</v>
      </c>
      <c r="AI7" t="n">
        <v>1</v>
      </c>
      <c r="AJ7" t="n">
        <v>0</v>
      </c>
      <c r="AK7" t="n">
        <v>3</v>
      </c>
      <c r="AL7" t="n">
        <v>0</v>
      </c>
      <c r="AM7" t="n">
        <v>0</v>
      </c>
      <c r="AO7" s="99" t="n">
        <v>46070</v>
      </c>
      <c r="AQ7" t="inlineStr">
        <is>
          <t>Prof. Dr. Ayşe Nurten AKARSU</t>
        </is>
      </c>
      <c r="AT7" s="127" t="inlineStr">
        <is>
          <t>RET</t>
        </is>
      </c>
      <c r="AU7" s="128">
        <f>Üye_Yeni!F4</f>
        <v/>
      </c>
      <c r="AW7" t="inlineStr">
        <is>
          <t>Anesteziyoloji ve Reanimasyon Anabilim Dalı</t>
        </is>
      </c>
      <c r="AY7" s="127" t="inlineStr">
        <is>
          <t>RET</t>
        </is>
      </c>
      <c r="AZ7" s="128">
        <f>Birim_Yeni!F4</f>
        <v/>
      </c>
    </row>
    <row r="8" ht="60" customHeight="1" s="221">
      <c r="A8" s="100" t="inlineStr">
        <is>
          <t>SBA 26/045</t>
        </is>
      </c>
      <c r="B8" s="100" t="inlineStr">
        <is>
          <t>Prof. Dr. Dilek ASLAN</t>
        </is>
      </c>
      <c r="C8" s="100" t="inlineStr">
        <is>
          <t>Halk Sağlığı Anabilim Dalı</t>
        </is>
      </c>
      <c r="D8" s="96" t="inlineStr">
        <is>
          <t>Üniversitemiz Tıp Fakültesi Halk Sağlığı Anabilim öğretim üyelerinden Prof. Dr. Dilek ASLAN’ın sorumlu araştırmacı olduğu, Dr. Nur Sima SEKBAN’ın doktora tezi olan,</t>
        </is>
      </c>
      <c r="E8" s="96" t="inlineStr">
        <is>
          <t>“Aile Hekimliği Polikliniklerine Başvuran 18 Yaş ve Üzeri Hipertansiyon Hastalarının Hastalık Yönetim Süreçlerine Uyumları ve İlişkili Faktörler”</t>
        </is>
      </c>
      <c r="F8" s="100" t="inlineStr">
        <is>
          <t>Doktora Tezi</t>
        </is>
      </c>
      <c r="G8" s="99" t="n">
        <v>46017</v>
      </c>
      <c r="H8" s="99" t="n">
        <v>46028</v>
      </c>
      <c r="I8" s="97" t="inlineStr">
        <is>
          <t>Prof. Dr. Ayşe KİN İŞLER</t>
        </is>
      </c>
      <c r="J8" s="97" t="inlineStr">
        <is>
          <t>Dr. Öğr. Üyesi Müge DEMİR</t>
        </is>
      </c>
      <c r="K8" s="97" t="inlineStr">
        <is>
          <t>ONAY</t>
        </is>
      </c>
      <c r="L8" s="97" t="n">
        <v>0</v>
      </c>
      <c r="M8" s="97" t="n">
        <v>0</v>
      </c>
      <c r="N8" s="97" t="n">
        <v>0</v>
      </c>
      <c r="O8" s="97" t="inlineStr">
        <is>
          <t>ONAY</t>
        </is>
      </c>
      <c r="P8" s="104" t="n">
        <v>0</v>
      </c>
      <c r="R8" s="97" t="inlineStr">
        <is>
          <t>Prof. Dr. Ayşe KİN İŞLER</t>
        </is>
      </c>
      <c r="S8" s="97" t="n">
        <v>2</v>
      </c>
      <c r="U8" s="97" t="inlineStr">
        <is>
          <t>Halk Sağlığı Anabilim Dalı</t>
        </is>
      </c>
      <c r="V8" s="97" t="n">
        <v>3</v>
      </c>
      <c r="W8" s="97" t="inlineStr">
        <is>
          <t>Arş. Gör. Dt. Dilara KARA</t>
        </is>
      </c>
      <c r="X8" s="98" t="n">
        <v>1</v>
      </c>
      <c r="Y8" s="97" t="inlineStr">
        <is>
          <t>Göğüs Hastalıkları Anabilim Dalı</t>
        </is>
      </c>
      <c r="Z8" s="98" t="n">
        <v>12</v>
      </c>
      <c r="AA8" s="99" t="n">
        <v>46084</v>
      </c>
      <c r="AB8" s="98" t="n">
        <v>28</v>
      </c>
      <c r="AC8" s="98" t="n">
        <v>1</v>
      </c>
      <c r="AD8" s="98" t="n">
        <v>1</v>
      </c>
      <c r="AE8" s="98" t="n">
        <v>5</v>
      </c>
      <c r="AF8" s="98" t="n">
        <v>35</v>
      </c>
      <c r="AG8" s="98" t="n">
        <v>22</v>
      </c>
      <c r="AH8" t="n">
        <v>9</v>
      </c>
      <c r="AI8" t="n">
        <v>0</v>
      </c>
      <c r="AJ8" t="n">
        <v>0</v>
      </c>
      <c r="AK8" t="n">
        <v>1</v>
      </c>
      <c r="AL8" t="n">
        <v>3</v>
      </c>
      <c r="AM8" t="n">
        <v>0</v>
      </c>
      <c r="AO8" s="99" t="n">
        <v>46084</v>
      </c>
      <c r="AQ8" t="inlineStr">
        <is>
          <t>Prof. Dr. Gözde GİRGİN</t>
        </is>
      </c>
      <c r="AT8" s="123" t="inlineStr">
        <is>
          <t>GERİ ÇEKİLDİ</t>
        </is>
      </c>
      <c r="AU8" s="128">
        <f>Üye_Yeni!G4</f>
        <v/>
      </c>
      <c r="AW8" t="inlineStr">
        <is>
          <t>Barcelona Institute for Global Health</t>
        </is>
      </c>
      <c r="AY8" s="123" t="inlineStr">
        <is>
          <t>GERİ ÇEKİLDİ</t>
        </is>
      </c>
      <c r="AZ8" s="128">
        <f>Birim_Yeni!G4</f>
        <v/>
      </c>
    </row>
    <row r="9" ht="60" customHeight="1" s="221">
      <c r="A9" s="100" t="inlineStr">
        <is>
          <t>SBA 26/058</t>
        </is>
      </c>
      <c r="B9" s="100" t="inlineStr">
        <is>
          <t>Prof. Dr. Salih Kutay DEMİRKAN</t>
        </is>
      </c>
      <c r="C9" s="100" t="inlineStr">
        <is>
          <t>Klinik Eczacılık Anabilim Dalı</t>
        </is>
      </c>
      <c r="D9" s="96" t="inlineStr">
        <is>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is>
      </c>
      <c r="E9" s="96" t="inlineStr">
        <is>
          <t>“Diyabetik Yaşlı Hastalarda Sarkopeni ile Kullandıkları İlaçlar Arasındaki İlişkinin Değerlendirilmesi”</t>
        </is>
      </c>
      <c r="F9" s="100" t="inlineStr">
        <is>
          <t>Doktora Tezi</t>
        </is>
      </c>
      <c r="G9" s="99" t="n">
        <v>46024</v>
      </c>
      <c r="H9" s="99" t="n">
        <v>46042</v>
      </c>
      <c r="I9" s="97" t="inlineStr">
        <is>
          <t>Prof. Dr. Nazmiye Ebru ORTAÇ ERSOY</t>
        </is>
      </c>
      <c r="J9" s="97" t="inlineStr">
        <is>
          <t>Doç. Dr. Tolga ÇAKMAK</t>
        </is>
      </c>
      <c r="K9" s="97" t="inlineStr">
        <is>
          <t>DÜZELTME</t>
        </is>
      </c>
      <c r="L9" s="97" t="inlineStr">
        <is>
          <t>GERİ ÇEKİLDİ</t>
        </is>
      </c>
      <c r="M9" s="97" t="n">
        <v>0</v>
      </c>
      <c r="N9" s="97" t="n">
        <v>0</v>
      </c>
      <c r="O9" s="97" t="inlineStr">
        <is>
          <t>GERİ ÇEKİLDİ</t>
        </is>
      </c>
      <c r="P9" s="104" t="n">
        <v>0</v>
      </c>
      <c r="R9" s="97" t="inlineStr">
        <is>
          <t>Prof. Dr. Bayram ŞAHİN</t>
        </is>
      </c>
      <c r="S9" s="97" t="n">
        <v>1</v>
      </c>
      <c r="U9" s="97" t="inlineStr">
        <is>
          <t>Sosyal Hizmet Anabilim Dalı</t>
        </is>
      </c>
      <c r="V9" s="97" t="n">
        <v>3</v>
      </c>
      <c r="W9" s="97" t="inlineStr">
        <is>
          <t>Doç. Dr. Adalet Elçin YILDIZ</t>
        </is>
      </c>
      <c r="X9" s="98" t="n">
        <v>2</v>
      </c>
      <c r="Y9" s="97" t="inlineStr">
        <is>
          <t>Ortopedi ve Travmatoloji Anabilim Dalı</t>
        </is>
      </c>
      <c r="Z9" s="98" t="n">
        <v>12</v>
      </c>
      <c r="AA9" s="99" t="n">
        <v>46098</v>
      </c>
      <c r="AB9" s="98" t="n">
        <v>34</v>
      </c>
      <c r="AC9" s="98" t="n">
        <v>0</v>
      </c>
      <c r="AD9" s="98" t="n">
        <v>2</v>
      </c>
      <c r="AE9" s="98" t="n">
        <v>11</v>
      </c>
      <c r="AF9" s="98" t="n">
        <v>47</v>
      </c>
      <c r="AG9" s="98" t="n">
        <v>7</v>
      </c>
      <c r="AH9" t="n">
        <v>6</v>
      </c>
      <c r="AI9" t="n">
        <v>2</v>
      </c>
      <c r="AJ9" t="n">
        <v>0</v>
      </c>
      <c r="AK9" t="n">
        <v>0</v>
      </c>
      <c r="AL9" t="n">
        <v>1</v>
      </c>
      <c r="AM9" t="n">
        <v>0</v>
      </c>
      <c r="AO9" s="99" t="n">
        <v>46098</v>
      </c>
      <c r="AQ9" t="inlineStr">
        <is>
          <t>Prof. Dr. M. Özgür UYANIK</t>
        </is>
      </c>
      <c r="AW9" t="inlineStr">
        <is>
          <t>Biyoinformatik Anabilim Dalı</t>
        </is>
      </c>
    </row>
    <row r="10" ht="45" customHeight="1" s="221">
      <c r="A10" s="100" t="inlineStr">
        <is>
          <t>SBA 26/074</t>
        </is>
      </c>
      <c r="B10" s="100" t="inlineStr">
        <is>
          <t>Prof. Dr. Sıddika Songül YALÇIN</t>
        </is>
      </c>
      <c r="C10" s="100" t="inlineStr">
        <is>
          <t>Sosyal Pediatri Anabilim Dalı</t>
        </is>
      </c>
      <c r="D10" s="96" t="inlineStr">
        <is>
          <t>Üniversitemiz Çocuk Sağlığı Enstitüsü Sosyal Pediatri Anabilim Dalı öğretim üyelerinden Prof. Dr. Sıddika Songül YALÇIN’ın sorumlu araştırmacı olduğu, Uzm. Dr. Murat GÜLŞEN’in doktora tezi olan,</t>
        </is>
      </c>
      <c r="E10" s="96" t="inlineStr">
        <is>
          <t>“Nadir Hastalığı Olan Çocuklar Özelinde Ebeveynlerinin Tutumu, Sağlık Okuryazarlığı ve Ekran Kullanımı”</t>
        </is>
      </c>
      <c r="F10" s="100" t="inlineStr">
        <is>
          <t>Doktora Tezi</t>
        </is>
      </c>
      <c r="G10" s="99" t="n">
        <v>46030</v>
      </c>
      <c r="H10" s="99" t="n">
        <v>46042</v>
      </c>
      <c r="I10" s="97" t="inlineStr">
        <is>
          <t>Doç. Dr. Tolga ÇAKMAK</t>
        </is>
      </c>
      <c r="J10" s="97" t="inlineStr">
        <is>
          <t>Doç. Dr. Burcu ERSÖZ ALAN</t>
        </is>
      </c>
      <c r="K10" s="97" t="inlineStr">
        <is>
          <t>ONAY</t>
        </is>
      </c>
      <c r="L10" s="97" t="n">
        <v>0</v>
      </c>
      <c r="M10" s="97" t="n">
        <v>0</v>
      </c>
      <c r="N10" s="97" t="n">
        <v>0</v>
      </c>
      <c r="O10" s="97" t="inlineStr">
        <is>
          <t>ONAY</t>
        </is>
      </c>
      <c r="P10" s="104" t="n">
        <v>0</v>
      </c>
      <c r="R10" s="97" t="inlineStr">
        <is>
          <t>Prof. Dr. Dilek ASLAN</t>
        </is>
      </c>
      <c r="S10" s="97" t="n">
        <v>1</v>
      </c>
      <c r="U10" s="97" t="inlineStr">
        <is>
          <t>Endodonti Anabilim Dalı</t>
        </is>
      </c>
      <c r="V10" s="97" t="n">
        <v>3</v>
      </c>
      <c r="W10" s="97" t="inlineStr">
        <is>
          <t>Doç. Dr. Almıla Gülsün PAMUK</t>
        </is>
      </c>
      <c r="X10" s="98" t="n">
        <v>1</v>
      </c>
      <c r="Y10" s="97" t="inlineStr">
        <is>
          <t>Nöroloji Anabilim Dalı</t>
        </is>
      </c>
      <c r="Z10" s="98" t="n">
        <v>10</v>
      </c>
      <c r="AA10" s="99" t="n">
        <v>46112</v>
      </c>
      <c r="AB10" s="98" t="n">
        <v>28</v>
      </c>
      <c r="AC10" s="98" t="n">
        <v>1</v>
      </c>
      <c r="AD10" s="98" t="n">
        <v>1</v>
      </c>
      <c r="AE10" s="98" t="n">
        <v>10</v>
      </c>
      <c r="AF10" s="98" t="n">
        <v>40</v>
      </c>
      <c r="AG10" s="98" t="n">
        <v>0</v>
      </c>
      <c r="AH10" t="n">
        <v>0</v>
      </c>
      <c r="AI10" t="n">
        <v>0</v>
      </c>
      <c r="AJ10" t="n">
        <v>0</v>
      </c>
      <c r="AK10" t="n">
        <v>0</v>
      </c>
      <c r="AL10" t="n">
        <v>0</v>
      </c>
      <c r="AM10" t="n">
        <v>0</v>
      </c>
      <c r="AO10" s="99" t="n">
        <v>46112</v>
      </c>
      <c r="AQ10" t="inlineStr">
        <is>
          <t>Prof. Dr. Melih Önder BABAOĞLU</t>
        </is>
      </c>
      <c r="AT10" s="129" t="inlineStr">
        <is>
          <t>SEÇİLİ KURUL GENEL TOPLAMI</t>
        </is>
      </c>
      <c r="AW10" t="inlineStr">
        <is>
          <t>Biyoistatistik Anabilim Dalı</t>
        </is>
      </c>
    </row>
    <row r="11" ht="75" customHeight="1" s="221">
      <c r="A11" s="100" t="inlineStr">
        <is>
          <t>SBA 26/079</t>
        </is>
      </c>
      <c r="B11" s="100" t="inlineStr">
        <is>
          <t>Prof. Dr. Ülkü ÜNDEĞER BUCURGAT</t>
        </is>
      </c>
      <c r="C11" s="100" t="inlineStr">
        <is>
          <t>Farmasötik Toksikoloji Anabilim Dalı</t>
        </is>
      </c>
      <c r="D11" s="96" t="inlineStr">
        <is>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is>
      </c>
      <c r="E11" s="96" t="inlineStr">
        <is>
          <t>“Kaynakçılarda Demir Metabolizmasının Gözden Geçirilmesi ve Sistemik Aşırı Demir Fazlalığı Olan ve Olmayan Aktif Kaynakçılarda Genotoksisitenin Comet Yöntemi ile Değerlendirilmesi”</t>
        </is>
      </c>
      <c r="F11" s="100" t="inlineStr">
        <is>
          <t>Doktora Tezi</t>
        </is>
      </c>
      <c r="G11" s="99" t="n">
        <v>46031</v>
      </c>
      <c r="H11" s="99" t="n">
        <v>46042</v>
      </c>
      <c r="I11" s="97" t="inlineStr">
        <is>
          <t>Doç. Dr. Tolga ÇAKMAK</t>
        </is>
      </c>
      <c r="J11" s="97" t="inlineStr">
        <is>
          <t>Prof. Dr. Gözde GİRGİN</t>
        </is>
      </c>
      <c r="K11" s="97" t="inlineStr">
        <is>
          <t>DÜZELTME</t>
        </is>
      </c>
      <c r="L11" s="97" t="inlineStr">
        <is>
          <t>ONAY</t>
        </is>
      </c>
      <c r="M11" s="97" t="n">
        <v>0</v>
      </c>
      <c r="N11" s="97" t="n">
        <v>0</v>
      </c>
      <c r="O11" s="97" t="inlineStr">
        <is>
          <t>ONAY</t>
        </is>
      </c>
      <c r="P11" s="104" t="n">
        <v>0</v>
      </c>
      <c r="R11" s="97" t="inlineStr">
        <is>
          <t>Prof. Dr. Hatice DOĞAN BUZOĞLU</t>
        </is>
      </c>
      <c r="S11" s="97" t="n">
        <v>1</v>
      </c>
      <c r="U11" s="97" t="inlineStr">
        <is>
          <t>Hareket ve Antrenman Bilimleri Anabilim Dalı</t>
        </is>
      </c>
      <c r="V11" s="97" t="n">
        <v>2</v>
      </c>
      <c r="W11" s="97" t="inlineStr">
        <is>
          <t>Doç. Dr. Aslıhan AYKARA</t>
        </is>
      </c>
      <c r="X11" s="98" t="n">
        <v>2</v>
      </c>
      <c r="Y11" s="97" t="inlineStr">
        <is>
          <t>Klinik Eczacılık Anabilim Dalı</t>
        </is>
      </c>
      <c r="Z11" s="98" t="n">
        <v>10</v>
      </c>
      <c r="AA11" s="99" t="n"/>
      <c r="AB11" s="98" t="n"/>
      <c r="AC11" s="98" t="n"/>
      <c r="AD11" s="98" t="n"/>
      <c r="AE11" s="98" t="n"/>
      <c r="AF11" s="98" t="n"/>
      <c r="AG11" s="98" t="n"/>
      <c r="AQ11" t="inlineStr">
        <is>
          <t>Prof. Dr. Nazmiye Ebru ORTAÇ ERSOY</t>
        </is>
      </c>
      <c r="AT11" s="124" t="inlineStr">
        <is>
          <t>ONAY</t>
        </is>
      </c>
      <c r="AU11">
        <f>VLOOKUP(Üye_Yeni!$E$1, $AA$4:$AZ$2000, 7, 0)</f>
        <v/>
      </c>
      <c r="AW11" t="inlineStr">
        <is>
          <t>Çocuk Cerrahisi Anabilim Dalı</t>
        </is>
      </c>
    </row>
    <row r="12" ht="60" customHeight="1" s="221">
      <c r="A12" s="100" t="inlineStr">
        <is>
          <t>SBA 26/096</t>
        </is>
      </c>
      <c r="B12" s="100" t="inlineStr">
        <is>
          <t>Doç. Dr. Aslıhan AYKARA</t>
        </is>
      </c>
      <c r="C12" s="100" t="inlineStr">
        <is>
          <t>Sosyal Hizmet Anabilim Dalı</t>
        </is>
      </c>
      <c r="D12" s="96" t="inlineStr">
        <is>
          <t>Üniversitemiz İktisadi ve İdari Bilimler Fakültesi Sosyal Hizmet Anabilim Dalı öğretim üyelerinden Doç. Dr. Aslıhan AYKARA’nın sorumlu araştırmacı olduğu, Derya AKKURT'un doktora tezi olan,</t>
        </is>
      </c>
      <c r="E12" s="96" t="inlineStr">
        <is>
          <t>“Post-Neoliberal Bir Gündem Olarak Bakım Krizi: Engelli Bakım Politika ve Hizmetlerinin Toplumsal Yeniden Üretim Açısından Değerlendirilmesi”</t>
        </is>
      </c>
      <c r="F12" s="100" t="inlineStr">
        <is>
          <t>Doktora Tezi</t>
        </is>
      </c>
      <c r="G12" s="99" t="n">
        <v>46037</v>
      </c>
      <c r="H12" s="99" t="n">
        <v>46042</v>
      </c>
      <c r="I12" s="97" t="inlineStr">
        <is>
          <t>Dr. Öğr. Üyesi Müge DEMİR</t>
        </is>
      </c>
      <c r="J12" s="97" t="inlineStr">
        <is>
          <t>Doç. Dr. Tolga ÇAKMAK</t>
        </is>
      </c>
      <c r="K12" s="97" t="inlineStr">
        <is>
          <t>ONAY</t>
        </is>
      </c>
      <c r="L12" s="97" t="n">
        <v>0</v>
      </c>
      <c r="M12" s="97" t="n">
        <v>0</v>
      </c>
      <c r="N12" s="97" t="n">
        <v>0</v>
      </c>
      <c r="O12" s="97" t="inlineStr">
        <is>
          <t>ONAY</t>
        </is>
      </c>
      <c r="P12" s="104" t="n">
        <v>0</v>
      </c>
      <c r="R12" s="97" t="inlineStr">
        <is>
          <t>Prof. Dr. Meltem Gülhan HALİL</t>
        </is>
      </c>
      <c r="S12" s="97" t="n">
        <v>10</v>
      </c>
      <c r="U12" s="97" t="inlineStr">
        <is>
          <t>Lokman Hekim Üniversitesi
Sağlık Hizmetleri Meslek Yüksekokulu</t>
        </is>
      </c>
      <c r="V12" s="97" t="n">
        <v>1</v>
      </c>
      <c r="W12" s="97" t="inlineStr">
        <is>
          <t>Doç. Dr. Ayhan EYMİRLİ</t>
        </is>
      </c>
      <c r="X12" s="98" t="n">
        <v>1</v>
      </c>
      <c r="Y12" s="97" t="inlineStr">
        <is>
          <t>Çocuk ve Ergen Ruh Sağlığı ve Hastalıkları Anabilim Dalı</t>
        </is>
      </c>
      <c r="Z12" s="98" t="n">
        <v>7</v>
      </c>
      <c r="AA12" s="99" t="n"/>
      <c r="AB12" s="98" t="n"/>
      <c r="AC12" s="98" t="n"/>
      <c r="AD12" s="98" t="n"/>
      <c r="AE12" s="98" t="n"/>
      <c r="AF12" s="98" t="n"/>
      <c r="AG12" s="98" t="n"/>
      <c r="AQ12" t="inlineStr">
        <is>
          <t>Prof. Dr. Yavuz AYHAN</t>
        </is>
      </c>
      <c r="AT12" s="125" t="inlineStr">
        <is>
          <t>DÜZELTME</t>
        </is>
      </c>
      <c r="AU12">
        <f>VLOOKUP(Üye_Yeni!$E$1, $AA$4:$AZ$2000, 8, 0)</f>
        <v/>
      </c>
      <c r="AW12" t="inlineStr">
        <is>
          <t>Çocuk Sağlığı Entitüsü</t>
        </is>
      </c>
    </row>
    <row r="13" ht="45" customHeight="1" s="221">
      <c r="A13" s="100" t="inlineStr">
        <is>
          <t>SBA 26/099</t>
        </is>
      </c>
      <c r="B13" s="100" t="inlineStr">
        <is>
          <t>Doç. Dr. Aslıhan AYKARA</t>
        </is>
      </c>
      <c r="C13" s="100" t="inlineStr">
        <is>
          <t>Sosyal Hizmet Anabilim Dalı</t>
        </is>
      </c>
      <c r="D13" s="96" t="inlineStr">
        <is>
          <t>Üniversitemiz İktisadi ve İdari Bilimler Fakültesi Sosyal Hizmet Anabilim Dalı öğretim üyelerinden Doç. Dr. Aslıhan AYKARA’nın sorumlu araştırmacı olduğu, Dilara KESER GÜNENÇ’in doktora tezi olan,</t>
        </is>
      </c>
      <c r="E13" s="96" t="inlineStr">
        <is>
          <t>“Feminist Sosyal Hizmet Perspektifinden Engelli Kadınların Yaşantıları ve Aktivizm Deneyimleri”</t>
        </is>
      </c>
      <c r="F13" s="100" t="inlineStr">
        <is>
          <t>Doktora Tezi</t>
        </is>
      </c>
      <c r="G13" s="99" t="n">
        <v>46037</v>
      </c>
      <c r="H13" s="99" t="n">
        <v>46042</v>
      </c>
      <c r="I13" s="97" t="inlineStr">
        <is>
          <t>Dr. Öğr. Üyesi Müge DEMİR</t>
        </is>
      </c>
      <c r="J13" s="97" t="inlineStr">
        <is>
          <t>Doç. Dr. Ekim GÜMELER</t>
        </is>
      </c>
      <c r="K13" s="97" t="inlineStr">
        <is>
          <t>ONAY</t>
        </is>
      </c>
      <c r="L13" s="97" t="n">
        <v>0</v>
      </c>
      <c r="M13" s="97" t="n">
        <v>0</v>
      </c>
      <c r="N13" s="97" t="n">
        <v>0</v>
      </c>
      <c r="O13" s="97" t="inlineStr">
        <is>
          <t>ONAY</t>
        </is>
      </c>
      <c r="P13" s="104" t="n">
        <v>0</v>
      </c>
      <c r="R13" s="97" t="inlineStr">
        <is>
          <t>Prof. Dr. Oğuz IŞIK</t>
        </is>
      </c>
      <c r="S13" s="97" t="n">
        <v>3</v>
      </c>
      <c r="U13" s="97" t="inlineStr">
        <is>
          <t>Fizikokimya Anabilim Dalı</t>
        </is>
      </c>
      <c r="V13" s="97" t="n">
        <v>1</v>
      </c>
      <c r="W13" s="97" t="inlineStr">
        <is>
          <t>Doç. Dr. Basri GÜLBAKAN</t>
        </is>
      </c>
      <c r="X13" s="98" t="n">
        <v>1</v>
      </c>
      <c r="Y13" s="97" t="inlineStr">
        <is>
          <t>Göz Hastalıkları Anabilim Dalı</t>
        </is>
      </c>
      <c r="Z13" s="98" t="n">
        <v>7</v>
      </c>
      <c r="AA13" s="99" t="n"/>
      <c r="AB13" s="98" t="n"/>
      <c r="AC13" s="98" t="n"/>
      <c r="AD13" s="98" t="n"/>
      <c r="AE13" s="98" t="n"/>
      <c r="AF13" s="98" t="n"/>
      <c r="AG13" s="98" t="n"/>
      <c r="AQ13" t="n">
        <v>0</v>
      </c>
      <c r="AT13" s="121" t="inlineStr">
        <is>
          <t>KAEK</t>
        </is>
      </c>
      <c r="AU13" s="128">
        <f>VLOOKUP(Üye_Yeni!$E$1, $AA$4:$AZ$2000, 9, 0)</f>
        <v/>
      </c>
      <c r="AW13" t="inlineStr">
        <is>
          <t>Çocuk Sağlığı ve Hastalıkları Anabilim Dalı</t>
        </is>
      </c>
    </row>
    <row r="14" ht="60" customHeight="1" s="221">
      <c r="A14" s="100" t="inlineStr">
        <is>
          <t>SBA 26/113</t>
        </is>
      </c>
      <c r="B14" s="100" t="inlineStr">
        <is>
          <t>Prof. Dr. Ayşe KİN İŞLER</t>
        </is>
      </c>
      <c r="C14" s="100" t="inlineStr">
        <is>
          <t>Hareket ve Antrenman Bilimleri Anabilim Dalı</t>
        </is>
      </c>
      <c r="D14" s="96" t="inlineStr">
        <is>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is>
      </c>
      <c r="E14" s="96" t="inlineStr">
        <is>
          <t>“Bilateral ve Unilateral Ön-Kondisyonlanma Protokollerinin Cimnastikçilerde Performans Asimetrileri Üzerine Etkisi”</t>
        </is>
      </c>
      <c r="F14" s="100" t="inlineStr">
        <is>
          <t>Doktora Tezi</t>
        </is>
      </c>
      <c r="G14" s="99" t="n">
        <v>46044</v>
      </c>
      <c r="H14" s="99" t="n">
        <v>46057</v>
      </c>
      <c r="I14" s="97" t="inlineStr">
        <is>
          <t>Prof. Dr. Ayşe Nurten AKARSU</t>
        </is>
      </c>
      <c r="J14" s="97" t="inlineStr">
        <is>
          <t>Prof. Dr. Nazmiye Ebru ORTAÇ ERSOY</t>
        </is>
      </c>
      <c r="K14" s="97" t="inlineStr">
        <is>
          <t>DÜZELTME</t>
        </is>
      </c>
      <c r="L14" s="97" t="inlineStr">
        <is>
          <t>ONAY</t>
        </is>
      </c>
      <c r="M14" s="97" t="n">
        <v>0</v>
      </c>
      <c r="N14" s="97" t="n">
        <v>0</v>
      </c>
      <c r="O14" s="97" t="inlineStr">
        <is>
          <t>ONAY</t>
        </is>
      </c>
      <c r="P14" s="104" t="n">
        <v>0</v>
      </c>
      <c r="R14" s="97" t="inlineStr">
        <is>
          <t>Prof. Dr. Ömür ÇELİKBIÇAK</t>
        </is>
      </c>
      <c r="S14" s="97" t="n">
        <v>1</v>
      </c>
      <c r="U14" s="97" t="inlineStr">
        <is>
          <t>Tıbbi Mikrobiyoloji Anabilim Dalı</t>
        </is>
      </c>
      <c r="V14" s="97" t="n">
        <v>1</v>
      </c>
      <c r="W14" s="97" t="inlineStr">
        <is>
          <t>Doç. Dr. Başak AKÇA</t>
        </is>
      </c>
      <c r="X14" s="98" t="n">
        <v>1</v>
      </c>
      <c r="Y14" s="97" t="inlineStr">
        <is>
          <t>Anatomi Anabilim Dalı</t>
        </is>
      </c>
      <c r="Z14" s="98" t="n">
        <v>7</v>
      </c>
      <c r="AA14" s="99" t="n"/>
      <c r="AB14" s="98" t="n"/>
      <c r="AC14" s="98" t="n"/>
      <c r="AD14" s="98" t="n"/>
      <c r="AE14" s="98" t="n"/>
      <c r="AF14" s="98" t="n"/>
      <c r="AG14" s="98" t="n"/>
      <c r="AT14" s="126" t="inlineStr">
        <is>
          <t>GÖRÜŞ</t>
        </is>
      </c>
      <c r="AU14" s="128">
        <f>VLOOKUP(Üye_Yeni!$E$1, $AA$4:$AZ$2000, 10, 0)</f>
        <v/>
      </c>
      <c r="AW14" t="inlineStr">
        <is>
          <t>Çocuk ve Ergen Ruh Sağlığı ve Hastalıkları Anabilim Dalı</t>
        </is>
      </c>
    </row>
    <row r="15" ht="60" customHeight="1" s="221">
      <c r="A15" s="100" t="inlineStr">
        <is>
          <t>SBA 26/116</t>
        </is>
      </c>
      <c r="B15" s="100" t="inlineStr">
        <is>
          <t>Doç. Dr. Ceren GÜNENÇ BEŞER</t>
        </is>
      </c>
      <c r="C15" s="100" t="inlineStr">
        <is>
          <t>Anatomi Anabilim Dalı</t>
        </is>
      </c>
      <c r="D15" s="96" t="inlineStr">
        <is>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is>
      </c>
      <c r="E15" s="96" t="inlineStr">
        <is>
          <t>“Arteria Mesenterica Superior ve Vena Mesenterica Superior'un Anatomik İlişkisi: Radyolojik Ölçümlerle Cerrahi Risk Açısından Değerlendirme”</t>
        </is>
      </c>
      <c r="F15" s="100" t="inlineStr">
        <is>
          <t>Doktora Tezi</t>
        </is>
      </c>
      <c r="G15" s="99" t="n">
        <v>46044</v>
      </c>
      <c r="H15" s="99" t="n">
        <v>46057</v>
      </c>
      <c r="I15" s="97" t="inlineStr">
        <is>
          <t>Prof. Dr. Ayşe Nurten AKARSU</t>
        </is>
      </c>
      <c r="J15" s="97" t="inlineStr">
        <is>
          <t>Doç. Dr. Burcu ERSÖZ ALAN</t>
        </is>
      </c>
      <c r="K15" s="97" t="inlineStr">
        <is>
          <t>ONAY</t>
        </is>
      </c>
      <c r="L15" s="97" t="n">
        <v>0</v>
      </c>
      <c r="M15" s="97" t="n">
        <v>0</v>
      </c>
      <c r="N15" s="97" t="n">
        <v>0</v>
      </c>
      <c r="O15" s="97" t="inlineStr">
        <is>
          <t>ONAY</t>
        </is>
      </c>
      <c r="P15" s="104" t="n">
        <v>0</v>
      </c>
      <c r="R15" s="97" t="inlineStr">
        <is>
          <t>Prof. Dr. Özgür UĞURLUOĞLU</t>
        </is>
      </c>
      <c r="S15" s="97" t="n">
        <v>2</v>
      </c>
      <c r="U15" s="97" t="inlineStr">
        <is>
          <t>Sosyal Pediatri Anabilim Dalı</t>
        </is>
      </c>
      <c r="V15" s="97" t="n">
        <v>1</v>
      </c>
      <c r="W15" s="97" t="inlineStr">
        <is>
          <t>Doç. Dr. Başak YALICI ARMAĞAN</t>
        </is>
      </c>
      <c r="X15" s="98" t="n">
        <v>3</v>
      </c>
      <c r="Y15" s="97" t="inlineStr">
        <is>
          <t>Kulak Burun Boğaz Anabilim Dalı</t>
        </is>
      </c>
      <c r="Z15" s="98" t="n">
        <v>7</v>
      </c>
      <c r="AA15" s="99" t="n"/>
      <c r="AB15" s="98" t="n"/>
      <c r="AC15" s="98" t="n"/>
      <c r="AD15" s="98" t="n"/>
      <c r="AE15" s="98" t="n"/>
      <c r="AF15" s="98" t="n"/>
      <c r="AG15" s="98" t="n"/>
      <c r="AT15" s="122" t="inlineStr">
        <is>
          <t>KAPSAM DIŞI</t>
        </is>
      </c>
      <c r="AU15" s="128">
        <f>VLOOKUP(Üye_Yeni!$E$1, $AA$4:$AZ$2000, 11, 0)</f>
        <v/>
      </c>
      <c r="AW15" t="inlineStr">
        <is>
          <t>Deri ve Zührevi Hastalıklar Anabilim Dalı</t>
        </is>
      </c>
    </row>
    <row r="16" ht="75" customHeight="1" s="221">
      <c r="A16" s="100" t="inlineStr">
        <is>
          <t>SBA 26/126</t>
        </is>
      </c>
      <c r="B16" s="100" t="inlineStr">
        <is>
          <t>Doç. Dr. Ceren ÖZKUL KOÇAK</t>
        </is>
      </c>
      <c r="C16" s="100" t="inlineStr">
        <is>
          <t>Farmasötik Mikrobiyoloji Anabilim Dalı</t>
        </is>
      </c>
      <c r="D16" s="96" t="inlineStr">
        <is>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is>
      </c>
      <c r="E16" s="96" t="inlineStr">
        <is>
          <t>“Kistik Fibrozis Hastalarından İzole Edilen Pseudomonas aeruginosa İzolatlarında Kolistin ve Tobramisinin Sub-inhibitör Düzeydeki Etkilerinin Karşılaştırmalı Transkriptomik ve Metabolomik Analizi”</t>
        </is>
      </c>
      <c r="F16" s="100" t="inlineStr">
        <is>
          <t>Doktora Tezi</t>
        </is>
      </c>
      <c r="G16" s="99" t="n">
        <v>46045</v>
      </c>
      <c r="H16" s="99" t="n">
        <v>46057</v>
      </c>
      <c r="I16" s="97" t="inlineStr">
        <is>
          <t>Doç. Dr. Kübra AYKAÇ</t>
        </is>
      </c>
      <c r="J16" s="97" t="inlineStr">
        <is>
          <t>Prof. Dr. Gözde GİRGİN</t>
        </is>
      </c>
      <c r="K16" s="97" t="inlineStr">
        <is>
          <t>DÜZELTME</t>
        </is>
      </c>
      <c r="L16" s="97" t="inlineStr">
        <is>
          <t>ONAY</t>
        </is>
      </c>
      <c r="M16" s="97" t="n">
        <v>0</v>
      </c>
      <c r="N16" s="97" t="n">
        <v>0</v>
      </c>
      <c r="O16" s="97" t="inlineStr">
        <is>
          <t>ONAY</t>
        </is>
      </c>
      <c r="P16" s="104" t="n">
        <v>0</v>
      </c>
      <c r="R16" s="97" t="inlineStr">
        <is>
          <t>Prof. Dr. Salih Kutay DEMİRKAN</t>
        </is>
      </c>
      <c r="S16" s="97" t="n">
        <v>4</v>
      </c>
      <c r="U16" s="97" t="inlineStr">
        <is>
          <t>Farmasötik Toksikoloji Anabilim Dalı</t>
        </is>
      </c>
      <c r="V16" s="97" t="n">
        <v>1</v>
      </c>
      <c r="W16" s="97" t="inlineStr">
        <is>
          <t>Doç. Dr. Bengisu AKARSU GÜVEN</t>
        </is>
      </c>
      <c r="X16" s="98" t="n">
        <v>1</v>
      </c>
      <c r="Y16" s="97" t="inlineStr">
        <is>
          <t>Ortodonti Anabilim Dalı</t>
        </is>
      </c>
      <c r="Z16" s="98" t="n">
        <v>7</v>
      </c>
      <c r="AA16" s="99" t="n"/>
      <c r="AB16" s="98" t="n"/>
      <c r="AC16" s="98" t="n"/>
      <c r="AD16" s="98" t="n"/>
      <c r="AE16" s="98" t="n"/>
      <c r="AF16" s="98" t="n"/>
      <c r="AG16" s="98" t="n"/>
      <c r="AT16" s="127" t="inlineStr">
        <is>
          <t>RET</t>
        </is>
      </c>
      <c r="AU16" s="128">
        <f>VLOOKUP(Üye_Yeni!$E$1, $AA$4:$AZ$2000, 12, 0)</f>
        <v/>
      </c>
      <c r="AW16" t="inlineStr">
        <is>
          <t>Endodonti Anabilim Dalı</t>
        </is>
      </c>
    </row>
    <row r="17" ht="45" customHeight="1" s="221">
      <c r="A17" s="100" t="inlineStr">
        <is>
          <t>SBA 26/127</t>
        </is>
      </c>
      <c r="B17" s="100" t="inlineStr">
        <is>
          <t>Prof. Dr. Oğuz IŞIK</t>
        </is>
      </c>
      <c r="C17" s="100" t="inlineStr">
        <is>
          <t>Sağlık Yönetimi Anabilim Dalı</t>
        </is>
      </c>
      <c r="D17" s="96" t="inlineStr">
        <is>
          <t>Üniversitemiz İktisadi ve İdari Bilimler Fakültesi Sağlık Yönetimi Anabilim Dalı öğretim üyelerinden Prof. Dr. Oğuz IŞIK’ın sorumlu araştırmacı olduğu, Arş. Gör. Hamza SIĞIRCI’nın doktora tezi olan,</t>
        </is>
      </c>
      <c r="E17" s="96" t="inlineStr">
        <is>
          <t>“Sağlık Hizmetlerinde Yalın Yönetim: Ağız ve Diş Sağlığı Merkezi Örneği”</t>
        </is>
      </c>
      <c r="F17" s="100" t="inlineStr">
        <is>
          <t>Doktora Tezi</t>
        </is>
      </c>
      <c r="G17" s="99" t="n">
        <v>46045</v>
      </c>
      <c r="H17" s="99" t="n">
        <v>46057</v>
      </c>
      <c r="I17" s="97" t="inlineStr">
        <is>
          <t>Prof. Dr. Ayşe Nurten AKARSU</t>
        </is>
      </c>
      <c r="J17" s="97" t="inlineStr">
        <is>
          <t>Prof. Dr. Gözde GİRGİN</t>
        </is>
      </c>
      <c r="K17" s="97" t="inlineStr">
        <is>
          <t>ONAY</t>
        </is>
      </c>
      <c r="L17" s="97" t="n">
        <v>0</v>
      </c>
      <c r="M17" s="97" t="n">
        <v>0</v>
      </c>
      <c r="N17" s="97" t="n">
        <v>0</v>
      </c>
      <c r="O17" s="97" t="inlineStr">
        <is>
          <t>ONAY</t>
        </is>
      </c>
      <c r="P17" s="104" t="n">
        <v>0</v>
      </c>
      <c r="R17" s="97" t="inlineStr">
        <is>
          <t>Prof. Dr. Sıddika Songül YALÇIN</t>
        </is>
      </c>
      <c r="S17" s="97" t="n">
        <v>3</v>
      </c>
      <c r="U17" s="97" t="inlineStr">
        <is>
          <t>Farmasötik Mikrobiyoloji Anabilim Dalı</t>
        </is>
      </c>
      <c r="V17" s="97" t="n">
        <v>1</v>
      </c>
      <c r="W17" s="97" t="inlineStr">
        <is>
          <t>Doç. Dr. Burcu ERSÖZ ALAN</t>
        </is>
      </c>
      <c r="X17" s="98" t="n">
        <v>1</v>
      </c>
      <c r="Y17" s="97" t="inlineStr">
        <is>
          <t>Deri ve Zührevi Hastalıklar Anabilim Dalı</t>
        </is>
      </c>
      <c r="Z17" s="98" t="n">
        <v>7</v>
      </c>
      <c r="AB17" s="98" t="n"/>
      <c r="AT17" s="123" t="inlineStr">
        <is>
          <t>GERİ ÇEKİLDİ</t>
        </is>
      </c>
      <c r="AU17" s="128">
        <f>VLOOKUP(Üye_Yeni!$E$1, $AA$4:$AZ$2000, 13, 0)</f>
        <v/>
      </c>
      <c r="AW17" t="inlineStr">
        <is>
          <t>Enfeksiyon Hastalıkları ve Klinik Mikrobiyoloji Anabilim Dalı</t>
        </is>
      </c>
    </row>
    <row r="18" ht="75" customHeight="1" s="221">
      <c r="A18" s="100" t="inlineStr">
        <is>
          <t>SBA 26/152</t>
        </is>
      </c>
      <c r="B18" s="100" t="inlineStr">
        <is>
          <t>Prof. Dr. Meltem Gülhan HALİL</t>
        </is>
      </c>
      <c r="C18" s="100" t="inlineStr">
        <is>
          <t>İç Hastalıkları Anabilim Dalı</t>
        </is>
      </c>
      <c r="D18" s="96" t="inlineStr">
        <is>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is>
      </c>
      <c r="E18" s="96" t="inlineStr">
        <is>
          <t>“Santral Paranteral Beslenme Kontrol Listesinin Kateter İlişkili Komplikasyonlara Etkisinin Değerlendirilmesi”</t>
        </is>
      </c>
      <c r="F18" s="100" t="inlineStr">
        <is>
          <t>Doktora Tezi</t>
        </is>
      </c>
      <c r="G18" s="99" t="n">
        <v>46058</v>
      </c>
      <c r="H18" s="99" t="n">
        <v>46070</v>
      </c>
      <c r="I18" s="97" t="inlineStr">
        <is>
          <t>Prof. Dr. Yavuz AYHAN</t>
        </is>
      </c>
      <c r="J18" s="97" t="inlineStr">
        <is>
          <t>Prof. Dr. Gözde GİRGİN</t>
        </is>
      </c>
      <c r="K18" s="97" t="inlineStr">
        <is>
          <t>GÖRÜŞ</t>
        </is>
      </c>
      <c r="L18" s="97" t="inlineStr">
        <is>
          <t>DÜZELTME</t>
        </is>
      </c>
      <c r="M18" s="97" t="n">
        <v>0</v>
      </c>
      <c r="N18" s="97" t="n">
        <v>0</v>
      </c>
      <c r="O18" s="97" t="inlineStr">
        <is>
          <t>DÜZELTME</t>
        </is>
      </c>
      <c r="P18" s="104" t="n">
        <v>0</v>
      </c>
      <c r="R18" s="97" t="inlineStr">
        <is>
          <t>Prof. Dr. Ülkü ÜNDEĞER BUCURGAT</t>
        </is>
      </c>
      <c r="S18" s="97" t="n">
        <v>1</v>
      </c>
      <c r="W18" s="97" t="inlineStr">
        <is>
          <t>Doç. Dr. Burcu HATİBOĞLU</t>
        </is>
      </c>
      <c r="X18" s="98" t="n">
        <v>1</v>
      </c>
      <c r="Y18" s="97" t="inlineStr">
        <is>
          <t>Kardiyoloji Anabilim Dalı</t>
        </is>
      </c>
      <c r="Z18" s="98" t="n">
        <v>6</v>
      </c>
      <c r="AB18" s="98" t="n"/>
      <c r="AW18" t="inlineStr">
        <is>
          <t>Farmasötik Mikrobiyoloji Anabilim Dalı</t>
        </is>
      </c>
    </row>
    <row r="19" ht="60" customHeight="1" s="221">
      <c r="A19" s="100" t="inlineStr">
        <is>
          <t>SBA 26/154</t>
        </is>
      </c>
      <c r="B19" s="100" t="inlineStr">
        <is>
          <t>Doç. Dr. Burcu HATİBOĞLU</t>
        </is>
      </c>
      <c r="C19" s="100" t="inlineStr">
        <is>
          <t>Sosyal Hizmet Anabilim Dalı</t>
        </is>
      </c>
      <c r="D19" s="96" t="inlineStr">
        <is>
          <t>Üniversitemiz İktisadi ve İdari Bilimler Fakültesi Sosyal Hizmet Anabilim Dalı öğretim üyelerinden Doç. Dr. Burcu HATİBOĞLU’nun sorumlu araştırmacı olduğu, Semra GÜNDÜZ’ün doktora tezi olan,</t>
        </is>
      </c>
      <c r="E19" s="96" t="inlineStr">
        <is>
          <t>Toplumsal Cinsiyet ve Hegernonik Erkeklik Bağlamında Alkol Kullanım Bozukluğu olan Erkeklerin Deneyimleri: Adsız Alkolikler (AA) Örneği"</t>
        </is>
      </c>
      <c r="F19" s="100" t="inlineStr">
        <is>
          <t>Doktora Tezi</t>
        </is>
      </c>
      <c r="G19" s="99" t="n">
        <v>46058</v>
      </c>
      <c r="H19" s="99" t="n">
        <v>46070</v>
      </c>
      <c r="I19" s="97" t="inlineStr">
        <is>
          <t>Dr. Öğr. Üyesi Müge DEMİR</t>
        </is>
      </c>
      <c r="J19" s="97" t="inlineStr">
        <is>
          <t>Doç. Dr. Burcu ERSÖZ ALAN</t>
        </is>
      </c>
      <c r="K19" s="97" t="inlineStr">
        <is>
          <t>ONAY</t>
        </is>
      </c>
      <c r="L19" s="97" t="n">
        <v>0</v>
      </c>
      <c r="M19" s="97" t="n">
        <v>0</v>
      </c>
      <c r="N19" s="97" t="n">
        <v>0</v>
      </c>
      <c r="O19" s="97" t="inlineStr">
        <is>
          <t>ONAY</t>
        </is>
      </c>
      <c r="P19" s="104" t="n">
        <v>0</v>
      </c>
      <c r="R19" s="97" t="inlineStr">
        <is>
          <t>Prof. Dr. Yakut AKYÖN YILMAZ</t>
        </is>
      </c>
      <c r="S19" s="97" t="n">
        <v>1</v>
      </c>
      <c r="W19" s="97" t="inlineStr">
        <is>
          <t>Doç. Dr. Cem ÇÖTELİ</t>
        </is>
      </c>
      <c r="X19" s="98" t="n">
        <v>1</v>
      </c>
      <c r="Y19" s="97" t="inlineStr">
        <is>
          <t>Çocuk Cerrahisi Anabilim Dalı</t>
        </is>
      </c>
      <c r="Z19" s="98" t="n">
        <v>6</v>
      </c>
      <c r="AB19" s="98" t="n"/>
      <c r="AW19" t="inlineStr">
        <is>
          <t>Farmasötik Toksikoloji Anabilim Dalı</t>
        </is>
      </c>
    </row>
    <row r="20" ht="75" customHeight="1" s="221">
      <c r="A20" s="100" t="inlineStr">
        <is>
          <t>SBA 26/157</t>
        </is>
      </c>
      <c r="B20" s="100" t="inlineStr">
        <is>
          <t>Prof. Dr. Hatice DOĞAN BUZOĞLU</t>
        </is>
      </c>
      <c r="C20" s="100" t="inlineStr">
        <is>
          <t>Endodonti Anabilim Dalı</t>
        </is>
      </c>
      <c r="D20" s="96" t="inlineStr">
        <is>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is>
      </c>
      <c r="E20" s="96" t="inlineStr">
        <is>
          <t>“Lipit Mediyatör Maresin 1'in İnflamasyon Ortamında Dental Pulpa Kök Hücreleri Üzerine Etkisi”</t>
        </is>
      </c>
      <c r="F20" s="100" t="inlineStr">
        <is>
          <t>Doktora Tezi</t>
        </is>
      </c>
      <c r="G20" s="99" t="n">
        <v>46058</v>
      </c>
      <c r="H20" s="99" t="n">
        <v>46070</v>
      </c>
      <c r="I20" s="97" t="inlineStr">
        <is>
          <t>Prof. Dr. M. Özgür UYANIK</t>
        </is>
      </c>
      <c r="J20" s="97" t="inlineStr">
        <is>
          <t>Doç. Dr. Kübra AYKAÇ</t>
        </is>
      </c>
      <c r="K20" s="97" t="inlineStr">
        <is>
          <t>ONAY</t>
        </is>
      </c>
      <c r="L20" s="97" t="n">
        <v>0</v>
      </c>
      <c r="M20" s="97" t="n">
        <v>0</v>
      </c>
      <c r="N20" s="97" t="n">
        <v>0</v>
      </c>
      <c r="O20" s="97" t="inlineStr">
        <is>
          <t>ONAY</t>
        </is>
      </c>
      <c r="P20" s="104" t="n">
        <v>0</v>
      </c>
      <c r="W20" s="97" t="inlineStr">
        <is>
          <t>Doç. Dr. Ceren GÜNENÇ BEŞER</t>
        </is>
      </c>
      <c r="X20" s="98" t="n">
        <v>2</v>
      </c>
      <c r="Y20" s="97" t="inlineStr">
        <is>
          <t>Anesteziyoloji ve Reanimasyon Anabilim Dalı</t>
        </is>
      </c>
      <c r="Z20" s="98" t="n">
        <v>5</v>
      </c>
      <c r="AB20" s="98" t="n"/>
      <c r="AW20" t="inlineStr">
        <is>
          <t>Fizikokimya Anabilim Dalı</t>
        </is>
      </c>
    </row>
    <row r="21" ht="75" customHeight="1" s="221">
      <c r="A21" s="100" t="inlineStr">
        <is>
          <t>SBA 26/206</t>
        </is>
      </c>
      <c r="B21" s="100" t="inlineStr">
        <is>
          <t>Prof. Dr. Özgür UĞURLUOĞLU</t>
        </is>
      </c>
      <c r="C21" s="100" t="inlineStr">
        <is>
          <t>Sağlık Yönetimi Anabilim Dalı</t>
        </is>
      </c>
      <c r="D21" s="96" t="inlineStr">
        <is>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is>
      </c>
      <c r="E21" s="96" t="inlineStr">
        <is>
          <t>“Koroner Arter Bypass Greft Cerrahisinde Hastanede Yatış Süresini Etkileyen Faktörlerin Makine Öğrenmesi Modelleri ile Analizi”</t>
        </is>
      </c>
      <c r="F21" s="100" t="inlineStr">
        <is>
          <t>Doktora Tezi</t>
        </is>
      </c>
      <c r="G21" s="99" t="n">
        <v>46072</v>
      </c>
      <c r="H21" s="99" t="n">
        <v>46084</v>
      </c>
      <c r="I21" s="97" t="inlineStr">
        <is>
          <t>Doç. Dr. Ekim GÜMELER</t>
        </is>
      </c>
      <c r="J21" s="97" t="inlineStr">
        <is>
          <t>Doç. Dr. Tolga ÇAKMAK</t>
        </is>
      </c>
      <c r="K21" s="97" t="inlineStr">
        <is>
          <t>GÖRÜŞ</t>
        </is>
      </c>
      <c r="L21" s="97" t="inlineStr">
        <is>
          <t>ONAY</t>
        </is>
      </c>
      <c r="M21" s="97" t="n">
        <v>0</v>
      </c>
      <c r="N21" s="97" t="n">
        <v>0</v>
      </c>
      <c r="O21" s="97" t="inlineStr">
        <is>
          <t>ONAY</t>
        </is>
      </c>
      <c r="P21" s="104" t="n">
        <v>0</v>
      </c>
      <c r="W21" s="97" t="inlineStr">
        <is>
          <t>Doç. Dr. Ceren ÖZKUL KOÇAK</t>
        </is>
      </c>
      <c r="X21" s="98" t="n">
        <v>1</v>
      </c>
      <c r="Y21" s="97" t="inlineStr">
        <is>
          <t>Sağlık Yönetimi Anabilim Dalı</t>
        </is>
      </c>
      <c r="Z21" s="98" t="n">
        <v>5</v>
      </c>
      <c r="AB21" s="98" t="n"/>
      <c r="AW21" t="inlineStr">
        <is>
          <t>Fiziksel Tıp ve Rehabilitasyon Anabilim Dalı</t>
        </is>
      </c>
    </row>
    <row r="22" ht="60" customHeight="1" s="221">
      <c r="A22" s="100" t="inlineStr">
        <is>
          <t>SBA 26/256</t>
        </is>
      </c>
      <c r="B22" s="100" t="inlineStr">
        <is>
          <t>Prof. Dr. Salih Kutay DEMİRKAN</t>
        </is>
      </c>
      <c r="C22" s="100" t="inlineStr">
        <is>
          <t>Klinik Eczacılık Anabilim Dalı</t>
        </is>
      </c>
      <c r="D22" s="96" t="inlineStr">
        <is>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is>
      </c>
      <c r="E22" s="96" t="inlineStr">
        <is>
          <t>“Yaşlı Hastalarda Kulanılan İlaçlar ile Sarkopeni Arasındaki İlişkinin Değerlendirilmesi"</t>
        </is>
      </c>
      <c r="F22" s="100" t="inlineStr">
        <is>
          <t>Doktora Tezi</t>
        </is>
      </c>
      <c r="G22" s="99" t="n">
        <v>46090</v>
      </c>
      <c r="H22" s="99" t="n">
        <v>46098</v>
      </c>
      <c r="I22" s="97" t="inlineStr">
        <is>
          <t>Prof. Dr. Ayşe Nurten AKARSU</t>
        </is>
      </c>
      <c r="J22" s="97" t="inlineStr">
        <is>
          <t>Prof. Dr. Gözde GİRGİN</t>
        </is>
      </c>
      <c r="K22" s="97" t="inlineStr">
        <is>
          <t>DÜZELTME</t>
        </is>
      </c>
      <c r="L22" s="97" t="n">
        <v>0</v>
      </c>
      <c r="M22" s="97" t="n">
        <v>0</v>
      </c>
      <c r="N22" s="97" t="n">
        <v>0</v>
      </c>
      <c r="O22" s="97" t="n">
        <v>0</v>
      </c>
      <c r="P22" s="104" t="n">
        <v>0</v>
      </c>
      <c r="W22" s="97" t="inlineStr">
        <is>
          <t>Doç. Dr. Derman BAŞARAN</t>
        </is>
      </c>
      <c r="X22" s="98" t="n">
        <v>1</v>
      </c>
      <c r="Y22" s="97" t="inlineStr">
        <is>
          <t>Ağız, Diş ve Çene Cerrahisi Anabilim Dalı</t>
        </is>
      </c>
      <c r="Z22" s="98" t="n">
        <v>5</v>
      </c>
      <c r="AB22" s="98" t="n"/>
      <c r="AW22" t="inlineStr">
        <is>
          <t>Fizyoloji Anabilim Dalı</t>
        </is>
      </c>
    </row>
    <row r="23" ht="45" customHeight="1" s="221">
      <c r="A23" s="100" t="inlineStr">
        <is>
          <t>SBA 26/266</t>
        </is>
      </c>
      <c r="B23" s="100" t="inlineStr">
        <is>
          <t>Prof. Dr. Oğuz IŞIK</t>
        </is>
      </c>
      <c r="C23" s="100" t="inlineStr">
        <is>
          <t>Sağlık Yönetimi Anabilim Dalı</t>
        </is>
      </c>
      <c r="D23" s="96" t="inlineStr">
        <is>
          <t>Üniversitemiz İktisadi ve İdari Bilimler Fakültesi Sağlık Yönetimi Anabilim Dalı öğretim üyelerinden Prof. Dr. Oğuz IŞIK’ın sorumlu araştırmacı olduğu, Öğr. Gör. Funda YILDIRIM’ın doktora tezi olan,</t>
        </is>
      </c>
      <c r="E23" s="96" t="inlineStr">
        <is>
          <t>“Normal Doğum Politikaları ve Kadınların Tutumlarının Doğum Tercihi ve Postpartum Yaşam Kalitesi Üzerindeki Etkisi”</t>
        </is>
      </c>
      <c r="F23" s="100" t="inlineStr">
        <is>
          <t>Doktora Tezi</t>
        </is>
      </c>
      <c r="G23" s="99" t="n">
        <v>46090</v>
      </c>
      <c r="H23" s="99" t="n">
        <v>46098</v>
      </c>
      <c r="I23" s="97" t="inlineStr">
        <is>
          <t>Doç. Dr. Tolga ÇAKMAK</t>
        </is>
      </c>
      <c r="J23" s="97" t="inlineStr">
        <is>
          <t>Doç. Dr. Burcu ERSÖZ ALAN</t>
        </is>
      </c>
      <c r="K23" s="97" t="inlineStr">
        <is>
          <t>DÜZELTME</t>
        </is>
      </c>
      <c r="L23" s="97" t="n">
        <v>0</v>
      </c>
      <c r="M23" s="97" t="n">
        <v>0</v>
      </c>
      <c r="N23" s="97" t="n">
        <v>0</v>
      </c>
      <c r="O23" s="97" t="n">
        <v>0</v>
      </c>
      <c r="P23" s="104" t="n">
        <v>0</v>
      </c>
      <c r="W23" s="97" t="inlineStr">
        <is>
          <t>Doç. Dr. Dilek ÜNAL</t>
        </is>
      </c>
      <c r="X23" s="98" t="n">
        <v>2</v>
      </c>
      <c r="Y23" s="97" t="inlineStr">
        <is>
          <t>Nükleer Tıp Anabilim Dalı</t>
        </is>
      </c>
      <c r="Z23" s="98" t="n">
        <v>5</v>
      </c>
      <c r="AB23" s="98" t="n"/>
      <c r="AW23" t="inlineStr">
        <is>
          <t>Gıda Bilimleri Anabilim Dalı</t>
        </is>
      </c>
    </row>
    <row r="24" ht="60" customHeight="1" s="221">
      <c r="A24" s="100" t="inlineStr">
        <is>
          <t>SBA 26/280</t>
        </is>
      </c>
      <c r="B24" s="100" t="inlineStr">
        <is>
          <t>Prof. Dr. Özgür UĞURLUOĞLU</t>
        </is>
      </c>
      <c r="C24" s="100" t="inlineStr">
        <is>
          <t>Sağlık Yönetimi Anabilim Dalı</t>
        </is>
      </c>
      <c r="D24" s="96" t="inlineStr">
        <is>
          <t>Üniversitemiz İktisadi ve İdari Bilimler Fakültesi Sağlık Yönetimi Anabilim Dalı öğretim üyelerinden Prof. Dr. Özgür UĞURLUOĞLU’nun sorumlu araştırmacı olduğu, Doç. Dr. Ahmet KARAYİĞİT, Hem. Gamze CEBECİ ve Arş. Gör. Kübra SÜTCÜ’nün doktora tezi olan,</t>
        </is>
      </c>
      <c r="E24" s="96" t="inlineStr">
        <is>
          <t>“Gastrektomi Cerrahisinde ERAS Protokolüne Uyumun Postoperatif Sonuçlara Etkisi”</t>
        </is>
      </c>
      <c r="F24" s="100" t="inlineStr">
        <is>
          <t>Doktora Tezi</t>
        </is>
      </c>
      <c r="G24" s="99" t="n">
        <v>46094</v>
      </c>
      <c r="H24" s="99" t="n">
        <v>46112</v>
      </c>
      <c r="I24" s="97" t="n">
        <v>0</v>
      </c>
      <c r="J24" s="97" t="n">
        <v>0</v>
      </c>
      <c r="K24" s="97" t="n">
        <v>0</v>
      </c>
      <c r="L24" s="97" t="n">
        <v>0</v>
      </c>
      <c r="M24" s="97" t="n">
        <v>0</v>
      </c>
      <c r="N24" s="97" t="n">
        <v>0</v>
      </c>
      <c r="O24" s="97" t="n">
        <v>0</v>
      </c>
      <c r="P24" s="104" t="n">
        <v>0</v>
      </c>
      <c r="W24" s="97" t="inlineStr">
        <is>
          <t>Doç. Dr. Duygu AYHAN BAŞER</t>
        </is>
      </c>
      <c r="X24" s="98" t="n">
        <v>2</v>
      </c>
      <c r="Y24" s="97" t="inlineStr">
        <is>
          <t>Fiziksel Tıp ve Rehabilitasyon Anabilim Dalı</t>
        </is>
      </c>
      <c r="Z24" s="98" t="n">
        <v>4</v>
      </c>
      <c r="AB24" s="98" t="n"/>
      <c r="AW24" t="inlineStr">
        <is>
          <t>Göğüs Cerrahisi Anabilim Dalı</t>
        </is>
      </c>
    </row>
    <row r="25">
      <c r="A25" s="100" t="n"/>
      <c r="B25" s="100" t="n"/>
      <c r="C25" s="100" t="n"/>
      <c r="D25" s="96" t="n"/>
      <c r="E25" s="96" t="n"/>
      <c r="F25" s="100" t="n"/>
      <c r="I25" s="97" t="n"/>
      <c r="J25" s="97" t="n"/>
      <c r="K25" s="97" t="n"/>
      <c r="L25" s="97" t="n"/>
      <c r="M25" s="97" t="n"/>
      <c r="N25" s="97" t="n"/>
      <c r="O25" s="97" t="n"/>
      <c r="P25" s="104" t="n"/>
      <c r="W25" s="97" t="inlineStr">
        <is>
          <t>Doç. Dr. Duygu GÜLSEREN</t>
        </is>
      </c>
      <c r="X25" s="98" t="n">
        <v>2</v>
      </c>
      <c r="Y25" s="97" t="inlineStr">
        <is>
          <t>Üroloji Anabilim Dalı</t>
        </is>
      </c>
      <c r="Z25" s="98" t="n">
        <v>4</v>
      </c>
      <c r="AB25" s="98" t="n"/>
      <c r="AW25" t="inlineStr">
        <is>
          <t>Göğüs Hastalıkları Anabilim Dalı</t>
        </is>
      </c>
    </row>
    <row r="26">
      <c r="A26" s="100" t="n"/>
      <c r="B26" s="100" t="n"/>
      <c r="C26" s="100" t="n"/>
      <c r="D26" s="96" t="n"/>
      <c r="E26" s="96" t="n"/>
      <c r="F26" s="100" t="n"/>
      <c r="I26" s="97" t="n"/>
      <c r="J26" s="97" t="n"/>
      <c r="K26" s="97" t="n"/>
      <c r="L26" s="97" t="n"/>
      <c r="M26" s="97" t="n"/>
      <c r="N26" s="97" t="n"/>
      <c r="O26" s="97" t="n"/>
      <c r="P26" s="104" t="n"/>
      <c r="W26" s="97" t="inlineStr">
        <is>
          <t>Doç. Dr. Ekim GÜMELER</t>
        </is>
      </c>
      <c r="X26" s="98" t="n">
        <v>1</v>
      </c>
      <c r="Y26" s="97" t="inlineStr">
        <is>
          <t>Protetik Diş Tedavisi Anabilim Dalı</t>
        </is>
      </c>
      <c r="Z26" s="98" t="n">
        <v>4</v>
      </c>
      <c r="AB26" s="98" t="n"/>
      <c r="AW26" t="inlineStr">
        <is>
          <t>Göz Hastalıkları Anabilim Dalı</t>
        </is>
      </c>
    </row>
    <row r="27">
      <c r="A27" s="100" t="n"/>
      <c r="B27" s="100" t="n"/>
      <c r="C27" s="100" t="n"/>
      <c r="D27" s="96" t="n"/>
      <c r="E27" s="96" t="n"/>
      <c r="F27" s="100" t="n"/>
      <c r="I27" s="97" t="n"/>
      <c r="J27" s="97" t="n"/>
      <c r="K27" s="97" t="n"/>
      <c r="L27" s="97" t="n"/>
      <c r="M27" s="97" t="n"/>
      <c r="N27" s="97" t="n"/>
      <c r="O27" s="97" t="n"/>
      <c r="P27" s="104" t="n"/>
      <c r="W27" s="97" t="inlineStr">
        <is>
          <t>Doç. Dr. Emel ISIYEL</t>
        </is>
      </c>
      <c r="X27" s="98" t="n">
        <v>1</v>
      </c>
      <c r="Y27" s="97" t="inlineStr">
        <is>
          <t>Periodontoloji Anabilim Dalı</t>
        </is>
      </c>
      <c r="Z27" s="98" t="n">
        <v>4</v>
      </c>
      <c r="AB27" s="98" t="n"/>
      <c r="AW27" t="inlineStr">
        <is>
          <t>Gülhane Sağlık Bilimleri Üniversitesi
Hemşirelik Fakültesi
Doğum ve Kadın Hastalıkları Hemşireliği Anabilim Dalı</t>
        </is>
      </c>
    </row>
    <row r="28">
      <c r="A28" s="100" t="n"/>
      <c r="B28" s="100" t="n"/>
      <c r="C28" s="100" t="n"/>
      <c r="D28" s="96" t="n"/>
      <c r="E28" s="96" t="n"/>
      <c r="F28" s="100" t="n"/>
      <c r="I28" s="97" t="n"/>
      <c r="J28" s="97" t="n"/>
      <c r="K28" s="97" t="n"/>
      <c r="L28" s="97" t="n"/>
      <c r="M28" s="97" t="n"/>
      <c r="N28" s="97" t="n"/>
      <c r="O28" s="97" t="n"/>
      <c r="P28" s="104" t="n"/>
      <c r="W28" s="97" t="inlineStr">
        <is>
          <t>Doç. Dr. Emel Tuğba ATAMAN DURUEL</t>
        </is>
      </c>
      <c r="X28" s="98" t="n">
        <v>1</v>
      </c>
      <c r="Y28" s="97" t="inlineStr">
        <is>
          <t>Aile Hekimliği Anabilim Dalı</t>
        </is>
      </c>
      <c r="Z28" s="98" t="n">
        <v>4</v>
      </c>
      <c r="AB28" s="98" t="n"/>
      <c r="AW28" t="inlineStr">
        <is>
          <t>Halk Sağlığı Anabilim Dalı</t>
        </is>
      </c>
    </row>
    <row r="29">
      <c r="A29" s="100" t="n"/>
      <c r="B29" s="100" t="n"/>
      <c r="C29" s="100" t="n"/>
      <c r="D29" s="96" t="n"/>
      <c r="E29" s="96" t="n"/>
      <c r="F29" s="100" t="n"/>
      <c r="I29" s="97" t="n"/>
      <c r="J29" s="97" t="n"/>
      <c r="K29" s="97" t="n"/>
      <c r="L29" s="97" t="n"/>
      <c r="M29" s="97" t="n"/>
      <c r="N29" s="97" t="n"/>
      <c r="O29" s="97" t="n"/>
      <c r="P29" s="104" t="n"/>
      <c r="W29" s="97" t="inlineStr">
        <is>
          <t>Doç. Dr. Erdal SAĞ</t>
        </is>
      </c>
      <c r="X29" s="98" t="n">
        <v>1</v>
      </c>
      <c r="Y29" s="97" t="inlineStr">
        <is>
          <t>Endodonti Anabilim Dalı</t>
        </is>
      </c>
      <c r="Z29" s="98" t="n">
        <v>3</v>
      </c>
      <c r="AB29" s="98" t="n"/>
      <c r="AW29" t="inlineStr">
        <is>
          <t>Hareket ve Antrenman Bilimleri Anabilim Dalı</t>
        </is>
      </c>
    </row>
    <row r="30">
      <c r="A30" s="100" t="n"/>
      <c r="B30" s="100" t="n"/>
      <c r="C30" s="100" t="n"/>
      <c r="D30" s="96" t="n"/>
      <c r="E30" s="96" t="n"/>
      <c r="F30" s="100" t="n"/>
      <c r="I30" s="97" t="n"/>
      <c r="J30" s="97" t="n"/>
      <c r="K30" s="97" t="n"/>
      <c r="L30" s="97" t="n"/>
      <c r="M30" s="97" t="n"/>
      <c r="N30" s="97" t="n"/>
      <c r="O30" s="97" t="n"/>
      <c r="P30" s="104" t="n"/>
      <c r="W30" s="97" t="inlineStr">
        <is>
          <t>Doç. Dr. Erdem FADILOĞLU</t>
        </is>
      </c>
      <c r="X30" s="98" t="n">
        <v>2</v>
      </c>
      <c r="Y30" s="97" t="inlineStr">
        <is>
          <t>Histoloji ve Embriyoloji Anabilim Dalı</t>
        </is>
      </c>
      <c r="Z30" s="98" t="n">
        <v>3</v>
      </c>
      <c r="AB30" s="98" t="n"/>
      <c r="AW30" t="inlineStr">
        <is>
          <t>Histoloji ve Embriyoloji Anabilim Dalı</t>
        </is>
      </c>
    </row>
    <row r="31">
      <c r="A31" s="100" t="n"/>
      <c r="B31" s="100" t="n"/>
      <c r="C31" s="100" t="n"/>
      <c r="D31" s="96" t="n"/>
      <c r="E31" s="96" t="n"/>
      <c r="F31" s="100" t="n"/>
      <c r="I31" s="97" t="n"/>
      <c r="J31" s="97" t="n"/>
      <c r="K31" s="97" t="n"/>
      <c r="L31" s="97" t="n"/>
      <c r="M31" s="97" t="n"/>
      <c r="N31" s="97" t="n"/>
      <c r="O31" s="97" t="n"/>
      <c r="P31" s="104" t="n"/>
      <c r="W31" s="97" t="inlineStr">
        <is>
          <t>Doç. Dr. Ezgi ATİK</t>
        </is>
      </c>
      <c r="X31" s="98" t="n">
        <v>3</v>
      </c>
      <c r="Y31" s="97" t="inlineStr">
        <is>
          <t>Spor Hekimliği Anabilim Dalı</t>
        </is>
      </c>
      <c r="Z31" s="98" t="n">
        <v>3</v>
      </c>
      <c r="AB31" s="98" t="n"/>
      <c r="AW31" t="inlineStr">
        <is>
          <t>İç Hastalıkları Anabilim Dalı</t>
        </is>
      </c>
    </row>
    <row r="32">
      <c r="A32" s="100" t="n"/>
      <c r="B32" s="100" t="n"/>
      <c r="C32" s="100" t="n"/>
      <c r="D32" s="96" t="n"/>
      <c r="E32" s="96" t="n"/>
      <c r="F32" s="100" t="n"/>
      <c r="I32" s="97" t="n"/>
      <c r="J32" s="97" t="n"/>
      <c r="K32" s="97" t="n"/>
      <c r="L32" s="97" t="n"/>
      <c r="M32" s="97" t="n"/>
      <c r="N32" s="97" t="n"/>
      <c r="O32" s="97" t="n"/>
      <c r="P32" s="104" t="n"/>
      <c r="W32" s="97" t="inlineStr">
        <is>
          <t>Doç. Dr. Fatma Gonca ELDEM</t>
        </is>
      </c>
      <c r="X32" s="98" t="n">
        <v>1</v>
      </c>
      <c r="Y32" s="97" t="inlineStr">
        <is>
          <t>Göğüs Cerrahisi Anabilim Dalı</t>
        </is>
      </c>
      <c r="Z32" s="98" t="n">
        <v>3</v>
      </c>
      <c r="AB32" s="98" t="n"/>
      <c r="AW32" t="inlineStr">
        <is>
          <t>Kadın Hastalıkları ve Doğum Anabilim Dalı</t>
        </is>
      </c>
    </row>
    <row r="33">
      <c r="A33" s="100" t="n"/>
      <c r="B33" s="100" t="n"/>
      <c r="C33" s="100" t="n"/>
      <c r="D33" s="96" t="n"/>
      <c r="E33" s="96" t="n"/>
      <c r="F33" s="100" t="n"/>
      <c r="I33" s="97" t="n"/>
      <c r="J33" s="97" t="n"/>
      <c r="K33" s="97" t="n"/>
      <c r="L33" s="97" t="n"/>
      <c r="M33" s="97" t="n"/>
      <c r="N33" s="97" t="n"/>
      <c r="O33" s="97" t="n"/>
      <c r="P33" s="104" t="n"/>
      <c r="W33" s="97" t="inlineStr">
        <is>
          <t>Doç. Dr. Gamze ATAY</t>
        </is>
      </c>
      <c r="X33" s="98" t="n">
        <v>1</v>
      </c>
      <c r="Y33" s="97" t="inlineStr">
        <is>
          <t>Halk Sağlığı Anabilim Dalı</t>
        </is>
      </c>
      <c r="Z33" s="98" t="n">
        <v>3</v>
      </c>
      <c r="AB33" s="98" t="n"/>
      <c r="AW33" t="inlineStr">
        <is>
          <t>Kardiyoloji Anabilim Dalı</t>
        </is>
      </c>
    </row>
    <row r="34">
      <c r="A34" s="100" t="n"/>
      <c r="B34" s="100" t="n"/>
      <c r="C34" s="100" t="n"/>
      <c r="D34" s="96" t="n"/>
      <c r="E34" s="96" t="n"/>
      <c r="F34" s="100" t="n"/>
      <c r="I34" s="97" t="n"/>
      <c r="J34" s="97" t="n"/>
      <c r="K34" s="97" t="n"/>
      <c r="L34" s="97" t="n"/>
      <c r="M34" s="97" t="n"/>
      <c r="N34" s="97" t="n"/>
      <c r="O34" s="97" t="n"/>
      <c r="P34" s="104" t="n"/>
      <c r="W34" s="97" t="inlineStr">
        <is>
          <t>Doç. Dr. Gamze DURHAN</t>
        </is>
      </c>
      <c r="X34" s="98" t="n">
        <v>3</v>
      </c>
      <c r="Y34" s="97" t="inlineStr">
        <is>
          <t>Ruh Sağlığı ve Hastalıkları Anabilim Dalı</t>
        </is>
      </c>
      <c r="Z34" s="98" t="n">
        <v>3</v>
      </c>
      <c r="AB34" s="98" t="n"/>
      <c r="AW34" t="inlineStr">
        <is>
          <t>Klinik Eczacılık Anabilim Dalı</t>
        </is>
      </c>
    </row>
    <row r="35">
      <c r="A35" s="100" t="n"/>
      <c r="B35" s="100" t="n"/>
      <c r="C35" s="100" t="n"/>
      <c r="D35" s="96" t="n"/>
      <c r="E35" s="96" t="n"/>
      <c r="F35" s="100" t="n"/>
      <c r="I35" s="97" t="n"/>
      <c r="J35" s="97" t="n"/>
      <c r="K35" s="97" t="n"/>
      <c r="L35" s="97" t="n"/>
      <c r="M35" s="97" t="n"/>
      <c r="N35" s="97" t="n"/>
      <c r="O35" s="97" t="n"/>
      <c r="P35" s="104" t="n"/>
      <c r="W35" s="97" t="inlineStr">
        <is>
          <t>Doç. Dr. Gölşah KÖK</t>
        </is>
      </c>
      <c r="X35" s="98" t="n">
        <v>1</v>
      </c>
      <c r="Y35" s="97" t="inlineStr">
        <is>
          <t>Ağız, Diş ve Çene Radyolojisi Anabilim Dalı</t>
        </is>
      </c>
      <c r="Z35" s="98" t="n">
        <v>3</v>
      </c>
      <c r="AB35" s="98" t="n"/>
      <c r="AW35" t="inlineStr">
        <is>
          <t>Kök Hücre Bilimleri Anabilim Dalı</t>
        </is>
      </c>
    </row>
    <row r="36">
      <c r="A36" s="100" t="n"/>
      <c r="B36" s="100" t="n"/>
      <c r="C36" s="100" t="n"/>
      <c r="D36" s="96" t="n"/>
      <c r="E36" s="96" t="n"/>
      <c r="F36" s="100" t="n"/>
      <c r="I36" s="97" t="n"/>
      <c r="J36" s="97" t="n"/>
      <c r="K36" s="97" t="n"/>
      <c r="L36" s="97" t="n"/>
      <c r="M36" s="97" t="n"/>
      <c r="N36" s="97" t="n"/>
      <c r="O36" s="97" t="n"/>
      <c r="P36" s="104" t="n"/>
      <c r="W36" s="97" t="inlineStr">
        <is>
          <t>Doç. Dr. Hacı Hasan YETER</t>
        </is>
      </c>
      <c r="X36" s="98" t="n">
        <v>1</v>
      </c>
      <c r="Y36" s="97" t="inlineStr">
        <is>
          <t>Sosyal Hizmet Anabilim Dalı</t>
        </is>
      </c>
      <c r="Z36" s="98" t="n">
        <v>3</v>
      </c>
      <c r="AB36" s="98" t="n"/>
      <c r="AW36" t="inlineStr">
        <is>
          <t>Kulak Burun Boğaz Anabilim Dalı</t>
        </is>
      </c>
    </row>
    <row r="37">
      <c r="A37" s="100" t="n"/>
      <c r="B37" s="100" t="n"/>
      <c r="C37" s="100" t="n"/>
      <c r="D37" s="96" t="n"/>
      <c r="E37" s="96" t="n"/>
      <c r="F37" s="100" t="n"/>
      <c r="I37" s="97" t="n"/>
      <c r="J37" s="97" t="n"/>
      <c r="K37" s="97" t="n"/>
      <c r="L37" s="97" t="n"/>
      <c r="M37" s="97" t="n"/>
      <c r="N37" s="97" t="n"/>
      <c r="O37" s="97" t="n"/>
      <c r="P37" s="104" t="n"/>
      <c r="W37" s="97" t="inlineStr">
        <is>
          <t>Doç. Dr. Hande GÖRÜCÜ COŞKUNER</t>
        </is>
      </c>
      <c r="X37" s="98" t="n">
        <v>2</v>
      </c>
      <c r="Y37" s="97" t="inlineStr">
        <is>
          <t>Hareket ve Antrenman Bilimleri Anabilim Dalı</t>
        </is>
      </c>
      <c r="Z37" s="98" t="n">
        <v>2</v>
      </c>
      <c r="AB37" s="98" t="n"/>
      <c r="AW37" t="inlineStr">
        <is>
          <t>Lokman Hekim Üniversitesi
Sağlık Hizmetleri Meslek Yüksekokulu</t>
        </is>
      </c>
    </row>
    <row r="38">
      <c r="A38" s="100" t="n"/>
      <c r="B38" s="100" t="n"/>
      <c r="C38" s="100" t="n"/>
      <c r="D38" s="96" t="n"/>
      <c r="E38" s="96" t="n"/>
      <c r="F38" s="100" t="n"/>
      <c r="I38" s="97" t="n"/>
      <c r="J38" s="97" t="n"/>
      <c r="K38" s="97" t="n"/>
      <c r="L38" s="97" t="n"/>
      <c r="M38" s="97" t="n"/>
      <c r="N38" s="97" t="n"/>
      <c r="O38" s="97" t="n"/>
      <c r="P38" s="104" t="n"/>
      <c r="W38" s="97" t="inlineStr">
        <is>
          <t>Doç. Dr. Hayriye HIZARCIOĞLU GÜLŞEN</t>
        </is>
      </c>
      <c r="X38" s="98" t="n">
        <v>1</v>
      </c>
      <c r="Y38" s="97" t="inlineStr">
        <is>
          <t>Pediatrik Temel Bilimler Anabilim Dalı</t>
        </is>
      </c>
      <c r="Z38" s="98" t="n">
        <v>2</v>
      </c>
      <c r="AB38" s="98" t="n"/>
      <c r="AW38" t="inlineStr">
        <is>
          <t>Moleküler Biyoloji Anabilim Dalı</t>
        </is>
      </c>
    </row>
    <row r="39">
      <c r="A39" s="100" t="n"/>
      <c r="B39" s="100" t="n"/>
      <c r="C39" s="100" t="n"/>
      <c r="D39" s="96" t="n"/>
      <c r="E39" s="96" t="n"/>
      <c r="F39" s="100" t="n"/>
      <c r="I39" s="97" t="n"/>
      <c r="J39" s="97" t="n"/>
      <c r="K39" s="97" t="n"/>
      <c r="L39" s="97" t="n"/>
      <c r="M39" s="97" t="n"/>
      <c r="N39" s="97" t="n"/>
      <c r="O39" s="97" t="n"/>
      <c r="P39" s="104" t="n"/>
      <c r="W39" s="97" t="inlineStr">
        <is>
          <t>Doç. Dr. Hilal AKSOY</t>
        </is>
      </c>
      <c r="X39" s="98" t="n">
        <v>1</v>
      </c>
      <c r="Y39" s="97" t="inlineStr">
        <is>
          <t>Restoratif Diş Tedavisi Anabilim Dalı</t>
        </is>
      </c>
      <c r="Z39" s="98" t="n">
        <v>2</v>
      </c>
      <c r="AB39" s="98" t="n"/>
      <c r="AW39" t="inlineStr">
        <is>
          <t>Nöroloji Anabilim Dalı</t>
        </is>
      </c>
    </row>
    <row r="40">
      <c r="A40" s="100" t="n"/>
      <c r="B40" s="100" t="n"/>
      <c r="C40" s="100" t="n"/>
      <c r="D40" s="96" t="n"/>
      <c r="E40" s="96" t="n"/>
      <c r="F40" s="100" t="n"/>
      <c r="I40" s="97" t="n"/>
      <c r="J40" s="97" t="n"/>
      <c r="K40" s="97" t="n"/>
      <c r="L40" s="97" t="n"/>
      <c r="M40" s="97" t="n"/>
      <c r="N40" s="97" t="n"/>
      <c r="O40" s="97" t="n"/>
      <c r="P40" s="104" t="n"/>
      <c r="W40" s="97" t="inlineStr">
        <is>
          <t>Doç. Dr. Hilal KORKMAZ</t>
        </is>
      </c>
      <c r="X40" s="98" t="n">
        <v>1</v>
      </c>
      <c r="Y40" s="97" t="inlineStr">
        <is>
          <t>Gıda Bilimleri Anabilim Dalı</t>
        </is>
      </c>
      <c r="Z40" s="98" t="n">
        <v>2</v>
      </c>
      <c r="AB40" s="98" t="n"/>
      <c r="AW40" t="inlineStr">
        <is>
          <t>Nükleer Tıp Anabilim Dalı</t>
        </is>
      </c>
    </row>
    <row r="41">
      <c r="A41" s="100" t="n"/>
      <c r="B41" s="100" t="n"/>
      <c r="C41" s="100" t="n"/>
      <c r="D41" s="96" t="n"/>
      <c r="E41" s="96" t="n"/>
      <c r="F41" s="100" t="n"/>
      <c r="I41" s="97" t="n"/>
      <c r="J41" s="97" t="n"/>
      <c r="K41" s="97" t="n"/>
      <c r="L41" s="97" t="n"/>
      <c r="M41" s="97" t="n"/>
      <c r="N41" s="97" t="n"/>
      <c r="O41" s="97" t="n"/>
      <c r="P41" s="104" t="n"/>
      <c r="W41" s="97" t="inlineStr">
        <is>
          <t>Doç. Dr. İdil Rana USER KILIÇ</t>
        </is>
      </c>
      <c r="X41" s="98" t="n">
        <v>2</v>
      </c>
      <c r="Y41" s="97" t="inlineStr">
        <is>
          <t>Sağlık Bilimleri Enstitüsü</t>
        </is>
      </c>
      <c r="Z41" s="98" t="n">
        <v>1</v>
      </c>
      <c r="AB41" s="98" t="n"/>
      <c r="AW41" t="inlineStr">
        <is>
          <t>Ortodonti Anabilim Dalı</t>
        </is>
      </c>
    </row>
    <row r="42">
      <c r="A42" s="100" t="n"/>
      <c r="B42" s="100" t="n"/>
      <c r="C42" s="100" t="n"/>
      <c r="D42" s="96" t="n"/>
      <c r="E42" s="96" t="n"/>
      <c r="F42" s="100" t="n"/>
      <c r="I42" s="97" t="n"/>
      <c r="J42" s="97" t="n"/>
      <c r="K42" s="97" t="n"/>
      <c r="L42" s="97" t="n"/>
      <c r="M42" s="97" t="n"/>
      <c r="N42" s="97" t="n"/>
      <c r="O42" s="97" t="n"/>
      <c r="P42" s="104" t="n"/>
      <c r="W42" s="97" t="inlineStr">
        <is>
          <t>Doç. Dr. İlker ERTUĞRUL</t>
        </is>
      </c>
      <c r="X42" s="98" t="n">
        <v>1</v>
      </c>
      <c r="Y42" s="97" t="inlineStr">
        <is>
          <t>Moleküler Biyoloji Anabilim Dalı</t>
        </is>
      </c>
      <c r="Z42" s="98" t="n">
        <v>1</v>
      </c>
      <c r="AB42" s="98" t="n"/>
      <c r="AW42" t="inlineStr">
        <is>
          <t>Ortopedi ve Travmatoloji Anabilim Dalı</t>
        </is>
      </c>
    </row>
    <row r="43">
      <c r="A43" s="100" t="n"/>
      <c r="B43" s="100" t="n"/>
      <c r="C43" s="100" t="n"/>
      <c r="D43" s="96" t="n"/>
      <c r="E43" s="96" t="n"/>
      <c r="F43" s="100" t="n"/>
      <c r="I43" s="97" t="n"/>
      <c r="J43" s="97" t="n"/>
      <c r="K43" s="97" t="n"/>
      <c r="L43" s="97" t="n"/>
      <c r="M43" s="97" t="n"/>
      <c r="N43" s="97" t="n"/>
      <c r="O43" s="97" t="n"/>
      <c r="P43" s="104" t="n"/>
      <c r="W43" s="97" t="inlineStr">
        <is>
          <t>Doç. Dr. İrem KOÇ</t>
        </is>
      </c>
      <c r="X43" s="98" t="n">
        <v>3</v>
      </c>
      <c r="Y43" s="97" t="inlineStr">
        <is>
          <t>Lokman Hekim Üniversitesi
Sağlık Hizmetleri Meslek Yüksekokulu</t>
        </is>
      </c>
      <c r="Z43" s="98" t="n">
        <v>1</v>
      </c>
      <c r="AW43" t="inlineStr">
        <is>
          <t>Pediatrik Temel Bilimler Anabilim Dalı</t>
        </is>
      </c>
    </row>
    <row r="44">
      <c r="A44" s="100" t="n"/>
      <c r="B44" s="100" t="n"/>
      <c r="C44" s="100" t="n"/>
      <c r="D44" s="96" t="n"/>
      <c r="E44" s="96" t="n"/>
      <c r="F44" s="100" t="n"/>
      <c r="I44" s="97" t="n"/>
      <c r="J44" s="97" t="n"/>
      <c r="K44" s="97" t="n"/>
      <c r="L44" s="97" t="n"/>
      <c r="M44" s="97" t="n"/>
      <c r="N44" s="97" t="n"/>
      <c r="O44" s="97" t="n"/>
      <c r="P44" s="104" t="n"/>
      <c r="W44" s="97" t="inlineStr">
        <is>
          <t>Doç. Dr. İzzet FİDANCI</t>
        </is>
      </c>
      <c r="X44" s="98" t="n">
        <v>1</v>
      </c>
      <c r="Y44" s="97" t="inlineStr">
        <is>
          <t>Fizikokimya Anabilim Dalı</t>
        </is>
      </c>
      <c r="Z44" s="98" t="n">
        <v>1</v>
      </c>
      <c r="AW44" t="inlineStr">
        <is>
          <t>Periodontoloji Anabilim Dalı</t>
        </is>
      </c>
    </row>
    <row r="45">
      <c r="A45" s="100" t="n"/>
      <c r="B45" s="100" t="n"/>
      <c r="C45" s="100" t="n"/>
      <c r="D45" s="96" t="n"/>
      <c r="E45" s="96" t="n"/>
      <c r="F45" s="100" t="n"/>
      <c r="I45" s="97" t="n"/>
      <c r="J45" s="97" t="n"/>
      <c r="K45" s="97" t="n"/>
      <c r="L45" s="97" t="n"/>
      <c r="M45" s="97" t="n"/>
      <c r="N45" s="97" t="n"/>
      <c r="O45" s="97" t="n"/>
      <c r="P45" s="104" t="n"/>
      <c r="W45" s="97" t="inlineStr">
        <is>
          <t>Doç. Dr. Kevser NALBANT</t>
        </is>
      </c>
      <c r="X45" s="98" t="n">
        <v>1</v>
      </c>
      <c r="Y45" s="97" t="inlineStr">
        <is>
          <t>Tıbbi Mikrobiyoloji Anabilim Dalı</t>
        </is>
      </c>
      <c r="Z45" s="98" t="n">
        <v>1</v>
      </c>
      <c r="AW45" t="inlineStr">
        <is>
          <t>Plastik, Rekonstrüktif ve Estetik Cerrahi Anabilim Dalı</t>
        </is>
      </c>
    </row>
    <row r="46">
      <c r="A46" s="100" t="n"/>
      <c r="B46" s="100" t="n"/>
      <c r="C46" s="100" t="n"/>
      <c r="D46" s="96" t="n"/>
      <c r="E46" s="96" t="n"/>
      <c r="F46" s="100" t="n"/>
      <c r="I46" s="97" t="n"/>
      <c r="J46" s="97" t="n"/>
      <c r="K46" s="97" t="n"/>
      <c r="L46" s="97" t="n"/>
      <c r="M46" s="97" t="n"/>
      <c r="N46" s="97" t="n"/>
      <c r="O46" s="97" t="n"/>
      <c r="P46" s="104" t="n"/>
      <c r="W46" s="97" t="inlineStr">
        <is>
          <t>Doç. Dr. Kübra AYKAÇ</t>
        </is>
      </c>
      <c r="X46" s="98" t="n">
        <v>3</v>
      </c>
      <c r="Y46" s="97" t="inlineStr">
        <is>
          <t>Tıp Eğitimi ve Bilişimi Anabilim Dalı</t>
        </is>
      </c>
      <c r="Z46" s="98" t="n">
        <v>1</v>
      </c>
      <c r="AW46" t="inlineStr">
        <is>
          <t>Protetik Diş Tedavisi Anabilim Dalı</t>
        </is>
      </c>
    </row>
    <row r="47">
      <c r="A47" s="100" t="n"/>
      <c r="B47" s="100" t="n"/>
      <c r="C47" s="100" t="n"/>
      <c r="D47" s="96" t="n"/>
      <c r="E47" s="96" t="n"/>
      <c r="F47" s="100" t="n"/>
      <c r="I47" s="97" t="n"/>
      <c r="J47" s="97" t="n"/>
      <c r="K47" s="97" t="n"/>
      <c r="L47" s="97" t="n"/>
      <c r="M47" s="97" t="n"/>
      <c r="N47" s="97" t="n"/>
      <c r="O47" s="97" t="n"/>
      <c r="P47" s="104" t="n"/>
      <c r="W47" s="97" t="inlineStr">
        <is>
          <t>Doç. Dr. Leman AKCAN YILDIZ</t>
        </is>
      </c>
      <c r="X47" s="98" t="n">
        <v>1</v>
      </c>
      <c r="Y47" s="97" t="inlineStr">
        <is>
          <t>Sağlık Araştırmaları Anabilim Dalı</t>
        </is>
      </c>
      <c r="Z47" s="98" t="n">
        <v>1</v>
      </c>
      <c r="AW47" t="inlineStr">
        <is>
          <t>Radyoloji Anabilim Dalı</t>
        </is>
      </c>
    </row>
    <row r="48">
      <c r="A48" s="100" t="n"/>
      <c r="B48" s="100" t="n"/>
      <c r="C48" s="100" t="n"/>
      <c r="D48" s="96" t="n"/>
      <c r="E48" s="96" t="n"/>
      <c r="F48" s="100" t="n"/>
      <c r="I48" s="97" t="n"/>
      <c r="J48" s="97" t="n"/>
      <c r="K48" s="97" t="n"/>
      <c r="L48" s="97" t="n"/>
      <c r="M48" s="97" t="n"/>
      <c r="N48" s="97" t="n"/>
      <c r="O48" s="97" t="n"/>
      <c r="P48" s="104" t="n"/>
      <c r="W48" s="97" t="inlineStr">
        <is>
          <t>Doç. Dr. Levent KILIÇ</t>
        </is>
      </c>
      <c r="X48" s="98" t="n">
        <v>2</v>
      </c>
      <c r="Y48" s="97" t="inlineStr">
        <is>
          <t>Barcelona Institute for Global Health</t>
        </is>
      </c>
      <c r="Z48" s="98" t="n">
        <v>1</v>
      </c>
      <c r="AW48" t="inlineStr">
        <is>
          <t>Restoratif Diş Tedavisi Anabilim Dalı</t>
        </is>
      </c>
    </row>
    <row r="49">
      <c r="A49" s="100" t="n"/>
      <c r="B49" s="100" t="n"/>
      <c r="C49" s="100" t="n"/>
      <c r="D49" s="96" t="n"/>
      <c r="E49" s="96" t="n"/>
      <c r="F49" s="100" t="n"/>
      <c r="I49" s="97" t="n"/>
      <c r="J49" s="97" t="n"/>
      <c r="K49" s="97" t="n"/>
      <c r="L49" s="97" t="n"/>
      <c r="M49" s="97" t="n"/>
      <c r="N49" s="97" t="n"/>
      <c r="O49" s="97" t="n"/>
      <c r="P49" s="104" t="n"/>
      <c r="W49" s="97" t="inlineStr">
        <is>
          <t>Doç. Dr. Mert EŞME</t>
        </is>
      </c>
      <c r="X49" s="98" t="n">
        <v>3</v>
      </c>
      <c r="Y49" s="97" t="inlineStr">
        <is>
          <t>Sosyal Pediatri Anabilim Dalı</t>
        </is>
      </c>
      <c r="Z49" s="98" t="n">
        <v>1</v>
      </c>
      <c r="AW49" t="inlineStr">
        <is>
          <t>Ruh Sağlığı ve Hastalıkları Anabilim Dalı</t>
        </is>
      </c>
    </row>
    <row r="50">
      <c r="A50" s="100" t="n"/>
      <c r="B50" s="100" t="n"/>
      <c r="C50" s="100" t="n"/>
      <c r="D50" s="96" t="n"/>
      <c r="E50" s="96" t="n"/>
      <c r="F50" s="100" t="n"/>
      <c r="I50" s="97" t="n"/>
      <c r="J50" s="97" t="n"/>
      <c r="K50" s="97" t="n"/>
      <c r="L50" s="97" t="n"/>
      <c r="M50" s="97" t="n"/>
      <c r="N50" s="97" t="n"/>
      <c r="O50" s="97" t="n"/>
      <c r="P50" s="104" t="n"/>
      <c r="W50" s="97" t="inlineStr">
        <is>
          <t>Doç. Dr. Mesut ALTAN</t>
        </is>
      </c>
      <c r="X50" s="98" t="n">
        <v>2</v>
      </c>
      <c r="Y50" s="97" t="inlineStr">
        <is>
          <t>Farmasötik Toksikoloji Anabilim Dalı</t>
        </is>
      </c>
      <c r="Z50" s="98" t="n">
        <v>1</v>
      </c>
      <c r="AW50" t="inlineStr">
        <is>
          <t>Sağlık Araştırmaları Anabilim Dalı</t>
        </is>
      </c>
    </row>
    <row r="51">
      <c r="A51" s="100" t="n"/>
      <c r="B51" s="100" t="n"/>
      <c r="C51" s="100" t="n"/>
      <c r="D51" s="96" t="n"/>
      <c r="E51" s="96" t="n"/>
      <c r="F51" s="100" t="n"/>
      <c r="I51" s="97" t="n"/>
      <c r="J51" s="97" t="n"/>
      <c r="K51" s="97" t="n"/>
      <c r="L51" s="97" t="n"/>
      <c r="M51" s="97" t="n"/>
      <c r="N51" s="97" t="n"/>
      <c r="O51" s="97" t="n"/>
      <c r="P51" s="104" t="n"/>
      <c r="W51" s="97" t="inlineStr">
        <is>
          <t>Doç. Dr. Neslihan AKDOĞAN</t>
        </is>
      </c>
      <c r="X51" s="98" t="n">
        <v>1</v>
      </c>
      <c r="Y51" s="97" t="inlineStr">
        <is>
          <t>Tıbbi Laboratuvar Teknikleri Programı</t>
        </is>
      </c>
      <c r="Z51" s="98" t="n">
        <v>1</v>
      </c>
      <c r="AW51" t="inlineStr">
        <is>
          <t>Sağlık Bilimleri Enstitüsü</t>
        </is>
      </c>
    </row>
    <row r="52">
      <c r="A52" s="100" t="n"/>
      <c r="B52" s="100" t="n"/>
      <c r="C52" s="100" t="n"/>
      <c r="D52" s="96" t="n"/>
      <c r="E52" s="96" t="n"/>
      <c r="F52" s="100" t="n"/>
      <c r="I52" s="97" t="n"/>
      <c r="J52" s="97" t="n"/>
      <c r="K52" s="97" t="n"/>
      <c r="L52" s="97" t="n"/>
      <c r="M52" s="97" t="n"/>
      <c r="N52" s="97" t="n"/>
      <c r="O52" s="97" t="n"/>
      <c r="P52" s="104" t="n"/>
      <c r="W52" s="97" t="inlineStr">
        <is>
          <t>Doç. Dr. Nursel ÇALIK BAŞARAN</t>
        </is>
      </c>
      <c r="X52" s="98" t="n">
        <v>1</v>
      </c>
      <c r="Y52" s="97" t="inlineStr">
        <is>
          <t>Farmasötik Mikrobiyoloji Anabilim Dalı</t>
        </is>
      </c>
      <c r="Z52" s="98" t="n">
        <v>1</v>
      </c>
      <c r="AW52" t="inlineStr">
        <is>
          <t>Sağlık Yönetimi Anabilim Dalı</t>
        </is>
      </c>
    </row>
    <row r="53">
      <c r="A53" s="100" t="n"/>
      <c r="B53" s="100" t="n"/>
      <c r="C53" s="100" t="n"/>
      <c r="D53" s="96" t="n"/>
      <c r="E53" s="96" t="n"/>
      <c r="F53" s="100" t="n"/>
      <c r="I53" s="97" t="n"/>
      <c r="J53" s="97" t="n"/>
      <c r="K53" s="97" t="n"/>
      <c r="L53" s="97" t="n"/>
      <c r="M53" s="97" t="n"/>
      <c r="N53" s="97" t="n"/>
      <c r="O53" s="97" t="n"/>
      <c r="P53" s="104" t="n"/>
      <c r="W53" s="97" t="inlineStr">
        <is>
          <t>Doç. Dr. Oğuz Abdullah UYAROĞLU</t>
        </is>
      </c>
      <c r="X53" s="98" t="n">
        <v>1</v>
      </c>
      <c r="Y53" s="97" t="inlineStr">
        <is>
          <t>Biyoinformatik Anabilim Dalı</t>
        </is>
      </c>
      <c r="Z53" s="98" t="n">
        <v>1</v>
      </c>
      <c r="AW53" t="inlineStr">
        <is>
          <t>Sosyal Hizmet Anabilim Dalı</t>
        </is>
      </c>
    </row>
    <row r="54">
      <c r="A54" s="100" t="n"/>
      <c r="B54" s="100" t="n"/>
      <c r="C54" s="100" t="n"/>
      <c r="D54" s="96" t="n"/>
      <c r="E54" s="96" t="n"/>
      <c r="F54" s="100" t="n"/>
      <c r="I54" s="97" t="n"/>
      <c r="J54" s="97" t="n"/>
      <c r="K54" s="97" t="n"/>
      <c r="L54" s="97" t="n"/>
      <c r="M54" s="97" t="n"/>
      <c r="N54" s="97" t="n"/>
      <c r="O54" s="97" t="n"/>
      <c r="P54" s="104" t="n"/>
      <c r="W54" s="97" t="inlineStr">
        <is>
          <t>Doç. Dr. Saliha ESENBOĞA</t>
        </is>
      </c>
      <c r="X54" s="98" t="n">
        <v>1</v>
      </c>
      <c r="Y54" s="97" t="inlineStr">
        <is>
          <t>Gülhane Sağlık Bilimleri Üniversitesi
Hemşirelik Fakültesi
Doğum ve Kadın Hastalıkları Hemşireliği Anabilim Dalı</t>
        </is>
      </c>
      <c r="Z54" s="98" t="n">
        <v>1</v>
      </c>
      <c r="AW54" t="inlineStr">
        <is>
          <t>Sosyal Pediatri Anabilim Dalı</t>
        </is>
      </c>
    </row>
    <row r="55">
      <c r="A55" s="100" t="n"/>
      <c r="B55" s="100" t="n"/>
      <c r="C55" s="100" t="n"/>
      <c r="D55" s="96" t="n"/>
      <c r="E55" s="96" t="n"/>
      <c r="F55" s="100" t="n"/>
      <c r="I55" s="97" t="n"/>
      <c r="J55" s="97" t="n"/>
      <c r="K55" s="97" t="n"/>
      <c r="L55" s="97" t="n"/>
      <c r="M55" s="97" t="n"/>
      <c r="N55" s="97" t="n"/>
      <c r="O55" s="97" t="n"/>
      <c r="P55" s="104" t="n"/>
      <c r="W55" s="97" t="inlineStr">
        <is>
          <t>Doç. Dr. Seda Hanife OĞUZ BAYKAL</t>
        </is>
      </c>
      <c r="X55" s="98" t="n">
        <v>1</v>
      </c>
      <c r="Y55" s="97" t="inlineStr">
        <is>
          <t>Fizyoloji Anabilim Dalı</t>
        </is>
      </c>
      <c r="Z55" s="98" t="n">
        <v>1</v>
      </c>
      <c r="AW55" t="inlineStr">
        <is>
          <t>Spor Hekimliği Anabilim Dalı</t>
        </is>
      </c>
    </row>
    <row r="56">
      <c r="A56" s="100" t="n"/>
      <c r="B56" s="100" t="n"/>
      <c r="C56" s="100" t="n"/>
      <c r="D56" s="96" t="n"/>
      <c r="E56" s="96" t="n"/>
      <c r="F56" s="100" t="n"/>
      <c r="I56" s="97" t="n"/>
      <c r="J56" s="97" t="n"/>
      <c r="K56" s="97" t="n"/>
      <c r="L56" s="97" t="n"/>
      <c r="M56" s="97" t="n"/>
      <c r="N56" s="97" t="n"/>
      <c r="O56" s="97" t="n"/>
      <c r="P56" s="104" t="n"/>
      <c r="W56" s="97" t="inlineStr">
        <is>
          <t>Doç. Dr. Serra ÖRSTEN</t>
        </is>
      </c>
      <c r="X56" s="98" t="n">
        <v>1</v>
      </c>
      <c r="Y56" s="97" t="inlineStr">
        <is>
          <t>Biyoistatistik Anabilim Dalı</t>
        </is>
      </c>
      <c r="Z56" s="98" t="n">
        <v>1</v>
      </c>
      <c r="AW56" t="inlineStr">
        <is>
          <t>Tıbbi Genetik Anabilim Dalı</t>
        </is>
      </c>
    </row>
    <row r="57">
      <c r="A57" s="100" t="n"/>
      <c r="B57" s="100" t="n"/>
      <c r="C57" s="100" t="n"/>
      <c r="D57" s="96" t="n"/>
      <c r="E57" s="96" t="n"/>
      <c r="F57" s="100" t="n"/>
      <c r="I57" s="97" t="n"/>
      <c r="J57" s="97" t="n"/>
      <c r="K57" s="97" t="n"/>
      <c r="L57" s="97" t="n"/>
      <c r="M57" s="97" t="n"/>
      <c r="N57" s="97" t="n"/>
      <c r="O57" s="97" t="n"/>
      <c r="P57" s="104" t="n"/>
      <c r="W57" s="97" t="inlineStr">
        <is>
          <t>Doç. Dr. Sevtap ARSLAN SARIKAYA</t>
        </is>
      </c>
      <c r="X57" s="98" t="n">
        <v>1</v>
      </c>
      <c r="Y57" s="97" t="inlineStr">
        <is>
          <t>Plastik, Rekonstrüktif ve Estetik Cerrahi Anabilim Dalı</t>
        </is>
      </c>
      <c r="Z57" s="98" t="n">
        <v>1</v>
      </c>
      <c r="AW57" t="inlineStr">
        <is>
          <t>Tıbbi Laboratuvar Teknikleri Programı</t>
        </is>
      </c>
    </row>
    <row r="58">
      <c r="A58" s="100" t="n"/>
      <c r="B58" s="100" t="n"/>
      <c r="C58" s="100" t="n"/>
      <c r="D58" s="96" t="n"/>
      <c r="E58" s="96" t="n"/>
      <c r="F58" s="100" t="n"/>
      <c r="I58" s="97" t="n"/>
      <c r="J58" s="97" t="n"/>
      <c r="K58" s="97" t="n"/>
      <c r="L58" s="97" t="n"/>
      <c r="M58" s="97" t="n"/>
      <c r="N58" s="97" t="n"/>
      <c r="O58" s="97" t="n"/>
      <c r="P58" s="104" t="n"/>
      <c r="W58" s="97" t="inlineStr">
        <is>
          <t>Doç. Dr. Süleyman Nahit ŞENDUR</t>
        </is>
      </c>
      <c r="X58" s="98" t="n">
        <v>4</v>
      </c>
      <c r="Y58" s="97" t="inlineStr">
        <is>
          <t>Kök Hücre Bilimleri Anabilim Dalı</t>
        </is>
      </c>
      <c r="Z58" s="98" t="n">
        <v>1</v>
      </c>
      <c r="AW58" t="inlineStr">
        <is>
          <t>Tıbbi Mikrobiyoloji Anabilim Dalı</t>
        </is>
      </c>
    </row>
    <row r="59">
      <c r="A59" s="100" t="n"/>
      <c r="B59" s="100" t="n"/>
      <c r="C59" s="100" t="n"/>
      <c r="D59" s="96" t="n"/>
      <c r="E59" s="96" t="n"/>
      <c r="F59" s="100" t="n"/>
      <c r="I59" s="97" t="n"/>
      <c r="J59" s="97" t="n"/>
      <c r="K59" s="97" t="n"/>
      <c r="L59" s="97" t="n"/>
      <c r="M59" s="97" t="n"/>
      <c r="N59" s="97" t="n"/>
      <c r="O59" s="97" t="n"/>
      <c r="P59" s="104" t="n"/>
      <c r="W59" s="97" t="inlineStr">
        <is>
          <t>Doç. Dr. Ulaş KUMBASAR</t>
        </is>
      </c>
      <c r="X59" s="98" t="n">
        <v>1</v>
      </c>
      <c r="Y59" s="97" t="inlineStr">
        <is>
          <t>Enfeksiyon Hastalıkları ve Klinik Mikrobiyoloji Anabilim Dalı</t>
        </is>
      </c>
      <c r="Z59" s="98" t="n">
        <v>1</v>
      </c>
      <c r="AW59" t="inlineStr">
        <is>
          <t>Tıbbi Patoloji Anabilim Dalı</t>
        </is>
      </c>
    </row>
    <row r="60">
      <c r="A60" s="100" t="n"/>
      <c r="B60" s="100" t="n"/>
      <c r="C60" s="100" t="n"/>
      <c r="D60" s="96" t="n"/>
      <c r="E60" s="96" t="n"/>
      <c r="F60" s="100" t="n"/>
      <c r="I60" s="97" t="n"/>
      <c r="J60" s="97" t="n"/>
      <c r="K60" s="97" t="n"/>
      <c r="L60" s="97" t="n"/>
      <c r="M60" s="97" t="n"/>
      <c r="N60" s="97" t="n"/>
      <c r="O60" s="97" t="n"/>
      <c r="P60" s="104" t="n"/>
      <c r="W60" s="97" t="inlineStr">
        <is>
          <t>Doç. Dr. Utku AKGÖR</t>
        </is>
      </c>
      <c r="X60" s="98" t="n">
        <v>3</v>
      </c>
      <c r="Y60" s="97" t="inlineStr">
        <is>
          <t>Çocuk Sağlığı Entitüsü</t>
        </is>
      </c>
      <c r="Z60" s="98" t="n">
        <v>1</v>
      </c>
      <c r="AW60" t="inlineStr">
        <is>
          <t>Tıp Eğitimi ve Bilişimi Anabilim Dalı</t>
        </is>
      </c>
    </row>
    <row r="61">
      <c r="A61" s="100" t="n"/>
      <c r="B61" s="100" t="n"/>
      <c r="C61" s="100" t="n"/>
      <c r="D61" s="96" t="n"/>
      <c r="E61" s="96" t="n"/>
      <c r="F61" s="100" t="n"/>
      <c r="I61" s="97" t="n"/>
      <c r="J61" s="97" t="n"/>
      <c r="K61" s="97" t="n"/>
      <c r="L61" s="97" t="n"/>
      <c r="M61" s="97" t="n"/>
      <c r="N61" s="97" t="n"/>
      <c r="O61" s="97" t="n"/>
      <c r="P61" s="104" t="n"/>
      <c r="W61" s="97" t="inlineStr">
        <is>
          <t>Doç. Dr. Zeynep TÜZÜN GÜN</t>
        </is>
      </c>
      <c r="X61" s="98" t="n">
        <v>1</v>
      </c>
      <c r="Y61" s="97" t="inlineStr">
        <is>
          <t>Adli Tıp Anabilim Dalı</t>
        </is>
      </c>
      <c r="Z61" s="98" t="n">
        <v>1</v>
      </c>
      <c r="AW61" t="inlineStr">
        <is>
          <t>Üroloji Anabilim Dalı</t>
        </is>
      </c>
    </row>
    <row r="62">
      <c r="A62" s="100" t="n"/>
      <c r="B62" s="100" t="n"/>
      <c r="C62" s="100" t="n"/>
      <c r="D62" s="96" t="n"/>
      <c r="E62" s="96" t="n"/>
      <c r="F62" s="100" t="n"/>
      <c r="I62" s="97" t="n"/>
      <c r="J62" s="97" t="n"/>
      <c r="K62" s="97" t="n"/>
      <c r="L62" s="97" t="n"/>
      <c r="M62" s="97" t="n"/>
      <c r="N62" s="97" t="n"/>
      <c r="O62" s="97" t="n"/>
      <c r="P62" s="104" t="n"/>
      <c r="W62" s="97" t="inlineStr">
        <is>
          <t>Doç.Dr. Tekin AKSU</t>
        </is>
      </c>
      <c r="X62" s="98" t="n">
        <v>1</v>
      </c>
      <c r="Y62" s="97" t="inlineStr">
        <is>
          <t>Tıbbi Genetik Anabilim Dalı</t>
        </is>
      </c>
      <c r="Z62" s="98" t="n">
        <v>1</v>
      </c>
      <c r="AW62" t="n">
        <v>0</v>
      </c>
    </row>
    <row r="63">
      <c r="A63" s="100" t="n"/>
      <c r="B63" s="100" t="n"/>
      <c r="C63" s="100" t="n"/>
      <c r="D63" s="96" t="n"/>
      <c r="E63" s="96" t="n"/>
      <c r="F63" s="100" t="n"/>
      <c r="I63" s="97" t="n"/>
      <c r="J63" s="97" t="n"/>
      <c r="K63" s="97" t="n"/>
      <c r="L63" s="97" t="n"/>
      <c r="M63" s="97" t="n"/>
      <c r="N63" s="97" t="n"/>
      <c r="O63" s="97" t="n"/>
      <c r="P63" s="104" t="n"/>
      <c r="W63" s="97" t="inlineStr">
        <is>
          <t>Dr. Natalia RAKİSLOVA</t>
        </is>
      </c>
      <c r="X63" s="98" t="n">
        <v>1</v>
      </c>
      <c r="Y63" s="97" t="inlineStr">
        <is>
          <t>Tıbbi Patoloji Anabilim Dalı</t>
        </is>
      </c>
      <c r="Z63" s="98" t="n">
        <v>1</v>
      </c>
    </row>
    <row r="64">
      <c r="A64" s="100" t="n"/>
      <c r="B64" s="100" t="n"/>
      <c r="C64" s="100" t="n"/>
      <c r="D64" s="96" t="n"/>
      <c r="E64" s="96" t="n"/>
      <c r="F64" s="100" t="n"/>
      <c r="I64" s="97" t="n"/>
      <c r="J64" s="97" t="n"/>
      <c r="K64" s="97" t="n"/>
      <c r="L64" s="97" t="n"/>
      <c r="M64" s="97" t="n"/>
      <c r="N64" s="97" t="n"/>
      <c r="O64" s="97" t="n"/>
      <c r="P64" s="104" t="n"/>
      <c r="W64" s="97" t="inlineStr">
        <is>
          <t>Dr. Öğr. Üyesi Ahmet KIVRAK</t>
        </is>
      </c>
      <c r="X64" s="98" t="n">
        <v>3</v>
      </c>
    </row>
    <row r="65">
      <c r="A65" s="100" t="n"/>
      <c r="B65" s="100" t="n"/>
      <c r="C65" s="100" t="n"/>
      <c r="D65" s="96" t="n"/>
      <c r="E65" s="96" t="n"/>
      <c r="F65" s="100" t="n"/>
      <c r="I65" s="97" t="n"/>
      <c r="J65" s="97" t="n"/>
      <c r="K65" s="97" t="n"/>
      <c r="L65" s="97" t="n"/>
      <c r="M65" s="97" t="n"/>
      <c r="N65" s="97" t="n"/>
      <c r="O65" s="97" t="n"/>
      <c r="P65" s="104" t="n"/>
      <c r="W65" s="97" t="inlineStr">
        <is>
          <t>Dr. Öğr. Üyesi Arda ÇETİNKAYA</t>
        </is>
      </c>
      <c r="X65" s="98" t="n">
        <v>2</v>
      </c>
    </row>
    <row r="66">
      <c r="A66" s="100" t="n"/>
      <c r="B66" s="100" t="n"/>
      <c r="C66" s="100" t="n"/>
      <c r="D66" s="96" t="n"/>
      <c r="E66" s="96" t="n"/>
      <c r="F66" s="100" t="n"/>
      <c r="I66" s="97" t="n"/>
      <c r="J66" s="97" t="n"/>
      <c r="K66" s="97" t="n"/>
      <c r="L66" s="97" t="n"/>
      <c r="M66" s="97" t="n"/>
      <c r="N66" s="97" t="n"/>
      <c r="O66" s="97" t="n"/>
      <c r="P66" s="104" t="n"/>
      <c r="W66" s="97" t="inlineStr">
        <is>
          <t>Dr. Öğr. Üyesi Aybüke USLU TEKCE</t>
        </is>
      </c>
      <c r="X66" s="98" t="n">
        <v>1</v>
      </c>
    </row>
    <row r="67">
      <c r="A67" s="100" t="n"/>
      <c r="B67" s="100" t="n"/>
      <c r="C67" s="100" t="n"/>
      <c r="D67" s="96" t="n"/>
      <c r="E67" s="96" t="n"/>
      <c r="F67" s="100" t="n"/>
      <c r="I67" s="97" t="n"/>
      <c r="J67" s="97" t="n"/>
      <c r="K67" s="97" t="n"/>
      <c r="L67" s="97" t="n"/>
      <c r="M67" s="97" t="n"/>
      <c r="N67" s="97" t="n"/>
      <c r="O67" s="97" t="n"/>
      <c r="P67" s="104" t="n"/>
      <c r="W67" s="97" t="inlineStr">
        <is>
          <t>Dr. Öğr. Üyesi Aycan UYSAL</t>
        </is>
      </c>
      <c r="X67" s="98" t="n">
        <v>2</v>
      </c>
    </row>
    <row r="68">
      <c r="A68" s="100" t="n"/>
      <c r="B68" s="100" t="n"/>
      <c r="C68" s="100" t="n"/>
      <c r="D68" s="96" t="n"/>
      <c r="E68" s="96" t="n"/>
      <c r="F68" s="100" t="n"/>
      <c r="I68" s="97" t="n"/>
      <c r="J68" s="97" t="n"/>
      <c r="K68" s="97" t="n"/>
      <c r="L68" s="97" t="n"/>
      <c r="M68" s="97" t="n"/>
      <c r="N68" s="97" t="n"/>
      <c r="O68" s="97" t="n"/>
      <c r="P68" s="104" t="n"/>
      <c r="W68" s="97" t="inlineStr">
        <is>
          <t>Dr. Öğr. Üyesi Ayşe METE YEŞİL</t>
        </is>
      </c>
      <c r="X68" s="98" t="n">
        <v>1</v>
      </c>
    </row>
    <row r="69">
      <c r="A69" s="100" t="n"/>
      <c r="B69" s="100" t="n"/>
      <c r="C69" s="100" t="n"/>
      <c r="D69" s="96" t="n"/>
      <c r="E69" s="96" t="n"/>
      <c r="F69" s="100" t="n"/>
      <c r="I69" s="97" t="n"/>
      <c r="J69" s="97" t="n"/>
      <c r="K69" s="97" t="n"/>
      <c r="L69" s="97" t="n"/>
      <c r="M69" s="97" t="n"/>
      <c r="N69" s="97" t="n"/>
      <c r="O69" s="97" t="n"/>
      <c r="P69" s="104" t="n"/>
      <c r="W69" s="97" t="inlineStr">
        <is>
          <t>Dr. Öğr. Üyesi Barış KAFA</t>
        </is>
      </c>
      <c r="X69" s="98" t="n">
        <v>2</v>
      </c>
    </row>
    <row r="70">
      <c r="A70" s="100" t="n"/>
      <c r="B70" s="100" t="n"/>
      <c r="C70" s="100" t="n"/>
      <c r="D70" s="96" t="n"/>
      <c r="E70" s="96" t="n"/>
      <c r="F70" s="100" t="n"/>
      <c r="I70" s="97" t="n"/>
      <c r="J70" s="97" t="n"/>
      <c r="K70" s="97" t="n"/>
      <c r="L70" s="97" t="n"/>
      <c r="M70" s="97" t="n"/>
      <c r="N70" s="97" t="n"/>
      <c r="O70" s="97" t="n"/>
      <c r="P70" s="104" t="n"/>
      <c r="W70" s="97" t="inlineStr">
        <is>
          <t>Dr. Öğr. Üyesi Burcu KELLECİ ÇAKIR</t>
        </is>
      </c>
      <c r="X70" s="98" t="n">
        <v>4</v>
      </c>
    </row>
    <row r="71">
      <c r="A71" s="100" t="n"/>
      <c r="B71" s="100" t="n"/>
      <c r="C71" s="100" t="n"/>
      <c r="D71" s="96" t="n"/>
      <c r="E71" s="96" t="n"/>
      <c r="F71" s="100" t="n"/>
      <c r="I71" s="97" t="n"/>
      <c r="J71" s="97" t="n"/>
      <c r="K71" s="97" t="n"/>
      <c r="L71" s="97" t="n"/>
      <c r="M71" s="97" t="n"/>
      <c r="N71" s="97" t="n"/>
      <c r="O71" s="97" t="n"/>
      <c r="P71" s="104" t="n"/>
      <c r="W71" s="97" t="inlineStr">
        <is>
          <t>Dr. Öğr. Üyesi Burçe ATAÇ MOGOL</t>
        </is>
      </c>
      <c r="X71" s="98" t="n">
        <v>1</v>
      </c>
    </row>
    <row r="72">
      <c r="A72" s="100" t="n"/>
      <c r="B72" s="100" t="n"/>
      <c r="C72" s="100" t="n"/>
      <c r="F72" s="100" t="n"/>
      <c r="I72" s="97" t="n"/>
      <c r="J72" s="97" t="n"/>
      <c r="K72" s="97" t="n"/>
      <c r="L72" s="97" t="n"/>
      <c r="M72" s="97" t="n"/>
      <c r="N72" s="97" t="n"/>
      <c r="O72" s="97" t="n"/>
      <c r="P72" s="104" t="n"/>
      <c r="W72" s="97" t="inlineStr">
        <is>
          <t>Dr. Öğr. Üyesi Burkay UTKU</t>
        </is>
      </c>
      <c r="X72" s="98" t="n">
        <v>1</v>
      </c>
    </row>
    <row r="73">
      <c r="A73" s="100" t="n"/>
      <c r="B73" s="100" t="n"/>
      <c r="C73" s="100" t="n"/>
      <c r="F73" s="100" t="n"/>
      <c r="I73" s="97" t="n"/>
      <c r="J73" s="97" t="n"/>
      <c r="K73" s="97" t="n"/>
      <c r="L73" s="97" t="n"/>
      <c r="M73" s="97" t="n"/>
      <c r="N73" s="97" t="n"/>
      <c r="O73" s="97" t="n"/>
      <c r="P73" s="104" t="n"/>
      <c r="W73" s="97" t="inlineStr">
        <is>
          <t>Dr. Öğr. Üyesi Emre KARA</t>
        </is>
      </c>
      <c r="X73" s="98" t="n">
        <v>1</v>
      </c>
    </row>
    <row r="74">
      <c r="A74" s="100" t="n"/>
      <c r="B74" s="100" t="n"/>
      <c r="C74" s="100" t="n"/>
      <c r="F74" s="100" t="n"/>
      <c r="I74" s="97" t="n"/>
      <c r="J74" s="97" t="n"/>
      <c r="K74" s="97" t="n"/>
      <c r="L74" s="97" t="n"/>
      <c r="M74" s="97" t="n"/>
      <c r="N74" s="97" t="n"/>
      <c r="O74" s="97" t="n"/>
      <c r="P74" s="104" t="n"/>
      <c r="W74" s="97" t="inlineStr">
        <is>
          <t>Dr. Öğr. Üyesi Ergin EROĞLU</t>
        </is>
      </c>
      <c r="X74" s="98" t="n">
        <v>1</v>
      </c>
    </row>
    <row r="75">
      <c r="A75" s="100" t="n"/>
      <c r="B75" s="100" t="n"/>
      <c r="C75" s="100" t="n"/>
      <c r="F75" s="100" t="n"/>
      <c r="I75" s="97" t="n"/>
      <c r="J75" s="97" t="n"/>
      <c r="K75" s="97" t="n"/>
      <c r="L75" s="97" t="n"/>
      <c r="M75" s="97" t="n"/>
      <c r="N75" s="97" t="n"/>
      <c r="O75" s="97" t="n"/>
      <c r="P75" s="104" t="n"/>
      <c r="W75" s="97" t="inlineStr">
        <is>
          <t>Dr. Öğr. Üyesi Ezgi DOĞAN CÖMERT</t>
        </is>
      </c>
      <c r="X75" s="98" t="n">
        <v>1</v>
      </c>
    </row>
    <row r="76">
      <c r="A76" s="100" t="n"/>
      <c r="B76" s="100" t="n"/>
      <c r="C76" s="100" t="n"/>
      <c r="F76" s="100" t="n"/>
      <c r="I76" s="97" t="n"/>
      <c r="J76" s="97" t="n"/>
      <c r="K76" s="97" t="n"/>
      <c r="L76" s="97" t="n"/>
      <c r="M76" s="97" t="n"/>
      <c r="N76" s="97" t="n"/>
      <c r="O76" s="97" t="n"/>
      <c r="P76" s="104" t="n"/>
      <c r="W76" s="97" t="inlineStr">
        <is>
          <t>Dr. Öğr. Üyesi Figen BEZCİ AYGÜN</t>
        </is>
      </c>
      <c r="X76" s="98" t="n">
        <v>4</v>
      </c>
    </row>
    <row r="77">
      <c r="A77" s="100" t="n"/>
      <c r="B77" s="100" t="n"/>
      <c r="C77" s="100" t="n"/>
      <c r="F77" s="100" t="n"/>
      <c r="I77" s="97" t="n"/>
      <c r="J77" s="97" t="n"/>
      <c r="K77" s="97" t="n"/>
      <c r="L77" s="97" t="n"/>
      <c r="M77" s="97" t="n"/>
      <c r="N77" s="97" t="n"/>
      <c r="O77" s="97" t="n"/>
      <c r="P77" s="104" t="n"/>
      <c r="W77" s="97" t="inlineStr">
        <is>
          <t>Dr. Öğr. Üyesi Gizem ÜREL DEMİR</t>
        </is>
      </c>
      <c r="X77" s="98" t="n">
        <v>2</v>
      </c>
    </row>
    <row r="78">
      <c r="A78" s="100" t="n"/>
      <c r="B78" s="100" t="n"/>
      <c r="C78" s="100" t="n"/>
      <c r="W78" s="97" t="inlineStr">
        <is>
          <t>Dr. Öğr. Üyesi Gonca ÖZTEN</t>
        </is>
      </c>
      <c r="X78" s="98" t="n">
        <v>6</v>
      </c>
    </row>
    <row r="79">
      <c r="A79" s="100" t="n"/>
      <c r="B79" s="100" t="n"/>
      <c r="C79" s="100" t="n"/>
      <c r="W79" s="97" t="inlineStr">
        <is>
          <t>Dr. Öğr. Üyesi Gökçen AKÇİÇEK</t>
        </is>
      </c>
      <c r="X79" s="98" t="n">
        <v>1</v>
      </c>
    </row>
    <row r="80">
      <c r="W80" s="97" t="inlineStr">
        <is>
          <t>Dr. Öğr. Üyesi Gökhan AYIK</t>
        </is>
      </c>
      <c r="X80" s="98" t="n">
        <v>1</v>
      </c>
    </row>
    <row r="81">
      <c r="W81" s="97" t="inlineStr">
        <is>
          <t>Dr. Öğr. Üyesi Gözde ÖZER</t>
        </is>
      </c>
      <c r="X81" s="98" t="n">
        <v>1</v>
      </c>
    </row>
    <row r="82">
      <c r="W82" s="97" t="inlineStr">
        <is>
          <t>Dr. Öğr. Üyesi Hanife Merva PARLAK</t>
        </is>
      </c>
      <c r="X82" s="98" t="n">
        <v>1</v>
      </c>
    </row>
    <row r="83">
      <c r="W83" s="97" t="inlineStr">
        <is>
          <t>Dr. Öğr. Üyesi Hatice BOYACIOĞLU ERDEN</t>
        </is>
      </c>
      <c r="X83" s="98" t="n">
        <v>1</v>
      </c>
    </row>
    <row r="84">
      <c r="W84" s="97" t="inlineStr">
        <is>
          <t>Dr. Öğr. Üyesi Hilal AKDEMİR AKTAŞ</t>
        </is>
      </c>
      <c r="X84" s="98" t="n">
        <v>1</v>
      </c>
    </row>
    <row r="85">
      <c r="W85" s="97" t="inlineStr">
        <is>
          <t>Dr. Öğr. Üyesi Irmak OCAK</t>
        </is>
      </c>
      <c r="X85" s="98" t="n">
        <v>1</v>
      </c>
    </row>
    <row r="86">
      <c r="W86" s="97" t="inlineStr">
        <is>
          <t>Dr. Öğr. Üyesi Merva PARLAK</t>
        </is>
      </c>
      <c r="X86" s="98" t="n">
        <v>1</v>
      </c>
    </row>
    <row r="87">
      <c r="W87" s="97" t="inlineStr">
        <is>
          <t>Dr. Öğr. Üyesi Muhammed Çağrı KÜLEKCİ</t>
        </is>
      </c>
      <c r="X87" s="98" t="n">
        <v>2</v>
      </c>
    </row>
    <row r="88">
      <c r="W88" s="97" t="inlineStr">
        <is>
          <t>Dr. Öğr. Üyesi Murat ÇAĞAN</t>
        </is>
      </c>
      <c r="X88" s="98" t="n">
        <v>3</v>
      </c>
    </row>
    <row r="89">
      <c r="W89" s="97" t="inlineStr">
        <is>
          <t>Dr. Öğr. Üyesi Onur İNCE</t>
        </is>
      </c>
      <c r="X89" s="98" t="n">
        <v>1</v>
      </c>
    </row>
    <row r="90">
      <c r="W90" s="97" t="inlineStr">
        <is>
          <t>Dr. Öğr. Üyesi Özge YAVUZ SARI</t>
        </is>
      </c>
      <c r="X90" s="98" t="n">
        <v>1</v>
      </c>
    </row>
    <row r="91">
      <c r="W91" s="97" t="inlineStr">
        <is>
          <t>Dr. Öğr. Üyesi Salih Eren MERAL</t>
        </is>
      </c>
      <c r="X91" s="98" t="n">
        <v>1</v>
      </c>
    </row>
    <row r="92">
      <c r="W92" s="97" t="inlineStr">
        <is>
          <t>Dr. Öğr. Üyesi Sefa Burak ÇAM</t>
        </is>
      </c>
      <c r="X92" s="98" t="n">
        <v>1</v>
      </c>
    </row>
    <row r="93">
      <c r="W93" s="97" t="inlineStr">
        <is>
          <t>Dr. Öğr. Üyesi Selen ADİLOĞLU</t>
        </is>
      </c>
      <c r="X93" s="98" t="n">
        <v>2</v>
      </c>
    </row>
    <row r="94">
      <c r="W94" s="97" t="inlineStr">
        <is>
          <t>Dr. Öğr. Üyesi Serkan UYSAL</t>
        </is>
      </c>
      <c r="X94" s="98" t="n">
        <v>2</v>
      </c>
    </row>
    <row r="95">
      <c r="W95" s="97" t="inlineStr">
        <is>
          <t>Dr. Öğr. Üyesi Yiğitcan KARANFİL</t>
        </is>
      </c>
      <c r="X95" s="98" t="n">
        <v>2</v>
      </c>
    </row>
    <row r="96">
      <c r="W96" s="97" t="inlineStr">
        <is>
          <t>Dr. Vet. Hek. Özgür Doğuş EROL DUYAR</t>
        </is>
      </c>
      <c r="X96" s="98" t="n">
        <v>1</v>
      </c>
    </row>
    <row r="97">
      <c r="W97" s="97" t="inlineStr">
        <is>
          <t>Öğr. Gör. Dr. Aytekin İDİKUT</t>
        </is>
      </c>
      <c r="X97" s="98" t="n">
        <v>2</v>
      </c>
    </row>
    <row r="98">
      <c r="W98" s="97" t="inlineStr">
        <is>
          <t>Öğr. Gör. Dr. Bahattin PASLI</t>
        </is>
      </c>
      <c r="X98" s="98" t="n">
        <v>2</v>
      </c>
    </row>
    <row r="99">
      <c r="W99" s="97" t="inlineStr">
        <is>
          <t>Öğr. Gör. Dr. Berrin BABAOĞLU</t>
        </is>
      </c>
      <c r="X99" s="98" t="n">
        <v>1</v>
      </c>
    </row>
    <row r="100">
      <c r="W100" s="97" t="inlineStr">
        <is>
          <t>Öğr. Gör. Dr. Buket KILIÇ</t>
        </is>
      </c>
      <c r="X100" s="98" t="n">
        <v>1</v>
      </c>
    </row>
    <row r="101">
      <c r="W101" s="97" t="inlineStr">
        <is>
          <t>Öğr. Gör. Dr. Burçay TELLİOĞLU</t>
        </is>
      </c>
      <c r="X101" s="98" t="n">
        <v>1</v>
      </c>
    </row>
    <row r="102">
      <c r="W102" s="97" t="inlineStr">
        <is>
          <t>Öğr. Gör. Dr. Esin ALPDÜNDAR BULUT</t>
        </is>
      </c>
      <c r="X102" s="98" t="n">
        <v>1</v>
      </c>
    </row>
    <row r="103">
      <c r="W103" s="97" t="inlineStr">
        <is>
          <t>Öğr. Gör. Dr. Helin YÜCEDAĞ GÜNDOĞDU</t>
        </is>
      </c>
      <c r="X103" s="98" t="n">
        <v>1</v>
      </c>
    </row>
    <row r="104">
      <c r="W104" s="97" t="inlineStr">
        <is>
          <t>Öğr. Gör. Dr. Pınar ÖZDEMİR YAŞAR</t>
        </is>
      </c>
      <c r="X104" s="98" t="n">
        <v>1</v>
      </c>
    </row>
    <row r="105">
      <c r="W105" s="97" t="inlineStr">
        <is>
          <t>Prof. Dr. Ali DURSUN</t>
        </is>
      </c>
      <c r="X105" s="98" t="n">
        <v>1</v>
      </c>
    </row>
    <row r="106">
      <c r="W106" s="97" t="inlineStr">
        <is>
          <t>Prof. Dr. Ali DÜZOVA</t>
        </is>
      </c>
      <c r="X106" s="98" t="n">
        <v>1</v>
      </c>
    </row>
    <row r="107">
      <c r="W107" s="97" t="inlineStr">
        <is>
          <t>Prof. Dr. Ali Fuat KALYONCU</t>
        </is>
      </c>
      <c r="X107" s="98" t="n">
        <v>4</v>
      </c>
    </row>
    <row r="108">
      <c r="W108" s="97" t="inlineStr">
        <is>
          <t>Prof. Dr. Ali Rıza TÜMER</t>
        </is>
      </c>
      <c r="X108" s="98" t="n">
        <v>1</v>
      </c>
    </row>
    <row r="109">
      <c r="W109" s="97" t="inlineStr">
        <is>
          <t>Prof. Dr. Alp ÇETİN</t>
        </is>
      </c>
      <c r="X109" s="98" t="n">
        <v>3</v>
      </c>
    </row>
    <row r="110">
      <c r="W110" s="97" t="inlineStr">
        <is>
          <t>Prof. Dr. Aygin EKİNCİOĞLU</t>
        </is>
      </c>
      <c r="X110" s="98" t="n">
        <v>1</v>
      </c>
    </row>
    <row r="111">
      <c r="W111" s="97" t="inlineStr">
        <is>
          <t>Prof. Dr. Ayşe KİN İŞLER</t>
        </is>
      </c>
      <c r="X111" s="98" t="n">
        <v>2</v>
      </c>
    </row>
    <row r="112">
      <c r="W112" s="97" t="inlineStr">
        <is>
          <t>Prof. Dr. Ayşe Tomris ERBAŞ</t>
        </is>
      </c>
      <c r="X112" s="98" t="n">
        <v>2</v>
      </c>
    </row>
    <row r="113">
      <c r="W113" s="97" t="inlineStr">
        <is>
          <t>Prof. Dr. Bahar GÜÇİZ DOĞAN</t>
        </is>
      </c>
      <c r="X113" s="98" t="n">
        <v>1</v>
      </c>
    </row>
    <row r="114">
      <c r="W114" s="97" t="inlineStr">
        <is>
          <t>Prof. Dr. Banu KILIÇASLAN</t>
        </is>
      </c>
      <c r="X114" s="98" t="n">
        <v>1</v>
      </c>
    </row>
    <row r="115">
      <c r="W115" s="97" t="inlineStr">
        <is>
          <t>Prof. Dr. Bayram ŞAHİN</t>
        </is>
      </c>
      <c r="X115" s="98" t="n">
        <v>1</v>
      </c>
    </row>
    <row r="116">
      <c r="W116" s="97" t="inlineStr">
        <is>
          <t>Prof. Dr. Betül ÇELEBİ SALTIK</t>
        </is>
      </c>
      <c r="X116" s="98" t="n">
        <v>1</v>
      </c>
    </row>
    <row r="117">
      <c r="W117" s="97" t="inlineStr">
        <is>
          <t>Prof. Dr. Bilge VOLKAN SALANCI</t>
        </is>
      </c>
      <c r="X117" s="98" t="n">
        <v>1</v>
      </c>
    </row>
    <row r="118">
      <c r="W118" s="97" t="inlineStr">
        <is>
          <t>Prof. Dr. Bora GÜLHAN</t>
        </is>
      </c>
      <c r="X118" s="98" t="n">
        <v>1</v>
      </c>
    </row>
    <row r="119">
      <c r="W119" s="97" t="inlineStr">
        <is>
          <t>Prof. Dr. Burcu Balam DOĞU</t>
        </is>
      </c>
      <c r="X119" s="98" t="n">
        <v>3</v>
      </c>
    </row>
    <row r="120">
      <c r="W120" s="97" t="inlineStr">
        <is>
          <t>Prof. Dr. Bülent ALTUN</t>
        </is>
      </c>
      <c r="X120" s="98" t="n">
        <v>1</v>
      </c>
    </row>
    <row r="121">
      <c r="W121" s="97" t="inlineStr">
        <is>
          <t>Prof. Dr. Bülent Enis ŞEKEREL</t>
        </is>
      </c>
      <c r="X121" s="98" t="n">
        <v>2</v>
      </c>
    </row>
    <row r="122">
      <c r="W122" s="97" t="inlineStr">
        <is>
          <t>Prof. Dr. Cavit Işık YAVUZ</t>
        </is>
      </c>
      <c r="X122" s="98" t="n">
        <v>1</v>
      </c>
    </row>
    <row r="123">
      <c r="W123" s="97" t="inlineStr">
        <is>
          <t>Prof. Dr. Cengiz KILIÇ</t>
        </is>
      </c>
      <c r="X123" s="98" t="n">
        <v>2</v>
      </c>
    </row>
    <row r="124">
      <c r="W124" s="97" t="inlineStr">
        <is>
          <t>Prof. Dr. Çağrı Mesut TEMUÇİN</t>
        </is>
      </c>
      <c r="X124" s="98" t="n">
        <v>3</v>
      </c>
    </row>
    <row r="125">
      <c r="W125" s="97" t="inlineStr">
        <is>
          <t>Prof. Dr. Deniz ÇAĞDAŞ AYVAZ</t>
        </is>
      </c>
      <c r="X125" s="98" t="n">
        <v>3</v>
      </c>
    </row>
    <row r="126">
      <c r="W126" s="97" t="inlineStr">
        <is>
          <t>Prof. Dr. Deniz DOĞRU ERSÖZ</t>
        </is>
      </c>
      <c r="X126" s="98" t="n">
        <v>1</v>
      </c>
    </row>
    <row r="127">
      <c r="W127" s="97" t="inlineStr">
        <is>
          <t>Prof. Dr. Devrim AKDEMİR</t>
        </is>
      </c>
      <c r="X127" s="98" t="n">
        <v>1</v>
      </c>
    </row>
    <row r="128">
      <c r="W128" s="97" t="inlineStr">
        <is>
          <t>Prof. Dr. Dilek ASLAN</t>
        </is>
      </c>
      <c r="X128" s="98" t="n">
        <v>1</v>
      </c>
    </row>
    <row r="129">
      <c r="W129" s="97" t="inlineStr">
        <is>
          <t>Prof. Dr. Dilşad FOTO ÖZDEMİR</t>
        </is>
      </c>
      <c r="X129" s="98" t="n">
        <v>1</v>
      </c>
    </row>
    <row r="130">
      <c r="W130" s="97" t="inlineStr">
        <is>
          <t>Prof. Dr. Ebru DAMADOĞLU</t>
        </is>
      </c>
      <c r="X130" s="98" t="n">
        <v>2</v>
      </c>
    </row>
    <row r="131">
      <c r="W131" s="97" t="inlineStr">
        <is>
          <t>Prof. Dr. Egemen TURHAN</t>
        </is>
      </c>
      <c r="X131" s="98" t="n">
        <v>1</v>
      </c>
    </row>
    <row r="132">
      <c r="W132" s="97" t="inlineStr">
        <is>
          <t>Prof. Dr. Emel UZUNOĞLU ÖZYÜREK</t>
        </is>
      </c>
      <c r="X132" s="98" t="n">
        <v>1</v>
      </c>
    </row>
    <row r="133">
      <c r="W133" s="97" t="inlineStr">
        <is>
          <t>Prof. Dr. Emre TOSUN</t>
        </is>
      </c>
      <c r="X133" s="98" t="n">
        <v>1</v>
      </c>
    </row>
    <row r="134">
      <c r="W134" s="97" t="inlineStr">
        <is>
          <t>Prof. Dr. Esra BİRBEN</t>
        </is>
      </c>
      <c r="X134" s="98" t="n">
        <v>1</v>
      </c>
    </row>
    <row r="135">
      <c r="W135" s="97" t="inlineStr">
        <is>
          <t>Prof. Dr. Fadime İrsel TEZER FİLİK</t>
        </is>
      </c>
      <c r="X135" s="98" t="n">
        <v>2</v>
      </c>
    </row>
    <row r="136">
      <c r="W136" s="97" t="inlineStr">
        <is>
          <t>Prof. Dr. Fatma Gökçem YILDIZ SARIKAYA</t>
        </is>
      </c>
      <c r="X136" s="98" t="n">
        <v>2</v>
      </c>
    </row>
    <row r="137">
      <c r="W137" s="97" t="inlineStr">
        <is>
          <t>Prof. Dr. Fatma Visal OKUR</t>
        </is>
      </c>
      <c r="X137" s="98" t="n">
        <v>1</v>
      </c>
    </row>
    <row r="138">
      <c r="W138" s="97" t="inlineStr">
        <is>
          <t>Prof. Dr. Filiz YALÇIN</t>
        </is>
      </c>
      <c r="X138" s="98" t="n">
        <v>1</v>
      </c>
    </row>
    <row r="139">
      <c r="W139" s="97" t="inlineStr">
        <is>
          <t>Prof. Dr. Gül KARAKAYA</t>
        </is>
      </c>
      <c r="X139" s="98" t="n">
        <v>3</v>
      </c>
    </row>
    <row r="140">
      <c r="W140" s="97" t="inlineStr">
        <is>
          <t>Prof. Dr. Güliz AKTAŞ</t>
        </is>
      </c>
      <c r="X140" s="98" t="n">
        <v>2</v>
      </c>
    </row>
    <row r="141">
      <c r="W141" s="97" t="inlineStr">
        <is>
          <t>Prof. Dr. Güliz Nigar GÜNCÜ</t>
        </is>
      </c>
      <c r="X141" s="98" t="n">
        <v>1</v>
      </c>
    </row>
    <row r="142">
      <c r="W142" s="97" t="inlineStr">
        <is>
          <t>Prof. Dr. Hakan GÖKER</t>
        </is>
      </c>
      <c r="X142" s="98" t="n">
        <v>1</v>
      </c>
    </row>
    <row r="143">
      <c r="W143" s="97" t="inlineStr">
        <is>
          <t>Prof. Dr. Hakan Hıfzı TÜZ</t>
        </is>
      </c>
      <c r="X143" s="98" t="n">
        <v>1</v>
      </c>
    </row>
    <row r="144">
      <c r="W144" s="97" t="inlineStr">
        <is>
          <t>Prof. Dr. Hasan Serkan DOĞAN</t>
        </is>
      </c>
      <c r="X144" s="98" t="n">
        <v>1</v>
      </c>
    </row>
    <row r="145">
      <c r="W145" s="97" t="inlineStr">
        <is>
          <t>Prof. Dr. Hatice DOĞAN BUZOĞLU</t>
        </is>
      </c>
      <c r="X145" s="98" t="n">
        <v>1</v>
      </c>
    </row>
    <row r="146">
      <c r="W146" s="97" t="inlineStr">
        <is>
          <t>Prof. Dr. Hatice Yasemin BALABAN</t>
        </is>
      </c>
      <c r="X146" s="98" t="n">
        <v>2</v>
      </c>
    </row>
    <row r="147">
      <c r="W147" s="97" t="inlineStr">
        <is>
          <t>Prof. Dr. Hikmet YORGUN</t>
        </is>
      </c>
      <c r="X147" s="98" t="n">
        <v>1</v>
      </c>
    </row>
    <row r="148">
      <c r="W148" s="97" t="inlineStr">
        <is>
          <t>Prof. Dr. Hülya DEMİR</t>
        </is>
      </c>
      <c r="X148" s="98" t="n">
        <v>1</v>
      </c>
    </row>
    <row r="149">
      <c r="W149" s="97" t="inlineStr">
        <is>
          <t>Prof. Dr. İnci Nur SALTIK</t>
        </is>
      </c>
      <c r="X149" s="98" t="n">
        <v>2</v>
      </c>
    </row>
    <row r="150">
      <c r="W150" s="97" t="inlineStr">
        <is>
          <t>Prof. Dr. Jale KARAKAYA</t>
        </is>
      </c>
      <c r="X150" s="98" t="n">
        <v>1</v>
      </c>
    </row>
    <row r="151">
      <c r="W151" s="97" t="inlineStr">
        <is>
          <t>Prof. Dr. Kıvanç AKÇA</t>
        </is>
      </c>
      <c r="X151" s="98" t="n">
        <v>1</v>
      </c>
    </row>
    <row r="152">
      <c r="W152" s="97" t="inlineStr">
        <is>
          <t>Prof. Dr. Kudret AYTEMİR</t>
        </is>
      </c>
      <c r="X152" s="98" t="n">
        <v>1</v>
      </c>
    </row>
    <row r="153">
      <c r="W153" s="97" t="inlineStr">
        <is>
          <t>Prof. Dr. Mehmet Akif TOPÇUOĞLU</t>
        </is>
      </c>
      <c r="X153" s="98" t="n">
        <v>1</v>
      </c>
    </row>
    <row r="154">
      <c r="W154" s="97" t="inlineStr">
        <is>
          <t>Prof. Dr. Mehmet AYVAZ</t>
        </is>
      </c>
      <c r="X154" s="98" t="n">
        <v>7</v>
      </c>
    </row>
    <row r="155">
      <c r="W155" s="97" t="inlineStr">
        <is>
          <t>Prof. Dr. Mehmet Cemalettin AKSOY</t>
        </is>
      </c>
      <c r="X155" s="98" t="n">
        <v>1</v>
      </c>
    </row>
    <row r="156">
      <c r="W156" s="97" t="inlineStr">
        <is>
          <t>Prof. Dr. Meltem Gülhan HALİL</t>
        </is>
      </c>
      <c r="X156" s="98" t="n">
        <v>10</v>
      </c>
    </row>
    <row r="157">
      <c r="W157" s="97" t="inlineStr">
        <is>
          <t>Prof. Dr. Mert ÇALIŞ</t>
        </is>
      </c>
      <c r="X157" s="98" t="n">
        <v>1</v>
      </c>
    </row>
    <row r="158">
      <c r="W158" s="97" t="inlineStr">
        <is>
          <t>Prof. Dr. Murat GÜLTEKİN</t>
        </is>
      </c>
      <c r="X158" s="98" t="n">
        <v>2</v>
      </c>
    </row>
    <row r="159">
      <c r="W159" s="97" t="inlineStr">
        <is>
          <t>Prof. Dr. Murat TUNCEL</t>
        </is>
      </c>
      <c r="X159" s="98" t="n">
        <v>2</v>
      </c>
    </row>
    <row r="160">
      <c r="W160" s="97" t="inlineStr">
        <is>
          <t>Prof. Dr. Mustafa Barış GÜNCÜ</t>
        </is>
      </c>
      <c r="X160" s="98" t="n">
        <v>1</v>
      </c>
    </row>
    <row r="161">
      <c r="W161" s="97" t="inlineStr">
        <is>
          <t>Prof. Dr. Mustafa CANKURTARAN</t>
        </is>
      </c>
      <c r="X161" s="98" t="n">
        <v>3</v>
      </c>
    </row>
    <row r="162">
      <c r="W162" s="97" t="inlineStr">
        <is>
          <t>Prof. Dr. Müzeyyen Pınar ÖZGEN KIRATLI</t>
        </is>
      </c>
      <c r="X162" s="98" t="n">
        <v>1</v>
      </c>
    </row>
    <row r="163">
      <c r="W163" s="97" t="inlineStr">
        <is>
          <t>Prof. Dr. N. Dilara ZEYBEK</t>
        </is>
      </c>
      <c r="X163" s="98" t="n">
        <v>1</v>
      </c>
    </row>
    <row r="164">
      <c r="W164" s="97" t="inlineStr">
        <is>
          <t>Prof. Dr. Nagehan EMİRALİOĞLU ORDUKAYA</t>
        </is>
      </c>
      <c r="X164" s="98" t="n">
        <v>1</v>
      </c>
    </row>
    <row r="165">
      <c r="W165" s="97" t="inlineStr">
        <is>
          <t>Prof. Dr. Neşe DERİCİOĞLU</t>
        </is>
      </c>
      <c r="X165" s="98" t="n">
        <v>2</v>
      </c>
    </row>
    <row r="166">
      <c r="W166" s="97" t="inlineStr">
        <is>
          <t>Prof. Dr. Oğuz IŞIK</t>
        </is>
      </c>
      <c r="X166" s="98" t="n">
        <v>3</v>
      </c>
    </row>
    <row r="167">
      <c r="W167" s="97" t="inlineStr">
        <is>
          <t>Prof. Dr. Orhan ODABAŞI</t>
        </is>
      </c>
      <c r="X167" s="98" t="n">
        <v>1</v>
      </c>
    </row>
    <row r="168">
      <c r="W168" s="97" t="inlineStr">
        <is>
          <t>Prof. Dr. Oya ÖZDEMİR</t>
        </is>
      </c>
      <c r="X168" s="98" t="n">
        <v>1</v>
      </c>
    </row>
    <row r="169">
      <c r="W169" s="97" t="inlineStr">
        <is>
          <t>Prof. Dr. Ömer KARADAĞ</t>
        </is>
      </c>
      <c r="X169" s="98" t="n">
        <v>1</v>
      </c>
    </row>
    <row r="170">
      <c r="W170" s="97" t="inlineStr">
        <is>
          <t>Prof. Dr. Ömer UĞUR</t>
        </is>
      </c>
      <c r="X170" s="98" t="n">
        <v>1</v>
      </c>
    </row>
    <row r="171">
      <c r="W171" s="97" t="inlineStr">
        <is>
          <t>Prof. Dr. Ömür ÇELİKBIÇAK</t>
        </is>
      </c>
      <c r="X171" s="98" t="n">
        <v>1</v>
      </c>
    </row>
    <row r="172">
      <c r="W172" s="97" t="inlineStr">
        <is>
          <t>Prof. Dr. Özgür UĞURLUOĞLU</t>
        </is>
      </c>
      <c r="X172" s="98" t="n">
        <v>2</v>
      </c>
    </row>
    <row r="173">
      <c r="W173" s="97" t="inlineStr">
        <is>
          <t>Prof. Dr. Özlem BOYBEYİ</t>
        </is>
      </c>
      <c r="X173" s="98" t="n">
        <v>1</v>
      </c>
    </row>
    <row r="174">
      <c r="W174" s="97" t="inlineStr">
        <is>
          <t>Prof. Dr. Özlem TEKŞAM</t>
        </is>
      </c>
      <c r="X174" s="98" t="n">
        <v>2</v>
      </c>
    </row>
    <row r="175">
      <c r="W175" s="97" t="inlineStr">
        <is>
          <t>Prof. Dr. Petek KORKUSUZ</t>
        </is>
      </c>
      <c r="X175" s="98" t="n">
        <v>1</v>
      </c>
    </row>
    <row r="176">
      <c r="W176" s="97" t="inlineStr">
        <is>
          <t>Prof. Dr. Rıza Köksal ÖZGÜL</t>
        </is>
      </c>
      <c r="X176" s="98" t="n">
        <v>1</v>
      </c>
    </row>
    <row r="177">
      <c r="W177" s="97" t="inlineStr">
        <is>
          <t>Prof. Dr. Salih AKSU</t>
        </is>
      </c>
      <c r="X177" s="98" t="n">
        <v>1</v>
      </c>
    </row>
    <row r="178">
      <c r="W178" s="97" t="inlineStr">
        <is>
          <t>Prof. Dr. Salih Kutay DEMİRKAN</t>
        </is>
      </c>
      <c r="X178" s="98" t="n">
        <v>4</v>
      </c>
    </row>
    <row r="179">
      <c r="W179" s="97" t="inlineStr">
        <is>
          <t>Prof. Dr. Seda Banu AKINCI</t>
        </is>
      </c>
      <c r="X179" s="98" t="n">
        <v>1</v>
      </c>
    </row>
    <row r="180">
      <c r="W180" s="97" t="inlineStr">
        <is>
          <t>Prof. Dr. Selçuk DAĞDELEN</t>
        </is>
      </c>
      <c r="X180" s="98" t="n">
        <v>1</v>
      </c>
    </row>
    <row r="181">
      <c r="W181" s="97" t="inlineStr">
        <is>
          <t>Prof. Dr. Serdar ÖZER</t>
        </is>
      </c>
      <c r="X181" s="98" t="n">
        <v>1</v>
      </c>
    </row>
    <row r="182">
      <c r="W182" s="97" t="inlineStr">
        <is>
          <t>Prof. Dr. Serdar TEKGÜL</t>
        </is>
      </c>
      <c r="X182" s="98" t="n">
        <v>1</v>
      </c>
    </row>
    <row r="183">
      <c r="W183" s="97" t="inlineStr">
        <is>
          <t>Prof. Dr. Sevinç SARINÇ</t>
        </is>
      </c>
      <c r="X183" s="98" t="n">
        <v>1</v>
      </c>
    </row>
    <row r="184">
      <c r="W184" s="97" t="inlineStr">
        <is>
          <t>Prof. Dr. Seza ÖZEN</t>
        </is>
      </c>
      <c r="X184" s="98" t="n">
        <v>2</v>
      </c>
    </row>
    <row r="185">
      <c r="W185" s="97" t="inlineStr">
        <is>
          <t>Prof. Dr. Sıddika Songül YALÇIN</t>
        </is>
      </c>
      <c r="X185" s="98" t="n">
        <v>3</v>
      </c>
    </row>
    <row r="186">
      <c r="W186" s="97" t="inlineStr">
        <is>
          <t>Prof. Dr. Sibel ERSOY EVANS</t>
        </is>
      </c>
      <c r="X186" s="98" t="n">
        <v>1</v>
      </c>
    </row>
    <row r="187">
      <c r="W187" s="97" t="inlineStr">
        <is>
          <t>Prof. Dr. Sinem AKGÜL</t>
        </is>
      </c>
      <c r="X187" s="98" t="n">
        <v>1</v>
      </c>
    </row>
    <row r="188">
      <c r="W188" s="97" t="inlineStr">
        <is>
          <t>Prof. Dr. Şehnaz ALP</t>
        </is>
      </c>
      <c r="X188" s="98" t="n">
        <v>1</v>
      </c>
    </row>
    <row r="189">
      <c r="W189" s="97" t="inlineStr">
        <is>
          <t>Prof. Dr. Şule ÜNAL CANGÜL</t>
        </is>
      </c>
      <c r="X189" s="98" t="n">
        <v>1</v>
      </c>
    </row>
    <row r="190">
      <c r="W190" s="97" t="inlineStr">
        <is>
          <t>Prof. Dr. Taner YILMAZ</t>
        </is>
      </c>
      <c r="X190" s="98" t="n">
        <v>1</v>
      </c>
    </row>
    <row r="191">
      <c r="W191" s="97" t="inlineStr">
        <is>
          <t>Prof. Dr. Taylan KAV</t>
        </is>
      </c>
      <c r="X191" s="98" t="n">
        <v>3</v>
      </c>
    </row>
    <row r="192">
      <c r="W192" s="97" t="inlineStr">
        <is>
          <t>Prof. Dr. Tutku SOYER</t>
        </is>
      </c>
      <c r="X192" s="98" t="n">
        <v>3</v>
      </c>
    </row>
    <row r="193">
      <c r="W193" s="97" t="inlineStr">
        <is>
          <t>Prof. Dr. Ülkü ÜNDEĞER BUCURGAT</t>
        </is>
      </c>
      <c r="X193" s="98" t="n">
        <v>1</v>
      </c>
    </row>
    <row r="194">
      <c r="W194" s="97" t="inlineStr">
        <is>
          <t>Prof. Dr. Yahya BÜYÜKAŞIK</t>
        </is>
      </c>
      <c r="X194" s="98" t="n">
        <v>1</v>
      </c>
    </row>
    <row r="195">
      <c r="W195" s="97" t="inlineStr">
        <is>
          <t>Prof. Dr. Yakut AKYÖN YILMAZ</t>
        </is>
      </c>
      <c r="X195" s="98" t="n">
        <v>1</v>
      </c>
    </row>
    <row r="196">
      <c r="W196" s="97" t="inlineStr">
        <is>
          <t>Prof. Dr. Yasemin ÖZSÜREKCİ</t>
        </is>
      </c>
      <c r="X196" s="98" t="n">
        <v>6</v>
      </c>
    </row>
    <row r="197">
      <c r="W197" s="97" t="inlineStr">
        <is>
          <t>Prof. Dr. Yavuz AYHAN</t>
        </is>
      </c>
      <c r="X197" s="98" t="n">
        <v>1</v>
      </c>
    </row>
    <row r="198">
      <c r="W198" s="97" t="inlineStr">
        <is>
          <t>Prof. Dr. Zafer Selçuk TUNCER</t>
        </is>
      </c>
      <c r="X198" s="98" t="n">
        <v>1</v>
      </c>
    </row>
  </sheetData>
  <conditionalFormatting sqref="E3">
    <cfRule type="duplicateValues" priority="1" dxfId="4"/>
  </conditionalFormatting>
  <dataValidations count="1">
    <dataValidation sqref="A2" showDropDown="0" showInputMessage="1" showErrorMessage="1" allowBlank="1" type="list">
      <formula1>"Bireysel Araştırma,Yüksek Lisans Tezi,Doktora Tezi,Uzmanlık Tezi"</formula1>
    </dataValidation>
  </dataValidations>
  <pageMargins left="0.7" right="0.7" top="0.75" bottom="0.75" header="0.3" footer="0.3"/>
  <pageSetup orientation="portrait" paperSize="9"/>
</worksheet>
</file>

<file path=xl/worksheets/sheet8.xml><?xml version="1.0" encoding="utf-8"?>
<worksheet xmlns="http://schemas.openxmlformats.org/spreadsheetml/2006/main">
  <sheetPr>
    <tabColor rgb="FF00B050"/>
    <outlinePr summaryBelow="1" summaryRight="1"/>
    <pageSetUpPr/>
  </sheetPr>
  <dimension ref="A1:AH181"/>
  <sheetViews>
    <sheetView workbookViewId="0">
      <selection activeCell="E10" sqref="E10"/>
    </sheetView>
  </sheetViews>
  <sheetFormatPr baseColWidth="8" defaultRowHeight="15.75"/>
  <cols>
    <col width="34.28515625" bestFit="1" customWidth="1" style="132" min="1" max="1"/>
    <col width="26.140625" bestFit="1" customWidth="1" style="132" min="2" max="2"/>
    <col width="48" customWidth="1" style="132" min="3" max="3"/>
    <col width="16.85546875" customWidth="1" style="132" min="4" max="4"/>
    <col width="41.28515625" bestFit="1" customWidth="1" style="132" min="5" max="5"/>
    <col width="13.7109375" customWidth="1" style="132" min="6" max="6"/>
    <col width="9.140625" customWidth="1" style="132" min="7" max="8"/>
    <col width="10.28515625" bestFit="1" customWidth="1" style="132" min="9" max="9"/>
    <col width="9.140625" customWidth="1" style="132" min="10" max="27"/>
    <col width="48.7109375" bestFit="1" customWidth="1" style="3" min="28" max="28"/>
    <col width="16.28515625" customWidth="1" style="3" min="29" max="29"/>
    <col width="54.85546875" bestFit="1" customWidth="1" style="3" min="30" max="30"/>
    <col width="9.140625" customWidth="1" style="152" min="31" max="34"/>
    <col width="9.140625" customWidth="1" style="132" min="35" max="16384"/>
  </cols>
  <sheetData>
    <row r="1" ht="23.25" customFormat="1" customHeight="1" s="151">
      <c r="A1" s="157" t="inlineStr">
        <is>
          <t>TOPLAM BAŞVURU</t>
        </is>
      </c>
      <c r="B1" s="156" t="inlineStr">
        <is>
          <t>KURUL SAYISI</t>
        </is>
      </c>
      <c r="C1" s="214" t="inlineStr">
        <is>
          <t>EN ÇOK DOSYA GÖNDEREN BİRİM</t>
        </is>
      </c>
      <c r="D1" s="229" t="n"/>
      <c r="E1" s="159" t="inlineStr">
        <is>
          <t>SORUMLU</t>
        </is>
      </c>
      <c r="F1" s="160" t="n"/>
      <c r="AB1" s="8" t="inlineStr">
        <is>
          <t>Dr. Vet. Hek. Özgür Doğuş EROL DUYAR</t>
        </is>
      </c>
      <c r="AC1" s="8">
        <f>COUNTIFS(Başvuru!$D$2:$D$2158, "*" &amp; AB1 &amp; "*")</f>
        <v/>
      </c>
      <c r="AD1" s="8" t="inlineStr">
        <is>
          <t>Sağlık Bilimleri Enstitüsü</t>
        </is>
      </c>
      <c r="AE1" s="218">
        <f>COUNTIFS(Başvuru!$C$2:$C$2158, "*" &amp; AD1 &amp; "*")</f>
        <v/>
      </c>
      <c r="AF1" s="218" t="n"/>
      <c r="AG1" s="218" t="n"/>
      <c r="AH1" s="152" t="n"/>
    </row>
    <row r="2" ht="23.25" customFormat="1" customHeight="1" s="150">
      <c r="A2" s="158">
        <f>COUNTIFS(Başvuru!$C$2:$C$2158, "&lt;&gt;", Başvuru!$C$2:$C$2158, "?*")</f>
        <v/>
      </c>
      <c r="B2" s="158">
        <f>COUNT(_xlfn.UNIQUE(Başvuru!$I$2:$I$2158))</f>
        <v/>
      </c>
      <c r="C2" s="155">
        <f>Pivot!A2</f>
        <v/>
      </c>
      <c r="D2" s="162">
        <f>GETPIVOTDATA("BİRİMİ",Pivot!$A$1,"BİRİMİ","İç Hastalıkları Anabilim Dalı")</f>
        <v/>
      </c>
      <c r="E2" s="155">
        <f>Pivot!D2</f>
        <v/>
      </c>
      <c r="F2" s="161">
        <f>GETPIVOTDATA("SORUMLUSU",Pivot!$D$1,"SORUMLUSU","Prof. Dr. Meltem Gülhan HALİL")</f>
        <v/>
      </c>
      <c r="AB2" s="8" t="inlineStr">
        <is>
          <t>Prof. Dr. Esra BİRBEN</t>
        </is>
      </c>
      <c r="AC2" s="8">
        <f>COUNTIFS(Başvuru!$D$2:$D$2158, "*" &amp; AB2 &amp; "*")</f>
        <v/>
      </c>
      <c r="AD2" s="8" t="inlineStr">
        <is>
          <t>Moleküler Biyoloji Anabilim Dalı</t>
        </is>
      </c>
      <c r="AE2" s="218">
        <f>COUNTIFS(Başvuru!$C$2:$C$2158, "*" &amp; AD2 &amp; "*")</f>
        <v/>
      </c>
      <c r="AF2" s="152" t="n"/>
      <c r="AG2" s="152" t="n"/>
      <c r="AH2" s="218" t="n"/>
    </row>
    <row r="3">
      <c r="AB3" s="8" t="inlineStr">
        <is>
          <t>Doç. Dr. Gamze DURHAN</t>
        </is>
      </c>
      <c r="AC3" s="8">
        <f>COUNTIFS(Başvuru!$D$2:$D$2158, "*" &amp; AB3 &amp; "*")</f>
        <v/>
      </c>
      <c r="AD3" s="8" t="inlineStr">
        <is>
          <t>Radyoloji Anabilim Dalı</t>
        </is>
      </c>
      <c r="AE3" s="218">
        <f>COUNTIFS(Başvuru!$C$2:$C$2158, "*" &amp; AD3 &amp; "*")</f>
        <v/>
      </c>
    </row>
    <row r="4" ht="14.25" customHeight="1" s="221">
      <c r="AB4" s="8" t="inlineStr">
        <is>
          <t>Prof. Dr. Bayram ŞAHİN</t>
        </is>
      </c>
      <c r="AC4" s="8">
        <f>COUNTIFS(Başvuru!$D$2:$D$2158, "*" &amp; AB4 &amp; "*")</f>
        <v/>
      </c>
      <c r="AD4" s="53" t="inlineStr">
        <is>
          <t>Lokman Hekim Üniversitesi
Sağlık Hizmetleri Meslek Yüksekokulu</t>
        </is>
      </c>
      <c r="AE4" s="218">
        <f>COUNTIFS(Başvuru!$C$2:$C$2158, "*" &amp; AD4 &amp; "*")</f>
        <v/>
      </c>
    </row>
    <row r="5">
      <c r="AB5" s="8" t="inlineStr">
        <is>
          <t>Prof. Dr. Ömür ÇELİKBIÇAK</t>
        </is>
      </c>
      <c r="AC5" s="8">
        <f>COUNTIFS(Başvuru!$D$2:$D$2158, "*" &amp; AB5 &amp; "*")</f>
        <v/>
      </c>
      <c r="AD5" s="8" t="inlineStr">
        <is>
          <t>Fizikokimya Anabilim Dalı</t>
        </is>
      </c>
      <c r="AE5" s="218">
        <f>COUNTIFS(Başvuru!$C$2:$C$2158, "*" &amp; AD5 &amp; "*")</f>
        <v/>
      </c>
    </row>
    <row r="6">
      <c r="AB6" s="8" t="inlineStr">
        <is>
          <t>Prof. Dr. Meltem Gülhan HALİL</t>
        </is>
      </c>
      <c r="AC6" s="8">
        <f>COUNTIFS(Başvuru!$D$2:$D$2158, "*" &amp; AB6 &amp; "*")</f>
        <v/>
      </c>
      <c r="AD6" s="8" t="inlineStr">
        <is>
          <t>İç Hastalıkları Anabilim Dalı</t>
        </is>
      </c>
      <c r="AE6" s="218">
        <f>COUNTIFS(Başvuru!$C$2:$C$2158, "*" &amp; AD6 &amp; "*")</f>
        <v/>
      </c>
    </row>
    <row r="7">
      <c r="AB7" s="8" t="inlineStr">
        <is>
          <t>Doç. Dr. Ayhan EYMİRLİ</t>
        </is>
      </c>
      <c r="AC7" s="8">
        <f>COUNTIFS(Başvuru!$D$2:$D$2158, "*" &amp; AB7 &amp; "*")</f>
        <v/>
      </c>
      <c r="AD7" s="8" t="inlineStr">
        <is>
          <t>Endodonti Anabilim Dalı</t>
        </is>
      </c>
      <c r="AE7" s="218">
        <f>COUNTIFS(Başvuru!$C$2:$C$2158, "*" &amp; AD7 &amp; "*")</f>
        <v/>
      </c>
    </row>
    <row r="8">
      <c r="AB8" s="8" t="inlineStr">
        <is>
          <t>Doç. Dr. Nursel ÇALIK BAŞARAN</t>
        </is>
      </c>
      <c r="AC8" s="8">
        <f>COUNTIFS(Başvuru!$D$2:$D$2158, "*" &amp; AB8 &amp; "*")</f>
        <v/>
      </c>
      <c r="AD8" s="8" t="inlineStr">
        <is>
          <t>İç Hastalıkları Anabilim Dalı</t>
        </is>
      </c>
      <c r="AE8" s="218">
        <f>COUNTIFS(Başvuru!$C$2:$C$2158, "*" &amp; AD8 &amp; "*")</f>
        <v/>
      </c>
    </row>
    <row r="9">
      <c r="AB9" s="8" t="inlineStr">
        <is>
          <t>Öğr. Gör. Dr. Buket KILIÇ</t>
        </is>
      </c>
      <c r="AC9" s="8">
        <f>COUNTIFS(Başvuru!$D$2:$D$2158, "*" &amp; AB9 &amp; "*")</f>
        <v/>
      </c>
      <c r="AD9" s="8" t="inlineStr">
        <is>
          <t>Çocuk ve Ergen Ruh Sağlığı ve Hastalıkları Anabilim Dalı</t>
        </is>
      </c>
      <c r="AE9" s="218">
        <f>COUNTIFS(Başvuru!$C$2:$C$2158, "*" &amp; AD9 &amp; "*")</f>
        <v/>
      </c>
    </row>
    <row r="10">
      <c r="AB10" s="8" t="inlineStr">
        <is>
          <t>Prof. Dr. Yakut AKYÖN YILMAZ</t>
        </is>
      </c>
      <c r="AC10" s="8">
        <f>COUNTIFS(Başvuru!$D$2:$D$2158, "*" &amp; AB10 &amp; "*")</f>
        <v/>
      </c>
      <c r="AD10" s="8" t="inlineStr">
        <is>
          <t>Tıbbi Mikrobiyoloji Anabilim Dalı</t>
        </is>
      </c>
      <c r="AE10" s="218">
        <f>COUNTIFS(Başvuru!$C$2:$C$2158, "*" &amp; AD10 &amp; "*")</f>
        <v/>
      </c>
    </row>
    <row r="11">
      <c r="AB11" s="8" t="inlineStr">
        <is>
          <t>Prof. Dr. Ömer KARADAĞ</t>
        </is>
      </c>
      <c r="AC11" s="8">
        <f>COUNTIFS(Başvuru!$D$2:$D$2158, "*" &amp; AB11 &amp; "*")</f>
        <v/>
      </c>
      <c r="AD11" s="8" t="inlineStr">
        <is>
          <t>İç Hastalıkları Anabilim Dalı</t>
        </is>
      </c>
      <c r="AE11" s="218">
        <f>COUNTIFS(Başvuru!$C$2:$C$2158, "*" &amp; AD11 &amp; "*")</f>
        <v/>
      </c>
    </row>
    <row r="12">
      <c r="AB12" s="8" t="inlineStr">
        <is>
          <t>Prof. Dr. N. Dilara ZEYBEK</t>
        </is>
      </c>
      <c r="AC12" s="8">
        <f>COUNTIFS(Başvuru!$D$2:$D$2158, "*" &amp; AB12 &amp; "*")</f>
        <v/>
      </c>
      <c r="AD12" s="8" t="inlineStr">
        <is>
          <t>Histoloji ve Embriyoloji Anabilim Dalı</t>
        </is>
      </c>
      <c r="AE12" s="218">
        <f>COUNTIFS(Başvuru!$C$2:$C$2158, "*" &amp; AD12 &amp; "*")</f>
        <v/>
      </c>
    </row>
    <row r="13">
      <c r="AB13" s="8" t="inlineStr">
        <is>
          <t>Prof. Dr. Orhan ODABAŞI</t>
        </is>
      </c>
      <c r="AC13" s="8">
        <f>COUNTIFS(Başvuru!$D$2:$D$2158, "*" &amp; AB13 &amp; "*")</f>
        <v/>
      </c>
      <c r="AD13" s="8" t="inlineStr">
        <is>
          <t>Tıp Eğitimi ve Bilişimi Anabilim Dalı</t>
        </is>
      </c>
      <c r="AE13" s="218">
        <f>COUNTIFS(Başvuru!$C$2:$C$2158, "*" &amp; AD13 &amp; "*")</f>
        <v/>
      </c>
    </row>
    <row r="14">
      <c r="AB14" s="8" t="inlineStr">
        <is>
          <t>Dr. Öğr. Üyesi Yiğitcan KARANFİL</t>
        </is>
      </c>
      <c r="AC14" s="8">
        <f>COUNTIFS(Başvuru!$D$2:$D$2158, "*" &amp; AB14 &amp; "*")</f>
        <v/>
      </c>
      <c r="AD14" s="8" t="inlineStr">
        <is>
          <t>Spor Hekimliği Anabilim Dalı</t>
        </is>
      </c>
      <c r="AE14" s="218">
        <f>COUNTIFS(Başvuru!$C$2:$C$2158, "*" &amp; AD14 &amp; "*")</f>
        <v/>
      </c>
    </row>
    <row r="15">
      <c r="AB15" s="8" t="inlineStr">
        <is>
          <t>Prof. Dr. Ali Fuat KALYONCU</t>
        </is>
      </c>
      <c r="AC15" s="8">
        <f>COUNTIFS(Başvuru!$D$2:$D$2158, "*" &amp; AB15 &amp; "*")</f>
        <v/>
      </c>
      <c r="AD15" s="8" t="inlineStr">
        <is>
          <t>Göğüs Hastalıkları Anabilim Dalı</t>
        </is>
      </c>
      <c r="AE15" s="218">
        <f>COUNTIFS(Başvuru!$C$2:$C$2158, "*" &amp; AD15 &amp; "*")</f>
        <v/>
      </c>
    </row>
    <row r="16">
      <c r="AB16" s="8" t="inlineStr">
        <is>
          <t>Prof. Dr. Gül KARAKAYA</t>
        </is>
      </c>
      <c r="AC16" s="8">
        <f>COUNTIFS(Başvuru!$D$2:$D$2158, "*" &amp; AB16 &amp; "*")</f>
        <v/>
      </c>
      <c r="AD16" s="8" t="inlineStr">
        <is>
          <t>Göğüs Hastalıkları Anabilim Dalı</t>
        </is>
      </c>
      <c r="AE16" s="218">
        <f>COUNTIFS(Başvuru!$C$2:$C$2158, "*" &amp; AD16 &amp; "*")</f>
        <v/>
      </c>
    </row>
    <row r="17">
      <c r="AB17" s="8" t="inlineStr">
        <is>
          <t>Prof. Dr. Banu KILIÇASLAN</t>
        </is>
      </c>
      <c r="AC17" s="8">
        <f>COUNTIFS(Başvuru!$D$2:$D$2158, "*" &amp; AB17 &amp; "*")</f>
        <v/>
      </c>
      <c r="AD17" s="8" t="inlineStr">
        <is>
          <t>Anesteziyoloji ve Reanimasyon Anabilim Dalı</t>
        </is>
      </c>
      <c r="AE17" s="218">
        <f>COUNTIFS(Başvuru!$C$2:$C$2158, "*" &amp; AD17 &amp; "*")</f>
        <v/>
      </c>
    </row>
    <row r="18">
      <c r="AB18" s="8" t="inlineStr">
        <is>
          <t>Doç. Dr. Ulaş KUMBASAR</t>
        </is>
      </c>
      <c r="AC18" s="8">
        <f>COUNTIFS(Başvuru!$D$2:$D$2158, "*" &amp; AB18 &amp; "*")</f>
        <v/>
      </c>
      <c r="AD18" s="8" t="inlineStr">
        <is>
          <t>Göğüs Cerrahisi Anabilim Dalı</t>
        </is>
      </c>
      <c r="AE18" s="218">
        <f>COUNTIFS(Başvuru!$C$2:$C$2158, "*" &amp; AD18 &amp; "*")</f>
        <v/>
      </c>
    </row>
    <row r="19">
      <c r="AB19" s="8" t="inlineStr">
        <is>
          <t>Dr. Öğr. Üyesi Figen BEZCİ AYGÜN</t>
        </is>
      </c>
      <c r="AC19" s="8">
        <f>COUNTIFS(Başvuru!$D$2:$D$2158, "*" &amp; AB19 &amp; "*")</f>
        <v/>
      </c>
      <c r="AD19" s="8" t="inlineStr">
        <is>
          <t>Göz Hastalıkları Anabilim Dalı</t>
        </is>
      </c>
      <c r="AE19" s="218">
        <f>COUNTIFS(Başvuru!$C$2:$C$2158, "*" &amp; AD19 &amp; "*")</f>
        <v/>
      </c>
    </row>
    <row r="20">
      <c r="AB20" s="8" t="inlineStr">
        <is>
          <t>Dr. Öğr. Üyesi Figen BEZCİ AYGÜN</t>
        </is>
      </c>
      <c r="AC20" s="8">
        <f>COUNTIFS(Başvuru!$D$2:$D$2158, "*" &amp; AB20 &amp; "*")</f>
        <v/>
      </c>
      <c r="AD20" s="8" t="inlineStr">
        <is>
          <t>Göz Hastalıkları Anabilim Dalı</t>
        </is>
      </c>
      <c r="AE20" s="218">
        <f>COUNTIFS(Başvuru!$C$2:$C$2158, "*" &amp; AD20 &amp; "*")</f>
        <v/>
      </c>
    </row>
    <row r="21">
      <c r="AB21" s="8" t="inlineStr">
        <is>
          <t>Prof. Dr. Oğuz IŞIK</t>
        </is>
      </c>
      <c r="AC21" s="8">
        <f>COUNTIFS(Başvuru!$D$2:$D$2158, "*" &amp; AB21 &amp; "*")</f>
        <v/>
      </c>
      <c r="AD21" s="8" t="inlineStr">
        <is>
          <t>Sağlık Yönetimi Anabilim Dalı</t>
        </is>
      </c>
      <c r="AE21" s="218">
        <f>COUNTIFS(Başvuru!$C$2:$C$2158, "*" &amp; AD21 &amp; "*")</f>
        <v/>
      </c>
    </row>
    <row r="22">
      <c r="AB22" s="8" t="inlineStr">
        <is>
          <t>Doç. Dr. Dilek ÜNAL</t>
        </is>
      </c>
      <c r="AC22" s="8">
        <f>COUNTIFS(Başvuru!$D$2:$D$2158, "*" &amp; AB22 &amp; "*")</f>
        <v/>
      </c>
      <c r="AD22" s="8" t="inlineStr">
        <is>
          <t>Çocuk ve Ergen Ruh Sağlığı ve Hastalıkları Anabilim Dalı</t>
        </is>
      </c>
      <c r="AE22" s="218">
        <f>COUNTIFS(Başvuru!$C$2:$C$2158, "*" &amp; AD22 &amp; "*")</f>
        <v/>
      </c>
    </row>
    <row r="23">
      <c r="AB23" s="8" t="inlineStr">
        <is>
          <t>Prof. Dr. Emre TOSUN</t>
        </is>
      </c>
      <c r="AC23" s="8">
        <f>COUNTIFS(Başvuru!$D$2:$D$2158, "*" &amp; AB23 &amp; "*")</f>
        <v/>
      </c>
      <c r="AD23" s="8" t="inlineStr">
        <is>
          <t>Ağız, Diş ve Çene Cerrahisi Anabilim Dalı</t>
        </is>
      </c>
      <c r="AE23" s="218">
        <f>COUNTIFS(Başvuru!$C$2:$C$2158, "*" &amp; AD23 &amp; "*")</f>
        <v/>
      </c>
    </row>
    <row r="24">
      <c r="AB24" s="8" t="inlineStr">
        <is>
          <t>Prof. Dr. Seza ÖZEN</t>
        </is>
      </c>
      <c r="AC24" s="8">
        <f>COUNTIFS(Başvuru!$D$2:$D$2158, "*" &amp; AB24 &amp; "*")</f>
        <v/>
      </c>
      <c r="AD24" s="8" t="inlineStr">
        <is>
          <t>Çocuk Sağlığı ve Hastalıkları Anabilim Dalı</t>
        </is>
      </c>
      <c r="AE24" s="218">
        <f>COUNTIFS(Başvuru!$C$2:$C$2158, "*" &amp; AD24 &amp; "*")</f>
        <v/>
      </c>
    </row>
    <row r="25">
      <c r="AB25" s="8" t="inlineStr">
        <is>
          <t>Dr. Öğr. Üyesi Gonca ÖZTEN</t>
        </is>
      </c>
      <c r="AC25" s="8">
        <f>COUNTIFS(Başvuru!$D$2:$D$2158, "*" &amp; AB25 &amp; "*")</f>
        <v/>
      </c>
      <c r="AD25" s="8" t="inlineStr">
        <is>
          <t>Kadın Hastalıkları ve Doğum Anabilim Dalı</t>
        </is>
      </c>
      <c r="AE25" s="218">
        <f>COUNTIFS(Başvuru!$C$2:$C$2158, "*" &amp; AD25 &amp; "*")</f>
        <v/>
      </c>
    </row>
    <row r="26">
      <c r="AB26" s="8" t="inlineStr">
        <is>
          <t>Prof. Dr. Hikmet YORGUN</t>
        </is>
      </c>
      <c r="AC26" s="8">
        <f>COUNTIFS(Başvuru!$D$2:$D$2158, "*" &amp; AB26 &amp; "*")</f>
        <v/>
      </c>
      <c r="AD26" s="8" t="inlineStr">
        <is>
          <t>Kardiyoloji Anabilim Dalı</t>
        </is>
      </c>
      <c r="AE26" s="218">
        <f>COUNTIFS(Başvuru!$C$2:$C$2158, "*" &amp; AD26 &amp; "*")</f>
        <v/>
      </c>
    </row>
    <row r="27">
      <c r="AB27" s="8" t="inlineStr">
        <is>
          <t>Dr. Öğr. Üyesi Yiğitcan KARANFİL</t>
        </is>
      </c>
      <c r="AC27" s="8">
        <f>COUNTIFS(Başvuru!$D$2:$D$2158, "*" &amp; AB27 &amp; "*")</f>
        <v/>
      </c>
      <c r="AD27" s="8" t="inlineStr">
        <is>
          <t>Spor Hekimliği Anabilim Dalı</t>
        </is>
      </c>
      <c r="AE27" s="218">
        <f>COUNTIFS(Başvuru!$C$2:$C$2158, "*" &amp; AD27 &amp; "*")</f>
        <v/>
      </c>
    </row>
    <row r="28">
      <c r="AB28" s="8" t="inlineStr">
        <is>
          <t>Doç. Dr. Levent KILIÇ</t>
        </is>
      </c>
      <c r="AC28" s="8">
        <f>COUNTIFS(Başvuru!$D$2:$D$2158, "*" &amp; AB28 &amp; "*")</f>
        <v/>
      </c>
      <c r="AD28" s="8" t="inlineStr">
        <is>
          <t>İç Hastalıkları Anabilim Dalı</t>
        </is>
      </c>
      <c r="AE28" s="218">
        <f>COUNTIFS(Başvuru!$C$2:$C$2158, "*" &amp; AD28 &amp; "*")</f>
        <v/>
      </c>
    </row>
    <row r="29">
      <c r="AB29" s="8" t="inlineStr">
        <is>
          <t>Prof. Dr. Kudret AYTEMİR</t>
        </is>
      </c>
      <c r="AC29" s="8">
        <f>COUNTIFS(Başvuru!$D$2:$D$2158, "*" &amp; AB29 &amp; "*")</f>
        <v/>
      </c>
      <c r="AD29" s="8" t="inlineStr">
        <is>
          <t>Kardiyoloji Anabilim Dalı</t>
        </is>
      </c>
      <c r="AE29" s="218">
        <f>COUNTIFS(Başvuru!$C$2:$C$2158, "*" &amp; AD29 &amp; "*")</f>
        <v/>
      </c>
    </row>
    <row r="30">
      <c r="AB30" s="8" t="inlineStr">
        <is>
          <t>Prof. Dr. Ali Fuat KALYONCU</t>
        </is>
      </c>
      <c r="AC30" s="8">
        <f>COUNTIFS(Başvuru!$D$2:$D$2158, "*" &amp; AB30 &amp; "*")</f>
        <v/>
      </c>
      <c r="AD30" s="8" t="inlineStr">
        <is>
          <t>Göğüs Hastalıkları Anabilim Dalı</t>
        </is>
      </c>
      <c r="AE30" s="218">
        <f>COUNTIFS(Başvuru!$C$2:$C$2158, "*" &amp; AD30 &amp; "*")</f>
        <v/>
      </c>
    </row>
    <row r="31">
      <c r="AB31" s="8" t="inlineStr">
        <is>
          <t>Prof. Dr. Ali Fuat KALYONCU</t>
        </is>
      </c>
      <c r="AC31" s="8">
        <f>COUNTIFS(Başvuru!$D$2:$D$2158, "*" &amp; AB31 &amp; "*")</f>
        <v/>
      </c>
      <c r="AD31" s="8" t="inlineStr">
        <is>
          <t>Göğüs Hastalıkları Anabilim Dalı</t>
        </is>
      </c>
      <c r="AE31" s="218">
        <f>COUNTIFS(Başvuru!$C$2:$C$2158, "*" &amp; AD31 &amp; "*")</f>
        <v/>
      </c>
    </row>
    <row r="32">
      <c r="AB32" s="8" t="inlineStr">
        <is>
          <t>Prof. Dr. Ebru DAMADOĞLU</t>
        </is>
      </c>
      <c r="AC32" s="8">
        <f>COUNTIFS(Başvuru!$D$2:$D$2158, "*" &amp; AB32 &amp; "*")</f>
        <v/>
      </c>
      <c r="AD32" s="8" t="inlineStr">
        <is>
          <t>Göğüs Hastalıkları Anabilim Dalı</t>
        </is>
      </c>
      <c r="AE32" s="218">
        <f>COUNTIFS(Başvuru!$C$2:$C$2158, "*" &amp; AD32 &amp; "*")</f>
        <v/>
      </c>
    </row>
    <row r="33">
      <c r="AB33" s="8" t="inlineStr">
        <is>
          <t>Prof. Dr. Meltem Gülhan HALİL</t>
        </is>
      </c>
      <c r="AC33" s="8">
        <f>COUNTIFS(Başvuru!$D$2:$D$2158, "*" &amp; AB33 &amp; "*")</f>
        <v/>
      </c>
      <c r="AD33" s="8" t="inlineStr">
        <is>
          <t>İç Hastalıkları Anabilim Dalı</t>
        </is>
      </c>
      <c r="AE33" s="218">
        <f>COUNTIFS(Başvuru!$C$2:$C$2158, "*" &amp; AD33 &amp; "*")</f>
        <v/>
      </c>
    </row>
    <row r="34">
      <c r="AB34" s="8" t="inlineStr">
        <is>
          <t>Öğr. Gör. Dr. Bahattin PASLI</t>
        </is>
      </c>
      <c r="AC34" s="8">
        <f>COUNTIFS(Başvuru!$D$2:$D$2158, "*" &amp; AB34 &amp; "*")</f>
        <v/>
      </c>
      <c r="AD34" s="8" t="inlineStr">
        <is>
          <t>Anatomi Anabilim Dalı</t>
        </is>
      </c>
      <c r="AE34" s="218">
        <f>COUNTIFS(Başvuru!$C$2:$C$2158, "*" &amp; AD34 &amp; "*")</f>
        <v/>
      </c>
    </row>
    <row r="35">
      <c r="AB35" s="8" t="inlineStr">
        <is>
          <t>Öğr. Gör. Dr. Bahattin PASLI</t>
        </is>
      </c>
      <c r="AC35" s="8">
        <f>COUNTIFS(Başvuru!$D$2:$D$2158, "*" &amp; AB35 &amp; "*")</f>
        <v/>
      </c>
      <c r="AD35" s="8" t="inlineStr">
        <is>
          <t>Anatomi Anabilim Dalı</t>
        </is>
      </c>
      <c r="AE35" s="218">
        <f>COUNTIFS(Başvuru!$C$2:$C$2158, "*" &amp; AD35 &amp; "*")</f>
        <v/>
      </c>
    </row>
    <row r="36">
      <c r="AB36" s="8" t="inlineStr">
        <is>
          <t>Prof. Dr. Müzeyyen Pınar ÖZGEN KIRATLI</t>
        </is>
      </c>
      <c r="AC36" s="8">
        <f>COUNTIFS(Başvuru!$D$2:$D$2158, "*" &amp; AB36 &amp; "*")</f>
        <v/>
      </c>
      <c r="AD36" s="8" t="inlineStr">
        <is>
          <t>Nükleer Tıp Anabilim Dalı</t>
        </is>
      </c>
      <c r="AE36" s="218">
        <f>COUNTIFS(Başvuru!$C$2:$C$2158, "*" &amp; AD36 &amp; "*")</f>
        <v/>
      </c>
    </row>
    <row r="37">
      <c r="AB37" s="8" t="inlineStr">
        <is>
          <t>Prof. Dr. Yasemin ÖZSÜREKCİ</t>
        </is>
      </c>
      <c r="AC37" s="8">
        <f>COUNTIFS(Başvuru!$D$2:$D$2158, "*" &amp; AB37 &amp; "*")</f>
        <v/>
      </c>
      <c r="AD37" s="8" t="inlineStr">
        <is>
          <t>Çocuk Sağlığı ve Hastalıkları Anabilim Dalı</t>
        </is>
      </c>
      <c r="AE37" s="218">
        <f>COUNTIFS(Başvuru!$C$2:$C$2158, "*" &amp; AD37 &amp; "*")</f>
        <v/>
      </c>
    </row>
    <row r="38">
      <c r="AB38" s="8" t="inlineStr">
        <is>
          <t>Öğr. Gör. Dr. Burçay TELLİOĞLU</t>
        </is>
      </c>
      <c r="AC38" s="8">
        <f>COUNTIFS(Başvuru!$D$2:$D$2158, "*" &amp; AB38 &amp; "*")</f>
        <v/>
      </c>
      <c r="AD38" s="8" t="inlineStr">
        <is>
          <t>Kulak Burun Boğaz Anabilim Dalı</t>
        </is>
      </c>
      <c r="AE38" s="218">
        <f>COUNTIFS(Başvuru!$C$2:$C$2158, "*" &amp; AD38 &amp; "*")</f>
        <v/>
      </c>
    </row>
    <row r="39">
      <c r="AB39" s="8" t="inlineStr">
        <is>
          <t>Doç. Dr. Hande GÖRÜCÜ COŞKUNER</t>
        </is>
      </c>
      <c r="AC39" s="8">
        <f>COUNTIFS(Başvuru!$D$2:$D$2158, "*" &amp; AB39 &amp; "*")</f>
        <v/>
      </c>
      <c r="AD39" s="8" t="inlineStr">
        <is>
          <t>Ortodonti Anabilim Dalı</t>
        </is>
      </c>
      <c r="AE39" s="218">
        <f>COUNTIFS(Başvuru!$C$2:$C$2158, "*" &amp; AD39 &amp; "*")</f>
        <v/>
      </c>
    </row>
    <row r="40">
      <c r="AB40" s="8" t="inlineStr">
        <is>
          <t>Doç. Dr. Saliha ESENBOĞA</t>
        </is>
      </c>
      <c r="AC40" s="8">
        <f>COUNTIFS(Başvuru!$D$2:$D$2158, "*" &amp; AB40 &amp; "*")</f>
        <v/>
      </c>
      <c r="AD40" s="8" t="inlineStr">
        <is>
          <t>Çocuk Sağlığı ve Hastalıkları Anabilim Dalı</t>
        </is>
      </c>
      <c r="AE40" s="218">
        <f>COUNTIFS(Başvuru!$C$2:$C$2158, "*" &amp; AD40 &amp; "*")</f>
        <v/>
      </c>
    </row>
    <row r="41">
      <c r="AB41" s="8" t="inlineStr">
        <is>
          <t>Dr. Öğr. Üyesi Ahmet KIVRAK</t>
        </is>
      </c>
      <c r="AC41" s="8">
        <f>COUNTIFS(Başvuru!$D$2:$D$2158, "*" &amp; AB41 &amp; "*")</f>
        <v/>
      </c>
      <c r="AD41" s="8" t="inlineStr">
        <is>
          <t>Kardiyoloji Anabilim Dalı</t>
        </is>
      </c>
      <c r="AE41" s="218">
        <f>COUNTIFS(Başvuru!$C$2:$C$2158, "*" &amp; AD41 &amp; "*")</f>
        <v/>
      </c>
    </row>
    <row r="42">
      <c r="AB42" s="8" t="inlineStr">
        <is>
          <t>Dr. Öğr. Üyesi Ahmet KIVRAK</t>
        </is>
      </c>
      <c r="AC42" s="8">
        <f>COUNTIFS(Başvuru!$D$2:$D$2158, "*" &amp; AB42 &amp; "*")</f>
        <v/>
      </c>
      <c r="AD42" s="8" t="inlineStr">
        <is>
          <t>Kardiyoloji Anabilim Dalı</t>
        </is>
      </c>
      <c r="AE42" s="218">
        <f>COUNTIFS(Başvuru!$C$2:$C$2158, "*" &amp; AD42 &amp; "*")</f>
        <v/>
      </c>
    </row>
    <row r="43">
      <c r="AB43" s="8" t="inlineStr">
        <is>
          <t>Dr. Öğr. Üyesi Ahmet KIVRAK</t>
        </is>
      </c>
      <c r="AC43" s="8">
        <f>COUNTIFS(Başvuru!$D$2:$D$2158, "*" &amp; AB43 &amp; "*")</f>
        <v/>
      </c>
      <c r="AD43" s="8" t="inlineStr">
        <is>
          <t>Kardiyoloji Anabilim Dalı</t>
        </is>
      </c>
      <c r="AE43" s="218">
        <f>COUNTIFS(Başvuru!$C$2:$C$2158, "*" &amp; AD43 &amp; "*")</f>
        <v/>
      </c>
    </row>
    <row r="44">
      <c r="AB44" s="8" t="inlineStr">
        <is>
          <t>Prof. Dr. Bülent ALTUN</t>
        </is>
      </c>
      <c r="AC44" s="8">
        <f>COUNTIFS(Başvuru!$D$2:$D$2158, "*" &amp; AB44 &amp; "*")</f>
        <v/>
      </c>
      <c r="AD44" s="8" t="inlineStr">
        <is>
          <t>İç Hastalıkları Anabilim Dalı</t>
        </is>
      </c>
      <c r="AE44" s="218">
        <f>COUNTIFS(Başvuru!$C$2:$C$2158, "*" &amp; AD44 &amp; "*")</f>
        <v/>
      </c>
    </row>
    <row r="45">
      <c r="AB45" s="8" t="inlineStr">
        <is>
          <t>Prof. Dr. Dilek ASLAN</t>
        </is>
      </c>
      <c r="AC45" s="8">
        <f>COUNTIFS(Başvuru!$D$2:$D$2158, "*" &amp; AB45 &amp; "*")</f>
        <v/>
      </c>
      <c r="AD45" s="8" t="inlineStr">
        <is>
          <t>Halk Sağlığı Anabilim Dalı</t>
        </is>
      </c>
      <c r="AE45" s="218">
        <f>COUNTIFS(Başvuru!$C$2:$C$2158, "*" &amp; AD45 &amp; "*")</f>
        <v/>
      </c>
    </row>
    <row r="46">
      <c r="AB46" s="8" t="inlineStr">
        <is>
          <t>Prof. Dr. Ali DÜZOVA</t>
        </is>
      </c>
      <c r="AC46" s="8">
        <f>COUNTIFS(Başvuru!$D$2:$D$2158, "*" &amp; AB46 &amp; "*")</f>
        <v/>
      </c>
      <c r="AD46" s="8" t="inlineStr">
        <is>
          <t>Çocuk Sağlığı ve Hastalıkları Anabilim Dalı</t>
        </is>
      </c>
      <c r="AE46" s="218">
        <f>COUNTIFS(Başvuru!$C$2:$C$2158, "*" &amp; AD46 &amp; "*")</f>
        <v/>
      </c>
    </row>
    <row r="47">
      <c r="AB47" s="8" t="inlineStr">
        <is>
          <t>Prof. Dr. Petek KORKUSUZ</t>
        </is>
      </c>
      <c r="AC47" s="8">
        <f>COUNTIFS(Başvuru!$D$2:$D$2158, "*" &amp; AB47 &amp; "*")</f>
        <v/>
      </c>
      <c r="AD47" s="8" t="inlineStr">
        <is>
          <t>Histoloji ve Embriyoloji Anabilim Dalı</t>
        </is>
      </c>
      <c r="AE47" s="218">
        <f>COUNTIFS(Başvuru!$C$2:$C$2158, "*" &amp; AD47 &amp; "*")</f>
        <v/>
      </c>
    </row>
    <row r="48">
      <c r="AB48" s="8" t="inlineStr">
        <is>
          <t>Prof. Dr. Sibel ERSOY EVANS</t>
        </is>
      </c>
      <c r="AC48" s="8">
        <f>COUNTIFS(Başvuru!$D$2:$D$2158, "*" &amp; AB48 &amp; "*")</f>
        <v/>
      </c>
      <c r="AD48" s="8" t="inlineStr">
        <is>
          <t>Deri ve Zührevi Hastalıklar Anabilim Dalı</t>
        </is>
      </c>
      <c r="AE48" s="218">
        <f>COUNTIFS(Başvuru!$C$2:$C$2158, "*" &amp; AD48 &amp; "*")</f>
        <v/>
      </c>
    </row>
    <row r="49">
      <c r="AB49" s="8" t="inlineStr">
        <is>
          <t>Prof. Dr. Oya ÖZDEMİR</t>
        </is>
      </c>
      <c r="AC49" s="8">
        <f>COUNTIFS(Başvuru!$D$2:$D$2158, "*" &amp; AB49 &amp; "*")</f>
        <v/>
      </c>
      <c r="AD49" s="8" t="inlineStr">
        <is>
          <t>Fiziksel Tıp ve Rehabilitasyon Anabilim Dalı</t>
        </is>
      </c>
      <c r="AE49" s="218">
        <f>COUNTIFS(Başvuru!$C$2:$C$2158, "*" &amp; AD49 &amp; "*")</f>
        <v/>
      </c>
    </row>
    <row r="50">
      <c r="AB50" s="8" t="inlineStr">
        <is>
          <t>Prof. Dr. Bahar GÜÇİZ DOĞAN</t>
        </is>
      </c>
      <c r="AC50" s="8">
        <f>COUNTIFS(Başvuru!$D$2:$D$2158, "*" &amp; AB50 &amp; "*")</f>
        <v/>
      </c>
      <c r="AD50" s="8" t="inlineStr">
        <is>
          <t>Sağlık Araştırmaları Anabilim Dalı</t>
        </is>
      </c>
      <c r="AE50" s="218">
        <f>COUNTIFS(Başvuru!$C$2:$C$2158, "*" &amp; AD50 &amp; "*")</f>
        <v/>
      </c>
    </row>
    <row r="51">
      <c r="AB51" s="8" t="inlineStr">
        <is>
          <t>Doç. Dr. Erdem FADILOĞLU</t>
        </is>
      </c>
      <c r="AC51" s="8">
        <f>COUNTIFS(Başvuru!$D$2:$D$2158, "*" &amp; AB51 &amp; "*")</f>
        <v/>
      </c>
      <c r="AD51" s="8" t="inlineStr">
        <is>
          <t>Kadın Hastalıkları ve Doğum Anabilim Dalı</t>
        </is>
      </c>
      <c r="AE51" s="218">
        <f>COUNTIFS(Başvuru!$C$2:$C$2158, "*" &amp; AD51 &amp; "*")</f>
        <v/>
      </c>
    </row>
    <row r="52">
      <c r="AB52" s="8" t="inlineStr">
        <is>
          <t>Prof. Dr. Mehmet Akif TOPÇUOĞLU</t>
        </is>
      </c>
      <c r="AC52" s="8">
        <f>COUNTIFS(Başvuru!$D$2:$D$2158, "*" &amp; AB52 &amp; "*")</f>
        <v/>
      </c>
      <c r="AD52" s="8" t="inlineStr">
        <is>
          <t>Nöroloji Anabilim Dalı</t>
        </is>
      </c>
      <c r="AE52" s="218">
        <f>COUNTIFS(Başvuru!$C$2:$C$2158, "*" &amp; AD52 &amp; "*")</f>
        <v/>
      </c>
    </row>
    <row r="53">
      <c r="AB53" s="8" t="inlineStr">
        <is>
          <t>Doç. Dr. Başak YALICI ARMAĞAN</t>
        </is>
      </c>
      <c r="AC53" s="8">
        <f>COUNTIFS(Başvuru!$D$2:$D$2158, "*" &amp; AB53 &amp; "*")</f>
        <v/>
      </c>
      <c r="AD53" s="8" t="inlineStr">
        <is>
          <t>Deri ve Zührevi Hastalıklar Anabilim Dalı</t>
        </is>
      </c>
      <c r="AE53" s="218">
        <f>COUNTIFS(Başvuru!$C$2:$C$2158, "*" &amp; AD53 &amp; "*")</f>
        <v/>
      </c>
    </row>
    <row r="54">
      <c r="AB54" s="8" t="inlineStr">
        <is>
          <t>Doç. Dr. Neslihan AKDOĞAN</t>
        </is>
      </c>
      <c r="AC54" s="8">
        <f>COUNTIFS(Başvuru!$D$2:$D$2158, "*" &amp; AB54 &amp; "*")</f>
        <v/>
      </c>
      <c r="AD54" s="8" t="inlineStr">
        <is>
          <t>Deri ve Zührevi Hastalıklar Anabilim Dalı</t>
        </is>
      </c>
      <c r="AE54" s="218">
        <f>COUNTIFS(Başvuru!$C$2:$C$2158, "*" &amp; AD54 &amp; "*")</f>
        <v/>
      </c>
    </row>
    <row r="55">
      <c r="AB55" s="8" t="inlineStr">
        <is>
          <t>Prof. Dr. Deniz ÇAĞDAŞ AYVAZ</t>
        </is>
      </c>
      <c r="AC55" s="8">
        <f>COUNTIFS(Başvuru!$D$2:$D$2158, "*" &amp; AB55 &amp; "*")</f>
        <v/>
      </c>
      <c r="AD55" s="8" t="inlineStr">
        <is>
          <t>Çocuk Sağlığı ve Hastalıkları Anabilim Dalı</t>
        </is>
      </c>
      <c r="AE55" s="218">
        <f>COUNTIFS(Başvuru!$C$2:$C$2158, "*" &amp; AD55 &amp; "*")</f>
        <v/>
      </c>
    </row>
    <row r="56">
      <c r="AB56" s="8" t="inlineStr">
        <is>
          <t>Prof. Dr. Tutku SOYER</t>
        </is>
      </c>
      <c r="AC56" s="8">
        <f>COUNTIFS(Başvuru!$D$2:$D$2158, "*" &amp; AB56 &amp; "*")</f>
        <v/>
      </c>
      <c r="AD56" s="8" t="inlineStr">
        <is>
          <t>Çocuk Cerrahisi Anabilim Dalı</t>
        </is>
      </c>
      <c r="AE56" s="218">
        <f>COUNTIFS(Başvuru!$C$2:$C$2158, "*" &amp; AD56 &amp; "*")</f>
        <v/>
      </c>
    </row>
    <row r="57">
      <c r="AB57" s="8" t="inlineStr">
        <is>
          <t>Prof. Dr. Mehmet AYVAZ</t>
        </is>
      </c>
      <c r="AC57" s="8">
        <f>COUNTIFS(Başvuru!$D$2:$D$2158, "*" &amp; AB57 &amp; "*")</f>
        <v/>
      </c>
      <c r="AD57" s="8" t="inlineStr">
        <is>
          <t>Ortopedi ve Travmatoloji Anabilim Dalı</t>
        </is>
      </c>
      <c r="AE57" s="218">
        <f>COUNTIFS(Başvuru!$C$2:$C$2158, "*" &amp; AD57 &amp; "*")</f>
        <v/>
      </c>
    </row>
    <row r="58">
      <c r="AB58" s="8" t="inlineStr">
        <is>
          <t>Prof. Dr. Salih Kutay DEMİRKAN</t>
        </is>
      </c>
      <c r="AC58" s="8">
        <f>COUNTIFS(Başvuru!$D$2:$D$2158, "*" &amp; AB58 &amp; "*")</f>
        <v/>
      </c>
      <c r="AD58" s="8" t="inlineStr">
        <is>
          <t>Klinik Eczacılık Anabilim Dalı</t>
        </is>
      </c>
      <c r="AE58" s="218">
        <f>COUNTIFS(Başvuru!$C$2:$C$2158, "*" &amp; AD58 &amp; "*")</f>
        <v/>
      </c>
    </row>
    <row r="59">
      <c r="AB59" s="8" t="inlineStr">
        <is>
          <t>Prof. Dr. Hasan Serkan DOĞAN</t>
        </is>
      </c>
      <c r="AC59" s="8">
        <f>COUNTIFS(Başvuru!$D$2:$D$2158, "*" &amp; AB59 &amp; "*")</f>
        <v/>
      </c>
      <c r="AD59" s="8" t="inlineStr">
        <is>
          <t>Üroloji Anabilim Dalı</t>
        </is>
      </c>
      <c r="AE59" s="218">
        <f>COUNTIFS(Başvuru!$C$2:$C$2158, "*" &amp; AD59 &amp; "*")</f>
        <v/>
      </c>
    </row>
    <row r="60">
      <c r="AB60" s="8" t="inlineStr">
        <is>
          <t>Prof. Dr. Deniz ÇAĞDAŞ AYVAZ</t>
        </is>
      </c>
      <c r="AC60" s="8">
        <f>COUNTIFS(Başvuru!$D$2:$D$2158, "*" &amp; AB60 &amp; "*")</f>
        <v/>
      </c>
      <c r="AD60" s="8" t="inlineStr">
        <is>
          <t>Çocuk Sağlığı ve Hastalıkları Anabilim Dalı</t>
        </is>
      </c>
      <c r="AE60" s="218">
        <f>COUNTIFS(Başvuru!$C$2:$C$2158, "*" &amp; AD60 &amp; "*")</f>
        <v/>
      </c>
    </row>
    <row r="61">
      <c r="AB61" s="8" t="inlineStr">
        <is>
          <t>Prof. Dr. Kıvanç AKÇA</t>
        </is>
      </c>
      <c r="AC61" s="8">
        <f>COUNTIFS(Başvuru!$D$2:$D$2158, "*" &amp; AB61 &amp; "*")</f>
        <v/>
      </c>
      <c r="AD61" s="8" t="inlineStr">
        <is>
          <t>Protetik Diş Tedavisi Anabilim Dalı</t>
        </is>
      </c>
      <c r="AE61" s="218">
        <f>COUNTIFS(Başvuru!$C$2:$C$2158, "*" &amp; AD61 &amp; "*")</f>
        <v/>
      </c>
    </row>
    <row r="62">
      <c r="AB62" s="8" t="inlineStr">
        <is>
          <t>Dr. Öğr. Üyesi Burcu KELLECİ ÇAKIR</t>
        </is>
      </c>
      <c r="AC62" s="8">
        <f>COUNTIFS(Başvuru!$D$2:$D$2158, "*" &amp; AB62 &amp; "*")</f>
        <v/>
      </c>
      <c r="AD62" s="8" t="inlineStr">
        <is>
          <t>Klinik Eczacılık Anabilim Dalı</t>
        </is>
      </c>
      <c r="AE62" s="218">
        <f>COUNTIFS(Başvuru!$C$2:$C$2158, "*" &amp; AD62 &amp; "*")</f>
        <v/>
      </c>
    </row>
    <row r="63">
      <c r="AB63" s="8" t="inlineStr">
        <is>
          <t>Prof. Dr. Fatma Gökçem YILDIZ SARIKAYA</t>
        </is>
      </c>
      <c r="AC63" s="8">
        <f>COUNTIFS(Başvuru!$D$2:$D$2158, "*" &amp; AB63 &amp; "*")</f>
        <v/>
      </c>
      <c r="AD63" s="8" t="inlineStr">
        <is>
          <t>Nöroloji Anabilim Dalı</t>
        </is>
      </c>
      <c r="AE63" s="218">
        <f>COUNTIFS(Başvuru!$C$2:$C$2158, "*" &amp; AD63 &amp; "*")</f>
        <v/>
      </c>
    </row>
    <row r="64">
      <c r="AB64" s="8" t="inlineStr">
        <is>
          <t>Prof. Dr. Cengiz KILIÇ</t>
        </is>
      </c>
      <c r="AC64" s="8">
        <f>COUNTIFS(Başvuru!$D$2:$D$2158, "*" &amp; AB64 &amp; "*")</f>
        <v/>
      </c>
      <c r="AD64" s="8" t="inlineStr">
        <is>
          <t>Ruh Sağlığı ve Hastalıkları Anabilim Dalı</t>
        </is>
      </c>
      <c r="AE64" s="218">
        <f>COUNTIFS(Başvuru!$C$2:$C$2158, "*" &amp; AD64 &amp; "*")</f>
        <v/>
      </c>
    </row>
    <row r="65">
      <c r="AB65" s="8" t="inlineStr">
        <is>
          <t>Prof. Dr. Cengiz KILIÇ</t>
        </is>
      </c>
      <c r="AC65" s="8">
        <f>COUNTIFS(Başvuru!$D$2:$D$2158, "*" &amp; AB65 &amp; "*")</f>
        <v/>
      </c>
      <c r="AD65" s="8" t="inlineStr">
        <is>
          <t>Ruh Sağlığı ve Hastalıkları Anabilim Dalı</t>
        </is>
      </c>
      <c r="AE65" s="218">
        <f>COUNTIFS(Başvuru!$C$2:$C$2158, "*" &amp; AD65 &amp; "*")</f>
        <v/>
      </c>
    </row>
    <row r="66">
      <c r="AB66" s="8" t="inlineStr">
        <is>
          <t>Dr. Öğr. Üyesi Serkan UYSAL</t>
        </is>
      </c>
      <c r="AC66" s="8">
        <f>COUNTIFS(Başvuru!$D$2:$D$2158, "*" &amp; AB66 &amp; "*")</f>
        <v/>
      </c>
      <c r="AD66" s="8" t="inlineStr">
        <is>
          <t>Göğüs Cerrahisi Anabilim Dalı</t>
        </is>
      </c>
      <c r="AE66" s="218">
        <f>COUNTIFS(Başvuru!$C$2:$C$2158, "*" &amp; AD66 &amp; "*")</f>
        <v/>
      </c>
    </row>
    <row r="67">
      <c r="AB67" s="8" t="inlineStr">
        <is>
          <t>Arş. Gör. Dr. Aycan UYSAL</t>
        </is>
      </c>
      <c r="AC67" s="8">
        <f>COUNTIFS(Başvuru!$D$2:$D$2158, "*" &amp; AB67 &amp; "*")</f>
        <v/>
      </c>
      <c r="AD67" s="8" t="inlineStr">
        <is>
          <t>Radyoloji Anabilim Dalı</t>
        </is>
      </c>
      <c r="AE67" s="218">
        <f>COUNTIFS(Başvuru!$C$2:$C$2158, "*" &amp; AD67 &amp; "*")</f>
        <v/>
      </c>
    </row>
    <row r="68">
      <c r="AB68" s="8" t="inlineStr">
        <is>
          <t>Doç. Dr. Ekim GÜMELER</t>
        </is>
      </c>
      <c r="AC68" s="8">
        <f>COUNTIFS(Başvuru!$D$2:$D$2158, "*" &amp; AB68 &amp; "*")</f>
        <v/>
      </c>
      <c r="AD68" s="8" t="inlineStr">
        <is>
          <t>Radyoloji Anabilim Dalı</t>
        </is>
      </c>
      <c r="AE68" s="218">
        <f>COUNTIFS(Başvuru!$C$2:$C$2158, "*" &amp; AD68 &amp; "*")</f>
        <v/>
      </c>
    </row>
    <row r="69">
      <c r="AB69" s="8" t="inlineStr">
        <is>
          <t>Dr. Öğr. Üyesi Burcu KELLECİ ÇAKIR</t>
        </is>
      </c>
      <c r="AC69" s="8">
        <f>COUNTIFS(Başvuru!$D$2:$D$2158, "*" &amp; AB69 &amp; "*")</f>
        <v/>
      </c>
      <c r="AD69" s="8" t="inlineStr">
        <is>
          <t>Klinik Eczacılık Anabilim Dalı</t>
        </is>
      </c>
      <c r="AE69" s="218">
        <f>COUNTIFS(Başvuru!$C$2:$C$2158, "*" &amp; AD69 &amp; "*")</f>
        <v/>
      </c>
    </row>
    <row r="70">
      <c r="AB70" s="8" t="inlineStr">
        <is>
          <t>Prof. Dr. Ömer UĞUR</t>
        </is>
      </c>
      <c r="AC70" s="8">
        <f>COUNTIFS(Başvuru!$D$2:$D$2158, "*" &amp; AB70 &amp; "*")</f>
        <v/>
      </c>
      <c r="AD70" s="8" t="inlineStr">
        <is>
          <t>Nükleer Tıp Anabilim Dalı</t>
        </is>
      </c>
      <c r="AE70" s="218">
        <f>COUNTIFS(Başvuru!$C$2:$C$2158, "*" &amp; AD70 &amp; "*")</f>
        <v/>
      </c>
    </row>
    <row r="71">
      <c r="AB71" s="8" t="inlineStr">
        <is>
          <t>Dr. Natalia RAKİSLOVA</t>
        </is>
      </c>
      <c r="AC71" s="8">
        <f>COUNTIFS(Başvuru!$D$2:$D$2158, "*" &amp; AB71 &amp; "*")</f>
        <v/>
      </c>
      <c r="AD71" s="8" t="inlineStr">
        <is>
          <t>Barcelona Institute for Global Health</t>
        </is>
      </c>
      <c r="AE71" s="218">
        <f>COUNTIFS(Başvuru!$C$2:$C$2158, "*" &amp; AD71 &amp; "*")</f>
        <v/>
      </c>
    </row>
    <row r="72">
      <c r="AB72" s="8" t="inlineStr">
        <is>
          <t>Doç. Dr. İlker ERTUĞRUL</t>
        </is>
      </c>
      <c r="AC72" s="8">
        <f>COUNTIFS(Başvuru!$D$2:$D$2158, "*" &amp; AB72 &amp; "*")</f>
        <v/>
      </c>
      <c r="AD72" s="8" t="inlineStr">
        <is>
          <t>Çocuk Sağlığı ve Hastalıkları Anabilim Dalı</t>
        </is>
      </c>
      <c r="AE72" s="218">
        <f>COUNTIFS(Başvuru!$C$2:$C$2158, "*" &amp; AD72 &amp; "*")</f>
        <v/>
      </c>
    </row>
    <row r="73">
      <c r="AB73" s="8" t="inlineStr">
        <is>
          <t>Prof. Dr. Salih Kutay DEMİRKAN</t>
        </is>
      </c>
      <c r="AC73" s="8">
        <f>COUNTIFS(Başvuru!$D$2:$D$2158, "*" &amp; AB73 &amp; "*")</f>
        <v/>
      </c>
      <c r="AD73" s="8" t="inlineStr">
        <is>
          <t>Klinik Eczacılık Anabilim Dalı</t>
        </is>
      </c>
      <c r="AE73" s="218">
        <f>COUNTIFS(Başvuru!$C$2:$C$2158, "*" &amp; AD73 &amp; "*")</f>
        <v/>
      </c>
    </row>
    <row r="74">
      <c r="AB74" s="8" t="inlineStr">
        <is>
          <t>Prof. Dr. Sıddika Songül YALÇIN</t>
        </is>
      </c>
      <c r="AC74" s="8">
        <f>COUNTIFS(Başvuru!$D$2:$D$2158, "*" &amp; AB74 &amp; "*")</f>
        <v/>
      </c>
      <c r="AD74" s="8" t="inlineStr">
        <is>
          <t>Sosyal Pediatri Anabilim Dalı</t>
        </is>
      </c>
      <c r="AE74" s="218">
        <f>COUNTIFS(Başvuru!$C$2:$C$2158, "*" &amp; AD74 &amp; "*")</f>
        <v/>
      </c>
    </row>
    <row r="75">
      <c r="AB75" s="8" t="inlineStr">
        <is>
          <t>Dr. Öğr. Üyesi Gökçen AKÇİÇEK</t>
        </is>
      </c>
      <c r="AC75" s="8">
        <f>COUNTIFS(Başvuru!$D$2:$D$2158, "*" &amp; AB75 &amp; "*")</f>
        <v/>
      </c>
      <c r="AD75" s="8" t="inlineStr">
        <is>
          <t>Ağız, Diş ve Çene Radyolojisi Anabilim Dalı</t>
        </is>
      </c>
      <c r="AE75" s="218">
        <f>COUNTIFS(Başvuru!$C$2:$C$2158, "*" &amp; AD75 &amp; "*")</f>
        <v/>
      </c>
    </row>
    <row r="76">
      <c r="AB76" s="8" t="inlineStr">
        <is>
          <t>Doç. Dr. Ezgi ATİK</t>
        </is>
      </c>
      <c r="AC76" s="8">
        <f>COUNTIFS(Başvuru!$D$2:$D$2158, "*" &amp; AB76 &amp; "*")</f>
        <v/>
      </c>
      <c r="AD76" s="8" t="inlineStr">
        <is>
          <t>Ortodonti Anabilim Dalı</t>
        </is>
      </c>
      <c r="AE76" s="218">
        <f>COUNTIFS(Başvuru!$C$2:$C$2158, "*" &amp; AD76 &amp; "*")</f>
        <v/>
      </c>
    </row>
    <row r="77">
      <c r="AB77" s="8" t="inlineStr">
        <is>
          <t>Prof. Dr. Özlem BOYBEYİ</t>
        </is>
      </c>
      <c r="AC77" s="8">
        <f>COUNTIFS(Başvuru!$D$2:$D$2158, "*" &amp; AB77 &amp; "*")</f>
        <v/>
      </c>
      <c r="AD77" s="8" t="inlineStr">
        <is>
          <t>Çocuk Cerrahisi Anabilim Dalı</t>
        </is>
      </c>
      <c r="AE77" s="218">
        <f>COUNTIFS(Başvuru!$C$2:$C$2158, "*" &amp; AD77 &amp; "*")</f>
        <v/>
      </c>
    </row>
    <row r="78">
      <c r="AB78" s="8" t="inlineStr">
        <is>
          <t>Prof. Dr. Yasemin ÖZSÜREKCİ</t>
        </is>
      </c>
      <c r="AC78" s="8">
        <f>COUNTIFS(Başvuru!$D$2:$D$2158, "*" &amp; AB78 &amp; "*")</f>
        <v/>
      </c>
      <c r="AD78" s="8" t="inlineStr">
        <is>
          <t>Çocuk Sağlığı ve Hastalıkları Anabilim Dalı</t>
        </is>
      </c>
      <c r="AE78" s="218">
        <f>COUNTIFS(Başvuru!$C$2:$C$2158, "*" &amp; AD78 &amp; "*")</f>
        <v/>
      </c>
    </row>
    <row r="79">
      <c r="AB79" s="8" t="inlineStr">
        <is>
          <t>Prof. Dr. Ülkü ÜNDEĞER BUCURGAT</t>
        </is>
      </c>
      <c r="AC79" s="8">
        <f>COUNTIFS(Başvuru!$D$2:$D$2158, "*" &amp; AB79 &amp; "*")</f>
        <v/>
      </c>
      <c r="AD79" s="8" t="inlineStr">
        <is>
          <t>Farmasötik Toksikoloji Anabilim Dalı</t>
        </is>
      </c>
      <c r="AE79" s="218">
        <f>COUNTIFS(Başvuru!$C$2:$C$2158, "*" &amp; AD79 &amp; "*")</f>
        <v/>
      </c>
    </row>
    <row r="80">
      <c r="AB80" s="8" t="inlineStr">
        <is>
          <t>Doç. Dr. Erdal SAĞ</t>
        </is>
      </c>
      <c r="AC80" s="8">
        <f>COUNTIFS(Başvuru!$D$2:$D$2158, "*" &amp; AB80 &amp; "*")</f>
        <v/>
      </c>
      <c r="AD80" s="8" t="inlineStr">
        <is>
          <t>Çocuk Sağlığı ve Hastalıkları Anabilim Dalı</t>
        </is>
      </c>
      <c r="AE80" s="218">
        <f>COUNTIFS(Başvuru!$C$2:$C$2158, "*" &amp; AD80 &amp; "*")</f>
        <v/>
      </c>
    </row>
    <row r="81">
      <c r="AB81" s="8" t="inlineStr">
        <is>
          <t>Prof. Dr. Taner YILMAZ</t>
        </is>
      </c>
      <c r="AC81" s="8">
        <f>COUNTIFS(Başvuru!$D$2:$D$2158, "*" &amp; AB81 &amp; "*")</f>
        <v/>
      </c>
      <c r="AD81" s="8" t="inlineStr">
        <is>
          <t>Kulak Burun Boğaz Anabilim Dalı</t>
        </is>
      </c>
      <c r="AE81" s="218">
        <f>COUNTIFS(Başvuru!$C$2:$C$2158, "*" &amp; AD81 &amp; "*")</f>
        <v/>
      </c>
    </row>
    <row r="82">
      <c r="AB82" s="8" t="inlineStr">
        <is>
          <t>Prof. Dr. Neşe DERİCİOĞLU</t>
        </is>
      </c>
      <c r="AC82" s="8">
        <f>COUNTIFS(Başvuru!$D$2:$D$2158, "*" &amp; AB82 &amp; "*")</f>
        <v/>
      </c>
      <c r="AD82" s="8" t="inlineStr">
        <is>
          <t>Nöroloji Anabilim Dalı</t>
        </is>
      </c>
      <c r="AE82" s="218">
        <f>COUNTIFS(Başvuru!$C$2:$C$2158, "*" &amp; AD82 &amp; "*")</f>
        <v/>
      </c>
    </row>
    <row r="83">
      <c r="AB83" s="8" t="inlineStr">
        <is>
          <t>Doç. Dr. Mert EŞME</t>
        </is>
      </c>
      <c r="AC83" s="8">
        <f>COUNTIFS(Başvuru!$D$2:$D$2158, "*" &amp; AB83 &amp; "*")</f>
        <v/>
      </c>
      <c r="AD83" s="8" t="inlineStr">
        <is>
          <t>İç Hastalıkları Anabilim Dalı</t>
        </is>
      </c>
      <c r="AE83" s="218">
        <f>COUNTIFS(Başvuru!$C$2:$C$2158, "*" &amp; AD83 &amp; "*")</f>
        <v/>
      </c>
    </row>
    <row r="84">
      <c r="AB84" s="8" t="inlineStr">
        <is>
          <t>Prof. Dr. Meltem Gülhan HALİL</t>
        </is>
      </c>
      <c r="AC84" s="8">
        <f>COUNTIFS(Başvuru!$D$2:$D$2158, "*" &amp; AB84 &amp; "*")</f>
        <v/>
      </c>
      <c r="AD84" s="8" t="inlineStr">
        <is>
          <t>İç Hastalıkları Anabilim Dalı</t>
        </is>
      </c>
      <c r="AE84" s="218">
        <f>COUNTIFS(Başvuru!$C$2:$C$2158, "*" &amp; AD84 &amp; "*")</f>
        <v/>
      </c>
    </row>
    <row r="85">
      <c r="AB85" s="8" t="inlineStr">
        <is>
          <t>Prof. Dr. Salih AKSU</t>
        </is>
      </c>
      <c r="AC85" s="8">
        <f>COUNTIFS(Başvuru!$D$2:$D$2158, "*" &amp; AB85 &amp; "*")</f>
        <v/>
      </c>
      <c r="AD85" s="8" t="inlineStr">
        <is>
          <t>İç Hastalıkları Anabilim Dalı</t>
        </is>
      </c>
      <c r="AE85" s="218">
        <f>COUNTIFS(Başvuru!$C$2:$C$2158, "*" &amp; AD85 &amp; "*")</f>
        <v/>
      </c>
    </row>
    <row r="86">
      <c r="AB86" s="8" t="inlineStr">
        <is>
          <t>Prof. Dr. Güliz Nigar GÜNCÜ</t>
        </is>
      </c>
      <c r="AC86" s="8">
        <f>COUNTIFS(Başvuru!$D$2:$D$2158, "*" &amp; AB86 &amp; "*")</f>
        <v/>
      </c>
      <c r="AD86" s="8" t="inlineStr">
        <is>
          <t>Periodontoloji Anabilim Dalı</t>
        </is>
      </c>
      <c r="AE86" s="218">
        <f>COUNTIFS(Başvuru!$C$2:$C$2158, "*" &amp; AD86 &amp; "*")</f>
        <v/>
      </c>
    </row>
    <row r="87">
      <c r="AB87" s="8" t="inlineStr">
        <is>
          <t>Prof. Dr. Sıddika Songül YALÇIN</t>
        </is>
      </c>
      <c r="AC87" s="8">
        <f>COUNTIFS(Başvuru!$D$2:$D$2158, "*" &amp; AB87 &amp; "*")</f>
        <v/>
      </c>
      <c r="AD87" s="8" t="inlineStr">
        <is>
          <t>Çocuk Sağlığı ve Hastalıkları Anabilim Dalı</t>
        </is>
      </c>
      <c r="AE87" s="218">
        <f>COUNTIFS(Başvuru!$C$2:$C$2158, "*" &amp; AD87 &amp; "*")</f>
        <v/>
      </c>
    </row>
    <row r="88">
      <c r="AB88" s="8" t="inlineStr">
        <is>
          <t>Doç. Dr. İrem KOÇ</t>
        </is>
      </c>
      <c r="AC88" s="8">
        <f>COUNTIFS(Başvuru!$D$2:$D$2158, "*" &amp; AB88 &amp; "*")</f>
        <v/>
      </c>
      <c r="AD88" s="8" t="inlineStr">
        <is>
          <t>Göz Hastalıkları Anabilim Dalı</t>
        </is>
      </c>
      <c r="AE88" s="218">
        <f>COUNTIFS(Başvuru!$C$2:$C$2158, "*" &amp; AD88 &amp; "*")</f>
        <v/>
      </c>
    </row>
    <row r="89">
      <c r="AB89" s="8" t="inlineStr">
        <is>
          <t>Doç. Dr. İrem KOÇ</t>
        </is>
      </c>
      <c r="AC89" s="8">
        <f>COUNTIFS(Başvuru!$D$2:$D$2158, "*" &amp; AB89 &amp; "*")</f>
        <v/>
      </c>
      <c r="AD89" s="8" t="inlineStr">
        <is>
          <t>Göz Hastalıkları Anabilim Dalı</t>
        </is>
      </c>
      <c r="AE89" s="218">
        <f>COUNTIFS(Başvuru!$C$2:$C$2158, "*" &amp; AD89 &amp; "*")</f>
        <v/>
      </c>
    </row>
    <row r="90">
      <c r="AB90" s="8" t="inlineStr">
        <is>
          <t>Prof. Dr. Deniz ÇAĞDAŞ AYVAZ</t>
        </is>
      </c>
      <c r="AC90" s="8">
        <f>COUNTIFS(Başvuru!$D$2:$D$2158, "*" &amp; AB90 &amp; "*")</f>
        <v/>
      </c>
      <c r="AD90" s="8" t="inlineStr">
        <is>
          <t>Çocuk Sağlığı ve Hastalıkları Anabilim Dalı</t>
        </is>
      </c>
      <c r="AE90" s="218">
        <f>COUNTIFS(Başvuru!$C$2:$C$2158, "*" &amp; AD90 &amp; "*")</f>
        <v/>
      </c>
    </row>
    <row r="91">
      <c r="AB91" s="8" t="inlineStr">
        <is>
          <t>Doç. Dr. Hacı Hasan YETER</t>
        </is>
      </c>
      <c r="AC91" s="8">
        <f>COUNTIFS(Başvuru!$D$2:$D$2158, "*" &amp; AB91 &amp; "*")</f>
        <v/>
      </c>
      <c r="AD91" s="8" t="inlineStr">
        <is>
          <t>İç Hastalıkları Anabilim Dalı</t>
        </is>
      </c>
      <c r="AE91" s="218">
        <f>COUNTIFS(Başvuru!$C$2:$C$2158, "*" &amp; AD91 &amp; "*")</f>
        <v/>
      </c>
    </row>
    <row r="92">
      <c r="AB92" s="8" t="inlineStr">
        <is>
          <t>Dr. Öğr. Üyesi Figen BEZCİ AYGÜN</t>
        </is>
      </c>
      <c r="AC92" s="8">
        <f>COUNTIFS(Başvuru!$D$2:$D$2158, "*" &amp; AB92 &amp; "*")</f>
        <v/>
      </c>
      <c r="AD92" s="8" t="inlineStr">
        <is>
          <t>Göz Hastalıkları Anabilim Dalı</t>
        </is>
      </c>
      <c r="AE92" s="218">
        <f>COUNTIFS(Başvuru!$C$2:$C$2158, "*" &amp; AD92 &amp; "*")</f>
        <v/>
      </c>
    </row>
    <row r="93">
      <c r="AB93" s="8" t="inlineStr">
        <is>
          <t>Doç. Dr. Kübra AYKAÇ</t>
        </is>
      </c>
      <c r="AC93" s="8">
        <f>COUNTIFS(Başvuru!$D$2:$D$2158, "*" &amp; AB93 &amp; "*")</f>
        <v/>
      </c>
      <c r="AD93" s="8" t="inlineStr">
        <is>
          <t>Çocuk Sağlığı ve Hastalıkları Anabilim Dalı</t>
        </is>
      </c>
      <c r="AE93" s="218">
        <f>COUNTIFS(Başvuru!$C$2:$C$2158, "*" &amp; AD93 &amp; "*")</f>
        <v/>
      </c>
    </row>
    <row r="94">
      <c r="AB94" s="8" t="inlineStr">
        <is>
          <t>Doç. Dr. Emel ISIYEL</t>
        </is>
      </c>
      <c r="AC94" s="8">
        <f>COUNTIFS(Başvuru!$D$2:$D$2158, "*" &amp; AB94 &amp; "*")</f>
        <v/>
      </c>
      <c r="AD94" s="8" t="inlineStr">
        <is>
          <t>Çocuk Sağlığı ve Hastalıkları Anabilim Dalı</t>
        </is>
      </c>
      <c r="AE94" s="218">
        <f>COUNTIFS(Başvuru!$C$2:$C$2158, "*" &amp; AD94 &amp; "*")</f>
        <v/>
      </c>
    </row>
    <row r="95">
      <c r="AB95" s="8" t="inlineStr">
        <is>
          <t>Prof. Dr. Ayşe Tomris ERBAŞ</t>
        </is>
      </c>
      <c r="AC95" s="8">
        <f>COUNTIFS(Başvuru!$D$2:$D$2158, "*" &amp; AB95 &amp; "*")</f>
        <v/>
      </c>
      <c r="AD95" s="8" t="inlineStr">
        <is>
          <t>İç Hastalıkları Anabilim Dalı</t>
        </is>
      </c>
      <c r="AE95" s="218">
        <f>COUNTIFS(Başvuru!$C$2:$C$2158, "*" &amp; AD95 &amp; "*")</f>
        <v/>
      </c>
    </row>
    <row r="96">
      <c r="AB96" s="8" t="inlineStr">
        <is>
          <t>Doç. Dr. Aslıhan AYKARA</t>
        </is>
      </c>
      <c r="AC96" s="8">
        <f>COUNTIFS(Başvuru!$D$2:$D$2158, "*" &amp; AB96 &amp; "*")</f>
        <v/>
      </c>
      <c r="AD96" s="8" t="inlineStr">
        <is>
          <t>Sosyal Hizmet Anabilim Dalı</t>
        </is>
      </c>
      <c r="AE96" s="218">
        <f>COUNTIFS(Başvuru!$C$2:$C$2158, "*" &amp; AD96 &amp; "*")</f>
        <v/>
      </c>
    </row>
    <row r="97">
      <c r="AB97" s="8" t="inlineStr">
        <is>
          <t>Prof. Dr. Meltem Gülhan HALİL</t>
        </is>
      </c>
      <c r="AC97" s="8">
        <f>COUNTIFS(Başvuru!$D$2:$D$2158, "*" &amp; AB97 &amp; "*")</f>
        <v/>
      </c>
      <c r="AD97" s="8" t="inlineStr">
        <is>
          <t>İç Hastalıkları Anabilim Dalı</t>
        </is>
      </c>
      <c r="AE97" s="218">
        <f>COUNTIFS(Başvuru!$C$2:$C$2158, "*" &amp; AD97 &amp; "*")</f>
        <v/>
      </c>
    </row>
    <row r="98">
      <c r="AB98" s="8" t="inlineStr">
        <is>
          <t>Prof. Dr. Meltem Gülhan HALİL</t>
        </is>
      </c>
      <c r="AC98" s="8">
        <f>COUNTIFS(Başvuru!$D$2:$D$2158, "*" &amp; AB98 &amp; "*")</f>
        <v/>
      </c>
      <c r="AD98" s="8" t="inlineStr">
        <is>
          <t>İç Hastalıkları Anabilim Dalı</t>
        </is>
      </c>
      <c r="AE98" s="218">
        <f>COUNTIFS(Başvuru!$C$2:$C$2158, "*" &amp; AD98 &amp; "*")</f>
        <v/>
      </c>
    </row>
    <row r="99">
      <c r="AB99" s="8" t="inlineStr">
        <is>
          <t>Doç. Dr. Aslıhan AYKARA</t>
        </is>
      </c>
      <c r="AC99" s="8">
        <f>COUNTIFS(Başvuru!$D$2:$D$2158, "*" &amp; AB99 &amp; "*")</f>
        <v/>
      </c>
      <c r="AD99" s="8" t="inlineStr">
        <is>
          <t>Sosyal Hizmet Anabilim Dalı</t>
        </is>
      </c>
      <c r="AE99" s="218">
        <f>COUNTIFS(Başvuru!$C$2:$C$2158, "*" &amp; AD99 &amp; "*")</f>
        <v/>
      </c>
    </row>
    <row r="100">
      <c r="AB100" s="8" t="inlineStr">
        <is>
          <t>Prof. Dr. Sıddika Songül YALÇIN</t>
        </is>
      </c>
      <c r="AC100" s="8">
        <f>COUNTIFS(Başvuru!$D$2:$D$2158, "*" &amp; AB100 &amp; "*")</f>
        <v/>
      </c>
      <c r="AD100" s="8" t="inlineStr">
        <is>
          <t>Çocuk Sağlığı ve Hastalıkları Anabilim Dalı</t>
        </is>
      </c>
      <c r="AE100" s="218">
        <f>COUNTIFS(Başvuru!$C$2:$C$2158, "*" &amp; AD100 &amp; "*")</f>
        <v/>
      </c>
    </row>
    <row r="101">
      <c r="AB101" s="8" t="inlineStr">
        <is>
          <t>Prof. Dr. Hakan Hıfzı TÜZ</t>
        </is>
      </c>
      <c r="AC101" s="8">
        <f>COUNTIFS(Başvuru!$D$2:$D$2158, "*" &amp; AB101 &amp; "*")</f>
        <v/>
      </c>
      <c r="AD101" s="8" t="inlineStr">
        <is>
          <t>Ağız, Diş ve Çene Cerrahisi Anabilim Dalı</t>
        </is>
      </c>
      <c r="AE101" s="218">
        <f>COUNTIFS(Başvuru!$C$2:$C$2158, "*" &amp; AD101 &amp; "*")</f>
        <v/>
      </c>
    </row>
    <row r="102">
      <c r="AB102" s="8" t="inlineStr">
        <is>
          <t>Dr. Öğr. Üyesi Burkay UTKU</t>
        </is>
      </c>
      <c r="AC102" s="8">
        <f>COUNTIFS(Başvuru!$D$2:$D$2158, "*" &amp; AB102 &amp; "*")</f>
        <v/>
      </c>
      <c r="AD102" s="8" t="inlineStr">
        <is>
          <t>Spor Hekimliği Anabilim Dalı</t>
        </is>
      </c>
      <c r="AE102" s="218">
        <f>COUNTIFS(Başvuru!$C$2:$C$2158, "*" &amp; AD102 &amp; "*")</f>
        <v/>
      </c>
    </row>
    <row r="103">
      <c r="AB103" s="8" t="inlineStr">
        <is>
          <t>Doç. Dr. Burcu ERSÖZ ALAN</t>
        </is>
      </c>
      <c r="AC103" s="8">
        <f>COUNTIFS(Başvuru!$D$2:$D$2158, "*" &amp; AB103 &amp; "*")</f>
        <v/>
      </c>
      <c r="AD103" s="8" t="inlineStr">
        <is>
          <t>Çocuk ve Ergen Ruh Sağlığı ve Hastalıkları Anabilim Dalı</t>
        </is>
      </c>
      <c r="AE103" s="218">
        <f>COUNTIFS(Başvuru!$C$2:$C$2158, "*" &amp; AD103 &amp; "*")</f>
        <v/>
      </c>
    </row>
    <row r="104">
      <c r="AB104" s="8" t="inlineStr">
        <is>
          <t>Prof. Dr. Selçuk DAĞDELEN</t>
        </is>
      </c>
      <c r="AC104" s="8">
        <f>COUNTIFS(Başvuru!$D$2:$D$2158, "*" &amp; AB104 &amp; "*")</f>
        <v/>
      </c>
      <c r="AD104" s="8" t="inlineStr">
        <is>
          <t>İç Hastalıkları Anabilim Dalı</t>
        </is>
      </c>
      <c r="AE104" s="218">
        <f>COUNTIFS(Başvuru!$C$2:$C$2158, "*" &amp; AD104 &amp; "*")</f>
        <v/>
      </c>
    </row>
    <row r="105">
      <c r="AB105" s="8" t="inlineStr">
        <is>
          <t>Öğr. Gör. Dr. Aytekin İDİKUT</t>
        </is>
      </c>
      <c r="AC105" s="8">
        <f>COUNTIFS(Başvuru!$D$2:$D$2158, "*" &amp; AB105 &amp; "*")</f>
        <v/>
      </c>
      <c r="AD105" s="8" t="inlineStr">
        <is>
          <t>Göğüs Hastalıkları Anabilim Dalı</t>
        </is>
      </c>
      <c r="AE105" s="218">
        <f>COUNTIFS(Başvuru!$C$2:$C$2158, "*" &amp; AD105 &amp; "*")</f>
        <v/>
      </c>
    </row>
    <row r="106">
      <c r="AB106" s="8" t="inlineStr">
        <is>
          <t>Dr. Öğr. Üyesi Murat ÇAĞAN</t>
        </is>
      </c>
      <c r="AC106" s="8">
        <f>COUNTIFS(Başvuru!$D$2:$D$2158, "*" &amp; AB106 &amp; "*")</f>
        <v/>
      </c>
      <c r="AD106" s="8" t="inlineStr">
        <is>
          <t>Kadın Hastalıkları ve Doğum Anabilim Dalı</t>
        </is>
      </c>
      <c r="AE106" s="218">
        <f>COUNTIFS(Başvuru!$C$2:$C$2158, "*" &amp; AD106 &amp; "*")</f>
        <v/>
      </c>
    </row>
    <row r="107">
      <c r="AB107" s="8" t="inlineStr">
        <is>
          <t>Doç. Dr. Utku AKGÖR</t>
        </is>
      </c>
      <c r="AC107" s="8">
        <f>COUNTIFS(Başvuru!$D$2:$D$2158, "*" &amp; AB107 &amp; "*")</f>
        <v/>
      </c>
      <c r="AD107" s="8" t="inlineStr">
        <is>
          <t>Kadın Hastalıkları ve Doğum Anabilim Dalı</t>
        </is>
      </c>
      <c r="AE107" s="218">
        <f>COUNTIFS(Başvuru!$C$2:$C$2158, "*" &amp; AD107 &amp; "*")</f>
        <v/>
      </c>
    </row>
    <row r="108">
      <c r="AB108" s="8" t="inlineStr">
        <is>
          <t>Arş. Gör. Dt. Dilara KARA</t>
        </is>
      </c>
      <c r="AC108" s="8">
        <f>COUNTIFS(Başvuru!$D$2:$D$2158, "*" &amp; AB108 &amp; "*")</f>
        <v/>
      </c>
      <c r="AD108" s="8" t="inlineStr">
        <is>
          <t>Ağız, Diş ve Çene Radyolojisi Anabilim Dalı</t>
        </is>
      </c>
      <c r="AE108" s="218">
        <f>COUNTIFS(Başvuru!$C$2:$C$2158, "*" &amp; AD108 &amp; "*")</f>
        <v/>
      </c>
    </row>
    <row r="109">
      <c r="AB109" s="8" t="inlineStr">
        <is>
          <t>Arş. Gör. Dr. Sebiha Şükran GÜNDEŞLİ</t>
        </is>
      </c>
      <c r="AC109" s="8">
        <f>COUNTIFS(Başvuru!$D$2:$D$2158, "*" &amp; AB109 &amp; "*")</f>
        <v/>
      </c>
      <c r="AD109" s="8" t="inlineStr">
        <is>
          <t>Çocuk Sağlığı ve Hastalıkları Anabilim Dalı</t>
        </is>
      </c>
      <c r="AE109" s="218">
        <f>COUNTIFS(Başvuru!$C$2:$C$2158, "*" &amp; AD109 &amp; "*")</f>
        <v/>
      </c>
    </row>
    <row r="110">
      <c r="AB110" s="8" t="inlineStr">
        <is>
          <t>Prof. Dr. Salih Kutay DEMİRKAN</t>
        </is>
      </c>
      <c r="AC110" s="8">
        <f>COUNTIFS(Başvuru!$D$2:$D$2158, "*" &amp; AB110 &amp; "*")</f>
        <v/>
      </c>
      <c r="AD110" s="8" t="inlineStr">
        <is>
          <t>Klinik Eczacılık Anabilim Dalı</t>
        </is>
      </c>
      <c r="AE110" s="218">
        <f>COUNTIFS(Başvuru!$C$2:$C$2158, "*" &amp; AD110 &amp; "*")</f>
        <v/>
      </c>
    </row>
    <row r="111">
      <c r="AB111" s="8" t="inlineStr">
        <is>
          <t>Prof. Dr. Çağrı Mesut TEMUÇİN</t>
        </is>
      </c>
      <c r="AC111" s="8">
        <f>COUNTIFS(Başvuru!$D$2:$D$2158, "*" &amp; AB111 &amp; "*")</f>
        <v/>
      </c>
      <c r="AD111" s="8" t="inlineStr">
        <is>
          <t>Nöroloji Anabilim Dalı</t>
        </is>
      </c>
      <c r="AE111" s="218">
        <f>COUNTIFS(Başvuru!$C$2:$C$2158, "*" &amp; AD111 &amp; "*")</f>
        <v/>
      </c>
    </row>
    <row r="112">
      <c r="AB112" s="8" t="inlineStr">
        <is>
          <t>Dr. Öğr. Üyesi Irmak OCAK</t>
        </is>
      </c>
      <c r="AC112" s="8">
        <f>COUNTIFS(Başvuru!$D$2:$D$2158, "*" &amp; AB112 &amp; "*")</f>
        <v/>
      </c>
      <c r="AD112" s="8" t="inlineStr">
        <is>
          <t>Ortodonti Anabilim Dalı</t>
        </is>
      </c>
      <c r="AE112" s="218">
        <f>COUNTIFS(Başvuru!$C$2:$C$2158, "*" &amp; AD112 &amp; "*")</f>
        <v/>
      </c>
    </row>
    <row r="113">
      <c r="AB113" s="8" t="inlineStr">
        <is>
          <t>Prof. Dr. Ayşe KİN İŞLER</t>
        </is>
      </c>
      <c r="AC113" s="8">
        <f>COUNTIFS(Başvuru!$D$2:$D$2158, "*" &amp; AB113 &amp; "*")</f>
        <v/>
      </c>
      <c r="AD113" s="8" t="inlineStr">
        <is>
          <t>Hareket ve Antrenman Bilimleri Anabilim Dalı</t>
        </is>
      </c>
      <c r="AE113" s="218">
        <f>COUNTIFS(Başvuru!$C$2:$C$2158, "*" &amp; AD113 &amp; "*")</f>
        <v/>
      </c>
    </row>
    <row r="114">
      <c r="AB114" s="8" t="inlineStr">
        <is>
          <t>Prof. Dr. Ebru DAMADOĞLU</t>
        </is>
      </c>
      <c r="AC114" s="8">
        <f>COUNTIFS(Başvuru!$D$2:$D$2158, "*" &amp; AB114 &amp; "*")</f>
        <v/>
      </c>
      <c r="AD114" s="8" t="inlineStr">
        <is>
          <t>Göğüs Hastalıkları Anabilim Dalı</t>
        </is>
      </c>
      <c r="AE114" s="218">
        <f>COUNTIFS(Başvuru!$C$2:$C$2158, "*" &amp; AD114 &amp; "*")</f>
        <v/>
      </c>
    </row>
    <row r="115">
      <c r="AB115" s="8" t="inlineStr">
        <is>
          <t>Prof. Dr. Alp ÇETİN</t>
        </is>
      </c>
      <c r="AC115" s="8">
        <f>COUNTIFS(Başvuru!$D$2:$D$2158, "*" &amp; AB115 &amp; "*")</f>
        <v/>
      </c>
      <c r="AD115" s="8" t="inlineStr">
        <is>
          <t>Fiziksel Tıp ve Rehabilitasyon Anabilim Dalı</t>
        </is>
      </c>
      <c r="AE115" s="218">
        <f>COUNTIFS(Başvuru!$C$2:$C$2158, "*" &amp; AD115 &amp; "*")</f>
        <v/>
      </c>
    </row>
    <row r="116">
      <c r="AB116" s="8" t="inlineStr">
        <is>
          <t>Doç. Dr. Ceren GÜNENÇ BEŞER</t>
        </is>
      </c>
      <c r="AC116" s="8">
        <f>COUNTIFS(Başvuru!$D$2:$D$2158, "*" &amp; AB116 &amp; "*")</f>
        <v/>
      </c>
      <c r="AD116" s="8" t="inlineStr">
        <is>
          <t>Anatomi Anabilim Dalı</t>
        </is>
      </c>
      <c r="AE116" s="218">
        <f>COUNTIFS(Başvuru!$C$2:$C$2158, "*" &amp; AD116 &amp; "*")</f>
        <v/>
      </c>
    </row>
    <row r="117">
      <c r="AB117" s="8" t="inlineStr">
        <is>
          <t>Prof. Dr. Hatice Yasemin BALABAN</t>
        </is>
      </c>
      <c r="AC117" s="8">
        <f>COUNTIFS(Başvuru!$D$2:$D$2158, "*" &amp; AB117 &amp; "*")</f>
        <v/>
      </c>
      <c r="AD117" s="8" t="inlineStr">
        <is>
          <t>İç Hastalıkları Anabilim Dalı</t>
        </is>
      </c>
      <c r="AE117" s="218">
        <f>COUNTIFS(Başvuru!$C$2:$C$2158, "*" &amp; AD117 &amp; "*")</f>
        <v/>
      </c>
    </row>
    <row r="118">
      <c r="AB118" s="8" t="inlineStr">
        <is>
          <t>Doç. Dr. Serra ÖRSTEN</t>
        </is>
      </c>
      <c r="AC118" s="8">
        <f>COUNTIFS(Başvuru!$D$2:$D$2158, "*" &amp; AB118 &amp; "*")</f>
        <v/>
      </c>
      <c r="AD118" s="8" t="inlineStr">
        <is>
          <t>Tıbbi Laboratuvar Teknikleri Programı</t>
        </is>
      </c>
      <c r="AE118" s="218">
        <f>COUNTIFS(Başvuru!$C$2:$C$2158, "*" &amp; AD118 &amp; "*")</f>
        <v/>
      </c>
    </row>
    <row r="119">
      <c r="AB119" s="8" t="inlineStr">
        <is>
          <t>Dr. Öğr. Üyesi Hilal AKDEMİR AKTAŞ</t>
        </is>
      </c>
      <c r="AC119" s="8">
        <f>COUNTIFS(Başvuru!$D$2:$D$2158, "*" &amp; AB119 &amp; "*")</f>
        <v/>
      </c>
      <c r="AD119" s="8" t="inlineStr">
        <is>
          <t>Anatomi Anabilim Dalı</t>
        </is>
      </c>
      <c r="AE119" s="218">
        <f>COUNTIFS(Başvuru!$C$2:$C$2158, "*" &amp; AD119 &amp; "*")</f>
        <v/>
      </c>
    </row>
    <row r="120">
      <c r="AB120" s="8" t="inlineStr">
        <is>
          <t>Prof. Dr. Rıza Köksal ÖZGÜL</t>
        </is>
      </c>
      <c r="AC120" s="8">
        <f>COUNTIFS(Başvuru!$D$2:$D$2158, "*" &amp; AB120 &amp; "*")</f>
        <v/>
      </c>
      <c r="AD120" s="8" t="inlineStr">
        <is>
          <t>Pediatrik Temel Bilimler Anabilim Dalı</t>
        </is>
      </c>
      <c r="AE120" s="218">
        <f>COUNTIFS(Başvuru!$C$2:$C$2158, "*" &amp; AD120 &amp; "*")</f>
        <v/>
      </c>
    </row>
    <row r="121">
      <c r="AB121" s="8" t="inlineStr">
        <is>
          <t>Prof. Dr. Ayşe KİN İŞLER</t>
        </is>
      </c>
      <c r="AC121" s="8">
        <f>COUNTIFS(Başvuru!$D$2:$D$2158, "*" &amp; AB121 &amp; "*")</f>
        <v/>
      </c>
      <c r="AD121" s="8" t="inlineStr">
        <is>
          <t>Hareket ve Antrenman Bilimleri Anabilim Dalı</t>
        </is>
      </c>
      <c r="AE121" s="218">
        <f>COUNTIFS(Başvuru!$C$2:$C$2158, "*" &amp; AD121 &amp; "*")</f>
        <v/>
      </c>
    </row>
    <row r="122">
      <c r="AB122" s="8" t="inlineStr">
        <is>
          <t>Dr. Öğr. Üyesi Serkan UYSAL</t>
        </is>
      </c>
      <c r="AC122" s="8">
        <f>COUNTIFS(Başvuru!$D$2:$D$2158, "*" &amp; AB122 &amp; "*")</f>
        <v/>
      </c>
      <c r="AD122" s="8" t="inlineStr">
        <is>
          <t>Göğüs Cerrahisi Anabilim Dalı</t>
        </is>
      </c>
      <c r="AE122" s="218">
        <f>COUNTIFS(Başvuru!$C$2:$C$2158, "*" &amp; AD122 &amp; "*")</f>
        <v/>
      </c>
    </row>
    <row r="123">
      <c r="AB123" s="8" t="inlineStr">
        <is>
          <t>Doç. Dr. Süleyman Nahit ŞENDUR</t>
        </is>
      </c>
      <c r="AC123" s="8">
        <f>COUNTIFS(Başvuru!$D$2:$D$2158, "*" &amp; AB123 &amp; "*")</f>
        <v/>
      </c>
      <c r="AD123" s="8" t="inlineStr">
        <is>
          <t>İç Hastalıkları Anabilim Dalı</t>
        </is>
      </c>
      <c r="AE123" s="218">
        <f>COUNTIFS(Başvuru!$C$2:$C$2158, "*" &amp; AD123 &amp; "*")</f>
        <v/>
      </c>
    </row>
    <row r="124">
      <c r="AB124" s="8" t="inlineStr">
        <is>
          <t>Prof. Dr. Yavuz AYHAN</t>
        </is>
      </c>
      <c r="AC124" s="8">
        <f>COUNTIFS(Başvuru!$D$2:$D$2158, "*" &amp; AB124 &amp; "*")</f>
        <v/>
      </c>
      <c r="AD124" s="8" t="inlineStr">
        <is>
          <t>Ruh Sağlığı ve Hastalıkları Anabilim Dalı</t>
        </is>
      </c>
      <c r="AE124" s="218">
        <f>COUNTIFS(Başvuru!$C$2:$C$2158, "*" &amp; AD124 &amp; "*")</f>
        <v/>
      </c>
    </row>
    <row r="125">
      <c r="AB125" s="8" t="inlineStr">
        <is>
          <t>Prof. Dr. Ali Fuat KALYONCU</t>
        </is>
      </c>
      <c r="AC125" s="8">
        <f>COUNTIFS(Başvuru!$D$2:$D$2158, "*" &amp; AB125 &amp; "*")</f>
        <v/>
      </c>
      <c r="AD125" s="8" t="inlineStr">
        <is>
          <t>Göğüs Hastalıkları Anabilim Dalı</t>
        </is>
      </c>
      <c r="AE125" s="218">
        <f>COUNTIFS(Başvuru!$C$2:$C$2158, "*" &amp; AD125 &amp; "*")</f>
        <v/>
      </c>
    </row>
    <row r="126">
      <c r="AB126" s="8" t="inlineStr">
        <is>
          <t>Doç. Dr. Ceren ÖZKUL KOÇAK</t>
        </is>
      </c>
      <c r="AC126" s="8">
        <f>COUNTIFS(Başvuru!$D$2:$D$2158, "*" &amp; AB126 &amp; "*")</f>
        <v/>
      </c>
      <c r="AD126" s="8" t="inlineStr">
        <is>
          <t>Farmasötik Mikrobiyoloji Anabilim Dalı</t>
        </is>
      </c>
      <c r="AE126" s="218">
        <f>COUNTIFS(Başvuru!$C$2:$C$2158, "*" &amp; AD126 &amp; "*")</f>
        <v/>
      </c>
    </row>
    <row r="127">
      <c r="AB127" s="8" t="inlineStr">
        <is>
          <t>Prof. Dr. Oğuz IŞIK</t>
        </is>
      </c>
      <c r="AC127" s="8">
        <f>COUNTIFS(Başvuru!$D$2:$D$2158, "*" &amp; AB127 &amp; "*")</f>
        <v/>
      </c>
      <c r="AD127" s="8" t="inlineStr">
        <is>
          <t>Sağlık Yönetimi Anabilim Dalı</t>
        </is>
      </c>
      <c r="AE127" s="218">
        <f>COUNTIFS(Başvuru!$C$2:$C$2158, "*" &amp; AD127 &amp; "*")</f>
        <v/>
      </c>
    </row>
    <row r="128">
      <c r="AB128" s="8" t="inlineStr">
        <is>
          <t>Dr. Öğr. Üyesi Ayşe METE YEŞİL</t>
        </is>
      </c>
      <c r="AC128" s="8">
        <f>COUNTIFS(Başvuru!$D$2:$D$2158, "*" &amp; AB128 &amp; "*")</f>
        <v/>
      </c>
      <c r="AD128" s="8" t="inlineStr">
        <is>
          <t>Çocuk Sağlığı ve Hastalıkları Anabilim Dalı</t>
        </is>
      </c>
      <c r="AE128" s="218">
        <f>COUNTIFS(Başvuru!$C$2:$C$2158, "*" &amp; AD128 &amp; "*")</f>
        <v/>
      </c>
    </row>
    <row r="129">
      <c r="AB129" s="8" t="inlineStr">
        <is>
          <t>Prof. Dr. Dilşad FOTO ÖZDEMİR</t>
        </is>
      </c>
      <c r="AC129" s="8">
        <f>COUNTIFS(Başvuru!$D$2:$D$2158, "*" &amp; AB129 &amp; "*")</f>
        <v/>
      </c>
      <c r="AD129" s="8" t="inlineStr">
        <is>
          <t>Çocuk ve Ergen Ruh Sağlığı ve Hastalıkları Anabilim Dalı</t>
        </is>
      </c>
      <c r="AE129" s="218">
        <f>COUNTIFS(Başvuru!$C$2:$C$2158, "*" &amp; AD129 &amp; "*")</f>
        <v/>
      </c>
    </row>
    <row r="130">
      <c r="AB130" s="8" t="inlineStr">
        <is>
          <t>Prof. Dr. Serdar ÖZER</t>
        </is>
      </c>
      <c r="AC130" s="8">
        <f>COUNTIFS(Başvuru!$D$2:$D$2158, "*" &amp; AB130 &amp; "*")</f>
        <v/>
      </c>
      <c r="AD130" s="8" t="inlineStr">
        <is>
          <t>Kulak Burun Boğaz Anabilim Dalı</t>
        </is>
      </c>
      <c r="AE130" s="218">
        <f>COUNTIFS(Başvuru!$C$2:$C$2158, "*" &amp; AD130 &amp; "*")</f>
        <v/>
      </c>
    </row>
    <row r="131">
      <c r="AB131" s="8" t="inlineStr">
        <is>
          <t>Prof. Dr. Hatice Yasemin BALABAN</t>
        </is>
      </c>
      <c r="AC131" s="8">
        <f>COUNTIFS(Başvuru!$D$2:$D$2158, "*" &amp; AB131 &amp; "*")</f>
        <v/>
      </c>
      <c r="AD131" s="8" t="inlineStr">
        <is>
          <t>İç Hastalıkları Anabilim Dalı</t>
        </is>
      </c>
      <c r="AE131" s="218">
        <f>COUNTIFS(Başvuru!$C$2:$C$2158, "*" &amp; AD131 &amp; "*")</f>
        <v/>
      </c>
    </row>
    <row r="132">
      <c r="AB132" s="8" t="inlineStr">
        <is>
          <t>Prof. Dr. Yahya BÜYÜKAŞIK</t>
        </is>
      </c>
      <c r="AC132" s="8">
        <f>COUNTIFS(Başvuru!$D$2:$D$2158, "*" &amp; AB132 &amp; "*")</f>
        <v/>
      </c>
      <c r="AD132" s="8" t="inlineStr">
        <is>
          <t>İç Hastalıkları Anabilim Dalı</t>
        </is>
      </c>
      <c r="AE132" s="218">
        <f>COUNTIFS(Başvuru!$C$2:$C$2158, "*" &amp; AD132 &amp; "*")</f>
        <v/>
      </c>
    </row>
    <row r="133">
      <c r="AB133" s="8" t="inlineStr">
        <is>
          <t>Prof. Dr. Aygin EKİNCİOĞLU</t>
        </is>
      </c>
      <c r="AC133" s="8">
        <f>COUNTIFS(Başvuru!$D$2:$D$2158, "*" &amp; AB133 &amp; "*")</f>
        <v/>
      </c>
      <c r="AD133" s="8" t="inlineStr">
        <is>
          <t>Klinik Eczacılık Anabilim Dalı</t>
        </is>
      </c>
      <c r="AE133" s="218">
        <f>COUNTIFS(Başvuru!$C$2:$C$2158, "*" &amp; AD133 &amp; "*")</f>
        <v/>
      </c>
    </row>
    <row r="134">
      <c r="AB134" s="8" t="inlineStr">
        <is>
          <t>Doç. Dr. Gamze DURHAN</t>
        </is>
      </c>
      <c r="AC134" s="8">
        <f>COUNTIFS(Başvuru!$D$2:$D$2158, "*" &amp; AB134 &amp; "*")</f>
        <v/>
      </c>
      <c r="AD134" s="8" t="inlineStr">
        <is>
          <t>Radyoloji Anabilim Dalı</t>
        </is>
      </c>
      <c r="AE134" s="218">
        <f>COUNTIFS(Başvuru!$C$2:$C$2158, "*" &amp; AD134 &amp; "*")</f>
        <v/>
      </c>
    </row>
    <row r="135">
      <c r="AB135" s="8" t="inlineStr">
        <is>
          <t>Doç. Dr. Ezgi ATİK</t>
        </is>
      </c>
      <c r="AC135" s="8">
        <f>COUNTIFS(Başvuru!$D$2:$D$2158, "*" &amp; AB135 &amp; "*")</f>
        <v/>
      </c>
      <c r="AD135" s="8" t="inlineStr">
        <is>
          <t>Ortodonti Anabilim Dalı</t>
        </is>
      </c>
      <c r="AE135" s="218">
        <f>COUNTIFS(Başvuru!$C$2:$C$2158, "*" &amp; AD135 &amp; "*")</f>
        <v/>
      </c>
    </row>
    <row r="136">
      <c r="AB136" s="8" t="inlineStr">
        <is>
          <t>Dr. Öğr. Üyesi Arda ÇETİNKAYA</t>
        </is>
      </c>
      <c r="AC136" s="8">
        <f>COUNTIFS(Başvuru!$D$2:$D$2158, "*" &amp; AB136 &amp; "*")</f>
        <v/>
      </c>
      <c r="AD136" s="8" t="inlineStr">
        <is>
          <t>Biyoinformatik Anabilim Dalı</t>
        </is>
      </c>
      <c r="AE136" s="218">
        <f>COUNTIFS(Başvuru!$C$2:$C$2158, "*" &amp; AD136 &amp; "*")</f>
        <v/>
      </c>
    </row>
    <row r="137">
      <c r="AB137" s="8" t="inlineStr">
        <is>
          <t>Dr. Öğr. Üyesi Ergin EROĞLU</t>
        </is>
      </c>
      <c r="AC137" s="8">
        <f>COUNTIFS(Başvuru!$D$2:$D$2158, "*" &amp; AB137 &amp; "*")</f>
        <v/>
      </c>
      <c r="AD137" s="8" t="inlineStr">
        <is>
          <t>Kulak Burun Boğaz Anabilim Dalı</t>
        </is>
      </c>
      <c r="AE137" s="218">
        <f>COUNTIFS(Başvuru!$C$2:$C$2158, "*" &amp; AD137 &amp; "*")</f>
        <v/>
      </c>
    </row>
    <row r="138">
      <c r="AB138" s="8" t="inlineStr">
        <is>
          <t>Prof. Dr. Hülya DEMİR</t>
        </is>
      </c>
      <c r="AC138" s="8">
        <f>COUNTIFS(Başvuru!$D$2:$D$2158, "*" &amp; AB138 &amp; "*")</f>
        <v/>
      </c>
      <c r="AD138" s="8" t="inlineStr">
        <is>
          <t>Çocuk Sağlığı ve Hastalıkları Anabilim Dalı</t>
        </is>
      </c>
      <c r="AE138" s="218">
        <f>COUNTIFS(Başvuru!$C$2:$C$2158, "*" &amp; AD138 &amp; "*")</f>
        <v/>
      </c>
    </row>
    <row r="139">
      <c r="AB139" s="8" t="inlineStr">
        <is>
          <t>Doç. Dr. Seda Hanife OĞUZ BAYKAL</t>
        </is>
      </c>
      <c r="AC139" s="8">
        <f>COUNTIFS(Başvuru!$D$2:$D$2158, "*" &amp; AB139 &amp; "*")</f>
        <v/>
      </c>
      <c r="AD139" s="8" t="inlineStr">
        <is>
          <t>İç Hastalıkları Anabilim Dalı</t>
        </is>
      </c>
      <c r="AE139" s="218">
        <f>COUNTIFS(Başvuru!$C$2:$C$2158, "*" &amp; AD139 &amp; "*")</f>
        <v/>
      </c>
    </row>
    <row r="140">
      <c r="AB140" s="8" t="inlineStr">
        <is>
          <t>Prof. Dr. Ayşe Tomris ERBAŞ</t>
        </is>
      </c>
      <c r="AC140" s="8">
        <f>COUNTIFS(Başvuru!$D$2:$D$2158, "*" &amp; AB140 &amp; "*")</f>
        <v/>
      </c>
      <c r="AD140" s="8" t="inlineStr">
        <is>
          <t>İç Hastalıkları Anabilim Dalı</t>
        </is>
      </c>
      <c r="AE140" s="218">
        <f>COUNTIFS(Başvuru!$C$2:$C$2158, "*" &amp; AD140 &amp; "*")</f>
        <v/>
      </c>
    </row>
    <row r="141">
      <c r="AB141" s="8" t="inlineStr">
        <is>
          <t>Prof. Dr. Deniz DOĞRU ERSÖZ</t>
        </is>
      </c>
      <c r="AC141" s="8">
        <f>COUNTIFS(Başvuru!$D$2:$D$2158, "*" &amp; AB141 &amp; "*")</f>
        <v/>
      </c>
      <c r="AD141" s="8" t="inlineStr">
        <is>
          <t>Çocuk Sağlığı ve Hastalıkları Anabilim Dalı</t>
        </is>
      </c>
      <c r="AE141" s="218">
        <f>COUNTIFS(Başvuru!$C$2:$C$2158, "*" &amp; AD141 &amp; "*")</f>
        <v/>
      </c>
    </row>
    <row r="142">
      <c r="AB142" s="8" t="inlineStr">
        <is>
          <t>Dr. Öğr. Üyesi Emre KARA</t>
        </is>
      </c>
      <c r="AC142" s="8">
        <f>COUNTIFS(Başvuru!$D$2:$D$2158, "*" &amp; AB142 &amp; "*")</f>
        <v/>
      </c>
      <c r="AD142" s="8" t="inlineStr">
        <is>
          <t>Klinik Eczacılık Anabilim Dalı</t>
        </is>
      </c>
      <c r="AE142" s="218">
        <f>COUNTIFS(Başvuru!$C$2:$C$2158, "*" &amp; AD142 &amp; "*")</f>
        <v/>
      </c>
    </row>
    <row r="143">
      <c r="AB143" s="8" t="inlineStr">
        <is>
          <t>Prof. Dr. Tutku SOYER</t>
        </is>
      </c>
      <c r="AC143" s="8">
        <f>COUNTIFS(Başvuru!$D$2:$D$2158, "*" &amp; AB143 &amp; "*")</f>
        <v/>
      </c>
      <c r="AD143" s="8" t="inlineStr">
        <is>
          <t>Çocuk Cerrahisi Anabilim Dalı</t>
        </is>
      </c>
      <c r="AE143" s="218">
        <f>COUNTIFS(Başvuru!$C$2:$C$2158, "*" &amp; AD143 &amp; "*")</f>
        <v/>
      </c>
    </row>
    <row r="144">
      <c r="AB144" s="8" t="inlineStr">
        <is>
          <t>Prof. Dr. Nagehan EMİRALİOĞLU ORDUKAYA</t>
        </is>
      </c>
      <c r="AC144" s="8">
        <f>COUNTIFS(Başvuru!$D$2:$D$2158, "*" &amp; AB144 &amp; "*")</f>
        <v/>
      </c>
      <c r="AD144" s="8" t="inlineStr">
        <is>
          <t>Çocuk Sağlığı ve Hastalıkları Anabilim Dalı</t>
        </is>
      </c>
      <c r="AE144" s="218">
        <f>COUNTIFS(Başvuru!$C$2:$C$2158, "*" &amp; AD144 &amp; "*")</f>
        <v/>
      </c>
    </row>
    <row r="145">
      <c r="AB145" s="8" t="inlineStr">
        <is>
          <t>Dr. Öğr. Üyesi Burcu KELLECİ ÇAKIR</t>
        </is>
      </c>
      <c r="AC145" s="8">
        <f>COUNTIFS(Başvuru!$D$2:$D$2158, "*" &amp; AB145 &amp; "*")</f>
        <v/>
      </c>
      <c r="AD145" s="8" t="inlineStr">
        <is>
          <t>Klinik Eczacılık Anabilim Dalı</t>
        </is>
      </c>
      <c r="AE145" s="218">
        <f>COUNTIFS(Başvuru!$C$2:$C$2158, "*" &amp; AD145 &amp; "*")</f>
        <v/>
      </c>
    </row>
    <row r="146">
      <c r="AB146" s="8" t="n"/>
      <c r="AC146" s="8">
        <f>COUNTIFS(Başvuru!$D$2:$D$2158, "*" &amp; AB146 &amp; "*")</f>
        <v/>
      </c>
      <c r="AD146" s="8" t="n"/>
      <c r="AE146" s="218">
        <f>COUNTIFS(Başvuru!$C$2:$C$2158, "*" &amp; AD146 &amp; "*")</f>
        <v/>
      </c>
    </row>
    <row r="147">
      <c r="AB147" s="8" t="n"/>
      <c r="AC147" s="8">
        <f>COUNTIFS(Başvuru!$D$2:$D$2158, "*" &amp; AB147 &amp; "*")</f>
        <v/>
      </c>
      <c r="AD147" s="8" t="n"/>
      <c r="AE147" s="218">
        <f>COUNTIFS(Başvuru!$C$2:$C$2158, "*" &amp; AD147 &amp; "*")</f>
        <v/>
      </c>
    </row>
    <row r="148">
      <c r="AB148" s="8" t="n"/>
      <c r="AC148" s="8">
        <f>COUNTIFS(Başvuru!$D$2:$D$2158, "*" &amp; AB148 &amp; "*")</f>
        <v/>
      </c>
      <c r="AD148" s="8" t="n"/>
      <c r="AE148" s="218">
        <f>COUNTIFS(Başvuru!$C$2:$C$2158, "*" &amp; AD148 &amp; "*")</f>
        <v/>
      </c>
    </row>
    <row r="149">
      <c r="AB149" s="8" t="n"/>
      <c r="AC149" s="8">
        <f>COUNTIFS(Başvuru!$D$2:$D$2158, "*" &amp; AB149 &amp; "*")</f>
        <v/>
      </c>
      <c r="AD149" s="8" t="n"/>
      <c r="AE149" s="218">
        <f>COUNTIFS(Başvuru!$C$2:$C$2158, "*" &amp; AD149 &amp; "*")</f>
        <v/>
      </c>
    </row>
    <row r="150">
      <c r="AB150" s="8" t="n"/>
      <c r="AC150" s="8">
        <f>COUNTIFS(Başvuru!$D$2:$D$2158, "*" &amp; AB150 &amp; "*")</f>
        <v/>
      </c>
      <c r="AD150" s="8" t="n"/>
      <c r="AE150" s="218">
        <f>COUNTIFS(Başvuru!$C$2:$C$2158, "*" &amp; AD150 &amp; "*")</f>
        <v/>
      </c>
    </row>
    <row r="151">
      <c r="AB151" s="8" t="n"/>
      <c r="AC151" s="8">
        <f>COUNTIFS(Başvuru!$D$2:$D$2158, "*" &amp; AB151 &amp; "*")</f>
        <v/>
      </c>
      <c r="AD151" s="8" t="n"/>
      <c r="AE151" s="218">
        <f>COUNTIFS(Başvuru!$C$2:$C$2158, "*" &amp; AD151 &amp; "*")</f>
        <v/>
      </c>
    </row>
    <row r="152">
      <c r="AB152" s="8" t="n"/>
      <c r="AC152" s="8">
        <f>COUNTIFS(Başvuru!$D$2:$D$2158, "*" &amp; AB152 &amp; "*")</f>
        <v/>
      </c>
      <c r="AD152" s="8" t="n"/>
      <c r="AE152" s="218">
        <f>COUNTIFS(Başvuru!$C$2:$C$2158, "*" &amp; AD152 &amp; "*")</f>
        <v/>
      </c>
    </row>
    <row r="153">
      <c r="AB153" s="8" t="n"/>
      <c r="AC153" s="8">
        <f>COUNTIFS(Başvuru!$D$2:$D$2158, "*" &amp; AB153 &amp; "*")</f>
        <v/>
      </c>
      <c r="AD153" s="8" t="n"/>
      <c r="AE153" s="218">
        <f>COUNTIFS(Başvuru!$C$2:$C$2158, "*" &amp; AD153 &amp; "*")</f>
        <v/>
      </c>
    </row>
    <row r="154">
      <c r="AB154" s="8" t="n"/>
      <c r="AC154" s="8">
        <f>COUNTIFS(Başvuru!$D$2:$D$2158, "*" &amp; AB154 &amp; "*")</f>
        <v/>
      </c>
      <c r="AD154" s="8" t="n"/>
      <c r="AE154" s="218">
        <f>COUNTIFS(Başvuru!$C$2:$C$2158, "*" &amp; AD154 &amp; "*")</f>
        <v/>
      </c>
    </row>
    <row r="155">
      <c r="AB155" s="8" t="n"/>
      <c r="AC155" s="8">
        <f>COUNTIFS(Başvuru!$D$2:$D$2158, "*" &amp; AB155 &amp; "*")</f>
        <v/>
      </c>
      <c r="AD155" s="8" t="n"/>
      <c r="AE155" s="218">
        <f>COUNTIFS(Başvuru!$C$2:$C$2158, "*" &amp; AD155 &amp; "*")</f>
        <v/>
      </c>
    </row>
    <row r="156">
      <c r="AB156" s="8" t="n"/>
      <c r="AC156" s="8">
        <f>COUNTIFS(Başvuru!$D$2:$D$2158, "*" &amp; AB156 &amp; "*")</f>
        <v/>
      </c>
      <c r="AD156" s="8" t="n"/>
      <c r="AE156" s="218">
        <f>COUNTIFS(Başvuru!$C$2:$C$2158, "*" &amp; AD156 &amp; "*")</f>
        <v/>
      </c>
    </row>
    <row r="157">
      <c r="AB157" s="8" t="n"/>
      <c r="AC157" s="8">
        <f>COUNTIFS(Başvuru!$D$2:$D$2158, "*" &amp; AB157 &amp; "*")</f>
        <v/>
      </c>
      <c r="AD157" s="8" t="n"/>
      <c r="AE157" s="218">
        <f>COUNTIFS(Başvuru!$C$2:$C$2158, "*" &amp; AD157 &amp; "*")</f>
        <v/>
      </c>
    </row>
    <row r="158">
      <c r="AB158" s="8" t="n"/>
      <c r="AC158" s="8">
        <f>COUNTIFS(Başvuru!$D$2:$D$2158, "*" &amp; AB158 &amp; "*")</f>
        <v/>
      </c>
      <c r="AD158" s="8" t="n"/>
      <c r="AE158" s="218">
        <f>COUNTIFS(Başvuru!$C$2:$C$2158, "*" &amp; AD158 &amp; "*")</f>
        <v/>
      </c>
    </row>
    <row r="159">
      <c r="AB159" s="8" t="n"/>
      <c r="AC159" s="8">
        <f>COUNTIFS(Başvuru!$D$2:$D$2158, "*" &amp; AB159 &amp; "*")</f>
        <v/>
      </c>
      <c r="AD159" s="8" t="n"/>
      <c r="AE159" s="218">
        <f>COUNTIFS(Başvuru!$C$2:$C$2158, "*" &amp; AD159 &amp; "*")</f>
        <v/>
      </c>
    </row>
    <row r="160">
      <c r="AB160" s="8" t="n"/>
      <c r="AC160" s="8">
        <f>COUNTIFS(Başvuru!$D$2:$D$2158, "*" &amp; AB160 &amp; "*")</f>
        <v/>
      </c>
      <c r="AD160" s="8" t="n"/>
      <c r="AE160" s="218">
        <f>COUNTIFS(Başvuru!$C$2:$C$2158, "*" &amp; AD160 &amp; "*")</f>
        <v/>
      </c>
    </row>
    <row r="161">
      <c r="AB161" s="8" t="n"/>
      <c r="AC161" s="8">
        <f>COUNTIFS(Başvuru!$D$2:$D$2158, "*" &amp; AB161 &amp; "*")</f>
        <v/>
      </c>
      <c r="AD161" s="8" t="n"/>
      <c r="AE161" s="218">
        <f>COUNTIFS(Başvuru!$C$2:$C$2158, "*" &amp; AD161 &amp; "*")</f>
        <v/>
      </c>
    </row>
    <row r="162">
      <c r="AB162" s="8" t="n"/>
      <c r="AC162" s="8">
        <f>COUNTIFS(Başvuru!$D$2:$D$2158, "*" &amp; AB162 &amp; "*")</f>
        <v/>
      </c>
      <c r="AD162" s="8" t="n"/>
      <c r="AE162" s="218">
        <f>COUNTIFS(Başvuru!$C$2:$C$2158, "*" &amp; AD162 &amp; "*")</f>
        <v/>
      </c>
    </row>
    <row r="163">
      <c r="AB163" s="8" t="n"/>
      <c r="AC163" s="8">
        <f>COUNTIFS(Başvuru!$D$2:$D$2158, "*" &amp; AB163 &amp; "*")</f>
        <v/>
      </c>
      <c r="AD163" s="8" t="n"/>
      <c r="AE163" s="218">
        <f>COUNTIFS(Başvuru!$C$2:$C$2158, "*" &amp; AD163 &amp; "*")</f>
        <v/>
      </c>
    </row>
    <row r="164">
      <c r="AB164" s="8" t="n"/>
      <c r="AC164" s="8">
        <f>COUNTIFS(Başvuru!$D$2:$D$2158, "*" &amp; AB164 &amp; "*")</f>
        <v/>
      </c>
      <c r="AD164" s="8" t="n"/>
      <c r="AE164" s="218">
        <f>COUNTIFS(Başvuru!$C$2:$C$2158, "*" &amp; AD164 &amp; "*")</f>
        <v/>
      </c>
    </row>
    <row r="165">
      <c r="AB165" s="8" t="n"/>
      <c r="AC165" s="8">
        <f>COUNTIFS(Başvuru!$D$2:$D$2158, "*" &amp; AB165 &amp; "*")</f>
        <v/>
      </c>
      <c r="AD165" s="8" t="n"/>
      <c r="AE165" s="218">
        <f>COUNTIFS(Başvuru!$C$2:$C$2158, "*" &amp; AD165 &amp; "*")</f>
        <v/>
      </c>
    </row>
    <row r="166">
      <c r="AB166" s="8" t="n"/>
      <c r="AC166" s="8">
        <f>COUNTIFS(Başvuru!$D$2:$D$2158, "*" &amp; AB166 &amp; "*")</f>
        <v/>
      </c>
      <c r="AD166" s="8" t="n"/>
      <c r="AE166" s="218">
        <f>COUNTIFS(Başvuru!$C$2:$C$2158, "*" &amp; AD166 &amp; "*")</f>
        <v/>
      </c>
    </row>
    <row r="167">
      <c r="AB167" s="8" t="n"/>
      <c r="AC167" s="8">
        <f>COUNTIFS(Başvuru!$D$2:$D$2158, "*" &amp; AB167 &amp; "*")</f>
        <v/>
      </c>
      <c r="AD167" s="8" t="n"/>
      <c r="AE167" s="218">
        <f>COUNTIFS(Başvuru!$C$2:$C$2158, "*" &amp; AD167 &amp; "*")</f>
        <v/>
      </c>
    </row>
    <row r="168">
      <c r="AB168" s="8" t="n"/>
      <c r="AC168" s="8">
        <f>COUNTIFS(Başvuru!$D$2:$D$2158, "*" &amp; AB168 &amp; "*")</f>
        <v/>
      </c>
      <c r="AD168" s="8" t="n"/>
      <c r="AE168" s="218">
        <f>COUNTIFS(Başvuru!$C$2:$C$2158, "*" &amp; AD168 &amp; "*")</f>
        <v/>
      </c>
    </row>
    <row r="169">
      <c r="AB169" s="8" t="n"/>
      <c r="AC169" s="8">
        <f>COUNTIFS(Başvuru!$D$2:$D$2158, "*" &amp; AB169 &amp; "*")</f>
        <v/>
      </c>
      <c r="AD169" s="8" t="n"/>
      <c r="AE169" s="218">
        <f>COUNTIFS(Başvuru!$C$2:$C$2158, "*" &amp; AD169 &amp; "*")</f>
        <v/>
      </c>
    </row>
    <row r="170">
      <c r="AB170" s="8" t="n"/>
      <c r="AC170" s="8">
        <f>COUNTIFS(Başvuru!$D$2:$D$2158, "*" &amp; AB170 &amp; "*")</f>
        <v/>
      </c>
      <c r="AD170" s="8" t="n"/>
      <c r="AE170" s="218">
        <f>COUNTIFS(Başvuru!$C$2:$C$2158, "*" &amp; AD170 &amp; "*")</f>
        <v/>
      </c>
    </row>
    <row r="171">
      <c r="AB171" s="8" t="n"/>
      <c r="AC171" s="8">
        <f>COUNTIFS(Başvuru!$D$2:$D$2158, "*" &amp; AB171 &amp; "*")</f>
        <v/>
      </c>
      <c r="AD171" s="8" t="n"/>
      <c r="AE171" s="218">
        <f>COUNTIFS(Başvuru!$C$2:$C$2158, "*" &amp; AD171 &amp; "*")</f>
        <v/>
      </c>
    </row>
    <row r="172">
      <c r="AB172" s="8" t="n"/>
      <c r="AC172" s="8">
        <f>COUNTIFS(Başvuru!$D$2:$D$2158, "*" &amp; AB172 &amp; "*")</f>
        <v/>
      </c>
      <c r="AD172" s="8" t="n"/>
      <c r="AE172" s="218">
        <f>COUNTIFS(Başvuru!$C$2:$C$2158, "*" &amp; AD172 &amp; "*")</f>
        <v/>
      </c>
    </row>
    <row r="173">
      <c r="AB173" s="8" t="n"/>
      <c r="AC173" s="8">
        <f>COUNTIFS(Başvuru!$D$2:$D$2158, "*" &amp; AB173 &amp; "*")</f>
        <v/>
      </c>
      <c r="AD173" s="8" t="n"/>
      <c r="AE173" s="218">
        <f>COUNTIFS(Başvuru!$C$2:$C$2158, "*" &amp; AD173 &amp; "*")</f>
        <v/>
      </c>
    </row>
    <row r="174">
      <c r="AC174" s="8">
        <f>COUNTIFS(Başvuru!$D$2:$D$2158, "*" &amp; AB174 &amp; "*")</f>
        <v/>
      </c>
      <c r="AE174" s="218">
        <f>COUNTIFS(Başvuru!$C$2:$C$2158, "*" &amp; AD174 &amp; "*")</f>
        <v/>
      </c>
    </row>
    <row r="175">
      <c r="AC175" s="8">
        <f>COUNTIFS(Başvuru!$D$2:$D$2158, "*" &amp; AB175 &amp; "*")</f>
        <v/>
      </c>
      <c r="AE175" s="218">
        <f>COUNTIFS(Başvuru!$C$2:$C$2158, "*" &amp; AD175 &amp; "*")</f>
        <v/>
      </c>
    </row>
    <row r="176">
      <c r="AC176" s="8">
        <f>COUNTIF(Başvuru!$D$2:$D$2158, AB176)</f>
        <v/>
      </c>
      <c r="AE176" s="218">
        <f>COUNTIFS(Başvuru!$C$2:$C$2158, "*" &amp; AD176 &amp; "*")</f>
        <v/>
      </c>
    </row>
    <row r="177">
      <c r="AC177" s="8">
        <f>COUNTIF(Başvuru!$D$2:$D$2158, AB177)</f>
        <v/>
      </c>
      <c r="AE177" s="218">
        <f>COUNTIFS(Başvuru!$C$2:$C$2158, "*" &amp; AD177 &amp; "*")</f>
        <v/>
      </c>
    </row>
    <row r="178">
      <c r="AC178" s="8">
        <f>COUNTIF(Başvuru!$D$2:$D$2158, AB178)</f>
        <v/>
      </c>
      <c r="AE178" s="218">
        <f>COUNTIFS(Başvuru!$C$2:$C$2158, "*" &amp; AD178 &amp; "*")</f>
        <v/>
      </c>
    </row>
    <row r="179">
      <c r="AC179" s="8">
        <f>COUNTIF(Başvuru!$D$2:$D$2158, AB179)</f>
        <v/>
      </c>
      <c r="AE179" s="218">
        <f>COUNTIFS(Başvuru!$C$2:$C$2158, "*" &amp; AD179 &amp; "*")</f>
        <v/>
      </c>
    </row>
    <row r="180">
      <c r="AC180" s="8">
        <f>COUNTIF(Başvuru!$D$2:$D$2158, AB180)</f>
        <v/>
      </c>
      <c r="AE180" s="218">
        <f>COUNTIFS(Başvuru!$C$2:$C$2158, "*" &amp; AD180 &amp; "*")</f>
        <v/>
      </c>
    </row>
    <row r="181">
      <c r="AC181" s="8">
        <f>COUNTIF(Başvuru!$D$2:$D$2158, AB181)</f>
        <v/>
      </c>
      <c r="AE181" s="218">
        <f>COUNTIFS(Başvuru!$C$2:$C$2158, "*" &amp; AD181 &amp; "*")</f>
        <v/>
      </c>
    </row>
  </sheetData>
  <mergeCells count="1">
    <mergeCell ref="C1:D1"/>
  </mergeCells>
  <conditionalFormatting sqref="AB1:AD1 AB2:AB173 AC2:AC181 AD2:AD173">
    <cfRule type="expression" priority="1" dxfId="3">
      <formula>ISEVEN(ROW())</formula>
    </cfRule>
  </conditionalFormatting>
  <pageMargins left="0.7" right="0.7" top="0.75" bottom="0.75" header="0.3" footer="0.3"/>
  <pageSetup orientation="portrait" paperSize="9"/>
</worksheet>
</file>

<file path=xl/worksheets/sheet9.xml><?xml version="1.0" encoding="utf-8"?>
<worksheet xmlns="http://schemas.openxmlformats.org/spreadsheetml/2006/main">
  <sheetPr>
    <tabColor rgb="FF00B050"/>
    <outlinePr summaryBelow="1" summaryRight="1"/>
    <pageSetUpPr/>
  </sheetPr>
  <dimension ref="A1:E198"/>
  <sheetViews>
    <sheetView workbookViewId="0">
      <selection activeCell="A12" sqref="A12"/>
    </sheetView>
  </sheetViews>
  <sheetFormatPr baseColWidth="8" defaultRowHeight="15"/>
  <cols>
    <col width="100.85546875" bestFit="1" customWidth="1" style="221" min="1" max="1"/>
    <col width="10.28515625" bestFit="1" customWidth="1" style="221" min="2" max="2"/>
    <col width="40.5703125" bestFit="1" customWidth="1" style="221" min="4" max="4"/>
    <col width="16.140625" bestFit="1" customWidth="1" style="221" min="5" max="5"/>
  </cols>
  <sheetData>
    <row r="1">
      <c r="A1" s="154" t="inlineStr">
        <is>
          <t>Satır Etiketleri</t>
        </is>
      </c>
      <c r="B1" t="inlineStr">
        <is>
          <t>Say BİRİMİ</t>
        </is>
      </c>
      <c r="D1" s="154" t="inlineStr">
        <is>
          <t>Satır Etiketleri</t>
        </is>
      </c>
      <c r="E1" t="inlineStr">
        <is>
          <t>Say SORUMLUSU</t>
        </is>
      </c>
    </row>
    <row r="2">
      <c r="A2" s="107" t="inlineStr">
        <is>
          <t>Çocuk Sağlığı ve Hastalıkları Anabilim Dalı</t>
        </is>
      </c>
      <c r="B2" t="n">
        <v>46</v>
      </c>
      <c r="D2" s="107" t="inlineStr">
        <is>
          <t>Prof. Dr. Meltem Gülhan HALİL</t>
        </is>
      </c>
      <c r="E2" t="n">
        <v>10</v>
      </c>
    </row>
    <row r="3">
      <c r="A3" s="107" t="inlineStr">
        <is>
          <t>İç Hastalıkları Anabilim Dalı</t>
        </is>
      </c>
      <c r="B3" t="n">
        <v>42</v>
      </c>
      <c r="D3" s="107" t="inlineStr">
        <is>
          <t>Prof. Dr. Mehmet AYVAZ</t>
        </is>
      </c>
      <c r="E3" t="n">
        <v>7</v>
      </c>
    </row>
    <row r="4">
      <c r="A4" s="107" t="inlineStr">
        <is>
          <t>Kadın Hastalıkları ve Doğum Anabilim Dalı</t>
        </is>
      </c>
      <c r="B4" t="n">
        <v>19</v>
      </c>
      <c r="D4" s="107" t="inlineStr">
        <is>
          <t>Prof. Dr. Yasemin ÖZSÜREKCİ</t>
        </is>
      </c>
      <c r="E4" t="n">
        <v>6</v>
      </c>
    </row>
    <row r="5">
      <c r="A5" s="107" t="inlineStr">
        <is>
          <t>Radyoloji Anabilim Dalı</t>
        </is>
      </c>
      <c r="B5" t="n">
        <v>12</v>
      </c>
      <c r="D5" s="107" t="inlineStr">
        <is>
          <t>Dr. Öğr. Üyesi Gonca ÖZTEN</t>
        </is>
      </c>
      <c r="E5" t="n">
        <v>6</v>
      </c>
    </row>
    <row r="6">
      <c r="A6" s="107" t="inlineStr">
        <is>
          <t>Ortopedi ve Travmatoloji Anabilim Dalı</t>
        </is>
      </c>
      <c r="B6" t="n">
        <v>12</v>
      </c>
      <c r="D6" s="107" t="inlineStr">
        <is>
          <t>Dr. Öğr. Üyesi Figen BEZCİ AYGÜN</t>
        </is>
      </c>
      <c r="E6" t="n">
        <v>4</v>
      </c>
    </row>
    <row r="7">
      <c r="A7" s="107" t="inlineStr">
        <is>
          <t>Göğüs Hastalıkları Anabilim Dalı</t>
        </is>
      </c>
      <c r="B7" t="n">
        <v>12</v>
      </c>
      <c r="D7" s="107" t="inlineStr">
        <is>
          <t>Dr. Öğr. Üyesi Burcu KELLECİ ÇAKIR</t>
        </is>
      </c>
      <c r="E7" t="n">
        <v>4</v>
      </c>
    </row>
    <row r="8">
      <c r="A8" s="107" t="inlineStr">
        <is>
          <t>Klinik Eczacılık Anabilim Dalı</t>
        </is>
      </c>
      <c r="B8" t="n">
        <v>10</v>
      </c>
      <c r="D8" s="107" t="inlineStr">
        <is>
          <t>Prof. Dr. Salih Kutay DEMİRKAN</t>
        </is>
      </c>
      <c r="E8" t="n">
        <v>4</v>
      </c>
    </row>
    <row r="9">
      <c r="A9" s="107" t="inlineStr">
        <is>
          <t>Nöroloji Anabilim Dalı</t>
        </is>
      </c>
      <c r="B9" t="n">
        <v>10</v>
      </c>
      <c r="D9" s="107" t="inlineStr">
        <is>
          <t>Doç. Dr. Süleyman Nahit ŞENDUR</t>
        </is>
      </c>
      <c r="E9" t="n">
        <v>4</v>
      </c>
    </row>
    <row r="10">
      <c r="A10" s="107" t="inlineStr">
        <is>
          <t>Kulak Burun Boğaz Anabilim Dalı</t>
        </is>
      </c>
      <c r="B10" t="n">
        <v>7</v>
      </c>
      <c r="D10" s="107" t="inlineStr">
        <is>
          <t>Prof. Dr. Ali Fuat KALYONCU</t>
        </is>
      </c>
      <c r="E10" t="n">
        <v>4</v>
      </c>
    </row>
    <row r="11">
      <c r="A11" s="107" t="inlineStr">
        <is>
          <t>Deri ve Zührevi Hastalıklar Anabilim Dalı</t>
        </is>
      </c>
      <c r="B11" t="n">
        <v>7</v>
      </c>
      <c r="D11" s="107" t="inlineStr">
        <is>
          <t>Prof. Dr. Tutku SOYER</t>
        </is>
      </c>
      <c r="E11" t="n">
        <v>3</v>
      </c>
    </row>
    <row r="12">
      <c r="A12" s="107" t="inlineStr">
        <is>
          <t>Çocuk ve Ergen Ruh Sağlığı ve Hastalıkları Anabilim Dalı</t>
        </is>
      </c>
      <c r="B12" t="n">
        <v>7</v>
      </c>
      <c r="D12" s="107" t="inlineStr">
        <is>
          <t>Doç. Dr. Ezgi ATİK</t>
        </is>
      </c>
      <c r="E12" t="n">
        <v>3</v>
      </c>
    </row>
    <row r="13">
      <c r="A13" s="107" t="inlineStr">
        <is>
          <t>Anatomi Anabilim Dalı</t>
        </is>
      </c>
      <c r="B13" t="n">
        <v>7</v>
      </c>
      <c r="D13" s="107" t="inlineStr">
        <is>
          <t>Prof. Dr. Gül KARAKAYA</t>
        </is>
      </c>
      <c r="E13" t="n">
        <v>3</v>
      </c>
    </row>
    <row r="14">
      <c r="A14" s="107" t="inlineStr">
        <is>
          <t>Göz Hastalıkları Anabilim Dalı</t>
        </is>
      </c>
      <c r="B14" t="n">
        <v>7</v>
      </c>
      <c r="D14" s="107" t="inlineStr">
        <is>
          <t>Doç. Dr. Mert EŞME</t>
        </is>
      </c>
      <c r="E14" t="n">
        <v>3</v>
      </c>
    </row>
    <row r="15">
      <c r="A15" s="107" t="inlineStr">
        <is>
          <t>Ortodonti Anabilim Dalı</t>
        </is>
      </c>
      <c r="B15" t="n">
        <v>7</v>
      </c>
      <c r="D15" s="107" t="inlineStr">
        <is>
          <t>Doç. Dr. Utku AKGÖR</t>
        </is>
      </c>
      <c r="E15" t="n">
        <v>3</v>
      </c>
    </row>
    <row r="16">
      <c r="A16" s="107" t="inlineStr">
        <is>
          <t>Kardiyoloji Anabilim Dalı</t>
        </is>
      </c>
      <c r="B16" t="n">
        <v>6</v>
      </c>
      <c r="D16" s="107" t="inlineStr">
        <is>
          <t>Doç. Dr. Kübra AYKAÇ</t>
        </is>
      </c>
      <c r="E16" t="n">
        <v>3</v>
      </c>
    </row>
    <row r="17">
      <c r="A17" s="107" t="inlineStr">
        <is>
          <t>Çocuk Cerrahisi Anabilim Dalı</t>
        </is>
      </c>
      <c r="B17" t="n">
        <v>6</v>
      </c>
      <c r="D17" s="107" t="inlineStr">
        <is>
          <t>Dr. Öğr. Üyesi Ahmet KIVRAK</t>
        </is>
      </c>
      <c r="E17" t="n">
        <v>3</v>
      </c>
    </row>
    <row r="18">
      <c r="A18" s="107" t="inlineStr">
        <is>
          <t>Nükleer Tıp Anabilim Dalı</t>
        </is>
      </c>
      <c r="B18" t="n">
        <v>5</v>
      </c>
      <c r="D18" s="107" t="inlineStr">
        <is>
          <t>Prof. Dr. Mustafa CANKURTARAN</t>
        </is>
      </c>
      <c r="E18" t="n">
        <v>3</v>
      </c>
    </row>
    <row r="19">
      <c r="A19" s="107" t="inlineStr">
        <is>
          <t>Ağız, Diş ve Çene Cerrahisi Anabilim Dalı</t>
        </is>
      </c>
      <c r="B19" t="n">
        <v>5</v>
      </c>
      <c r="D19" s="107" t="inlineStr">
        <is>
          <t>Doç. Dr. Başak YALICI ARMAĞAN</t>
        </is>
      </c>
      <c r="E19" t="n">
        <v>3</v>
      </c>
    </row>
    <row r="20">
      <c r="A20" s="107" t="inlineStr">
        <is>
          <t>Anesteziyoloji ve Reanimasyon Anabilim Dalı</t>
        </is>
      </c>
      <c r="B20" t="n">
        <v>5</v>
      </c>
      <c r="D20" s="107" t="inlineStr">
        <is>
          <t>Prof. Dr. Burcu Balam DOĞU</t>
        </is>
      </c>
      <c r="E20" t="n">
        <v>3</v>
      </c>
    </row>
    <row r="21">
      <c r="A21" s="107" t="inlineStr">
        <is>
          <t>Sağlık Yönetimi Anabilim Dalı</t>
        </is>
      </c>
      <c r="B21" t="n">
        <v>5</v>
      </c>
      <c r="D21" s="107" t="inlineStr">
        <is>
          <t>Prof. Dr. Taylan KAV</t>
        </is>
      </c>
      <c r="E21" t="n">
        <v>3</v>
      </c>
    </row>
    <row r="22">
      <c r="A22" s="107" t="inlineStr">
        <is>
          <t>Fiziksel Tıp ve Rehabilitasyon Anabilim Dalı</t>
        </is>
      </c>
      <c r="B22" t="n">
        <v>4</v>
      </c>
      <c r="D22" s="107" t="inlineStr">
        <is>
          <t>Doç. Dr. İrem KOÇ</t>
        </is>
      </c>
      <c r="E22" t="n">
        <v>3</v>
      </c>
    </row>
    <row r="23">
      <c r="A23" s="107" t="inlineStr">
        <is>
          <t>Protetik Diş Tedavisi Anabilim Dalı</t>
        </is>
      </c>
      <c r="B23" t="n">
        <v>4</v>
      </c>
      <c r="D23" s="107" t="inlineStr">
        <is>
          <t>Prof. Dr. Sıddika Songül YALÇIN</t>
        </is>
      </c>
      <c r="E23" t="n">
        <v>3</v>
      </c>
    </row>
    <row r="24">
      <c r="A24" s="107" t="inlineStr">
        <is>
          <t>Periodontoloji Anabilim Dalı</t>
        </is>
      </c>
      <c r="B24" t="n">
        <v>4</v>
      </c>
      <c r="D24" s="107" t="inlineStr">
        <is>
          <t>Prof. Dr. Alp ÇETİN</t>
        </is>
      </c>
      <c r="E24" t="n">
        <v>3</v>
      </c>
    </row>
    <row r="25">
      <c r="A25" s="107" t="inlineStr">
        <is>
          <t>Üroloji Anabilim Dalı</t>
        </is>
      </c>
      <c r="B25" t="n">
        <v>4</v>
      </c>
      <c r="D25" s="107" t="inlineStr">
        <is>
          <t>Doç. Dr. Gamze DURHAN</t>
        </is>
      </c>
      <c r="E25" t="n">
        <v>3</v>
      </c>
    </row>
    <row r="26">
      <c r="A26" s="107" t="inlineStr">
        <is>
          <t>Aile Hekimliği Anabilim Dalı</t>
        </is>
      </c>
      <c r="B26" t="n">
        <v>4</v>
      </c>
      <c r="D26" s="107" t="inlineStr">
        <is>
          <t>Prof. Dr. Çağrı Mesut TEMUÇİN</t>
        </is>
      </c>
      <c r="E26" t="n">
        <v>3</v>
      </c>
    </row>
    <row r="27">
      <c r="A27" s="107" t="inlineStr">
        <is>
          <t>Göğüs Cerrahisi Anabilim Dalı</t>
        </is>
      </c>
      <c r="B27" t="n">
        <v>3</v>
      </c>
      <c r="D27" s="107" t="inlineStr">
        <is>
          <t>Prof. Dr. Deniz ÇAĞDAŞ AYVAZ</t>
        </is>
      </c>
      <c r="E27" t="n">
        <v>3</v>
      </c>
    </row>
    <row r="28">
      <c r="A28" s="107" t="inlineStr">
        <is>
          <t>Spor Hekimliği Anabilim Dalı</t>
        </is>
      </c>
      <c r="B28" t="n">
        <v>3</v>
      </c>
      <c r="D28" s="107" t="inlineStr">
        <is>
          <t>Dr. Öğr. Üyesi Murat ÇAĞAN</t>
        </is>
      </c>
      <c r="E28" t="n">
        <v>3</v>
      </c>
    </row>
    <row r="29">
      <c r="A29" s="107" t="inlineStr">
        <is>
          <t>Sosyal Hizmet Anabilim Dalı</t>
        </is>
      </c>
      <c r="B29" t="n">
        <v>3</v>
      </c>
      <c r="D29" s="107" t="inlineStr">
        <is>
          <t>Prof. Dr. Oğuz IŞIK</t>
        </is>
      </c>
      <c r="E29" t="n">
        <v>3</v>
      </c>
    </row>
    <row r="30">
      <c r="A30" s="107" t="inlineStr">
        <is>
          <t>Histoloji ve Embriyoloji Anabilim Dalı</t>
        </is>
      </c>
      <c r="B30" t="n">
        <v>3</v>
      </c>
      <c r="D30" s="107" t="inlineStr">
        <is>
          <t>Doç. Dr. İdil Rana USER KILIÇ</t>
        </is>
      </c>
      <c r="E30" t="n">
        <v>2</v>
      </c>
    </row>
    <row r="31">
      <c r="A31" s="107" t="inlineStr">
        <is>
          <t>Halk Sağlığı Anabilim Dalı</t>
        </is>
      </c>
      <c r="B31" t="n">
        <v>3</v>
      </c>
      <c r="D31" s="107" t="inlineStr">
        <is>
          <t>Doç. Dr. Mesut ALTAN</t>
        </is>
      </c>
      <c r="E31" t="n">
        <v>2</v>
      </c>
    </row>
    <row r="32">
      <c r="A32" s="107" t="inlineStr">
        <is>
          <t>Ağız, Diş ve Çene Radyolojisi Anabilim Dalı</t>
        </is>
      </c>
      <c r="B32" t="n">
        <v>3</v>
      </c>
      <c r="D32" s="107" t="inlineStr">
        <is>
          <t>Prof. Dr. Seza ÖZEN</t>
        </is>
      </c>
      <c r="E32" t="n">
        <v>2</v>
      </c>
    </row>
    <row r="33">
      <c r="A33" s="107" t="inlineStr">
        <is>
          <t>Endodonti Anabilim Dalı</t>
        </is>
      </c>
      <c r="B33" t="n">
        <v>3</v>
      </c>
      <c r="D33" s="107" t="inlineStr">
        <is>
          <t>Doç. Dr. Dilek ÜNAL</t>
        </is>
      </c>
      <c r="E33" t="n">
        <v>2</v>
      </c>
    </row>
    <row r="34">
      <c r="A34" s="107" t="inlineStr">
        <is>
          <t>Ruh Sağlığı ve Hastalıkları Anabilim Dalı</t>
        </is>
      </c>
      <c r="B34" t="n">
        <v>3</v>
      </c>
      <c r="D34" s="107" t="inlineStr">
        <is>
          <t>Prof. Dr. Murat TUNCEL</t>
        </is>
      </c>
      <c r="E34" t="n">
        <v>2</v>
      </c>
    </row>
    <row r="35">
      <c r="A35" s="107" t="inlineStr">
        <is>
          <t>Gıda Bilimleri Anabilim Dalı</t>
        </is>
      </c>
      <c r="B35" t="n">
        <v>2</v>
      </c>
      <c r="D35" s="107" t="inlineStr">
        <is>
          <t>Dr. Öğr. Üyesi Arda ÇETİNKAYA</t>
        </is>
      </c>
      <c r="E35" t="n">
        <v>2</v>
      </c>
    </row>
    <row r="36">
      <c r="A36" s="107" t="inlineStr">
        <is>
          <t>Restoratif Diş Tedavisi Anabilim Dalı</t>
        </is>
      </c>
      <c r="B36" t="n">
        <v>2</v>
      </c>
      <c r="D36" s="107" t="inlineStr">
        <is>
          <t>Prof. Dr. Murat GÜLTEKİN</t>
        </is>
      </c>
      <c r="E36" t="n">
        <v>2</v>
      </c>
    </row>
    <row r="37">
      <c r="A37" s="107" t="inlineStr">
        <is>
          <t>Pediatrik Temel Bilimler Anabilim Dalı</t>
        </is>
      </c>
      <c r="B37" t="n">
        <v>2</v>
      </c>
      <c r="D37" s="107" t="inlineStr">
        <is>
          <t>Doç. Dr. Erdem FADILOĞLU</t>
        </is>
      </c>
      <c r="E37" t="n">
        <v>2</v>
      </c>
    </row>
    <row r="38">
      <c r="A38" s="107" t="inlineStr">
        <is>
          <t>Hareket ve Antrenman Bilimleri Anabilim Dalı</t>
        </is>
      </c>
      <c r="B38" t="n">
        <v>2</v>
      </c>
      <c r="D38" s="107" t="inlineStr">
        <is>
          <t>Dr. Öğr. Üyesi Barış KAFA</t>
        </is>
      </c>
      <c r="E38" t="n">
        <v>2</v>
      </c>
    </row>
    <row r="39">
      <c r="A39" s="107" t="inlineStr">
        <is>
          <t>Çocuk Sağlığı Entitüsü</t>
        </is>
      </c>
      <c r="B39" t="n">
        <v>1</v>
      </c>
      <c r="D39" s="107" t="inlineStr">
        <is>
          <t>Dr. Öğr. Üyesi Serkan UYSAL</t>
        </is>
      </c>
      <c r="E39" t="n">
        <v>2</v>
      </c>
    </row>
    <row r="40">
      <c r="A40" s="107" t="inlineStr">
        <is>
          <t>Fizyoloji Anabilim Dalı</t>
        </is>
      </c>
      <c r="B40" t="n">
        <v>1</v>
      </c>
      <c r="D40" s="107" t="inlineStr">
        <is>
          <t>Arş. Gör. Dr. Şükran BAYRAK</t>
        </is>
      </c>
      <c r="E40" t="n">
        <v>2</v>
      </c>
    </row>
    <row r="41">
      <c r="A41" s="107" t="inlineStr">
        <is>
          <t>Farmasötik Toksikoloji Anabilim Dalı</t>
        </is>
      </c>
      <c r="B41" t="n">
        <v>1</v>
      </c>
      <c r="D41" s="107" t="inlineStr">
        <is>
          <t>Dr. Öğr. Üyesi Yiğitcan KARANFİL</t>
        </is>
      </c>
      <c r="E41" t="n">
        <v>2</v>
      </c>
    </row>
    <row r="42">
      <c r="A42" s="107" t="inlineStr">
        <is>
          <t>Sağlık Bilimleri Enstitüsü</t>
        </is>
      </c>
      <c r="B42" t="n">
        <v>1</v>
      </c>
      <c r="D42" s="107" t="inlineStr">
        <is>
          <t>Doç. Dr. Adalet Elçin YILDIZ</t>
        </is>
      </c>
      <c r="E42" t="n">
        <v>2</v>
      </c>
    </row>
    <row r="43">
      <c r="A43" s="107" t="inlineStr">
        <is>
          <t>Kök Hücre Bilimleri Anabilim Dalı</t>
        </is>
      </c>
      <c r="B43" t="n">
        <v>1</v>
      </c>
      <c r="D43" s="107" t="inlineStr">
        <is>
          <t>Öğr. Gör. Dr. Aytekin İDİKUT</t>
        </is>
      </c>
      <c r="E43" t="n">
        <v>2</v>
      </c>
    </row>
    <row r="44">
      <c r="A44" s="107" t="inlineStr">
        <is>
          <t>Farmasötik Mikrobiyoloji Anabilim Dalı</t>
        </is>
      </c>
      <c r="B44" t="n">
        <v>1</v>
      </c>
      <c r="D44" s="107" t="inlineStr">
        <is>
          <t>Prof. Dr. Özlem TEKŞAM</t>
        </is>
      </c>
      <c r="E44" t="n">
        <v>2</v>
      </c>
    </row>
    <row r="45">
      <c r="A45" s="107" t="inlineStr">
        <is>
          <t>Tıbbi Genetik Anabilim Dalı</t>
        </is>
      </c>
      <c r="B45" t="n">
        <v>1</v>
      </c>
      <c r="D45" s="107" t="inlineStr">
        <is>
          <t>Öğr. Gör. Dr. Bahattin PASLI</t>
        </is>
      </c>
      <c r="E45" t="n">
        <v>2</v>
      </c>
    </row>
    <row r="46">
      <c r="A46" s="107" t="inlineStr">
        <is>
          <t>Lokman Hekim Üniversitesi
Sağlık Hizmetleri Meslek Yüksekokulu</t>
        </is>
      </c>
      <c r="B46" t="n">
        <v>1</v>
      </c>
      <c r="D46" s="107" t="inlineStr">
        <is>
          <t>Prof. Dr. Bülent Enis ŞEKEREL</t>
        </is>
      </c>
      <c r="E46" t="n">
        <v>2</v>
      </c>
    </row>
    <row r="47">
      <c r="A47" s="107" t="inlineStr">
        <is>
          <t>Gülhane Sağlık Bilimleri Üniversitesi
Hemşirelik Fakültesi
Doğum ve Kadın Hastalıkları Hemşireliği Anabilim Dalı</t>
        </is>
      </c>
      <c r="B47" t="n">
        <v>1</v>
      </c>
      <c r="D47" s="107" t="inlineStr">
        <is>
          <t>Doç. Dr. Aslıhan AYKARA</t>
        </is>
      </c>
      <c r="E47" t="n">
        <v>2</v>
      </c>
    </row>
    <row r="48">
      <c r="A48" s="107" t="inlineStr">
        <is>
          <t>Fizikokimya Anabilim Dalı</t>
        </is>
      </c>
      <c r="B48" t="n">
        <v>1</v>
      </c>
      <c r="D48" s="107" t="inlineStr">
        <is>
          <t>Prof. Dr. İnci Nur SALTIK</t>
        </is>
      </c>
      <c r="E48" t="n">
        <v>2</v>
      </c>
    </row>
    <row r="49">
      <c r="A49" s="107" t="inlineStr">
        <is>
          <t>Moleküler Biyoloji Anabilim Dalı</t>
        </is>
      </c>
      <c r="B49" t="n">
        <v>1</v>
      </c>
      <c r="D49" s="107" t="inlineStr">
        <is>
          <t>Prof. Dr. Ayşe KİN İŞLER</t>
        </is>
      </c>
      <c r="E49" t="n">
        <v>2</v>
      </c>
    </row>
    <row r="50">
      <c r="A50" s="107" t="inlineStr">
        <is>
          <t>Tıbbi Patoloji Anabilim Dalı</t>
        </is>
      </c>
      <c r="B50" t="n">
        <v>1</v>
      </c>
      <c r="D50" s="107" t="inlineStr">
        <is>
          <t>Doç. Dr. Duygu GÜLSEREN</t>
        </is>
      </c>
      <c r="E50" t="n">
        <v>2</v>
      </c>
    </row>
    <row r="51">
      <c r="A51" s="107" t="inlineStr">
        <is>
          <t>Biyoistatistik Anabilim Dalı</t>
        </is>
      </c>
      <c r="B51" t="n">
        <v>1</v>
      </c>
      <c r="D51" s="107" t="inlineStr">
        <is>
          <t>Prof. Dr. Ayşe Tomris ERBAŞ</t>
        </is>
      </c>
      <c r="E51" t="n">
        <v>2</v>
      </c>
    </row>
    <row r="52">
      <c r="A52" s="107" t="inlineStr">
        <is>
          <t>Sosyal Pediatri Anabilim Dalı</t>
        </is>
      </c>
      <c r="B52" t="n">
        <v>1</v>
      </c>
      <c r="D52" s="107" t="inlineStr">
        <is>
          <t>Dr. Öğr. Üyesi Muhammed Çağrı KÜLEKCİ</t>
        </is>
      </c>
      <c r="E52" t="n">
        <v>2</v>
      </c>
    </row>
    <row r="53">
      <c r="A53" s="107" t="inlineStr">
        <is>
          <t>Plastik, Rekonstrüktif ve Estetik Cerrahi Anabilim Dalı</t>
        </is>
      </c>
      <c r="B53" t="n">
        <v>1</v>
      </c>
      <c r="D53" s="107" t="inlineStr">
        <is>
          <t>Prof. Dr. Cengiz KILIÇ</t>
        </is>
      </c>
      <c r="E53" t="n">
        <v>2</v>
      </c>
    </row>
    <row r="54">
      <c r="A54" s="107" t="inlineStr">
        <is>
          <t>Barcelona Institute for Global Health</t>
        </is>
      </c>
      <c r="B54" t="n">
        <v>1</v>
      </c>
      <c r="D54" s="107" t="inlineStr">
        <is>
          <t>Dr. Öğr. Üyesi Aycan UYSAL</t>
        </is>
      </c>
      <c r="E54" t="n">
        <v>2</v>
      </c>
    </row>
    <row r="55">
      <c r="A55" s="107" t="inlineStr">
        <is>
          <t>Enfeksiyon Hastalıkları ve Klinik Mikrobiyoloji Anabilim Dalı</t>
        </is>
      </c>
      <c r="B55" t="n">
        <v>1</v>
      </c>
      <c r="D55" s="107" t="inlineStr">
        <is>
          <t>Doç. Dr. Hande GÖRÜCÜ COŞKUNER</t>
        </is>
      </c>
      <c r="E55" t="n">
        <v>2</v>
      </c>
    </row>
    <row r="56">
      <c r="A56" s="107" t="inlineStr">
        <is>
          <t>Tıbbi Laboratuvar Teknikleri Programı</t>
        </is>
      </c>
      <c r="B56" t="n">
        <v>1</v>
      </c>
      <c r="D56" s="107" t="inlineStr">
        <is>
          <t>Prof. Dr. Özgür UĞURLUOĞLU</t>
        </is>
      </c>
      <c r="E56" t="n">
        <v>2</v>
      </c>
    </row>
    <row r="57">
      <c r="A57" s="107" t="inlineStr">
        <is>
          <t>Adli Tıp Anabilim Dalı</t>
        </is>
      </c>
      <c r="B57" t="n">
        <v>1</v>
      </c>
      <c r="D57" s="107" t="inlineStr">
        <is>
          <t>Prof. Dr. Ebru DAMADOĞLU</t>
        </is>
      </c>
      <c r="E57" t="n">
        <v>2</v>
      </c>
    </row>
    <row r="58">
      <c r="A58" s="107" t="inlineStr">
        <is>
          <t>Tıbbi Mikrobiyoloji Anabilim Dalı</t>
        </is>
      </c>
      <c r="B58" t="n">
        <v>1</v>
      </c>
      <c r="D58" s="107" t="inlineStr">
        <is>
          <t>Doç. Dr. Duygu AYHAN BAŞER</t>
        </is>
      </c>
      <c r="E58" t="n">
        <v>2</v>
      </c>
    </row>
    <row r="59">
      <c r="A59" s="107" t="inlineStr">
        <is>
          <t>Biyoinformatik Anabilim Dalı</t>
        </is>
      </c>
      <c r="B59" t="n">
        <v>1</v>
      </c>
      <c r="D59" s="107" t="inlineStr">
        <is>
          <t>Prof. Dr. Fatma Gökçem YILDIZ SARIKAYA</t>
        </is>
      </c>
      <c r="E59" t="n">
        <v>2</v>
      </c>
    </row>
    <row r="60">
      <c r="A60" s="107" t="inlineStr">
        <is>
          <t>Tıp Eğitimi ve Bilişimi Anabilim Dalı</t>
        </is>
      </c>
      <c r="B60" t="n">
        <v>1</v>
      </c>
      <c r="D60" s="107" t="inlineStr">
        <is>
          <t>Prof. Dr. Fadime İrsel TEZER FİLİK</t>
        </is>
      </c>
      <c r="E60" t="n">
        <v>2</v>
      </c>
    </row>
    <row r="61">
      <c r="A61" s="107" t="inlineStr">
        <is>
          <t>Sağlık Araştırmaları Anabilim Dalı</t>
        </is>
      </c>
      <c r="B61" t="n">
        <v>1</v>
      </c>
      <c r="D61" s="107" t="inlineStr">
        <is>
          <t>Prof. Dr. Hatice Yasemin BALABAN</t>
        </is>
      </c>
      <c r="E61" t="n">
        <v>2</v>
      </c>
    </row>
    <row r="62">
      <c r="A62" s="107" t="inlineStr">
        <is>
          <t>(boş)</t>
        </is>
      </c>
      <c r="D62" s="107" t="inlineStr">
        <is>
          <t>Prof. Dr. Güliz AKTAŞ</t>
        </is>
      </c>
      <c r="E62" t="n">
        <v>2</v>
      </c>
    </row>
    <row r="63">
      <c r="A63" s="107" t="inlineStr">
        <is>
          <t>Genel Toplam</t>
        </is>
      </c>
      <c r="B63" t="n">
        <v>312</v>
      </c>
      <c r="D63" s="107" t="inlineStr">
        <is>
          <t>Arş. Gör. Dr. Sebiha Şükran GÜNDEŞLİ</t>
        </is>
      </c>
      <c r="E63" t="n">
        <v>2</v>
      </c>
    </row>
    <row r="64">
      <c r="D64" s="107" t="inlineStr">
        <is>
          <t>Dr. Öğr. Üyesi Selen ADİLOĞLU</t>
        </is>
      </c>
      <c r="E64" t="n">
        <v>2</v>
      </c>
    </row>
    <row r="65">
      <c r="D65" s="107" t="inlineStr">
        <is>
          <t>Prof. Dr. Neşe DERİCİOĞLU</t>
        </is>
      </c>
      <c r="E65" t="n">
        <v>2</v>
      </c>
    </row>
    <row r="66">
      <c r="D66" s="107" t="inlineStr">
        <is>
          <t>Dr. Öğr. Üyesi Gizem ÜREL DEMİR</t>
        </is>
      </c>
      <c r="E66" t="n">
        <v>2</v>
      </c>
    </row>
    <row r="67">
      <c r="D67" s="107" t="inlineStr">
        <is>
          <t>Doç. Dr. Levent KILIÇ</t>
        </is>
      </c>
      <c r="E67" t="n">
        <v>2</v>
      </c>
    </row>
    <row r="68">
      <c r="D68" s="107" t="inlineStr">
        <is>
          <t>Doç. Dr. Ceren GÜNENÇ BEŞER</t>
        </is>
      </c>
      <c r="E68" t="n">
        <v>2</v>
      </c>
    </row>
    <row r="69">
      <c r="D69" s="107" t="inlineStr">
        <is>
          <t>Dr. Öğr. Üyesi Aybüke USLU TEKCE</t>
        </is>
      </c>
      <c r="E69" t="n">
        <v>1</v>
      </c>
    </row>
    <row r="70">
      <c r="D70" s="107" t="inlineStr">
        <is>
          <t>Prof. Dr. Şule ÜNAL CANGÜL</t>
        </is>
      </c>
      <c r="E70" t="n">
        <v>1</v>
      </c>
    </row>
    <row r="71">
      <c r="D71" s="107" t="inlineStr">
        <is>
          <t>Prof. Dr. Banu KILIÇASLAN</t>
        </is>
      </c>
      <c r="E71" t="n">
        <v>1</v>
      </c>
    </row>
    <row r="72">
      <c r="D72" s="107" t="inlineStr">
        <is>
          <t>Dr. Öğr. Üyesi Gökçen AKÇİÇEK</t>
        </is>
      </c>
      <c r="E72" t="n">
        <v>1</v>
      </c>
    </row>
    <row r="73">
      <c r="D73" s="107" t="inlineStr">
        <is>
          <t>Prof. Dr. Egemen TURHAN</t>
        </is>
      </c>
      <c r="E73" t="n">
        <v>1</v>
      </c>
    </row>
    <row r="74">
      <c r="D74" s="107" t="inlineStr">
        <is>
          <t>Prof. Dr. Emre TOSUN</t>
        </is>
      </c>
      <c r="E74" t="n">
        <v>1</v>
      </c>
    </row>
    <row r="75">
      <c r="D75" s="107" t="inlineStr">
        <is>
          <t>Doç. Dr. Seda Hanife OĞUZ BAYKAL</t>
        </is>
      </c>
      <c r="E75" t="n">
        <v>1</v>
      </c>
    </row>
    <row r="76">
      <c r="D76" s="107" t="inlineStr">
        <is>
          <t>Prof. Dr. Esra BİRBEN</t>
        </is>
      </c>
      <c r="E76" t="n">
        <v>1</v>
      </c>
    </row>
    <row r="77">
      <c r="D77" s="107" t="inlineStr">
        <is>
          <t>Doç. Dr. Sevtap ARSLAN SARIKAYA</t>
        </is>
      </c>
      <c r="E77" t="n">
        <v>1</v>
      </c>
    </row>
    <row r="78">
      <c r="D78" s="107" t="inlineStr">
        <is>
          <t>Dr. Öğr. Üyesi Hilal AKDEMİR AKTAŞ</t>
        </is>
      </c>
      <c r="E78" t="n">
        <v>1</v>
      </c>
    </row>
    <row r="79">
      <c r="D79" s="107" t="inlineStr">
        <is>
          <t>Prof. Dr. Ali Rıza TÜMER</t>
        </is>
      </c>
      <c r="E79" t="n">
        <v>1</v>
      </c>
    </row>
    <row r="80">
      <c r="D80" s="107" t="inlineStr">
        <is>
          <t>Doç. Dr. İlker ERTUĞRUL</t>
        </is>
      </c>
      <c r="E80" t="n">
        <v>1</v>
      </c>
    </row>
    <row r="81">
      <c r="D81" s="107" t="inlineStr">
        <is>
          <t>Doç. Dr. İzzet FİDANCI</t>
        </is>
      </c>
      <c r="E81" t="n">
        <v>1</v>
      </c>
    </row>
    <row r="82">
      <c r="D82" s="107" t="inlineStr">
        <is>
          <t>Prof. Dr. Güliz Nigar GÜNCÜ</t>
        </is>
      </c>
      <c r="E82" t="n">
        <v>1</v>
      </c>
    </row>
    <row r="83">
      <c r="D83" s="107" t="inlineStr">
        <is>
          <t>Dr. Öğr. Üyesi Özge YAVUZ SARI</t>
        </is>
      </c>
      <c r="E83" t="n">
        <v>1</v>
      </c>
    </row>
    <row r="84">
      <c r="D84" s="107" t="inlineStr">
        <is>
          <t>Prof. Dr. Hakan Hıfzı TÜZ</t>
        </is>
      </c>
      <c r="E84" t="n">
        <v>1</v>
      </c>
    </row>
    <row r="85">
      <c r="D85" s="107" t="inlineStr">
        <is>
          <t>Prof. Dr. Aygin EKİNCİOĞLU</t>
        </is>
      </c>
      <c r="E85" t="n">
        <v>1</v>
      </c>
    </row>
    <row r="86">
      <c r="D86" s="107" t="inlineStr">
        <is>
          <t>Prof. Dr. Hasan Serkan DOĞAN</t>
        </is>
      </c>
      <c r="E86" t="n">
        <v>1</v>
      </c>
    </row>
    <row r="87">
      <c r="D87" s="107" t="inlineStr">
        <is>
          <t>Dr. Öğr. Üyesi Gözde ÖZER</t>
        </is>
      </c>
      <c r="E87" t="n">
        <v>1</v>
      </c>
    </row>
    <row r="88">
      <c r="D88" s="107" t="inlineStr">
        <is>
          <t>Dr. Öğr. Üyesi Irmak OCAK</t>
        </is>
      </c>
      <c r="E88" t="n">
        <v>1</v>
      </c>
    </row>
    <row r="89">
      <c r="D89" s="107" t="inlineStr">
        <is>
          <t>Prof. Dr. Bülent ALTUN</t>
        </is>
      </c>
      <c r="E89" t="n">
        <v>1</v>
      </c>
    </row>
    <row r="90">
      <c r="D90" s="107" t="inlineStr">
        <is>
          <t>Prof. Dr. Hikmet YORGUN</t>
        </is>
      </c>
      <c r="E90" t="n">
        <v>1</v>
      </c>
    </row>
    <row r="91">
      <c r="D91" s="107" t="inlineStr">
        <is>
          <t>Doç. Dr. Hacı Hasan YETER</t>
        </is>
      </c>
      <c r="E91" t="n">
        <v>1</v>
      </c>
    </row>
    <row r="92">
      <c r="D92" s="107" t="inlineStr">
        <is>
          <t>Prof. Dr. Hülya DEMİR</t>
        </is>
      </c>
      <c r="E92" t="n">
        <v>1</v>
      </c>
    </row>
    <row r="93">
      <c r="D93" s="107" t="inlineStr">
        <is>
          <t>Prof. Dr. Dilek ASLAN</t>
        </is>
      </c>
      <c r="E93" t="n">
        <v>1</v>
      </c>
    </row>
    <row r="94">
      <c r="D94" s="107" t="inlineStr">
        <is>
          <t>Prof. Dr. Kıvanç AKÇA</t>
        </is>
      </c>
      <c r="E94" t="n">
        <v>1</v>
      </c>
    </row>
    <row r="95">
      <c r="D95" s="107" t="inlineStr">
        <is>
          <t>Prof. Dr. Serdar TEKGÜL</t>
        </is>
      </c>
      <c r="E95" t="n">
        <v>1</v>
      </c>
    </row>
    <row r="96">
      <c r="D96" s="107" t="inlineStr">
        <is>
          <t>Prof. Dr. Kudret AYTEMİR</t>
        </is>
      </c>
      <c r="E96" t="n">
        <v>1</v>
      </c>
    </row>
    <row r="97">
      <c r="D97" s="107" t="inlineStr">
        <is>
          <t>Dr. Öğr. Üyesi Merva PARLAK</t>
        </is>
      </c>
      <c r="E97" t="n">
        <v>1</v>
      </c>
    </row>
    <row r="98">
      <c r="D98" s="107" t="inlineStr">
        <is>
          <t>Prof. Dr. Mehmet Akif TOPÇUOĞLU</t>
        </is>
      </c>
      <c r="E98" t="n">
        <v>1</v>
      </c>
    </row>
    <row r="99">
      <c r="D99" s="107" t="inlineStr">
        <is>
          <t>Doç.Dr. Tekin AKSU</t>
        </is>
      </c>
      <c r="E99" t="n">
        <v>1</v>
      </c>
    </row>
    <row r="100">
      <c r="D100" s="107" t="inlineStr">
        <is>
          <t>Doç. Dr. Ayhan EYMİRLİ</t>
        </is>
      </c>
      <c r="E100" t="n">
        <v>1</v>
      </c>
    </row>
    <row r="101">
      <c r="D101" s="107" t="inlineStr">
        <is>
          <t>Prof. Dr. Jale KARAKAYA</t>
        </is>
      </c>
      <c r="E101" t="n">
        <v>1</v>
      </c>
    </row>
    <row r="102">
      <c r="D102" s="107" t="inlineStr">
        <is>
          <t>Dr. Natalia RAKİSLOVA</t>
        </is>
      </c>
      <c r="E102" t="n">
        <v>1</v>
      </c>
    </row>
    <row r="103">
      <c r="D103" s="107" t="inlineStr">
        <is>
          <t>Dr. Öğr. Üyesi Ezgi DOĞAN CÖMERT</t>
        </is>
      </c>
      <c r="E103" t="n">
        <v>1</v>
      </c>
    </row>
    <row r="104">
      <c r="D104" s="107" t="inlineStr">
        <is>
          <t>Prof. Dr. Müzeyyen Pınar ÖZGEN KIRATLI</t>
        </is>
      </c>
      <c r="E104" t="n">
        <v>1</v>
      </c>
    </row>
    <row r="105">
      <c r="D105" s="107" t="inlineStr">
        <is>
          <t>Dr. Öğr. Üyesi Ergin EROĞLU</t>
        </is>
      </c>
      <c r="E105" t="n">
        <v>1</v>
      </c>
    </row>
    <row r="106">
      <c r="D106" s="107" t="inlineStr">
        <is>
          <t>Prof. Dr. N. Dilara ZEYBEK</t>
        </is>
      </c>
      <c r="E106" t="n">
        <v>1</v>
      </c>
    </row>
    <row r="107">
      <c r="D107" s="107" t="inlineStr">
        <is>
          <t>Prof. Dr. Ali DURSUN</t>
        </is>
      </c>
      <c r="E107" t="n">
        <v>1</v>
      </c>
    </row>
    <row r="108">
      <c r="D108" s="107" t="inlineStr">
        <is>
          <t>Prof. Dr. Nagehan EMİRALİOĞLU ORDUKAYA</t>
        </is>
      </c>
      <c r="E108" t="n">
        <v>1</v>
      </c>
    </row>
    <row r="109">
      <c r="D109" s="107" t="inlineStr">
        <is>
          <t>Prof. Dr. Şehnaz ALP</t>
        </is>
      </c>
      <c r="E109" t="n">
        <v>1</v>
      </c>
    </row>
    <row r="110">
      <c r="D110" s="107" t="inlineStr">
        <is>
          <t>Doç. Dr. Ulaş KUMBASAR</t>
        </is>
      </c>
      <c r="E110" t="n">
        <v>1</v>
      </c>
    </row>
    <row r="111">
      <c r="D111" s="107" t="inlineStr">
        <is>
          <t>Prof. Dr. Bayram ŞAHİN</t>
        </is>
      </c>
      <c r="E111" t="n">
        <v>1</v>
      </c>
    </row>
    <row r="112">
      <c r="D112" s="107" t="inlineStr">
        <is>
          <t>Doç. Dr. Hilal AKSOY</t>
        </is>
      </c>
      <c r="E112" t="n">
        <v>1</v>
      </c>
    </row>
    <row r="113">
      <c r="D113" s="107" t="inlineStr">
        <is>
          <t>Öğr. Gör. Dr. Esin ALPDÜNDAR BULUT</t>
        </is>
      </c>
      <c r="E113" t="n">
        <v>1</v>
      </c>
    </row>
    <row r="114">
      <c r="D114" s="107" t="inlineStr">
        <is>
          <t>Prof. Dr. Zafer Selçuk TUNCER</t>
        </is>
      </c>
      <c r="E114" t="n">
        <v>1</v>
      </c>
    </row>
    <row r="115">
      <c r="D115" s="107" t="inlineStr">
        <is>
          <t>Doç. Dr. Başak AKÇA</t>
        </is>
      </c>
      <c r="E115" t="n">
        <v>1</v>
      </c>
    </row>
    <row r="116">
      <c r="D116" s="107" t="inlineStr">
        <is>
          <t>Arş. Gör. Dr. Tuğçe TAŞKINDERE ABBASOĞLU</t>
        </is>
      </c>
      <c r="E116" t="n">
        <v>1</v>
      </c>
    </row>
    <row r="117">
      <c r="D117" s="107" t="inlineStr">
        <is>
          <t>Prof. Dr. Deniz DOĞRU ERSÖZ</t>
        </is>
      </c>
      <c r="E117" t="n">
        <v>1</v>
      </c>
    </row>
    <row r="118">
      <c r="D118" s="107" t="inlineStr">
        <is>
          <t>Prof. Dr. Devrim AKDEMİR</t>
        </is>
      </c>
      <c r="E118" t="n">
        <v>1</v>
      </c>
    </row>
    <row r="119">
      <c r="D119" s="107" t="inlineStr">
        <is>
          <t>Doç. Dr. Emel Tuğba ATAMAN DURUEL</t>
        </is>
      </c>
      <c r="E119" t="n">
        <v>1</v>
      </c>
    </row>
    <row r="120">
      <c r="D120" s="107" t="inlineStr">
        <is>
          <t>Öğr. Gör. Dr. Berrin BABAOĞLU</t>
        </is>
      </c>
      <c r="E120" t="n">
        <v>1</v>
      </c>
    </row>
    <row r="121">
      <c r="D121" s="107" t="inlineStr">
        <is>
          <t>Doç. Dr. Fatma Gonca ELDEM</t>
        </is>
      </c>
      <c r="E121" t="n">
        <v>1</v>
      </c>
    </row>
    <row r="122">
      <c r="D122" s="107" t="inlineStr">
        <is>
          <t>Prof. Dr. Sinem AKGÜL</t>
        </is>
      </c>
      <c r="E122" t="n">
        <v>1</v>
      </c>
    </row>
    <row r="123">
      <c r="D123" s="107" t="inlineStr">
        <is>
          <t>Prof. Dr. Sevinç SARINÇ</t>
        </is>
      </c>
      <c r="E123" t="n">
        <v>1</v>
      </c>
    </row>
    <row r="124">
      <c r="D124" s="107" t="inlineStr">
        <is>
          <t>Doç. Dr. Oğuz Abdullah UYAROĞLU</t>
        </is>
      </c>
      <c r="E124" t="n">
        <v>1</v>
      </c>
    </row>
    <row r="125">
      <c r="D125" s="107" t="inlineStr">
        <is>
          <t>Öğr. Gör. Dr. Burçay TELLİOĞLU</t>
        </is>
      </c>
      <c r="E125" t="n">
        <v>1</v>
      </c>
    </row>
    <row r="126">
      <c r="D126" s="107" t="inlineStr">
        <is>
          <t>Doç. Dr. Ceren ÖZKUL KOÇAK</t>
        </is>
      </c>
      <c r="E126" t="n">
        <v>1</v>
      </c>
    </row>
    <row r="127">
      <c r="D127" s="107" t="inlineStr">
        <is>
          <t>Doç. Dr. Basri GÜLBAKAN</t>
        </is>
      </c>
      <c r="E127" t="n">
        <v>1</v>
      </c>
    </row>
    <row r="128">
      <c r="D128" s="107" t="inlineStr">
        <is>
          <t>Prof. Dr. Cavit Işık YAVUZ</t>
        </is>
      </c>
      <c r="E128" t="n">
        <v>1</v>
      </c>
    </row>
    <row r="129">
      <c r="D129" s="107" t="inlineStr">
        <is>
          <t>Prof. Dr. Mustafa Barış GÜNCÜ</t>
        </is>
      </c>
      <c r="E129" t="n">
        <v>1</v>
      </c>
    </row>
    <row r="130">
      <c r="D130" s="107" t="inlineStr">
        <is>
          <t>Arş. Gör. Dr. Aycan UYSAL</t>
        </is>
      </c>
      <c r="E130" t="n">
        <v>1</v>
      </c>
    </row>
    <row r="131">
      <c r="D131" s="107" t="inlineStr">
        <is>
          <t>Prof. Dr. Ali DÜZOVA</t>
        </is>
      </c>
      <c r="E131" t="n">
        <v>1</v>
      </c>
    </row>
    <row r="132">
      <c r="D132" s="107" t="inlineStr">
        <is>
          <t>Doç. Dr. Burcu ERSÖZ ALAN</t>
        </is>
      </c>
      <c r="E132" t="n">
        <v>1</v>
      </c>
    </row>
    <row r="133">
      <c r="D133" s="107" t="inlineStr">
        <is>
          <t>Öğr. Gör. Dr. Helin YÜCEDAĞ GÜNDOĞDU</t>
        </is>
      </c>
      <c r="E133" t="n">
        <v>1</v>
      </c>
    </row>
    <row r="134">
      <c r="D134" s="107" t="inlineStr">
        <is>
          <t>Prof. Dr. Selçuk DAĞDELEN</t>
        </is>
      </c>
      <c r="E134" t="n">
        <v>1</v>
      </c>
    </row>
    <row r="135">
      <c r="D135" s="107" t="inlineStr">
        <is>
          <t>Arş. Gör. Dt. Dilara KARA</t>
        </is>
      </c>
      <c r="E135" t="n">
        <v>1</v>
      </c>
    </row>
    <row r="136">
      <c r="D136" s="107" t="inlineStr">
        <is>
          <t>Prof. Dr. Serdar ÖZER</t>
        </is>
      </c>
      <c r="E136" t="n">
        <v>1</v>
      </c>
    </row>
    <row r="137">
      <c r="D137" s="107" t="inlineStr">
        <is>
          <t>Dr. Öğr. Üyesi Burkay UTKU</t>
        </is>
      </c>
      <c r="E137" t="n">
        <v>1</v>
      </c>
    </row>
    <row r="138">
      <c r="D138" s="107" t="inlineStr">
        <is>
          <t>Dr. Vet. Hek. Özgür Doğuş EROL DUYAR</t>
        </is>
      </c>
      <c r="E138" t="n">
        <v>1</v>
      </c>
    </row>
    <row r="139">
      <c r="D139" s="107" t="inlineStr">
        <is>
          <t>Dr. Öğr. Üyesi Hatice BOYACIOĞLU ERDEN</t>
        </is>
      </c>
      <c r="E139" t="n">
        <v>1</v>
      </c>
    </row>
    <row r="140">
      <c r="D140" s="107" t="inlineStr">
        <is>
          <t>Dr. Öğr. Üyesi Ayşe METE YEŞİL</t>
        </is>
      </c>
      <c r="E140" t="n">
        <v>1</v>
      </c>
    </row>
    <row r="141">
      <c r="D141" s="107" t="inlineStr">
        <is>
          <t>Dr. Öğr. Üyesi Salih Eren MERAL</t>
        </is>
      </c>
      <c r="E141" t="n">
        <v>1</v>
      </c>
    </row>
    <row r="142">
      <c r="D142" s="107" t="inlineStr">
        <is>
          <t>Prof. Dr. Sibel ERSOY EVANS</t>
        </is>
      </c>
      <c r="E142" t="n">
        <v>1</v>
      </c>
    </row>
    <row r="143">
      <c r="D143" s="107" t="inlineStr">
        <is>
          <t>Dr. Öğr. Üyesi Emre KARA</t>
        </is>
      </c>
      <c r="E143" t="n">
        <v>1</v>
      </c>
    </row>
    <row r="144">
      <c r="D144" s="107" t="inlineStr">
        <is>
          <t>Prof. Dr. Taner YILMAZ</t>
        </is>
      </c>
      <c r="E144" t="n">
        <v>1</v>
      </c>
    </row>
    <row r="145">
      <c r="D145" s="107" t="inlineStr">
        <is>
          <t>Prof. Dr. Bahar GÜÇİZ DOĞAN</t>
        </is>
      </c>
      <c r="E145" t="n">
        <v>1</v>
      </c>
    </row>
    <row r="146">
      <c r="D146" s="107" t="inlineStr">
        <is>
          <t>Doç. Dr. Nursel ÇALIK BAŞARAN</t>
        </is>
      </c>
      <c r="E146" t="n">
        <v>1</v>
      </c>
    </row>
    <row r="147">
      <c r="D147" s="107" t="inlineStr">
        <is>
          <t>Doç. Dr. Bengisu AKARSU GÜVEN</t>
        </is>
      </c>
      <c r="E147" t="n">
        <v>1</v>
      </c>
    </row>
    <row r="148">
      <c r="D148" s="107" t="inlineStr">
        <is>
          <t>Prof. Dr. Ülkü ÜNDEĞER BUCURGAT</t>
        </is>
      </c>
      <c r="E148" t="n">
        <v>1</v>
      </c>
    </row>
    <row r="149">
      <c r="D149" s="107" t="inlineStr">
        <is>
          <t>Prof. Dr. Mert ÇALIŞ</t>
        </is>
      </c>
      <c r="E149" t="n">
        <v>1</v>
      </c>
    </row>
    <row r="150">
      <c r="D150" s="107" t="inlineStr">
        <is>
          <t>Prof. Dr. Yahya BÜYÜKAŞIK</t>
        </is>
      </c>
      <c r="E150" t="n">
        <v>1</v>
      </c>
    </row>
    <row r="151">
      <c r="D151" s="107" t="inlineStr">
        <is>
          <t>Prof. Dr. Betül ÇELEBİ SALTIK</t>
        </is>
      </c>
      <c r="E151" t="n">
        <v>1</v>
      </c>
    </row>
    <row r="152">
      <c r="D152" s="107" t="inlineStr">
        <is>
          <t>Prof. Dr. Yakut AKYÖN YILMAZ</t>
        </is>
      </c>
      <c r="E152" t="n">
        <v>1</v>
      </c>
    </row>
    <row r="153">
      <c r="D153" s="107" t="inlineStr">
        <is>
          <t>Prof. Dr. Bora GÜLHAN</t>
        </is>
      </c>
      <c r="E153" t="n">
        <v>1</v>
      </c>
    </row>
    <row r="154">
      <c r="D154" s="107" t="inlineStr">
        <is>
          <t>Doç. Dr. Saliha ESENBOĞA</t>
        </is>
      </c>
      <c r="E154" t="n">
        <v>1</v>
      </c>
    </row>
    <row r="155">
      <c r="D155" s="107" t="inlineStr">
        <is>
          <t>Doç. Dr. Zeynep TÜZÜN GÜN</t>
        </is>
      </c>
      <c r="E155" t="n">
        <v>1</v>
      </c>
    </row>
    <row r="156">
      <c r="D156" s="107" t="inlineStr">
        <is>
          <t>Prof. Dr. Yavuz AYHAN</t>
        </is>
      </c>
      <c r="E156" t="n">
        <v>1</v>
      </c>
    </row>
    <row r="157">
      <c r="D157" s="107" t="inlineStr">
        <is>
          <t>Doç. Dr. Kevser NALBANT</t>
        </is>
      </c>
      <c r="E157" t="n">
        <v>1</v>
      </c>
    </row>
    <row r="158">
      <c r="D158" s="107" t="inlineStr">
        <is>
          <t>Doç. Dr. Gölşah KÖK</t>
        </is>
      </c>
      <c r="E158" t="n">
        <v>1</v>
      </c>
    </row>
    <row r="159">
      <c r="D159" s="107" t="inlineStr">
        <is>
          <t>Dr. Öğr. Üyesi Gökhan AYIK</t>
        </is>
      </c>
      <c r="E159" t="n">
        <v>1</v>
      </c>
    </row>
    <row r="160">
      <c r="D160" s="107" t="inlineStr">
        <is>
          <t>Öğr. Gör. Dr. Pınar ÖZDEMİR YAŞAR</t>
        </is>
      </c>
      <c r="E160" t="n">
        <v>1</v>
      </c>
    </row>
    <row r="161">
      <c r="D161" s="107" t="inlineStr">
        <is>
          <t>Doç. Dr. Emel ISIYEL</t>
        </is>
      </c>
      <c r="E161" t="n">
        <v>1</v>
      </c>
    </row>
    <row r="162">
      <c r="D162" s="107" t="inlineStr">
        <is>
          <t>Doç. Dr. Ekim GÜMELER</t>
        </is>
      </c>
      <c r="E162" t="n">
        <v>1</v>
      </c>
    </row>
    <row r="163">
      <c r="D163" s="107" t="inlineStr">
        <is>
          <t>Prof. Dr. Seda Banu AKINCI</t>
        </is>
      </c>
      <c r="E163" t="n">
        <v>1</v>
      </c>
    </row>
    <row r="164">
      <c r="D164" s="107" t="inlineStr">
        <is>
          <t>Doç. Dr. Burcu HATİBOĞLU</t>
        </is>
      </c>
      <c r="E164" t="n">
        <v>1</v>
      </c>
    </row>
    <row r="165">
      <c r="D165" s="107" t="inlineStr">
        <is>
          <t>Prof. Dr. Mehmet Cemalettin AKSOY</t>
        </is>
      </c>
      <c r="E165" t="n">
        <v>1</v>
      </c>
    </row>
    <row r="166">
      <c r="D166" s="107" t="inlineStr">
        <is>
          <t>Dr. Öğr. Üyesi Hanife Merva PARLAK</t>
        </is>
      </c>
      <c r="E166" t="n">
        <v>1</v>
      </c>
    </row>
    <row r="167">
      <c r="D167" s="107" t="inlineStr">
        <is>
          <t>Doç. Dr. Erdal SAĞ</t>
        </is>
      </c>
      <c r="E167" t="n">
        <v>1</v>
      </c>
    </row>
    <row r="168">
      <c r="D168" s="107" t="inlineStr">
        <is>
          <t>Prof. Dr. Hatice DOĞAN BUZOĞLU</t>
        </is>
      </c>
      <c r="E168" t="n">
        <v>1</v>
      </c>
    </row>
    <row r="169">
      <c r="D169" s="107" t="inlineStr">
        <is>
          <t>Doç. Dr. Leman AKCAN YILDIZ</t>
        </is>
      </c>
      <c r="E169" t="n">
        <v>1</v>
      </c>
    </row>
    <row r="170">
      <c r="D170" s="107" t="inlineStr">
        <is>
          <t>Doç. Dr. Almıla Gülsün PAMUK</t>
        </is>
      </c>
      <c r="E170" t="n">
        <v>1</v>
      </c>
    </row>
    <row r="171">
      <c r="D171" s="107" t="inlineStr">
        <is>
          <t>Doç. Dr. Serra ÖRSTEN</t>
        </is>
      </c>
      <c r="E171" t="n">
        <v>1</v>
      </c>
    </row>
    <row r="172">
      <c r="D172" s="107" t="inlineStr">
        <is>
          <t>Doç. Dr. Gamze ATAY</t>
        </is>
      </c>
      <c r="E172" t="n">
        <v>1</v>
      </c>
    </row>
    <row r="173">
      <c r="D173" s="107" t="inlineStr">
        <is>
          <t>Doç. Dr. Hayriye HIZARCIOĞLU GÜLŞEN</t>
        </is>
      </c>
      <c r="E173" t="n">
        <v>1</v>
      </c>
    </row>
    <row r="174">
      <c r="D174" s="107" t="inlineStr">
        <is>
          <t>Doç. Dr. Hilal KORKMAZ</t>
        </is>
      </c>
      <c r="E174" t="n">
        <v>1</v>
      </c>
    </row>
    <row r="175">
      <c r="D175" s="107" t="inlineStr">
        <is>
          <t>Dr. Öğr. Üyesi Sefa Burak ÇAM</t>
        </is>
      </c>
      <c r="E175" t="n">
        <v>1</v>
      </c>
    </row>
    <row r="176">
      <c r="D176" s="107" t="inlineStr">
        <is>
          <t>Doç. Dr. Derman BAŞARAN</t>
        </is>
      </c>
      <c r="E176" t="n">
        <v>1</v>
      </c>
    </row>
    <row r="177">
      <c r="D177" s="107" t="inlineStr">
        <is>
          <t>Prof. Dr. Dilşad FOTO ÖZDEMİR</t>
        </is>
      </c>
      <c r="E177" t="n">
        <v>1</v>
      </c>
    </row>
    <row r="178">
      <c r="D178" s="107" t="inlineStr">
        <is>
          <t>Öğr. Gör. Dr. Buket KILIÇ</t>
        </is>
      </c>
      <c r="E178" t="n">
        <v>1</v>
      </c>
    </row>
    <row r="179">
      <c r="D179" s="107" t="inlineStr">
        <is>
          <t>Doç. Dr. Neslihan AKDOĞAN</t>
        </is>
      </c>
      <c r="E179" t="n">
        <v>1</v>
      </c>
    </row>
    <row r="180">
      <c r="D180" s="107" t="inlineStr">
        <is>
          <t>Prof. Dr. Fatma Visal OKUR</t>
        </is>
      </c>
      <c r="E180" t="n">
        <v>1</v>
      </c>
    </row>
    <row r="181">
      <c r="D181" s="107" t="inlineStr">
        <is>
          <t>Prof. Dr. Orhan ODABAŞI</t>
        </is>
      </c>
      <c r="E181" t="n">
        <v>1</v>
      </c>
    </row>
    <row r="182">
      <c r="D182" s="107" t="inlineStr">
        <is>
          <t>Prof. Dr. Emel UZUNOĞLU ÖZYÜREK</t>
        </is>
      </c>
      <c r="E182" t="n">
        <v>1</v>
      </c>
    </row>
    <row r="183">
      <c r="D183" s="107" t="inlineStr">
        <is>
          <t>Prof. Dr. Oya ÖZDEMİR</t>
        </is>
      </c>
      <c r="E183" t="n">
        <v>1</v>
      </c>
    </row>
    <row r="184">
      <c r="D184" s="107" t="inlineStr">
        <is>
          <t>Dr. Öğr. Üyesi Onur İNCE</t>
        </is>
      </c>
      <c r="E184" t="n">
        <v>1</v>
      </c>
    </row>
    <row r="185">
      <c r="D185" s="107" t="inlineStr">
        <is>
          <t>Prof. Dr. Ömer KARADAĞ</t>
        </is>
      </c>
      <c r="E185" t="n">
        <v>1</v>
      </c>
    </row>
    <row r="186">
      <c r="D186" s="107" t="inlineStr">
        <is>
          <t>Prof. Dr. Hakan GÖKER</t>
        </is>
      </c>
      <c r="E186" t="n">
        <v>1</v>
      </c>
    </row>
    <row r="187">
      <c r="D187" s="107" t="inlineStr">
        <is>
          <t>Prof. Dr. Ömer UĞUR</t>
        </is>
      </c>
      <c r="E187" t="n">
        <v>1</v>
      </c>
    </row>
    <row r="188">
      <c r="D188" s="107" t="inlineStr">
        <is>
          <t>Doç. Dr. Cem ÇÖTELİ</t>
        </is>
      </c>
      <c r="E188" t="n">
        <v>1</v>
      </c>
    </row>
    <row r="189">
      <c r="D189" s="107" t="inlineStr">
        <is>
          <t>Prof. Dr. Ömür ÇELİKBIÇAK</t>
        </is>
      </c>
      <c r="E189" t="n">
        <v>1</v>
      </c>
    </row>
    <row r="190">
      <c r="D190" s="107" t="inlineStr">
        <is>
          <t>Prof. Dr. Bilge VOLKAN SALANCI</t>
        </is>
      </c>
      <c r="E190" t="n">
        <v>1</v>
      </c>
    </row>
    <row r="191">
      <c r="D191" s="107" t="inlineStr">
        <is>
          <t>Prof. Dr. Özlem BOYBEYİ</t>
        </is>
      </c>
      <c r="E191" t="n">
        <v>1</v>
      </c>
    </row>
    <row r="192">
      <c r="D192" s="107" t="inlineStr">
        <is>
          <t>Prof. Dr. Filiz YALÇIN</t>
        </is>
      </c>
      <c r="E192" t="n">
        <v>1</v>
      </c>
    </row>
    <row r="193">
      <c r="D193" s="107" t="inlineStr">
        <is>
          <t>Prof. Dr. Petek KORKUSUZ</t>
        </is>
      </c>
      <c r="E193" t="n">
        <v>1</v>
      </c>
    </row>
    <row r="194">
      <c r="D194" s="107" t="inlineStr">
        <is>
          <t>Dr. Öğr. Üyesi Burçe ATAÇ MOGOL</t>
        </is>
      </c>
      <c r="E194" t="n">
        <v>1</v>
      </c>
    </row>
    <row r="195">
      <c r="D195" s="107" t="inlineStr">
        <is>
          <t>Prof. Dr. Rıza Köksal ÖZGÜL</t>
        </is>
      </c>
      <c r="E195" t="n">
        <v>1</v>
      </c>
    </row>
    <row r="196">
      <c r="D196" s="107" t="inlineStr">
        <is>
          <t>Prof. Dr. Salih AKSU</t>
        </is>
      </c>
      <c r="E196" t="n">
        <v>1</v>
      </c>
    </row>
    <row r="197">
      <c r="D197" s="107" t="inlineStr">
        <is>
          <t>(boş)</t>
        </is>
      </c>
    </row>
    <row r="198">
      <c r="D198" s="107" t="inlineStr">
        <is>
          <t>Genel Toplam</t>
        </is>
      </c>
      <c r="E198" t="n">
        <v>312</v>
      </c>
    </row>
  </sheetData>
  <pageMargins left="0.7" right="0.7" top="0.75" bottom="0.75" header="0.3" footer="0.3"/>
</worksheet>
</file>

<file path=xl/worksheets/sheet10.xml><?xml version="1.0" encoding="utf-8"?>
<worksheet xmlns="http://schemas.openxmlformats.org/spreadsheetml/2006/main">
  <sheetPr>
    <tabColor rgb="FFFFFF00"/>
    <outlinePr summaryBelow="1" summaryRight="1"/>
    <pageSetUpPr/>
  </sheetPr>
  <dimension ref="A1:F29"/>
  <sheetViews>
    <sheetView showZeros="0" zoomScaleNormal="100" workbookViewId="0">
      <selection activeCell="J10" sqref="J10"/>
    </sheetView>
  </sheetViews>
  <sheetFormatPr baseColWidth="8" defaultRowHeight="15.75"/>
  <cols>
    <col width="9.140625" customWidth="1" style="218" min="1" max="1"/>
    <col width="17.85546875" customWidth="1" style="218" min="2" max="2"/>
    <col width="18" bestFit="1" customWidth="1" style="218" min="3" max="3"/>
    <col width="9.7109375" customWidth="1" style="218" min="4" max="42"/>
    <col width="12.85546875" customWidth="1" style="218" min="43" max="43"/>
    <col width="9.140625" customWidth="1" style="218" min="44" max="16384"/>
  </cols>
  <sheetData>
    <row r="1">
      <c r="A1" s="219" t="inlineStr">
        <is>
          <t>2026 GÜNDEM SAYILARI</t>
        </is>
      </c>
    </row>
    <row r="3">
      <c r="A3" s="41" t="inlineStr">
        <is>
          <t>S.NO</t>
        </is>
      </c>
      <c r="B3" s="41" t="inlineStr">
        <is>
          <t>Gündem Tarihleri</t>
        </is>
      </c>
      <c r="C3" s="41" t="inlineStr">
        <is>
          <t>Başvuru</t>
        </is>
      </c>
      <c r="D3" s="41" t="inlineStr">
        <is>
          <t>Düzeltme</t>
        </is>
      </c>
      <c r="E3" s="41" t="inlineStr">
        <is>
          <t>Dilekçe</t>
        </is>
      </c>
      <c r="F3" s="41" t="inlineStr">
        <is>
          <t>Toplam</t>
        </is>
      </c>
    </row>
    <row r="4">
      <c r="A4" s="42" t="inlineStr">
        <is>
          <t>1.</t>
        </is>
      </c>
      <c r="B4" s="40" t="n">
        <v>46028</v>
      </c>
      <c r="C4" s="39" t="n">
        <v>55</v>
      </c>
      <c r="D4" s="39" t="n">
        <v>16</v>
      </c>
      <c r="E4" s="39" t="n">
        <v>9</v>
      </c>
      <c r="F4" s="39">
        <f>SUM(C4:E4)</f>
        <v/>
      </c>
    </row>
    <row r="5">
      <c r="A5" s="42" t="inlineStr">
        <is>
          <t>2.</t>
        </is>
      </c>
      <c r="B5" s="40" t="n">
        <v>46042</v>
      </c>
      <c r="C5" s="39" t="n">
        <v>45</v>
      </c>
      <c r="D5" s="39" t="n">
        <v>13</v>
      </c>
      <c r="E5" s="39" t="n">
        <v>11</v>
      </c>
      <c r="F5" s="39">
        <f>SUM(C5:E5)</f>
        <v/>
      </c>
    </row>
    <row r="6">
      <c r="A6" s="42" t="inlineStr">
        <is>
          <t>3.</t>
        </is>
      </c>
      <c r="B6" s="40" t="n">
        <v>46057</v>
      </c>
      <c r="C6" s="39" t="n">
        <v>45</v>
      </c>
      <c r="D6" s="39" t="n">
        <v>12</v>
      </c>
      <c r="E6" s="39" t="n">
        <v>15</v>
      </c>
      <c r="F6" s="39">
        <f>SUM(C6:E6)</f>
        <v/>
      </c>
    </row>
    <row r="7">
      <c r="A7" s="42" t="inlineStr">
        <is>
          <t>4.</t>
        </is>
      </c>
      <c r="B7" s="40" t="n">
        <v>46070</v>
      </c>
      <c r="C7" s="39" t="n">
        <v>45</v>
      </c>
      <c r="D7" s="39" t="n">
        <v>17</v>
      </c>
      <c r="E7" s="39" t="n">
        <v>6</v>
      </c>
      <c r="F7" s="39">
        <f>SUM(C7:E7)</f>
        <v/>
      </c>
    </row>
    <row r="8">
      <c r="A8" s="42" t="inlineStr">
        <is>
          <t>5.</t>
        </is>
      </c>
      <c r="B8" s="40" t="n">
        <v>46084</v>
      </c>
      <c r="C8" s="39" t="n">
        <v>35</v>
      </c>
      <c r="D8" s="39" t="n">
        <v>19</v>
      </c>
      <c r="E8" s="39" t="n">
        <v>8</v>
      </c>
      <c r="F8" s="39">
        <f>SUM(C8:E8)</f>
        <v/>
      </c>
    </row>
    <row r="9">
      <c r="A9" s="42" t="inlineStr">
        <is>
          <t>6.</t>
        </is>
      </c>
      <c r="B9" s="40" t="n">
        <v>46098</v>
      </c>
      <c r="C9" s="39" t="n">
        <v>47</v>
      </c>
      <c r="D9" s="39" t="n">
        <v>21</v>
      </c>
      <c r="E9" s="39" t="n">
        <v>14</v>
      </c>
      <c r="F9" s="39">
        <f>SUM(C9:E9)</f>
        <v/>
      </c>
    </row>
    <row r="10">
      <c r="A10" s="42" t="inlineStr">
        <is>
          <t>7.</t>
        </is>
      </c>
      <c r="B10" s="40" t="n">
        <v>46112</v>
      </c>
      <c r="C10" s="39" t="n">
        <v>40</v>
      </c>
      <c r="D10" s="39" t="n"/>
      <c r="E10" s="39" t="n"/>
      <c r="F10" s="39">
        <f>SUM(C10:E10)</f>
        <v/>
      </c>
    </row>
    <row r="11">
      <c r="A11" s="42" t="inlineStr">
        <is>
          <t>8.</t>
        </is>
      </c>
      <c r="B11" s="40" t="n"/>
      <c r="C11" s="39" t="n"/>
      <c r="D11" s="39" t="n"/>
      <c r="E11" s="39" t="n"/>
      <c r="F11" s="39">
        <f>SUM(C11:E11)</f>
        <v/>
      </c>
    </row>
    <row r="12">
      <c r="A12" s="42" t="inlineStr">
        <is>
          <t>9.</t>
        </is>
      </c>
      <c r="B12" s="40" t="n"/>
      <c r="C12" s="39" t="n"/>
      <c r="D12" s="39" t="n"/>
      <c r="E12" s="39" t="n"/>
      <c r="F12" s="39">
        <f>SUM(C12:E12)</f>
        <v/>
      </c>
    </row>
    <row r="13">
      <c r="A13" s="42" t="inlineStr">
        <is>
          <t>10.</t>
        </is>
      </c>
      <c r="B13" s="40" t="n"/>
      <c r="C13" s="39" t="n"/>
      <c r="D13" s="39" t="n"/>
      <c r="E13" s="39" t="n"/>
      <c r="F13" s="39">
        <f>SUM(C13:E13)</f>
        <v/>
      </c>
    </row>
    <row r="14">
      <c r="A14" s="42" t="inlineStr">
        <is>
          <t>11.</t>
        </is>
      </c>
      <c r="B14" s="40" t="n"/>
      <c r="C14" s="39" t="n"/>
      <c r="D14" s="39" t="n"/>
      <c r="E14" s="39" t="n"/>
      <c r="F14" s="39">
        <f>SUM(C14:E14)</f>
        <v/>
      </c>
    </row>
    <row r="15">
      <c r="A15" s="42" t="inlineStr">
        <is>
          <t>12.</t>
        </is>
      </c>
      <c r="B15" s="40" t="n"/>
      <c r="C15" s="39" t="n"/>
      <c r="D15" s="39" t="n"/>
      <c r="E15" s="39" t="n"/>
      <c r="F15" s="39">
        <f>SUM(C15:E15)</f>
        <v/>
      </c>
    </row>
    <row r="16">
      <c r="A16" s="42" t="inlineStr">
        <is>
          <t>13.</t>
        </is>
      </c>
      <c r="B16" s="40" t="n"/>
      <c r="C16" s="39" t="n"/>
      <c r="D16" s="39" t="n"/>
      <c r="E16" s="39" t="n"/>
      <c r="F16" s="39">
        <f>SUM(C16:E16)</f>
        <v/>
      </c>
    </row>
    <row r="17">
      <c r="A17" s="42" t="inlineStr">
        <is>
          <t>14.</t>
        </is>
      </c>
      <c r="B17" s="40" t="n"/>
      <c r="C17" s="39" t="n"/>
      <c r="D17" s="39" t="n"/>
      <c r="E17" s="39" t="n"/>
      <c r="F17" s="39">
        <f>SUM(C17:E17)</f>
        <v/>
      </c>
    </row>
    <row r="18">
      <c r="A18" s="42" t="inlineStr">
        <is>
          <t>15.</t>
        </is>
      </c>
      <c r="B18" s="40" t="n"/>
      <c r="C18" s="39" t="n"/>
      <c r="D18" s="39" t="n"/>
      <c r="E18" s="39" t="n"/>
      <c r="F18" s="39">
        <f>SUM(C18:E18)</f>
        <v/>
      </c>
    </row>
    <row r="19">
      <c r="A19" s="42" t="inlineStr">
        <is>
          <t>16.</t>
        </is>
      </c>
      <c r="B19" s="40" t="n"/>
      <c r="C19" s="39" t="n"/>
      <c r="D19" s="39" t="n"/>
      <c r="E19" s="39" t="n"/>
      <c r="F19" s="39">
        <f>SUM(C19:E19)</f>
        <v/>
      </c>
    </row>
    <row r="20">
      <c r="A20" s="42" t="inlineStr">
        <is>
          <t>17.</t>
        </is>
      </c>
      <c r="B20" s="40" t="n"/>
      <c r="C20" s="39" t="n"/>
      <c r="D20" s="39" t="n"/>
      <c r="E20" s="39" t="n"/>
      <c r="F20" s="39">
        <f>SUM(C20:E20)</f>
        <v/>
      </c>
    </row>
    <row r="21">
      <c r="A21" s="42" t="inlineStr">
        <is>
          <t>18.</t>
        </is>
      </c>
      <c r="B21" s="40" t="n"/>
      <c r="C21" s="39" t="n"/>
      <c r="D21" s="39" t="n"/>
      <c r="E21" s="39" t="n"/>
      <c r="F21" s="39">
        <f>SUM(C21:E21)</f>
        <v/>
      </c>
    </row>
    <row r="22">
      <c r="A22" s="42" t="inlineStr">
        <is>
          <t>19.</t>
        </is>
      </c>
      <c r="B22" s="40" t="n"/>
      <c r="C22" s="39" t="n"/>
      <c r="D22" s="39" t="n"/>
      <c r="E22" s="39" t="n"/>
      <c r="F22" s="39">
        <f>SUM(C22:E22)</f>
        <v/>
      </c>
    </row>
    <row r="23">
      <c r="A23" s="42" t="inlineStr">
        <is>
          <t>20.</t>
        </is>
      </c>
      <c r="B23" s="40" t="n"/>
      <c r="C23" s="39" t="n"/>
      <c r="D23" s="39" t="n"/>
      <c r="E23" s="39" t="n"/>
      <c r="F23" s="39">
        <f>SUM(C23:E23)</f>
        <v/>
      </c>
    </row>
    <row r="24">
      <c r="A24" s="42" t="inlineStr">
        <is>
          <t>21.</t>
        </is>
      </c>
      <c r="B24" s="40" t="n"/>
      <c r="C24" s="39" t="n"/>
      <c r="D24" s="39" t="n"/>
      <c r="E24" s="39" t="n"/>
      <c r="F24" s="39">
        <f>SUM(C24:E24)</f>
        <v/>
      </c>
    </row>
    <row r="25">
      <c r="A25" s="42" t="inlineStr">
        <is>
          <t>22.</t>
        </is>
      </c>
      <c r="B25" s="40" t="n"/>
      <c r="C25" s="39" t="n"/>
      <c r="D25" s="39" t="n"/>
      <c r="E25" s="39" t="n"/>
      <c r="F25" s="39">
        <f>SUM(C25:E25)</f>
        <v/>
      </c>
    </row>
    <row r="26">
      <c r="A26" s="42" t="inlineStr">
        <is>
          <t>23.</t>
        </is>
      </c>
      <c r="B26" s="40" t="n"/>
      <c r="C26" s="39" t="n"/>
      <c r="D26" s="39" t="n"/>
      <c r="E26" s="39" t="n"/>
      <c r="F26" s="39">
        <f>SUM(C26:E26)</f>
        <v/>
      </c>
    </row>
    <row r="27">
      <c r="A27" s="220" t="inlineStr">
        <is>
          <t>TOPLAM</t>
        </is>
      </c>
      <c r="B27" s="230" t="n"/>
      <c r="C27" s="43">
        <f>SUM(C4:C26)</f>
        <v/>
      </c>
      <c r="D27" s="43">
        <f>SUM(D4:D26)</f>
        <v/>
      </c>
      <c r="E27" s="44">
        <f>SUM(E4:E26)</f>
        <v/>
      </c>
      <c r="F27" s="43">
        <f>SUM(F4:F26)</f>
        <v/>
      </c>
    </row>
    <row r="28">
      <c r="D28" s="216">
        <f>SUM(D27:E27)</f>
        <v/>
      </c>
      <c r="E28" s="231" t="n"/>
    </row>
    <row r="29">
      <c r="D29" s="218">
        <f>F27-D28</f>
        <v/>
      </c>
    </row>
  </sheetData>
  <mergeCells count="4">
    <mergeCell ref="D29:E29"/>
    <mergeCell ref="A27:B27"/>
    <mergeCell ref="D28:E28"/>
    <mergeCell ref="A1:F1"/>
  </mergeCells>
  <conditionalFormatting sqref="B4:F26">
    <cfRule type="expression" priority="1" dxfId="0">
      <formula>ISEVEN(ROW())</formula>
    </cfRule>
  </conditionalFormatting>
  <printOptions horizontalCentered="1" verticalCentered="1"/>
  <pageMargins left="0.3937007874015748" right="0.3937007874015748" top="0.3937007874015748" bottom="0.3937007874015748" header="0.3149606299212598" footer="0.3149606299212598"/>
  <pageSetup orientation="landscape" paperSize="9" scale="20"/>
</worksheet>
</file>

<file path=xl/worksheets/sheet11.xml><?xml version="1.0" encoding="utf-8"?>
<worksheet xmlns="http://schemas.openxmlformats.org/spreadsheetml/2006/main">
  <sheetPr codeName="Sayfa31">
    <tabColor rgb="FF002060"/>
    <outlinePr summaryBelow="1" summaryRight="1"/>
    <pageSetUpPr fitToPage="1"/>
  </sheetPr>
  <dimension ref="A1:C94"/>
  <sheetViews>
    <sheetView showZeros="0" zoomScaleNormal="100" workbookViewId="0">
      <selection activeCell="B1" sqref="B1:C47"/>
    </sheetView>
  </sheetViews>
  <sheetFormatPr baseColWidth="8" defaultColWidth="64" defaultRowHeight="15.75"/>
  <cols>
    <col width="41" bestFit="1" customWidth="1" style="62" min="1" max="1"/>
    <col width="38.5703125" bestFit="1" customWidth="1" style="62" min="2" max="3"/>
    <col width="64" customWidth="1" style="63" min="4" max="4"/>
    <col width="33.85546875" bestFit="1" customWidth="1" style="69" min="5" max="5"/>
    <col width="64" customWidth="1" style="63" min="6" max="16384"/>
  </cols>
  <sheetData>
    <row r="1">
      <c r="A1" s="153" t="inlineStr">
        <is>
          <t>Doç. Dr. Ekim GÜMELER</t>
        </is>
      </c>
      <c r="B1" s="62">
        <f t="array" ref="B1">INDEX($A:$A, (ROW()-1)*2 + COLUMN()-1)</f>
        <v/>
      </c>
      <c r="C1" s="62">
        <f t="array" ref="C1">INDEX($A:$A, (ROW()-1)*2 + COLUMN()-1)</f>
        <v/>
      </c>
    </row>
    <row r="2">
      <c r="A2" s="153" t="inlineStr">
        <is>
          <t>Doç. Dr. Tolga ÇAKMAK</t>
        </is>
      </c>
      <c r="B2" s="62">
        <f t="array" ref="B2">INDEX($A:$A, (ROW()-1)*2 + COLUMN()-1)</f>
        <v/>
      </c>
      <c r="C2" s="62">
        <f t="array" ref="C2">INDEX($A:$A, (ROW()-1)*2 + COLUMN()-1)</f>
        <v/>
      </c>
    </row>
    <row r="3">
      <c r="A3" s="62" t="inlineStr">
        <is>
          <t>Prof. Dr. Yavuz AYHAN</t>
        </is>
      </c>
      <c r="B3" s="62">
        <f t="array" ref="B3">INDEX($A:$A, (ROW()-1)*2 + COLUMN()-1)</f>
        <v/>
      </c>
      <c r="C3" s="62">
        <f t="array" ref="C3">INDEX($A:$A, (ROW()-1)*2 + COLUMN()-1)</f>
        <v/>
      </c>
    </row>
    <row r="4">
      <c r="A4" s="62" t="inlineStr">
        <is>
          <t>Doç. Dr. Kübra AYKAÇ</t>
        </is>
      </c>
      <c r="B4" s="62">
        <f t="array" ref="B4">INDEX($A:$A, (ROW()-1)*2 + COLUMN()-1)</f>
        <v/>
      </c>
      <c r="C4" s="62">
        <f t="array" ref="C4">INDEX($A:$A, (ROW()-1)*2 + COLUMN()-1)</f>
        <v/>
      </c>
    </row>
    <row r="5">
      <c r="A5" s="62" t="inlineStr">
        <is>
          <t>Doç. Dr. Burcu ERSÖZ ALAN</t>
        </is>
      </c>
      <c r="B5" s="62">
        <f t="array" ref="B5">INDEX($A:$A, (ROW()-1)*2 + COLUMN()-1)</f>
        <v/>
      </c>
      <c r="C5" s="62">
        <f t="array" ref="C5">INDEX($A:$A, (ROW()-1)*2 + COLUMN()-1)</f>
        <v/>
      </c>
    </row>
    <row r="6">
      <c r="A6" s="62" t="inlineStr">
        <is>
          <t>Prof. Dr. Gözde GİRGİN</t>
        </is>
      </c>
      <c r="B6" s="62">
        <f t="array" ref="B6">INDEX($A:$A, (ROW()-1)*2 + COLUMN()-1)</f>
        <v/>
      </c>
      <c r="C6" s="62">
        <f t="array" ref="C6">INDEX($A:$A, (ROW()-1)*2 + COLUMN()-1)</f>
        <v/>
      </c>
    </row>
    <row r="7">
      <c r="A7" s="62" t="inlineStr">
        <is>
          <t>Doç. Dr. Burcu ERSÖZ ALAN</t>
        </is>
      </c>
      <c r="B7" s="62">
        <f t="array" ref="B7">INDEX($A:$A, (ROW()-1)*2 + COLUMN()-1)</f>
        <v/>
      </c>
      <c r="C7" s="62">
        <f t="array" ref="C7">INDEX($A:$A, (ROW()-1)*2 + COLUMN()-1)</f>
        <v/>
      </c>
    </row>
    <row r="8">
      <c r="A8" s="62" t="inlineStr">
        <is>
          <t>Dr. Öğr. Üyesi Müge DEMİR</t>
        </is>
      </c>
      <c r="B8" s="62">
        <f t="array" ref="B8">INDEX($A:$A, (ROW()-1)*2 + COLUMN()-1)</f>
        <v/>
      </c>
      <c r="C8" s="62">
        <f t="array" ref="C8">INDEX($A:$A, (ROW()-1)*2 + COLUMN()-1)</f>
        <v/>
      </c>
    </row>
    <row r="9">
      <c r="A9" s="62" t="inlineStr">
        <is>
          <t>Prof. Dr. Nazmiye Ebru ORTAÇ ERSOY</t>
        </is>
      </c>
      <c r="B9" s="62">
        <f t="array" ref="B9">INDEX($A:$A, (ROW()-1)*2 + COLUMN()-1)</f>
        <v/>
      </c>
      <c r="C9" s="62">
        <f t="array" ref="C9">INDEX($A:$A, (ROW()-1)*2 + COLUMN()-1)</f>
        <v/>
      </c>
    </row>
    <row r="10">
      <c r="A10" s="62" t="inlineStr">
        <is>
          <t>Doç. Dr. Kübra AYKAÇ</t>
        </is>
      </c>
      <c r="B10" s="62">
        <f t="array" ref="B10">INDEX($A:$A, (ROW()-1)*2 + COLUMN()-1)</f>
        <v/>
      </c>
      <c r="C10" s="62">
        <f t="array" ref="C10">INDEX($A:$A, (ROW()-1)*2 + COLUMN()-1)</f>
        <v/>
      </c>
    </row>
    <row r="11">
      <c r="A11" s="62" t="inlineStr">
        <is>
          <t>Doç. Dr. Ekim GÜMELER</t>
        </is>
      </c>
      <c r="B11" s="62">
        <f t="array" ref="B11">INDEX($A:$A, (ROW()-1)*2 + COLUMN()-1)</f>
        <v/>
      </c>
      <c r="C11" s="62">
        <f t="array" ref="C11">INDEX($A:$A, (ROW()-1)*2 + COLUMN()-1)</f>
        <v/>
      </c>
    </row>
    <row r="12">
      <c r="A12" s="62" t="inlineStr">
        <is>
          <t>Prof. Dr. Ayşe KİN İŞLER</t>
        </is>
      </c>
      <c r="B12" s="62">
        <f t="array" ref="B12">INDEX($A:$A, (ROW()-1)*2 + COLUMN()-1)</f>
        <v/>
      </c>
      <c r="C12" s="62">
        <f t="array" ref="C12">INDEX($A:$A, (ROW()-1)*2 + COLUMN()-1)</f>
        <v/>
      </c>
    </row>
    <row r="13">
      <c r="A13" s="62" t="inlineStr">
        <is>
          <t>Prof. Dr. Gözde GİRGİN</t>
        </is>
      </c>
      <c r="B13" s="62">
        <f t="array" ref="B13">INDEX($A:$A, (ROW()-1)*2 + COLUMN()-1)</f>
        <v/>
      </c>
      <c r="C13" s="62">
        <f t="array" ref="C13">INDEX($A:$A, (ROW()-1)*2 + COLUMN()-1)</f>
        <v/>
      </c>
    </row>
    <row r="14">
      <c r="A14" s="62" t="inlineStr">
        <is>
          <t>Prof. Dr. Nazmiye Ebru ORTAÇ ERSOY</t>
        </is>
      </c>
      <c r="B14" s="62">
        <f t="array" ref="B14">INDEX($A:$A, (ROW()-1)*2 + COLUMN()-1)</f>
        <v/>
      </c>
      <c r="C14" s="62">
        <f t="array" ref="C14">INDEX($A:$A, (ROW()-1)*2 + COLUMN()-1)</f>
        <v/>
      </c>
    </row>
    <row r="15">
      <c r="A15" s="62" t="inlineStr">
        <is>
          <t>Prof. Dr. Nazmiye Ebru ORTAÇ ERSOY</t>
        </is>
      </c>
      <c r="B15" s="62">
        <f t="array" ref="B15">INDEX($A:$A, (ROW()-1)*2 + COLUMN()-1)</f>
        <v/>
      </c>
      <c r="C15" s="62">
        <f t="array" ref="C15">INDEX($A:$A, (ROW()-1)*2 + COLUMN()-1)</f>
        <v/>
      </c>
    </row>
    <row r="16">
      <c r="A16" s="62" t="inlineStr">
        <is>
          <t>Prof. Dr. Gözde GİRGİN</t>
        </is>
      </c>
      <c r="B16" s="62">
        <f t="array" ref="B16">INDEX($A:$A, (ROW()-1)*2 + COLUMN()-1)</f>
        <v/>
      </c>
      <c r="C16" s="62">
        <f t="array" ref="C16">INDEX($A:$A, (ROW()-1)*2 + COLUMN()-1)</f>
        <v/>
      </c>
    </row>
    <row r="17">
      <c r="A17" s="62" t="inlineStr">
        <is>
          <t>Prof. Dr. Nazmiye Ebru ORTAÇ ERSOY</t>
        </is>
      </c>
      <c r="B17" s="62">
        <f t="array" ref="B17">INDEX($A:$A, (ROW()-1)*2 + COLUMN()-1)</f>
        <v/>
      </c>
      <c r="C17" s="62">
        <f t="array" ref="C17">INDEX($A:$A, (ROW()-1)*2 + COLUMN()-1)</f>
        <v/>
      </c>
    </row>
    <row r="18">
      <c r="A18" s="62" t="inlineStr">
        <is>
          <t>Prof. Dr. Gözde GİRGİN</t>
        </is>
      </c>
      <c r="B18" s="62">
        <f t="array" ref="B18">INDEX($A:$A, (ROW()-1)*2 + COLUMN()-1)</f>
        <v/>
      </c>
      <c r="C18" s="62">
        <f t="array" ref="C18">INDEX($A:$A, (ROW()-1)*2 + COLUMN()-1)</f>
        <v/>
      </c>
    </row>
    <row r="19">
      <c r="A19" s="62" t="inlineStr">
        <is>
          <t>Prof. Dr. Nazmiye Ebru ORTAÇ ERSOY</t>
        </is>
      </c>
      <c r="B19" s="62">
        <f t="array" ref="B19">INDEX($A:$A, (ROW()-1)*2 + COLUMN()-1)</f>
        <v/>
      </c>
      <c r="C19" s="62">
        <f t="array" ref="C19">INDEX($A:$A, (ROW()-1)*2 + COLUMN()-1)</f>
        <v/>
      </c>
    </row>
    <row r="20">
      <c r="A20" s="62" t="inlineStr">
        <is>
          <t>Prof. Dr. Gözde GİRGİN</t>
        </is>
      </c>
      <c r="B20" s="62">
        <f t="array" ref="B20">INDEX($A:$A, (ROW()-1)*2 + COLUMN()-1)</f>
        <v/>
      </c>
      <c r="C20" s="62">
        <f t="array" ref="C20">INDEX($A:$A, (ROW()-1)*2 + COLUMN()-1)</f>
        <v/>
      </c>
    </row>
    <row r="21">
      <c r="A21" s="62" t="inlineStr">
        <is>
          <t>Dr. Öğr. Üyesi Müge DEMİR</t>
        </is>
      </c>
      <c r="B21" s="62">
        <f t="array" ref="B21">INDEX($A:$A, (ROW()-1)*2 + COLUMN()-1)</f>
        <v/>
      </c>
      <c r="C21" s="62">
        <f t="array" ref="C21">INDEX($A:$A, (ROW()-1)*2 + COLUMN()-1)</f>
        <v/>
      </c>
    </row>
    <row r="22">
      <c r="A22" s="62" t="inlineStr">
        <is>
          <t>Prof. Dr. Ayşe KİN İŞLER</t>
        </is>
      </c>
      <c r="B22" s="62">
        <f t="array" ref="B22">INDEX($A:$A, (ROW()-1)*2 + COLUMN()-1)</f>
        <v/>
      </c>
      <c r="C22" s="62">
        <f t="array" ref="C22">INDEX($A:$A, (ROW()-1)*2 + COLUMN()-1)</f>
        <v/>
      </c>
    </row>
    <row r="23">
      <c r="A23" s="62" t="inlineStr">
        <is>
          <t>Doç. Dr. Tolga ÇAKMAK</t>
        </is>
      </c>
      <c r="B23" s="62">
        <f t="array" ref="B23">INDEX($A:$A, (ROW()-1)*2 + COLUMN()-1)</f>
        <v/>
      </c>
      <c r="C23" s="62">
        <f t="array" ref="C23">INDEX($A:$A, (ROW()-1)*2 + COLUMN()-1)</f>
        <v/>
      </c>
    </row>
    <row r="24">
      <c r="A24" s="62" t="inlineStr">
        <is>
          <t>Prof. Dr. Ayşe Nurten AKARSU</t>
        </is>
      </c>
      <c r="B24" s="62">
        <f t="array" ref="B24">INDEX($A:$A, (ROW()-1)*2 + COLUMN()-1)</f>
        <v/>
      </c>
      <c r="C24" s="62">
        <f t="array" ref="C24">INDEX($A:$A, (ROW()-1)*2 + COLUMN()-1)</f>
        <v/>
      </c>
    </row>
    <row r="25">
      <c r="A25" s="62" t="inlineStr">
        <is>
          <t>Prof. Dr. M. Özgür UYANIK</t>
        </is>
      </c>
      <c r="B25" s="62">
        <f t="array" ref="B25">INDEX($A:$A, (ROW()-1)*2 + COLUMN()-1)</f>
        <v/>
      </c>
      <c r="C25" s="62">
        <f t="array" ref="C25">INDEX($A:$A, (ROW()-1)*2 + COLUMN()-1)</f>
        <v/>
      </c>
    </row>
    <row r="26">
      <c r="A26" s="62" t="inlineStr">
        <is>
          <t>Doç. Dr. Tolga ÇAKMAK</t>
        </is>
      </c>
      <c r="B26" s="62">
        <f t="array" ref="B26">INDEX($A:$A, (ROW()-1)*2 + COLUMN()-1)</f>
        <v/>
      </c>
      <c r="C26" s="62">
        <f t="array" ref="C26">INDEX($A:$A, (ROW()-1)*2 + COLUMN()-1)</f>
        <v/>
      </c>
    </row>
    <row r="27">
      <c r="A27" s="62" t="inlineStr">
        <is>
          <t>Doç. Dr. Ekim GÜMELER</t>
        </is>
      </c>
      <c r="B27" s="62">
        <f t="array" ref="B27">INDEX($A:$A, (ROW()-1)*2 + COLUMN()-1)</f>
        <v/>
      </c>
      <c r="C27" s="62">
        <f t="array" ref="C27">INDEX($A:$A, (ROW()-1)*2 + COLUMN()-1)</f>
        <v/>
      </c>
    </row>
    <row r="28">
      <c r="A28" s="62" t="inlineStr">
        <is>
          <t>Doç. Dr. Burcu ERSÖZ ALAN</t>
        </is>
      </c>
      <c r="B28" s="62">
        <f t="array" ref="B28">INDEX($A:$A, (ROW()-1)*2 + COLUMN()-1)</f>
        <v/>
      </c>
      <c r="C28" s="62">
        <f t="array" ref="C28">INDEX($A:$A, (ROW()-1)*2 + COLUMN()-1)</f>
        <v/>
      </c>
    </row>
    <row r="29">
      <c r="A29" s="62" t="inlineStr">
        <is>
          <t>Dr. Öğr. Üyesi Müge DEMİR</t>
        </is>
      </c>
      <c r="B29" s="62">
        <f t="array" ref="B29">INDEX($A:$A, (ROW()-1)*2 + COLUMN()-1)</f>
        <v/>
      </c>
      <c r="C29" s="62">
        <f t="array" ref="C29">INDEX($A:$A, (ROW()-1)*2 + COLUMN()-1)</f>
        <v/>
      </c>
    </row>
    <row r="30">
      <c r="A30" s="62" t="inlineStr">
        <is>
          <t>Doç. Dr. Kübra AYKAÇ</t>
        </is>
      </c>
      <c r="B30" s="62">
        <f t="array" ref="B30">INDEX($A:$A, (ROW()-1)*2 + COLUMN()-1)</f>
        <v/>
      </c>
      <c r="C30" s="62">
        <f t="array" ref="C30">INDEX($A:$A, (ROW()-1)*2 + COLUMN()-1)</f>
        <v/>
      </c>
    </row>
    <row r="31">
      <c r="A31" s="62" t="inlineStr">
        <is>
          <t>Prof. Dr. Ayşe Nurten AKARSU</t>
        </is>
      </c>
      <c r="B31" s="62">
        <f t="array" ref="B31">INDEX($A:$A, (ROW()-1)*2 + COLUMN()-1)</f>
        <v/>
      </c>
      <c r="C31" s="62">
        <f t="array" ref="C31">INDEX($A:$A, (ROW()-1)*2 + COLUMN()-1)</f>
        <v/>
      </c>
    </row>
    <row r="32">
      <c r="A32" s="62" t="inlineStr">
        <is>
          <t>Doç. Dr. Tolga ÇAKMAK</t>
        </is>
      </c>
      <c r="B32" s="62">
        <f t="array" ref="B32">INDEX($A:$A, (ROW()-1)*2 + COLUMN()-1)</f>
        <v/>
      </c>
      <c r="C32" s="62">
        <f t="array" ref="C32">INDEX($A:$A, (ROW()-1)*2 + COLUMN()-1)</f>
        <v/>
      </c>
    </row>
    <row r="33">
      <c r="A33" s="62" t="inlineStr">
        <is>
          <t>Dr. Öğr. Üyesi Müge DEMİR</t>
        </is>
      </c>
      <c r="B33" s="62">
        <f t="array" ref="B33">INDEX($A:$A, (ROW()-1)*2 + COLUMN()-1)</f>
        <v/>
      </c>
      <c r="C33" s="62">
        <f t="array" ref="C33">INDEX($A:$A, (ROW()-1)*2 + COLUMN()-1)</f>
        <v/>
      </c>
    </row>
    <row r="34">
      <c r="A34" s="62" t="inlineStr">
        <is>
          <t>Prof. Dr. Ayşe Nurten AKARSU</t>
        </is>
      </c>
      <c r="B34" s="62">
        <f t="array" ref="B34">INDEX($A:$A, (ROW()-1)*2 + COLUMN()-1)</f>
        <v/>
      </c>
      <c r="C34" s="62">
        <f t="array" ref="C34">INDEX($A:$A, (ROW()-1)*2 + COLUMN()-1)</f>
        <v/>
      </c>
    </row>
    <row r="35">
      <c r="A35" s="62" t="inlineStr">
        <is>
          <t>Dr. Öğr. Üyesi Müge DEMİR</t>
        </is>
      </c>
      <c r="B35" s="62">
        <f t="array" ref="B35">INDEX($A:$A, (ROW()-1)*2 + COLUMN()-1)</f>
        <v/>
      </c>
      <c r="C35" s="62">
        <f t="array" ref="C35">INDEX($A:$A, (ROW()-1)*2 + COLUMN()-1)</f>
        <v/>
      </c>
    </row>
    <row r="36">
      <c r="A36" s="62" t="inlineStr">
        <is>
          <t>Prof. Dr. Yavuz AYHAN</t>
        </is>
      </c>
      <c r="B36" s="62">
        <f t="array" ref="B36">INDEX($A:$A, (ROW()-1)*2 + COLUMN()-1)</f>
        <v/>
      </c>
      <c r="C36" s="62">
        <f t="array" ref="C36">INDEX($A:$A, (ROW()-1)*2 + COLUMN()-1)</f>
        <v/>
      </c>
    </row>
    <row r="37">
      <c r="A37" s="62" t="inlineStr">
        <is>
          <t>Doç. Dr. Ekim GÜMELER</t>
        </is>
      </c>
      <c r="B37" s="62">
        <f t="array" ref="B37">INDEX($A:$A, (ROW()-1)*2 + COLUMN()-1)</f>
        <v/>
      </c>
      <c r="C37" s="62">
        <f t="array" ref="C37">INDEX($A:$A, (ROW()-1)*2 + COLUMN()-1)</f>
        <v/>
      </c>
    </row>
    <row r="38">
      <c r="A38" s="62" t="inlineStr">
        <is>
          <t>Prof. Dr. Yavuz AYHAN</t>
        </is>
      </c>
      <c r="B38" s="62">
        <f t="array" ref="B38">INDEX($A:$A, (ROW()-1)*2 + COLUMN()-1)</f>
        <v/>
      </c>
      <c r="C38" s="62">
        <f t="array" ref="C38">INDEX($A:$A, (ROW()-1)*2 + COLUMN()-1)</f>
        <v/>
      </c>
    </row>
    <row r="39">
      <c r="A39" s="62" t="inlineStr">
        <is>
          <t>Prof. Dr. Ayşe KİN İŞLER</t>
        </is>
      </c>
      <c r="B39" s="62">
        <f t="array" ref="B39">INDEX($A:$A, (ROW()-1)*2 + COLUMN()-1)</f>
        <v/>
      </c>
      <c r="C39" s="62">
        <f t="array" ref="C39">INDEX($A:$A, (ROW()-1)*2 + COLUMN()-1)</f>
        <v/>
      </c>
    </row>
    <row r="40">
      <c r="A40" s="62" t="inlineStr">
        <is>
          <t>Prof. Dr. Yavuz AYHAN</t>
        </is>
      </c>
      <c r="B40" s="62">
        <f t="array" ref="B40">INDEX($A:$A, (ROW()-1)*2 + COLUMN()-1)</f>
        <v/>
      </c>
      <c r="C40" s="62">
        <f t="array" ref="C40">INDEX($A:$A, (ROW()-1)*2 + COLUMN()-1)</f>
        <v/>
      </c>
    </row>
    <row r="41">
      <c r="A41" s="62" t="inlineStr">
        <is>
          <t>Prof. Dr. Yavuz AYHAN</t>
        </is>
      </c>
      <c r="B41" s="62">
        <f t="array" ref="B41">INDEX($A:$A, (ROW()-1)*2 + COLUMN()-1)</f>
        <v/>
      </c>
      <c r="C41" s="62">
        <f t="array" ref="C41">INDEX($A:$A, (ROW()-1)*2 + COLUMN()-1)</f>
        <v/>
      </c>
    </row>
    <row r="42">
      <c r="A42" s="62" t="inlineStr">
        <is>
          <t>Doç. Dr. Burcu ERSÖZ ALAN</t>
        </is>
      </c>
      <c r="B42" s="62">
        <f t="array" ref="B42">INDEX($A:$A, (ROW()-1)*2 + COLUMN()-1)</f>
        <v/>
      </c>
      <c r="C42" s="62">
        <f t="array" ref="C42">INDEX($A:$A, (ROW()-1)*2 + COLUMN()-1)</f>
        <v/>
      </c>
    </row>
    <row r="43">
      <c r="A43" s="62" t="inlineStr">
        <is>
          <t>Doç. Dr. Tolga ÇAKMAK</t>
        </is>
      </c>
      <c r="B43" s="62">
        <f t="array" ref="B43">INDEX($A:$A, (ROW()-1)*2 + COLUMN()-1)</f>
        <v/>
      </c>
      <c r="C43" s="62">
        <f t="array" ref="C43">INDEX($A:$A, (ROW()-1)*2 + COLUMN()-1)</f>
        <v/>
      </c>
    </row>
    <row r="44">
      <c r="A44" s="62" t="inlineStr">
        <is>
          <t>Prof. Dr. M. Özgür UYANIK</t>
        </is>
      </c>
      <c r="B44" s="62">
        <f t="array" ref="B44">INDEX($A:$A, (ROW()-1)*2 + COLUMN()-1)</f>
        <v/>
      </c>
      <c r="C44" s="62">
        <f t="array" ref="C44">INDEX($A:$A, (ROW()-1)*2 + COLUMN()-1)</f>
        <v/>
      </c>
    </row>
    <row r="45">
      <c r="A45" s="62" t="inlineStr">
        <is>
          <t>Prof. Dr. Nazmiye Ebru ORTAÇ ERSOY</t>
        </is>
      </c>
      <c r="B45" s="62">
        <f t="array" ref="B45">INDEX($A:$A, (ROW()-1)*2 + COLUMN()-1)</f>
        <v/>
      </c>
      <c r="C45" s="62">
        <f t="array" ref="C45">INDEX($A:$A, (ROW()-1)*2 + COLUMN()-1)</f>
        <v/>
      </c>
    </row>
    <row r="46">
      <c r="A46" s="62" t="inlineStr">
        <is>
          <t>Prof. Dr. Ayşe KİN İŞLER</t>
        </is>
      </c>
      <c r="B46" s="62">
        <f t="array" ref="B46">INDEX($A:$A, (ROW()-1)*2 + COLUMN()-1)</f>
        <v/>
      </c>
      <c r="C46" s="62">
        <f t="array" ref="C46">INDEX($A:$A, (ROW()-1)*2 + COLUMN()-1)</f>
        <v/>
      </c>
    </row>
    <row r="47">
      <c r="A47" s="62" t="inlineStr">
        <is>
          <t>Dr. Öğr. Üyesi Müge DEMİR</t>
        </is>
      </c>
      <c r="B47" s="62">
        <f t="array" ref="B47">INDEX($A:$A, (ROW()-1)*2 + COLUMN()-1)</f>
        <v/>
      </c>
      <c r="C47" s="62">
        <f t="array" ref="C47">INDEX($A:$A, (ROW()-1)*2 + COLUMN()-1)</f>
        <v/>
      </c>
    </row>
    <row r="48">
      <c r="A48" s="62" t="inlineStr">
        <is>
          <t>Prof. Dr. M. Özgür UYANIK</t>
        </is>
      </c>
      <c r="B48" s="62">
        <f t="array" ref="B48">INDEX($A:$A, (ROW()-1)*2 + COLUMN()-1)</f>
        <v/>
      </c>
      <c r="C48" s="62">
        <f t="array" ref="C48">INDEX($A:$A, (ROW()-1)*2 + COLUMN()-1)</f>
        <v/>
      </c>
    </row>
    <row r="49">
      <c r="A49" s="62" t="inlineStr">
        <is>
          <t>Prof. Dr. Ayşe Nurten AKARSU</t>
        </is>
      </c>
      <c r="B49" s="62">
        <f t="array" ref="B49">INDEX($A:$A, (ROW()-1)*2 + COLUMN()-1)</f>
        <v/>
      </c>
      <c r="C49" s="62">
        <f t="array" ref="C49">INDEX($A:$A, (ROW()-1)*2 + COLUMN()-1)</f>
        <v/>
      </c>
    </row>
    <row r="50">
      <c r="A50" s="62" t="inlineStr">
        <is>
          <t>Doç. Dr. Kübra AYKAÇ</t>
        </is>
      </c>
      <c r="B50" s="62">
        <f t="array" ref="B50">INDEX($A:$A, (ROW()-1)*2 + COLUMN()-1)</f>
        <v/>
      </c>
      <c r="C50" s="62">
        <f t="array" ref="C50">INDEX($A:$A, (ROW()-1)*2 + COLUMN()-1)</f>
        <v/>
      </c>
    </row>
    <row r="51">
      <c r="A51" s="62" t="inlineStr">
        <is>
          <t>Doç. Dr. Ekim GÜMELER</t>
        </is>
      </c>
      <c r="B51" s="62">
        <f t="array" ref="B51">INDEX($A:$A, (ROW()-1)*2 + COLUMN()-1)</f>
        <v/>
      </c>
      <c r="C51" s="62">
        <f t="array" ref="C51">INDEX($A:$A, (ROW()-1)*2 + COLUMN()-1)</f>
        <v/>
      </c>
    </row>
    <row r="52">
      <c r="A52" s="62" t="inlineStr">
        <is>
          <t>Doç. Dr. Burcu ERSÖZ ALAN</t>
        </is>
      </c>
      <c r="B52" s="62">
        <f t="array" ref="B52">INDEX($A:$A, (ROW()-1)*2 + COLUMN()-1)</f>
        <v/>
      </c>
      <c r="C52" s="62">
        <f t="array" ref="C52">INDEX($A:$A, (ROW()-1)*2 + COLUMN()-1)</f>
        <v/>
      </c>
    </row>
    <row r="53">
      <c r="A53" s="62" t="inlineStr">
        <is>
          <t>Dr. Öğr. Üyesi Müge DEMİR</t>
        </is>
      </c>
      <c r="B53" s="62">
        <f t="array" ref="B53">INDEX($A:$A, (ROW()-1)*2 + COLUMN()-1)</f>
        <v/>
      </c>
      <c r="C53" s="62">
        <f t="array" ref="C53">INDEX($A:$A, (ROW()-1)*2 + COLUMN()-1)</f>
        <v/>
      </c>
    </row>
    <row r="54">
      <c r="A54" s="62" t="inlineStr">
        <is>
          <t>Doç. Dr. Tolga ÇAKMAK</t>
        </is>
      </c>
      <c r="B54" s="62">
        <f t="array" ref="B54">INDEX($A:$A, (ROW()-1)*2 + COLUMN()-1)</f>
        <v/>
      </c>
      <c r="C54" s="62">
        <f t="array" ref="C54">INDEX($A:$A, (ROW()-1)*2 + COLUMN()-1)</f>
        <v/>
      </c>
    </row>
    <row r="55">
      <c r="A55" s="62" t="inlineStr">
        <is>
          <t>Prof. Dr. Ayşe KİN İŞLER</t>
        </is>
      </c>
      <c r="B55" s="62">
        <f t="array" ref="B55">INDEX($A:$A, (ROW()-1)*2 + COLUMN()-1)</f>
        <v/>
      </c>
      <c r="C55" s="62">
        <f t="array" ref="C55">INDEX($A:$A, (ROW()-1)*2 + COLUMN()-1)</f>
        <v/>
      </c>
    </row>
    <row r="56">
      <c r="A56" s="62" t="inlineStr">
        <is>
          <t>Doç. Dr. Ekim GÜMELER</t>
        </is>
      </c>
      <c r="B56" s="62">
        <f t="array" ref="B56">INDEX($A:$A, (ROW()-1)*2 + COLUMN()-1)</f>
        <v/>
      </c>
      <c r="C56" s="62">
        <f t="array" ref="C56">INDEX($A:$A, (ROW()-1)*2 + COLUMN()-1)</f>
        <v/>
      </c>
    </row>
    <row r="57">
      <c r="A57" s="62" t="inlineStr">
        <is>
          <t>Prof. Dr. Yavuz AYHAN</t>
        </is>
      </c>
      <c r="B57" s="62">
        <f t="array" ref="B57">INDEX($A:$A, (ROW()-1)*2 + COLUMN()-1)</f>
        <v/>
      </c>
      <c r="C57" s="62">
        <f t="array" ref="C57">INDEX($A:$A, (ROW()-1)*2 + COLUMN()-1)</f>
        <v/>
      </c>
    </row>
    <row r="58">
      <c r="A58" s="62" t="inlineStr">
        <is>
          <t>Prof. Dr. Ayşe KİN İŞLER</t>
        </is>
      </c>
      <c r="B58" s="62">
        <f t="array" ref="B58">INDEX($A:$A, (ROW()-1)*2 + COLUMN()-1)</f>
        <v/>
      </c>
      <c r="C58" s="62">
        <f t="array" ref="C58">INDEX($A:$A, (ROW()-1)*2 + COLUMN()-1)</f>
        <v/>
      </c>
    </row>
    <row r="59">
      <c r="A59" s="62" t="inlineStr">
        <is>
          <t>Prof. Dr. Nazmiye Ebru ORTAÇ ERSOY</t>
        </is>
      </c>
      <c r="B59" s="62">
        <f t="array" ref="B59">INDEX($A:$A, (ROW()-1)*2 + COLUMN()-1)</f>
        <v/>
      </c>
      <c r="C59" s="62">
        <f t="array" ref="C59">INDEX($A:$A, (ROW()-1)*2 + COLUMN()-1)</f>
        <v/>
      </c>
    </row>
    <row r="60">
      <c r="A60" s="62" t="inlineStr">
        <is>
          <t>Prof. Dr. Gözde GİRGİN</t>
        </is>
      </c>
      <c r="B60" s="62">
        <f t="array" ref="B60">INDEX($A:$A, (ROW()-1)*2 + COLUMN()-1)</f>
        <v/>
      </c>
      <c r="C60" s="62">
        <f t="array" ref="C60">INDEX($A:$A, (ROW()-1)*2 + COLUMN()-1)</f>
        <v/>
      </c>
    </row>
    <row r="61">
      <c r="A61" s="62" t="inlineStr">
        <is>
          <t>Prof. Dr. Ayşe Nurten AKARSU</t>
        </is>
      </c>
      <c r="B61" s="62">
        <f t="array" ref="B61">INDEX($A:$A, (ROW()-1)*2 + COLUMN()-1)</f>
        <v/>
      </c>
      <c r="C61" s="62">
        <f t="array" ref="C61">INDEX($A:$A, (ROW()-1)*2 + COLUMN()-1)</f>
        <v/>
      </c>
    </row>
    <row r="62">
      <c r="A62" s="62" t="inlineStr">
        <is>
          <t>Prof. Dr. Gözde GİRGİN</t>
        </is>
      </c>
      <c r="B62" s="62">
        <f t="array" ref="B62">INDEX($A:$A, (ROW()-1)*2 + COLUMN()-1)</f>
        <v/>
      </c>
      <c r="C62" s="62">
        <f t="array" ref="C62">INDEX($A:$A, (ROW()-1)*2 + COLUMN()-1)</f>
        <v/>
      </c>
    </row>
    <row r="63">
      <c r="A63" s="62" t="inlineStr">
        <is>
          <t>Prof. Dr. M. Özgür UYANIK</t>
        </is>
      </c>
      <c r="B63" s="62">
        <f t="array" ref="B63">INDEX($A:$A, (ROW()-1)*2 + COLUMN()-1)</f>
        <v/>
      </c>
      <c r="C63" s="62">
        <f t="array" ref="C63">INDEX($A:$A, (ROW()-1)*2 + COLUMN()-1)</f>
        <v/>
      </c>
    </row>
    <row r="64">
      <c r="A64" s="62" t="inlineStr">
        <is>
          <t>Doç. Dr. Kübra AYKAÇ</t>
        </is>
      </c>
      <c r="B64" s="62">
        <f t="array" ref="B64">INDEX($A:$A, (ROW()-1)*2 + COLUMN()-1)</f>
        <v/>
      </c>
      <c r="C64" s="62">
        <f t="array" ref="C64">INDEX($A:$A, (ROW()-1)*2 + COLUMN()-1)</f>
        <v/>
      </c>
    </row>
    <row r="65">
      <c r="A65" s="62" t="inlineStr">
        <is>
          <t>Prof. Dr. M. Özgür UYANIK</t>
        </is>
      </c>
      <c r="B65" s="62">
        <f t="array" ref="B65">INDEX($A:$A, (ROW()-1)*2 + COLUMN()-1)</f>
        <v/>
      </c>
      <c r="C65" s="62">
        <f t="array" ref="C65">INDEX($A:$A, (ROW()-1)*2 + COLUMN()-1)</f>
        <v/>
      </c>
    </row>
    <row r="66">
      <c r="A66" s="62" t="inlineStr">
        <is>
          <t>Doç. Dr. Tolga ÇAKMAK</t>
        </is>
      </c>
      <c r="B66" s="62">
        <f t="array" ref="B66">INDEX($A:$A, (ROW()-1)*2 + COLUMN()-1)</f>
        <v/>
      </c>
      <c r="C66" s="62">
        <f t="array" ref="C66">INDEX($A:$A, (ROW()-1)*2 + COLUMN()-1)</f>
        <v/>
      </c>
    </row>
    <row r="67">
      <c r="A67" s="62" t="inlineStr">
        <is>
          <t>Doç. Dr. Kübra AYKAÇ</t>
        </is>
      </c>
      <c r="B67" s="62">
        <f t="array" ref="B67">INDEX($A:$A, (ROW()-1)*2 + COLUMN()-1)</f>
        <v/>
      </c>
      <c r="C67" s="62">
        <f t="array" ref="C67">INDEX($A:$A, (ROW()-1)*2 + COLUMN()-1)</f>
        <v/>
      </c>
    </row>
    <row r="68">
      <c r="A68" s="62" t="inlineStr">
        <is>
          <t>Doç. Dr. Burcu ERSÖZ ALAN</t>
        </is>
      </c>
      <c r="B68" s="62">
        <f t="array" ref="B68">INDEX($A:$A, (ROW()-1)*2 + COLUMN()-1)</f>
        <v/>
      </c>
      <c r="C68" s="62">
        <f t="array" ref="C68">INDEX($A:$A, (ROW()-1)*2 + COLUMN()-1)</f>
        <v/>
      </c>
    </row>
    <row r="69">
      <c r="A69" s="62" t="inlineStr">
        <is>
          <t>Prof. Dr. Ayşe Nurten AKARSU</t>
        </is>
      </c>
      <c r="B69" s="62">
        <f t="array" ref="B69">INDEX($A:$A, (ROW()-1)*2 + COLUMN()-1)</f>
        <v/>
      </c>
      <c r="C69" s="62">
        <f t="array" ref="C69">INDEX($A:$A, (ROW()-1)*2 + COLUMN()-1)</f>
        <v/>
      </c>
    </row>
    <row r="70">
      <c r="A70" s="62" t="inlineStr">
        <is>
          <t>Dr. Öğr. Üyesi Müge DEMİR</t>
        </is>
      </c>
      <c r="B70" s="62">
        <f t="array" ref="B70">INDEX($A:$A, (ROW()-1)*2 + COLUMN()-1)</f>
        <v/>
      </c>
      <c r="C70" s="62">
        <f t="array" ref="C70">INDEX($A:$A, (ROW()-1)*2 + COLUMN()-1)</f>
        <v/>
      </c>
    </row>
    <row r="71">
      <c r="A71" s="62" t="inlineStr">
        <is>
          <t>Doç. Dr. Burcu ERSÖZ ALAN</t>
        </is>
      </c>
      <c r="B71" s="62">
        <f t="array" ref="B71">INDEX($A:$A, (ROW()-1)*2 + COLUMN()-1)</f>
        <v/>
      </c>
      <c r="C71" s="62">
        <f t="array" ref="C71">INDEX($A:$A, (ROW()-1)*2 + COLUMN()-1)</f>
        <v/>
      </c>
    </row>
    <row r="72">
      <c r="A72" s="62" t="inlineStr">
        <is>
          <t>Prof. Dr. Ayşe KİN İŞLER</t>
        </is>
      </c>
      <c r="B72" s="62">
        <f t="array" ref="B72">INDEX($A:$A, (ROW()-1)*2 + COLUMN()-1)</f>
        <v/>
      </c>
      <c r="C72" s="62">
        <f t="array" ref="C72">INDEX($A:$A, (ROW()-1)*2 + COLUMN()-1)</f>
        <v/>
      </c>
    </row>
    <row r="73">
      <c r="A73" s="62" t="inlineStr">
        <is>
          <t>Prof. Dr. Yavuz AYHAN</t>
        </is>
      </c>
      <c r="B73" s="62">
        <f t="array" ref="B73">INDEX($A:$A, (ROW()-1)*2 + COLUMN()-1)</f>
        <v/>
      </c>
      <c r="C73" s="62">
        <f t="array" ref="C73">INDEX($A:$A, (ROW()-1)*2 + COLUMN()-1)</f>
        <v/>
      </c>
    </row>
    <row r="74">
      <c r="A74" s="62" t="inlineStr">
        <is>
          <t>Prof. Dr. Nazmiye Ebru ORTAÇ ERSOY</t>
        </is>
      </c>
      <c r="B74" s="62">
        <f t="array" ref="B74">INDEX($A:$A, (ROW()-1)*2 + COLUMN()-1)</f>
        <v/>
      </c>
      <c r="C74" s="62">
        <f t="array" ref="C74">INDEX($A:$A, (ROW()-1)*2 + COLUMN()-1)</f>
        <v/>
      </c>
    </row>
    <row r="75">
      <c r="A75" s="62" t="inlineStr">
        <is>
          <t>Doç. Dr. Tolga ÇAKMAK</t>
        </is>
      </c>
      <c r="B75" s="62">
        <f t="array" ref="B75">INDEX($A:$A, (ROW()-1)*2 + COLUMN()-1)</f>
        <v/>
      </c>
      <c r="C75" s="62">
        <f t="array" ref="C75">INDEX($A:$A, (ROW()-1)*2 + COLUMN()-1)</f>
        <v/>
      </c>
    </row>
    <row r="76">
      <c r="A76" s="62" t="inlineStr">
        <is>
          <t>Doç. Dr. Ekim GÜMELER</t>
        </is>
      </c>
      <c r="B76" s="62">
        <f t="array" ref="B76">INDEX($A:$A, (ROW()-1)*2 + COLUMN()-1)</f>
        <v/>
      </c>
      <c r="C76" s="62">
        <f t="array" ref="C76">INDEX($A:$A, (ROW()-1)*2 + COLUMN()-1)</f>
        <v/>
      </c>
    </row>
    <row r="77">
      <c r="A77" s="62" t="inlineStr">
        <is>
          <t>Prof. Dr. M. Özgür UYANIK</t>
        </is>
      </c>
      <c r="B77" s="62">
        <f t="array" ref="B77">INDEX($A:$A, (ROW()-1)*2 + COLUMN()-1)</f>
        <v/>
      </c>
      <c r="C77" s="62">
        <f t="array" ref="C77">INDEX($A:$A, (ROW()-1)*2 + COLUMN()-1)</f>
        <v/>
      </c>
    </row>
    <row r="78">
      <c r="A78" s="62" t="inlineStr">
        <is>
          <t>Prof. Dr. Gözde GİRGİN</t>
        </is>
      </c>
      <c r="B78" s="62">
        <f t="array" ref="B78">INDEX($A:$A, (ROW()-1)*2 + COLUMN()-1)</f>
        <v/>
      </c>
      <c r="C78" s="62">
        <f t="array" ref="C78">INDEX($A:$A, (ROW()-1)*2 + COLUMN()-1)</f>
        <v/>
      </c>
    </row>
    <row r="79">
      <c r="A79" s="62" t="inlineStr">
        <is>
          <t>Prof. Dr. M. Özgür UYANIK</t>
        </is>
      </c>
      <c r="B79" s="62">
        <f t="array" ref="B79">INDEX($A:$A, (ROW()-1)*2 + COLUMN()-1)</f>
        <v/>
      </c>
      <c r="C79" s="62">
        <f t="array" ref="C79">INDEX($A:$A, (ROW()-1)*2 + COLUMN()-1)</f>
        <v/>
      </c>
    </row>
    <row r="80">
      <c r="A80" s="62" t="inlineStr">
        <is>
          <t>Prof. Dr. Gözde GİRGİN</t>
        </is>
      </c>
      <c r="B80" s="62">
        <f t="array" ref="B80">INDEX($A:$A, (ROW()-1)*2 + COLUMN()-1)</f>
        <v/>
      </c>
      <c r="C80" s="62">
        <f t="array" ref="C80">INDEX($A:$A, (ROW()-1)*2 + COLUMN()-1)</f>
        <v/>
      </c>
    </row>
    <row r="81">
      <c r="A81" s="62" t="inlineStr">
        <is>
          <t>Doç. Dr. Tolga ÇAKMAK</t>
        </is>
      </c>
      <c r="B81" s="62">
        <f t="array" ref="B81">INDEX($A:$A, (ROW()-1)*2 + COLUMN()-1)</f>
        <v/>
      </c>
      <c r="C81" s="62">
        <f t="array" ref="C81">INDEX($A:$A, (ROW()-1)*2 + COLUMN()-1)</f>
        <v/>
      </c>
    </row>
    <row r="82">
      <c r="A82" s="62" t="inlineStr">
        <is>
          <t>Doç. Dr. Burcu ERSÖZ ALAN</t>
        </is>
      </c>
      <c r="B82" s="62">
        <f t="array" ref="B82">INDEX($A:$A, (ROW()-1)*2 + COLUMN()-1)</f>
        <v/>
      </c>
      <c r="C82" s="62">
        <f t="array" ref="C82">INDEX($A:$A, (ROW()-1)*2 + COLUMN()-1)</f>
        <v/>
      </c>
    </row>
    <row r="83">
      <c r="A83" s="62" t="inlineStr">
        <is>
          <t>Prof. Dr. M. Özgür UYANIK</t>
        </is>
      </c>
      <c r="B83" s="62">
        <f t="array" ref="B83">INDEX($A:$A, (ROW()-1)*2 + COLUMN()-1)</f>
        <v/>
      </c>
      <c r="C83" s="62">
        <f t="array" ref="C83">INDEX($A:$A, (ROW()-1)*2 + COLUMN()-1)</f>
        <v/>
      </c>
    </row>
    <row r="84">
      <c r="A84" s="62" t="inlineStr">
        <is>
          <t>Prof. Dr. Ayşe KİN İŞLER</t>
        </is>
      </c>
      <c r="B84" s="62">
        <f t="array" ref="B84">INDEX($A:$A, (ROW()-1)*2 + COLUMN()-1)</f>
        <v/>
      </c>
      <c r="C84" s="62">
        <f t="array" ref="C84">INDEX($A:$A, (ROW()-1)*2 + COLUMN()-1)</f>
        <v/>
      </c>
    </row>
    <row r="85">
      <c r="A85" s="62" t="inlineStr">
        <is>
          <t>Prof. Dr. M. Özgür UYANIK</t>
        </is>
      </c>
      <c r="B85" s="62">
        <f t="array" ref="B85">INDEX($A:$A, (ROW()-1)*2 + COLUMN()-1)</f>
        <v/>
      </c>
      <c r="C85" s="62">
        <f t="array" ref="C85">INDEX($A:$A, (ROW()-1)*2 + COLUMN()-1)</f>
        <v/>
      </c>
    </row>
    <row r="86">
      <c r="A86" s="62" t="inlineStr">
        <is>
          <t>Prof. Dr. Ayşe KİN İŞLER</t>
        </is>
      </c>
      <c r="B86" s="62">
        <f t="array" ref="B86">INDEX($A:$A, (ROW()-1)*2 + COLUMN()-1)</f>
        <v/>
      </c>
      <c r="C86" s="62">
        <f t="array" ref="C86">INDEX($A:$A, (ROW()-1)*2 + COLUMN()-1)</f>
        <v/>
      </c>
    </row>
    <row r="87">
      <c r="A87" s="62" t="inlineStr">
        <is>
          <t>Prof. Dr. Yavuz AYHAN</t>
        </is>
      </c>
      <c r="B87" s="62">
        <f t="array" ref="B87">INDEX($A:$A, (ROW()-1)*2 + COLUMN()-1)</f>
        <v/>
      </c>
      <c r="C87" s="62">
        <f t="array" ref="C87">INDEX($A:$A, (ROW()-1)*2 + COLUMN()-1)</f>
        <v/>
      </c>
    </row>
    <row r="88">
      <c r="A88" s="62" t="inlineStr">
        <is>
          <t>Doç. Dr. Kübra AYKAÇ</t>
        </is>
      </c>
      <c r="B88" s="62">
        <f t="array" ref="B88">INDEX($A:$A, (ROW()-1)*2 + COLUMN()-1)</f>
        <v/>
      </c>
      <c r="C88" s="62">
        <f t="array" ref="C88">INDEX($A:$A, (ROW()-1)*2 + COLUMN()-1)</f>
        <v/>
      </c>
    </row>
    <row r="89">
      <c r="A89" s="62" t="inlineStr">
        <is>
          <t>Prof. Dr. Ayşe Nurten AKARSU</t>
        </is>
      </c>
      <c r="B89" s="62">
        <f t="array" ref="B89">INDEX($A:$A, (ROW()-1)*2 + COLUMN()-1)</f>
        <v/>
      </c>
      <c r="C89" s="62">
        <f t="array" ref="C89">INDEX($A:$A, (ROW()-1)*2 + COLUMN()-1)</f>
        <v/>
      </c>
    </row>
    <row r="90">
      <c r="A90" s="62" t="inlineStr">
        <is>
          <t>Prof. Dr. Nazmiye Ebru ORTAÇ ERSOY</t>
        </is>
      </c>
      <c r="B90" s="62">
        <f t="array" ref="B90">INDEX($A:$A, (ROW()-1)*2 + COLUMN()-1)</f>
        <v/>
      </c>
      <c r="C90" s="62">
        <f t="array" ref="C90">INDEX($A:$A, (ROW()-1)*2 + COLUMN()-1)</f>
        <v/>
      </c>
    </row>
    <row r="91">
      <c r="A91" s="62" t="inlineStr">
        <is>
          <t>Prof. Dr. Ayşe Nurten AKARSU</t>
        </is>
      </c>
      <c r="B91" s="62">
        <f t="array" ref="B91">INDEX($A:$A, (ROW()-1)*2 + COLUMN()-1)</f>
        <v/>
      </c>
      <c r="C91" s="62">
        <f t="array" ref="C91">INDEX($A:$A, (ROW()-1)*2 + COLUMN()-1)</f>
        <v/>
      </c>
    </row>
    <row r="92">
      <c r="A92" s="62" t="inlineStr">
        <is>
          <t>Prof. Dr. Yavuz AYHAN</t>
        </is>
      </c>
      <c r="B92" s="62">
        <f t="array" ref="B92">INDEX($A:$A, (ROW()-1)*2 + COLUMN()-1)</f>
        <v/>
      </c>
      <c r="C92" s="62">
        <f t="array" ref="C92">INDEX($A:$A, (ROW()-1)*2 + COLUMN()-1)</f>
        <v/>
      </c>
    </row>
    <row r="93">
      <c r="A93" s="62" t="inlineStr">
        <is>
          <t>Doç. Dr. Kübra AYKAÇ</t>
        </is>
      </c>
      <c r="B93" s="62">
        <f t="array" ref="B93">INDEX($A:$A, (ROW()-1)*2 + COLUMN()-1)</f>
        <v/>
      </c>
      <c r="C93" s="62">
        <f t="array" ref="C93">INDEX($A:$A, (ROW()-1)*2 + COLUMN()-1)</f>
        <v/>
      </c>
    </row>
    <row r="94">
      <c r="A94" s="62" t="inlineStr">
        <is>
          <t>Doç. Dr. Ekim GÜMELER</t>
        </is>
      </c>
      <c r="B94" s="62">
        <f t="array" ref="B94">INDEX($A:$A, (ROW()-1)*2 + COLUMN()-1)</f>
        <v/>
      </c>
      <c r="C94" s="62">
        <f t="array" ref="C94">INDEX($A:$A, (ROW()-1)*2 + COLUMN()-1)</f>
        <v/>
      </c>
    </row>
  </sheetData>
  <printOptions horizontalCentered="1"/>
  <pageMargins left="0.1968503937007874" right="0.1968503937007874" top="0.1968503937007874" bottom="0.3937007874015748" header="0.3149606299212598" footer="0.1968503937007874"/>
  <pageSetup orientation="landscape" paperSize="8" fitToHeight="10"/>
</worksheet>
</file>

<file path=xl/worksheets/sheet12.xml><?xml version="1.0" encoding="utf-8"?>
<worksheet xmlns="http://schemas.openxmlformats.org/spreadsheetml/2006/main">
  <sheetPr>
    <tabColor rgb="FFFFFF00"/>
    <outlinePr summaryBelow="1" summaryRight="1"/>
    <pageSetUpPr fitToPage="1"/>
  </sheetPr>
  <dimension ref="A1:E1081"/>
  <sheetViews>
    <sheetView showZeros="0" topLeftCell="A590" zoomScale="90" zoomScaleNormal="90" workbookViewId="0">
      <selection activeCell="D597" sqref="D597"/>
    </sheetView>
  </sheetViews>
  <sheetFormatPr baseColWidth="8" defaultRowHeight="15.75"/>
  <cols>
    <col width="6.28515625" bestFit="1" customWidth="1" style="3" min="1" max="1"/>
    <col width="18.85546875" bestFit="1" customWidth="1" style="3" min="2" max="2"/>
    <col width="46.28515625" bestFit="1" customWidth="1" style="3" min="3" max="3"/>
    <col width="50.7109375" customWidth="1" style="4" min="4" max="4"/>
    <col width="9.140625" customWidth="1" style="218" min="5" max="16384"/>
  </cols>
  <sheetData>
    <row r="1" ht="31.5" customHeight="1" s="221">
      <c r="A1" s="61" t="inlineStr">
        <is>
          <t>1.</t>
        </is>
      </c>
      <c r="B1" s="57" t="inlineStr">
        <is>
          <t>SBA 25/001</t>
        </is>
      </c>
      <c r="C1" s="58" t="inlineStr">
        <is>
          <t>Prof. Dr. Başaran DEMİR</t>
        </is>
      </c>
      <c r="D1" s="59" t="inlineStr">
        <is>
          <t>“Üniversite Öğrencilerinde Ekran Zamanının ve Teknoloji Kullanımının Ruh Sağlığı Üzerindeki Etkileri”</t>
        </is>
      </c>
    </row>
    <row r="2" ht="31.5" customHeight="1" s="221">
      <c r="A2" s="61" t="inlineStr">
        <is>
          <t>2.</t>
        </is>
      </c>
      <c r="B2" s="57" t="inlineStr">
        <is>
          <t>SBA 25/002</t>
        </is>
      </c>
      <c r="C2" s="58" t="inlineStr">
        <is>
          <t>Dr. Öğr. Üyesi Buket ACAR</t>
        </is>
      </c>
      <c r="D2" s="59" t="inlineStr">
        <is>
          <t>“Periodontal Durum, Oral Sağlık ve Sosyal Anksiyete Düzeyi Arasındaki İlişkinin İncelenmesi”</t>
        </is>
      </c>
    </row>
    <row r="3" ht="47.25" customHeight="1" s="221">
      <c r="A3" s="61" t="inlineStr">
        <is>
          <t>3.</t>
        </is>
      </c>
      <c r="B3" s="57" t="inlineStr">
        <is>
          <t>SBA 25/003</t>
        </is>
      </c>
      <c r="C3" s="58" t="inlineStr">
        <is>
          <t>Prof. Dr. Burcu Balam DOĞU</t>
        </is>
      </c>
      <c r="D3" s="59" t="inlineStr">
        <is>
          <t>“65 Yaş Üstü Hastalarda Yaşlı Ayrımcılığına Maruziyet Sıklığı, Yaşlı Ayrımcılığının İlişkili Olduğu Faktörler ve Bakım Verenlerinde Yaşlanma Anksiyetesi”</t>
        </is>
      </c>
    </row>
    <row r="4" ht="63" customHeight="1" s="221">
      <c r="A4" s="61" t="inlineStr">
        <is>
          <t>4.</t>
        </is>
      </c>
      <c r="B4" s="57" t="inlineStr">
        <is>
          <t>SBA 25/004</t>
        </is>
      </c>
      <c r="C4" s="58" t="inlineStr">
        <is>
          <t>Prof. Dr. Burcu Balam DOĞU</t>
        </is>
      </c>
      <c r="D4" s="59" t="inlineStr">
        <is>
          <t>“Avrupa'da Geriatri Tıbbı Eğitim Programının Tamamlanması: Milenyum Kuşağı ve Z Kuşağı Geriatristlerinin Mesleki Beklentileri- Kesitsel, Avrupa Tabanlı Bir Çalışma”</t>
        </is>
      </c>
    </row>
    <row r="5" ht="47.25" customHeight="1" s="221">
      <c r="A5" s="61" t="inlineStr">
        <is>
          <t>5.</t>
        </is>
      </c>
      <c r="B5" s="57" t="inlineStr">
        <is>
          <t>SBA 25/005</t>
        </is>
      </c>
      <c r="C5" s="58" t="inlineStr">
        <is>
          <t>Dr. Öğr. Üyesi Burcu KELLECİ ÇAKIR</t>
        </is>
      </c>
      <c r="D5" s="59" t="inlineStr">
        <is>
          <t>“Sağlık Profesyonellerinin Besin ve İlaç Etkileşimleri Hakkında Bilgi ve Farkındalık Düzeylerinin Değerlendirilmesi”</t>
        </is>
      </c>
    </row>
    <row r="6" ht="31.5" customHeight="1" s="221">
      <c r="A6" s="61" t="inlineStr">
        <is>
          <t>6.</t>
        </is>
      </c>
      <c r="B6" s="57" t="inlineStr">
        <is>
          <t>SBA 25/006</t>
        </is>
      </c>
      <c r="C6" s="58" t="inlineStr">
        <is>
          <t>Prof. Dr. Bülent Enis ŞEKEREL</t>
        </is>
      </c>
      <c r="D6" s="59" t="inlineStr">
        <is>
          <t>“Çocuklarda Kedi, Köpek ve At Alerjisinde Moleküler Duyarlılık Özellikleri ve Klinik ile İlişkisi”</t>
        </is>
      </c>
    </row>
    <row r="7" ht="31.5" customHeight="1" s="221">
      <c r="A7" s="61" t="inlineStr">
        <is>
          <t>7.</t>
        </is>
      </c>
      <c r="B7" s="57" t="inlineStr">
        <is>
          <t>SBA 25/007</t>
        </is>
      </c>
      <c r="C7" s="58" t="inlineStr">
        <is>
          <t>Doç. Dr. Cafer BALCI</t>
        </is>
      </c>
      <c r="D7" s="59" t="inlineStr">
        <is>
          <t>“Denosumab Tedavisinde İnterlökin-6 Düzeyi ve DEXA Yanıtı İlişkisi: Retrospektif Bir Analiz”</t>
        </is>
      </c>
    </row>
    <row r="8" ht="47.25" customHeight="1" s="221">
      <c r="A8" s="61" t="inlineStr">
        <is>
          <t>8.</t>
        </is>
      </c>
      <c r="B8" s="57" t="inlineStr">
        <is>
          <t>SBA 25/008</t>
        </is>
      </c>
      <c r="C8" s="58" t="inlineStr">
        <is>
          <t>Doç. Dr. Cafer BALCI</t>
        </is>
      </c>
      <c r="D8" s="59" t="inlineStr">
        <is>
          <t>“Clostridium Difficile Enfeksiyonu Olan Hastanede Yatan 50 Yaş ve Üstü Hastaların Kapsamlı Geriatrik Değerlendirme ile Değerlendirilmesi”</t>
        </is>
      </c>
    </row>
    <row r="9" ht="31.5" customHeight="1" s="221">
      <c r="A9" s="61" t="inlineStr">
        <is>
          <t>9.</t>
        </is>
      </c>
      <c r="B9" s="57" t="inlineStr">
        <is>
          <t>SBA 25/009</t>
        </is>
      </c>
      <c r="C9" s="58" t="inlineStr">
        <is>
          <t>Doç. Dr. Ceren GÜNBEY</t>
        </is>
      </c>
      <c r="D9" s="59" t="inlineStr">
        <is>
          <t>“İlaca Dirençli Epilepside MikroRNA İfade Değişikliklerinin Değerlendirilmesi”</t>
        </is>
      </c>
    </row>
    <row r="10" ht="47.25" customHeight="1" s="221">
      <c r="A10" s="61" t="inlineStr">
        <is>
          <t>10.</t>
        </is>
      </c>
      <c r="B10" s="57" t="inlineStr">
        <is>
          <t>SBA 25/010</t>
        </is>
      </c>
      <c r="C10" s="58" t="inlineStr">
        <is>
          <t>Doç. Dr. Ceren GÜNENÇ BEŞER</t>
        </is>
      </c>
      <c r="D10" s="59" t="inlineStr">
        <is>
          <t>“Emilebilir İp Uygulamaları ile Biyostimülan Ajanların Yüz Anatomisi Şekillendirme Kapasitesinin Değerlendirmesi: Retrospektif Gözlem Çalışması”</t>
        </is>
      </c>
    </row>
    <row r="11" ht="63" customHeight="1" s="221">
      <c r="A11" s="61" t="inlineStr">
        <is>
          <t>11.</t>
        </is>
      </c>
      <c r="B11" s="57" t="inlineStr">
        <is>
          <t>SBA 25/011</t>
        </is>
      </c>
      <c r="C11" s="58" t="inlineStr">
        <is>
          <t>Dr. Öğr. Gör. Demet YABANOĞLU</t>
        </is>
      </c>
      <c r="D11" s="59" t="inlineStr">
        <is>
          <t>“Rozasea Hastalığının Bazı Alt Gruplarında Görülebilen Oküler Tutulumun Belirlenmesinde ve Takibinde Kullanılabilecek Yeni Biyobelirteçlerin Klinik Temelli Metabolomik Çalışmalarla Araştırılması”</t>
        </is>
      </c>
    </row>
    <row r="12" ht="31.5" customHeight="1" s="221">
      <c r="A12" s="61" t="inlineStr">
        <is>
          <t>12.</t>
        </is>
      </c>
      <c r="B12" s="57" t="inlineStr">
        <is>
          <t>SBA 25/012</t>
        </is>
      </c>
      <c r="C12" s="58" t="inlineStr">
        <is>
          <t>Prof. Dr. Deniz ÇAĞDAŞ AYVAZ</t>
        </is>
      </c>
      <c r="D12" s="59" t="inlineStr">
        <is>
          <t>“STAT1 ve STAT3 Mutasyonu olan Hastaların Klinik ve Laboratuvar Özelliklerinin Değerlendirilmesi”</t>
        </is>
      </c>
    </row>
    <row r="13" ht="31.5" customHeight="1" s="221">
      <c r="A13" s="61" t="inlineStr">
        <is>
          <t>13.</t>
        </is>
      </c>
      <c r="B13" s="57" t="inlineStr">
        <is>
          <t>SBA 25/013</t>
        </is>
      </c>
      <c r="C13" s="58" t="inlineStr">
        <is>
          <t>Doç. Dr. Duygu AYHAN BAŞER</t>
        </is>
      </c>
      <c r="D13" s="59" t="inlineStr">
        <is>
          <t>“Emzirme Döneminde Beslenme: Annelerin İnanç ve Deneyimlerine Yönelik Kalitatif İnceleme”</t>
        </is>
      </c>
    </row>
    <row r="14" ht="31.5" customHeight="1" s="221">
      <c r="A14" s="61" t="inlineStr">
        <is>
          <t>14.</t>
        </is>
      </c>
      <c r="B14" s="57" t="inlineStr">
        <is>
          <t>SBA 25/014</t>
        </is>
      </c>
      <c r="C14" s="58" t="inlineStr">
        <is>
          <t xml:space="preserve">Prof. Dr. Ebru DAMADOĞLU </t>
        </is>
      </c>
      <c r="D14" s="59" t="inlineStr">
        <is>
          <t>"Kadın Hastalarda Herediter Anjioödemin Seyri ve Klinik Özellikleri"</t>
        </is>
      </c>
    </row>
    <row r="15" ht="31.5" customHeight="1" s="221">
      <c r="A15" s="61" t="inlineStr">
        <is>
          <t>15.</t>
        </is>
      </c>
      <c r="B15" s="57" t="inlineStr">
        <is>
          <t>SBA 25/015</t>
        </is>
      </c>
      <c r="C15" s="58" t="inlineStr">
        <is>
          <t xml:space="preserve">Prof. Dr. Ebru DAMADOĞLU </t>
        </is>
      </c>
      <c r="D15" s="59" t="inlineStr">
        <is>
          <t>"Herediter Anjioödem Tanılı Hastalarda Dental İşlemlerin Klinik Sonuçları"</t>
        </is>
      </c>
    </row>
    <row r="16" ht="31.5" customHeight="1" s="221">
      <c r="A16" s="61" t="inlineStr">
        <is>
          <t>16.</t>
        </is>
      </c>
      <c r="B16" s="57" t="inlineStr">
        <is>
          <t>SBA 25/016</t>
        </is>
      </c>
      <c r="C16" s="58" t="inlineStr">
        <is>
          <t>Prof. Dr. Ebru DAMADOĞLU</t>
        </is>
      </c>
      <c r="D16" s="59" t="inlineStr">
        <is>
          <t>"Ağır Astımda Hedefe Yönelik Biyolojik Tedaviler: Benralizumabın Değerlendirilmesi "</t>
        </is>
      </c>
    </row>
    <row r="17" ht="47.25" customHeight="1" s="221">
      <c r="A17" s="61" t="inlineStr">
        <is>
          <t>17.</t>
        </is>
      </c>
      <c r="B17" s="57" t="inlineStr">
        <is>
          <t>SBA 25/017</t>
        </is>
      </c>
      <c r="C17" s="58" t="inlineStr">
        <is>
          <t>Doç. Dr. Ezgi ATİK</t>
        </is>
      </c>
      <c r="D17" s="59" t="inlineStr">
        <is>
          <t>“Şeffaf Plak Tekniğinde Ramus Plağı veya Bukkal Shelf Minividası Kullanımının Mandibular Molar Distalizasyonuna Etkisinin FEM ile İncelenmesi”</t>
        </is>
      </c>
    </row>
    <row r="18" ht="31.5" customHeight="1" s="221">
      <c r="A18" s="61" t="inlineStr">
        <is>
          <t>18.</t>
        </is>
      </c>
      <c r="B18" s="57" t="inlineStr">
        <is>
          <t>SBA 25/018</t>
        </is>
      </c>
      <c r="C18" s="58" t="inlineStr">
        <is>
          <t>Dr. Öğr. Üyesi Figen BEZCİ AYGÜN</t>
        </is>
      </c>
      <c r="D18" s="59" t="inlineStr">
        <is>
          <t>“Erken Dönem Yaşa Bağlı Makula Dejenerasyonunda Perimetri ile Makuler Parametrelerin İncelenmesi”</t>
        </is>
      </c>
    </row>
    <row r="19" ht="47.25" customHeight="1" s="221">
      <c r="A19" s="61" t="inlineStr">
        <is>
          <t>19.</t>
        </is>
      </c>
      <c r="B19" s="57" t="inlineStr">
        <is>
          <t>SBA 25/019</t>
        </is>
      </c>
      <c r="C19" s="58" t="inlineStr">
        <is>
          <t>Doç. Dr. Gülten IŞIK KOÇ</t>
        </is>
      </c>
      <c r="D19" s="59" t="inlineStr">
        <is>
          <t>“Babalarda Doğum Korkusu ile Fetal Bağlanma, Depresyon, Anksiyete ve Stres Arasındaki İlişkinin Belirlenmesi”</t>
        </is>
      </c>
    </row>
    <row r="20" ht="47.25" customHeight="1" s="221">
      <c r="A20" s="61" t="inlineStr">
        <is>
          <t>20.</t>
        </is>
      </c>
      <c r="B20" s="57" t="inlineStr">
        <is>
          <t>SBA 25/020</t>
        </is>
      </c>
      <c r="C20" s="58" t="inlineStr">
        <is>
          <t>Doç. Dr. Hacı Hasan YETER</t>
        </is>
      </c>
      <c r="D20" s="59" t="inlineStr">
        <is>
          <t>“Aletli Periton Diyalizi Yapan Hastalarda Uzaktan Erişim Modüllerinin Hastanın Tedavi Uyumuna ve Diyaliz Yeterliliğine Olan Etkisinin İncelenmesi”</t>
        </is>
      </c>
    </row>
    <row r="21" ht="47.25" customHeight="1" s="221">
      <c r="A21" s="61" t="inlineStr">
        <is>
          <t>21.</t>
        </is>
      </c>
      <c r="B21" s="57" t="inlineStr">
        <is>
          <t>SBA 25/021</t>
        </is>
      </c>
      <c r="C21" s="58" t="inlineStr">
        <is>
          <t>Prof. Dr. Hakan Hıfzı TÜZ</t>
        </is>
      </c>
      <c r="D21" s="59" t="inlineStr">
        <is>
          <t>“Mandibular Tek Taraflı Kondil Hiperplazisi Olan Hastalarda Eklem Aralığı ve Gonial Açı Ölçümlerinin Retrospektif Analizi”</t>
        </is>
      </c>
    </row>
    <row r="22" ht="47.25" customHeight="1" s="221">
      <c r="A22" s="61" t="inlineStr">
        <is>
          <t>22.</t>
        </is>
      </c>
      <c r="B22" s="57" t="inlineStr">
        <is>
          <t>SBA 25/022</t>
        </is>
      </c>
      <c r="C22" s="58" t="inlineStr">
        <is>
          <t>Doç. Dr. Hatice ABAOĞLU</t>
        </is>
      </c>
      <c r="D22" s="59" t="inlineStr">
        <is>
          <t>“Ev Hanımlarında Sosyal Medya Kullanımının Okupasyonel Denge ve Zaman Yönetimi ile İlişkisinin İncelenmesi”</t>
        </is>
      </c>
    </row>
    <row r="23" ht="31.5" customHeight="1" s="221">
      <c r="A23" s="61" t="inlineStr">
        <is>
          <t>23.</t>
        </is>
      </c>
      <c r="B23" s="57" t="inlineStr">
        <is>
          <t>SBA 25/023</t>
        </is>
      </c>
      <c r="C23" s="58" t="inlineStr">
        <is>
          <t>Doç. Dr. Hatice ABAOĞLU</t>
        </is>
      </c>
      <c r="D23" s="59" t="inlineStr">
        <is>
          <t>“Yaşlı Bireylerin Yardımcı Teknoloji Kullanımına Bakış Açıları: Nitel Araştırma”</t>
        </is>
      </c>
    </row>
    <row r="24" ht="31.5" customHeight="1" s="221">
      <c r="A24" s="61" t="inlineStr">
        <is>
          <t>24.</t>
        </is>
      </c>
      <c r="B24" s="57" t="inlineStr">
        <is>
          <t>SBA 25/024</t>
        </is>
      </c>
      <c r="C24" s="58" t="inlineStr">
        <is>
          <t>Doç. Dr. Hatice ABAOĞLU</t>
        </is>
      </c>
      <c r="D24" s="59" t="inlineStr">
        <is>
          <t>“AKUT Gönüllülerinde Psikolojik Sağlamlığın İş Yaşam Kalitesi ile İlişkisinin İncelenmesi”</t>
        </is>
      </c>
    </row>
    <row r="25" ht="31.5" customHeight="1" s="221">
      <c r="A25" s="61" t="inlineStr">
        <is>
          <t>25.</t>
        </is>
      </c>
      <c r="B25" s="57" t="inlineStr">
        <is>
          <t>SBA 25/025</t>
        </is>
      </c>
      <c r="C25" s="58" t="inlineStr">
        <is>
          <t>Doç. Dr. Hatice ABAOĞLU</t>
        </is>
      </c>
      <c r="D25" s="59" t="inlineStr">
        <is>
          <t>“Disleksi Tanısı Alan Üniversite Öğrencilerinin Yükseköğrenim Serüveni: Nitel Bir Çalışma”</t>
        </is>
      </c>
    </row>
    <row r="26" ht="31.5" customHeight="1" s="221">
      <c r="A26" s="61" t="inlineStr">
        <is>
          <t>26.</t>
        </is>
      </c>
      <c r="B26" s="57" t="inlineStr">
        <is>
          <t>SBA 25/026</t>
        </is>
      </c>
      <c r="C26" s="58" t="inlineStr">
        <is>
          <t>Doç. Dr. Hayrettin Hakan AYKAN</t>
        </is>
      </c>
      <c r="D26" s="59" t="inlineStr">
        <is>
          <t>“Çocukluk Çağı Başlangıçlı Takayasu Arteritlerinin Romatolojik ve Kardiyolojik Değerlendirilmesi”</t>
        </is>
      </c>
    </row>
    <row r="27" ht="47.25" customHeight="1" s="221">
      <c r="A27" s="61" t="inlineStr">
        <is>
          <t>27.</t>
        </is>
      </c>
      <c r="B27" s="57" t="inlineStr">
        <is>
          <t>SBA 25/027</t>
        </is>
      </c>
      <c r="C27" s="58" t="inlineStr">
        <is>
          <t>Doç. Dr. Hilal AKSOY</t>
        </is>
      </c>
      <c r="D27" s="59" t="inlineStr">
        <is>
          <t>“Sigara Bırakma Polikliniğine Başvuran Bireylerde Motivasyonel Görüşmenin Sürece Etkilerinin Nitel Olarak ve Yapay Zeka Resim Analizi ile İncelenmesi”</t>
        </is>
      </c>
    </row>
    <row r="28" ht="47.25" customHeight="1" s="221">
      <c r="A28" s="61" t="inlineStr">
        <is>
          <t>28.</t>
        </is>
      </c>
      <c r="B28" s="57" t="inlineStr">
        <is>
          <t>SBA 25/028</t>
        </is>
      </c>
      <c r="C28" s="58" t="inlineStr">
        <is>
          <t>Doç. Dr. Hilal AKSOY</t>
        </is>
      </c>
      <c r="D28" s="59" t="inlineStr">
        <is>
          <t>“Gebelerin ve Postpartum ilk 6 Aydaki Annelerin Topuk Kanı Taraması Hakkındaki Düşünceleri: Kalitatif Çalışma”</t>
        </is>
      </c>
    </row>
    <row r="29" ht="47.25" customHeight="1" s="221">
      <c r="A29" s="61" t="inlineStr">
        <is>
          <t>29.</t>
        </is>
      </c>
      <c r="B29" s="57" t="inlineStr">
        <is>
          <t>SBA 25/029</t>
        </is>
      </c>
      <c r="C29" s="58" t="inlineStr">
        <is>
          <t>Doç. Dr. İbrahim Halil ÖNCEL</t>
        </is>
      </c>
      <c r="D29" s="59" t="inlineStr">
        <is>
          <t>“Ataksi Telanjiektazi Hastalarının Klinik Değerlendirmeleri ile Kraniyal Manyetik Rezonans Görüntüleme Bulgularının İlişkisinin Araştırılması”</t>
        </is>
      </c>
    </row>
    <row r="30" ht="31.5" customHeight="1" s="221">
      <c r="A30" s="61" t="inlineStr">
        <is>
          <t>30.</t>
        </is>
      </c>
      <c r="B30" s="57" t="inlineStr">
        <is>
          <t>SBA 25/030</t>
        </is>
      </c>
      <c r="C30" s="58" t="inlineStr">
        <is>
          <t>Doç. Dr. İbrahim Halil ÖNCEL</t>
        </is>
      </c>
      <c r="D30" s="59" t="inlineStr">
        <is>
          <t>“Pediatrik Kriptojenik Nörolojik Hastalıklarda İnsizyonel Beyin Biyopsisinin Tanıya Katkısı”</t>
        </is>
      </c>
    </row>
    <row r="31" ht="63" customHeight="1" s="221">
      <c r="A31" s="61" t="inlineStr">
        <is>
          <t>31.</t>
        </is>
      </c>
      <c r="B31" s="57" t="inlineStr">
        <is>
          <t>SBA 25/031</t>
        </is>
      </c>
      <c r="C31" s="58" t="inlineStr">
        <is>
          <t>Doç. Dr. İrem KOÇ</t>
        </is>
      </c>
      <c r="D31" s="59" t="inlineStr">
        <is>
          <t>“Posterior Üvea Nevüsü, Üvea Melanomu ve Sınırlı Koroid Hemanjiyomu Hastalıklarının Ayırıcı Tanısında Makine Öğrenmesi Temelli Yapay Zeka Algoritması Oluşturulması”</t>
        </is>
      </c>
    </row>
    <row r="32" ht="47.25" customHeight="1" s="221">
      <c r="A32" s="61" t="inlineStr">
        <is>
          <t>32.</t>
        </is>
      </c>
      <c r="B32" s="57" t="inlineStr">
        <is>
          <t>SBA 25/032</t>
        </is>
      </c>
      <c r="C32" s="58" t="inlineStr">
        <is>
          <t>Doç. Dr. İzzet FİDANCI</t>
        </is>
      </c>
      <c r="D32" s="59" t="inlineStr">
        <is>
          <t>" 0-48 ay Arasındaki Çocuklarının Aşılanma Durumları ile Ebeveynlerin E-sağlık Okuryazarlığı Düzeyi Arasındaki İlişkinin İncelenmesi”</t>
        </is>
      </c>
    </row>
    <row r="33" ht="63" customHeight="1" s="221">
      <c r="A33" s="61" t="inlineStr">
        <is>
          <t>33.</t>
        </is>
      </c>
      <c r="B33" s="57" t="inlineStr">
        <is>
          <t>SBA 25/033</t>
        </is>
      </c>
      <c r="C33" s="58" t="inlineStr">
        <is>
          <t>Prof. Dr. Kerim Hakan ALTINTAŞ</t>
        </is>
      </c>
      <c r="D33" s="59" t="inlineStr">
        <is>
          <t>“Sele Bireysel Hazırlık Bilgi ve Davranış Ölçeklerinin Uyarlanarak, Etiyopya’nın Kelafo İlçesinde Yaşayan Risk Altı Nüfusun Hazırlık Düzeyinin ve İlişkili Faktörlerin Belirlenmesi”</t>
        </is>
      </c>
    </row>
    <row r="34" ht="47.25" customHeight="1" s="221">
      <c r="A34" s="61" t="inlineStr">
        <is>
          <t>34.</t>
        </is>
      </c>
      <c r="B34" s="57" t="inlineStr">
        <is>
          <t>SBA 25/034</t>
        </is>
      </c>
      <c r="C34" s="58" t="inlineStr">
        <is>
          <t>Prof. Dr. Meltem Gülhan HALİL</t>
        </is>
      </c>
      <c r="D34" s="59" t="inlineStr">
        <is>
          <t>“65 Yaş ve Üstündeki Hastalarda Kalp Yetmezliği Semptomları ile Oral Beslenme Desteği İlişkisinin Değerlendirilmesi”</t>
        </is>
      </c>
    </row>
    <row r="35" ht="47.25" customHeight="1" s="221">
      <c r="A35" s="61" t="inlineStr">
        <is>
          <t>35.</t>
        </is>
      </c>
      <c r="B35" s="57" t="inlineStr">
        <is>
          <t>SBA 25/035</t>
        </is>
      </c>
      <c r="C35" s="58" t="inlineStr">
        <is>
          <t>Prof. Dr. Meltem Gülhan HALİL</t>
        </is>
      </c>
      <c r="D35" s="59" t="inlineStr">
        <is>
          <t>“Alzheimer Hastalığında Disfaji ile Manyetik Rezonans Görüntülemesiyle Beyindeki Atrofi Alanları Arasındaki İlişkinin İncelenmesi”</t>
        </is>
      </c>
    </row>
    <row r="36" ht="47.25" customHeight="1" s="221">
      <c r="A36" s="61" t="inlineStr">
        <is>
          <t>36.</t>
        </is>
      </c>
      <c r="B36" s="57" t="inlineStr">
        <is>
          <t>SBA 25/036</t>
        </is>
      </c>
      <c r="C36" s="58" t="inlineStr">
        <is>
          <t>Doç. Dr. Merve BATUK</t>
        </is>
      </c>
      <c r="D36" s="59" t="inlineStr">
        <is>
          <t>“Güncel Vestibüler Hastalıkların Tanısında Vestibüler Test Bataryaları ve Vestibüler Rehabilitasyon Yaklaşımlarının Belirlenmesi”</t>
        </is>
      </c>
    </row>
    <row r="37" ht="47.25" customHeight="1" s="221">
      <c r="A37" s="61" t="inlineStr">
        <is>
          <t>37.</t>
        </is>
      </c>
      <c r="B37" s="57" t="inlineStr">
        <is>
          <t>SBA 25/037</t>
        </is>
      </c>
      <c r="C37" s="58" t="inlineStr">
        <is>
          <t>Prof. Dr. Meryem Aslı TUNCER</t>
        </is>
      </c>
      <c r="D37" s="59" t="inlineStr">
        <is>
          <t>“Multipl Skleroz Hastalarında Hastalık Modifiye Edici Tedavilerin Yan Etkilerinin Yaş ve Cinsiyete Göre İncelenmesi”</t>
        </is>
      </c>
    </row>
    <row r="38" ht="47.25" customHeight="1" s="221">
      <c r="A38" s="61" t="inlineStr">
        <is>
          <t>38.</t>
        </is>
      </c>
      <c r="B38" s="57" t="inlineStr">
        <is>
          <t>SBA 25/038</t>
        </is>
      </c>
      <c r="C38" s="58" t="inlineStr">
        <is>
          <t>Prof. Dr. Meryem Aslı TUNCER</t>
        </is>
      </c>
      <c r="D38" s="59" t="inlineStr">
        <is>
          <t>“Rituksimabın Santral Sinir Sistemi Demiyelinizan ve Otoimmün Hastalıklarında Etkililik ve Güvenliliği: Tek Merkez Deneyimi”</t>
        </is>
      </c>
    </row>
    <row r="39" ht="63" customHeight="1" s="221">
      <c r="A39" s="61" t="inlineStr">
        <is>
          <t>39.</t>
        </is>
      </c>
      <c r="B39" s="57" t="inlineStr">
        <is>
          <t>SBA 25/039</t>
        </is>
      </c>
      <c r="C39" s="58" t="inlineStr">
        <is>
          <t>Prof. Dr. Murat AKOVA</t>
        </is>
      </c>
      <c r="D39" s="59" t="inlineStr">
        <is>
          <t>“Onkolojik veya Hematolojik Malignitesi Olan Nötropenik Hastalarda Karbapenemaz Üreten Enterobacterales Sebepli Bakteriyemi Tedavisinde Seftazidim/Avibaktam”</t>
        </is>
      </c>
    </row>
    <row r="40" ht="78.75" customHeight="1" s="221">
      <c r="A40" s="61" t="inlineStr">
        <is>
          <t>40.</t>
        </is>
      </c>
      <c r="B40" s="57" t="inlineStr">
        <is>
          <t>SBA 25/040</t>
        </is>
      </c>
      <c r="C40" s="58" t="inlineStr">
        <is>
          <t>Prof. Dr. Murat AKOVA</t>
        </is>
      </c>
      <c r="D40" s="59" t="inlineStr">
        <is>
          <t>“Karbapeneme Dirençli Klebsilla pneumoniae ile Gelişen Kan Dolaşımı Enfeksiyonlarında Risk Faktörleri, Mortalite ve Moleküler Epidemiyolojik Verilerin Araştırılması: Karşılaştırmalı Retrospektif Analiz”</t>
        </is>
      </c>
    </row>
    <row r="41" ht="31.5" customHeight="1" s="221">
      <c r="A41" s="61" t="inlineStr">
        <is>
          <t>41.</t>
        </is>
      </c>
      <c r="B41" s="57" t="inlineStr">
        <is>
          <t>SBA 25/041</t>
        </is>
      </c>
      <c r="C41" s="58" t="inlineStr">
        <is>
          <t>Dr. Öğr. Üyesi Murat ÇAĞAN</t>
        </is>
      </c>
      <c r="D41" s="59" t="inlineStr">
        <is>
          <t>“Tekil Gebeliklerin İlk Trimesterdeki Myometrial Kalınlık Ölçümleriyle Preterm Doğum İlişkisi”</t>
        </is>
      </c>
    </row>
    <row r="42" ht="47.25" customHeight="1" s="221">
      <c r="A42" s="61" t="inlineStr">
        <is>
          <t>42.</t>
        </is>
      </c>
      <c r="B42" s="57" t="inlineStr">
        <is>
          <t>SBA 25/042</t>
        </is>
      </c>
      <c r="C42" s="58" t="inlineStr">
        <is>
          <t>Prof. Dr. Mustafa YILMAZ</t>
        </is>
      </c>
      <c r="D42" s="59" t="inlineStr">
        <is>
          <t>“Terapötik Hikaye İçerikli Bilgilendirici İnteraktif Mobil Uygulamanın Çocuk Kalp Cerrahisi Uygulanacak Hastaların Anksiyete Seviyelerine Etkisi”</t>
        </is>
      </c>
    </row>
    <row r="43" ht="63" customHeight="1" s="221">
      <c r="A43" s="61" t="inlineStr">
        <is>
          <t>43.</t>
        </is>
      </c>
      <c r="B43" s="57" t="inlineStr">
        <is>
          <t>SBA 25/043</t>
        </is>
      </c>
      <c r="C43" s="58" t="inlineStr">
        <is>
          <t>Prof. Dr. Naciye Vardar YAĞLI</t>
        </is>
      </c>
      <c r="D43" s="59" t="inlineStr">
        <is>
          <t>“Karaciğer Transplantasyonu Geçirmiş Bireylerde Kardiyovasküler ve Kassal Parametrelerin, Motor Kognitif Performansın, Bilişsel Fonksiyonun, Kinezyofobinin ve Yaşam Kalitesinin İncelenmesi”</t>
        </is>
      </c>
    </row>
    <row r="44" ht="63" customHeight="1" s="221">
      <c r="A44" s="61" t="inlineStr">
        <is>
          <t>44.</t>
        </is>
      </c>
      <c r="B44" s="57" t="inlineStr">
        <is>
          <t>SBA 25/044</t>
        </is>
      </c>
      <c r="C44" s="58" t="inlineStr">
        <is>
          <t>Prof. Dr. Nermin TARHAN</t>
        </is>
      </c>
      <c r="D44" s="59" t="inlineStr">
        <is>
          <t>“Endodontik-Periodontal Lezyonlarda Etyoloji, Prognoz ve Tedavi Yaklaşımlarının Endodontist ve Periodontist Perspektifinden Değerlendirilmesi: Gözlemsel Bir Çalışma”</t>
        </is>
      </c>
    </row>
    <row r="45" ht="31.5" customHeight="1" s="221">
      <c r="A45" s="61" t="inlineStr">
        <is>
          <t>45.</t>
        </is>
      </c>
      <c r="B45" s="57" t="inlineStr">
        <is>
          <t>SBA 25/045</t>
        </is>
      </c>
      <c r="C45" s="58" t="inlineStr">
        <is>
          <t>Doç. Dr. Neslihan AKDOĞAN</t>
        </is>
      </c>
      <c r="D45" s="59" t="inlineStr">
        <is>
          <t>“Artan Trichophyton İndotineae Vakalarının Retrospektif Değerlendirilmesi”</t>
        </is>
      </c>
    </row>
    <row r="46" ht="31.5" customHeight="1" s="221">
      <c r="A46" s="61" t="inlineStr">
        <is>
          <t>46.</t>
        </is>
      </c>
      <c r="B46" s="57" t="inlineStr">
        <is>
          <t>SBA 25/046</t>
        </is>
      </c>
      <c r="C46" s="58" t="inlineStr">
        <is>
          <t>Prof. Dr. Orhan ODABAŞI</t>
        </is>
      </c>
      <c r="D46" s="59" t="inlineStr">
        <is>
          <t>“Tıp Öğrencilerinde İyilik Hali Düzeyini Arttırmaya Yönelik Bir Program: Pilot Uygulama”</t>
        </is>
      </c>
    </row>
    <row r="47" ht="31.5" customHeight="1" s="221">
      <c r="A47" s="61" t="inlineStr">
        <is>
          <t>47.</t>
        </is>
      </c>
      <c r="B47" s="57" t="inlineStr">
        <is>
          <t>SBA 25/047</t>
        </is>
      </c>
      <c r="C47" s="58" t="inlineStr">
        <is>
          <t>Prof. Dr. Orhan ODABAŞI</t>
        </is>
      </c>
      <c r="D47" s="59" t="inlineStr">
        <is>
          <t>“Tıpta Yan Dal Uzmanlık Eğitimi Tercihlerini Belirleyen Etkenler”</t>
        </is>
      </c>
    </row>
    <row r="48" ht="31.5" customHeight="1" s="221">
      <c r="A48" s="61" t="inlineStr">
        <is>
          <t>48.</t>
        </is>
      </c>
      <c r="B48" s="57" t="inlineStr">
        <is>
          <t>SBA 25/048</t>
        </is>
      </c>
      <c r="C48" s="58" t="inlineStr">
        <is>
          <t>Prof. Dr. Ömer Alper GÜRLEK</t>
        </is>
      </c>
      <c r="D48" s="59" t="inlineStr">
        <is>
          <t>“Erişkin Subklinik Hipotiroidili Hastalarda Kardiyak Fonksiyonların İncelenmesi”</t>
        </is>
      </c>
    </row>
    <row r="49" ht="31.5" customHeight="1" s="221">
      <c r="A49" s="61" t="inlineStr">
        <is>
          <t>49.</t>
        </is>
      </c>
      <c r="B49" s="57" t="inlineStr">
        <is>
          <t>SBA 25/049</t>
        </is>
      </c>
      <c r="C49" s="58" t="inlineStr">
        <is>
          <t>Prof. Dr. Ömer DİZDAR</t>
        </is>
      </c>
      <c r="D49" s="59" t="inlineStr">
        <is>
          <t>“Oktogenarian Kolon Kanserli Hastalarda Tedavi Etkinliğinin ve Uyumunun Değerlendirilmesi</t>
        </is>
      </c>
    </row>
    <row r="50" ht="31.5" customHeight="1" s="221">
      <c r="A50" s="61" t="inlineStr">
        <is>
          <t>50.</t>
        </is>
      </c>
      <c r="B50" s="57" t="inlineStr">
        <is>
          <t>SBA 25/050</t>
        </is>
      </c>
      <c r="C50" s="58" t="inlineStr">
        <is>
          <t>Prof. Dr. Özge UYSAL SOYER</t>
        </is>
      </c>
      <c r="D50" s="59" t="inlineStr">
        <is>
          <t>“Çocuklarda Antimikrobiyal İlaç Desensitizasyonlarının Etkinliği ve Güvenilirliği”</t>
        </is>
      </c>
    </row>
    <row r="51" ht="31.5" customHeight="1" s="221">
      <c r="A51" s="61" t="inlineStr">
        <is>
          <t>51.</t>
        </is>
      </c>
      <c r="B51" s="57" t="inlineStr">
        <is>
          <t>SBA 25/051</t>
        </is>
      </c>
      <c r="C51" s="58" t="inlineStr">
        <is>
          <t>Prof. Dr. Başaran DEMİR</t>
        </is>
      </c>
      <c r="D51" s="59" t="inlineStr">
        <is>
          <t>“Çocuklarda Kemoterapötik İlaç Desensitizasyonlarının Etkinliği ve Güvenliği”</t>
        </is>
      </c>
    </row>
    <row r="52" ht="47.25" customHeight="1" s="221">
      <c r="A52" s="61" t="inlineStr">
        <is>
          <t>52.</t>
        </is>
      </c>
      <c r="B52" s="57" t="inlineStr">
        <is>
          <t>SBA 25/052</t>
        </is>
      </c>
      <c r="C52" s="58" t="inlineStr">
        <is>
          <t>Dr. Öğr. Üyesi Pınar SERDAR EYMİRLİ</t>
        </is>
      </c>
      <c r="D52" s="59" t="inlineStr">
        <is>
          <t>“Rezin İnfiltrasyon Tekniğinde Farklı Pürüzlendirme Yöntemlerinin Renk Stabilitesine ve Yüzey Pürüzlülüğüne Etkisi”</t>
        </is>
      </c>
    </row>
    <row r="53" ht="31.5" customHeight="1" s="221">
      <c r="A53" s="61" t="inlineStr">
        <is>
          <t>53.</t>
        </is>
      </c>
      <c r="B53" s="57" t="inlineStr">
        <is>
          <t>SBA 25/053</t>
        </is>
      </c>
      <c r="C53" s="58" t="inlineStr">
        <is>
          <t>Prof. Dr. Reyhan ATASÜ TOPCUOĞLU</t>
        </is>
      </c>
      <c r="D53" s="59" t="inlineStr">
        <is>
          <t>“İnfertil Göçmen Kadınların Aile Yaşantılarının Sosyal Hizmet Perspektifiyle İncelenmesi”</t>
        </is>
      </c>
    </row>
    <row r="54" ht="63" customHeight="1" s="221">
      <c r="A54" s="61" t="inlineStr">
        <is>
          <t>54.</t>
        </is>
      </c>
      <c r="B54" s="57" t="inlineStr">
        <is>
          <t>SBA 25/054</t>
        </is>
      </c>
      <c r="C54" s="58" t="inlineStr">
        <is>
          <t>Prof. Dr. Sadriye Ebru ÇENGEL KÜLTÜR</t>
        </is>
      </c>
      <c r="D54" s="59" t="inlineStr">
        <is>
          <t>“Dikkat Eksikliği Hiperaktivite Bozukluğu olan Ergenlerde Nikotin Tüketimi, Zihin Gezinmesi, Duygu Düzenleme, Zihinselleştirme ve Yürütücü İşlevlerin İncelenmesi”</t>
        </is>
      </c>
    </row>
    <row r="55" ht="47.25" customHeight="1" s="221">
      <c r="A55" s="61" t="inlineStr">
        <is>
          <t>55.</t>
        </is>
      </c>
      <c r="B55" s="57" t="inlineStr">
        <is>
          <t>SBA 25/055</t>
        </is>
      </c>
      <c r="C55" s="58" t="inlineStr">
        <is>
          <t>Doç. Dr. Saliha ESENBOĞA</t>
        </is>
      </c>
      <c r="D55" s="59" t="inlineStr">
        <is>
          <t>“Primer İmmün Yetmezlikli Hastalarda Nutrisyonel Durumun Değerlendirilmesi ve Vücut Kompozisyonu Ölçümü”</t>
        </is>
      </c>
    </row>
    <row r="56" ht="47.25" customHeight="1" s="221">
      <c r="A56" s="61" t="inlineStr">
        <is>
          <t>56.</t>
        </is>
      </c>
      <c r="B56" s="57" t="inlineStr">
        <is>
          <t>SBA 25/056</t>
        </is>
      </c>
      <c r="C56" s="58" t="inlineStr">
        <is>
          <t>Prof. Dr. Selen KÜÇÜKKAYA EREN</t>
        </is>
      </c>
      <c r="D56" s="59" t="inlineStr">
        <is>
          <t>“Farklı Kök Kanal Doldurma Teknikleri ile Doldurulmuş Dişlerde Kanal Dolgusu Sökümü Sonrası Apikalden Taşmanın Değerlendirilmesi”</t>
        </is>
      </c>
    </row>
    <row r="57" ht="31.5" customHeight="1" s="221">
      <c r="A57" s="61" t="inlineStr">
        <is>
          <t>57.</t>
        </is>
      </c>
      <c r="B57" s="57" t="inlineStr">
        <is>
          <t>SBA 25/057</t>
        </is>
      </c>
      <c r="C57" s="60" t="inlineStr">
        <is>
          <t>Doç. Dr. Selman KESİCİ</t>
        </is>
      </c>
      <c r="D57" s="59" t="inlineStr">
        <is>
          <t>“Son Bir Yılda Türkiye'deki Çocuk Yoğun Bakımlarda Miyokardit”</t>
        </is>
      </c>
    </row>
    <row r="58" ht="31.5" customHeight="1" s="221">
      <c r="A58" s="61" t="inlineStr">
        <is>
          <t>58.</t>
        </is>
      </c>
      <c r="B58" s="57" t="inlineStr">
        <is>
          <t>SBA 25/058</t>
        </is>
      </c>
      <c r="C58" s="58" t="inlineStr">
        <is>
          <t>Dr. Öğr. Üyesi Serdar ARITAN</t>
        </is>
      </c>
      <c r="D58" s="59" t="inlineStr">
        <is>
          <t>“Vücudu Dik Pozisyona Getirerek Yerden Ağırlık Kaldırışının (Deadlift) Biyomekanik Modellenmesi”</t>
        </is>
      </c>
    </row>
    <row r="59" ht="47.25" customHeight="1" s="221">
      <c r="A59" s="61" t="inlineStr">
        <is>
          <t>59.</t>
        </is>
      </c>
      <c r="B59" s="57" t="inlineStr">
        <is>
          <t>SBA 25/059</t>
        </is>
      </c>
      <c r="C59" s="58" t="inlineStr">
        <is>
          <t>Prof. Dr. Sergül DUYGULU</t>
        </is>
      </c>
      <c r="D59" s="59" t="inlineStr">
        <is>
          <t>“Hizmet Alanların Gözünden Boşluk Modeline Dayalı Olarak Hemşirelik Mesleğinin İmajının İncelenmesi: Nöropazarlama Analizi”</t>
        </is>
      </c>
    </row>
    <row r="60" ht="31.5" customHeight="1" s="221">
      <c r="A60" s="61" t="inlineStr">
        <is>
          <t>60.</t>
        </is>
      </c>
      <c r="B60" s="57" t="inlineStr">
        <is>
          <t>SBA 25/060</t>
        </is>
      </c>
      <c r="C60" s="58" t="inlineStr">
        <is>
          <t>Prof. Dr. Sinem AKGÜL</t>
        </is>
      </c>
      <c r="D60" s="59" t="inlineStr">
        <is>
          <t>“Astım Tanılı Ergenlerde Menstruasyonun Astım Kontrolü Üzerindeki Etkisi”</t>
        </is>
      </c>
    </row>
    <row r="61" ht="47.25" customHeight="1" s="221">
      <c r="A61" s="61" t="inlineStr">
        <is>
          <t>61.</t>
        </is>
      </c>
      <c r="B61" s="57" t="inlineStr">
        <is>
          <t>SBA 25/061</t>
        </is>
      </c>
      <c r="C61" s="58" t="inlineStr">
        <is>
          <t>Prof. Dr. Şeref Rahmi YILMAZ</t>
        </is>
      </c>
      <c r="D61" s="59" t="inlineStr">
        <is>
          <t>“Asemptomatik Tansiyon Düşüklüğü Olan Hastalarda Endotel Disfonksiyonu ve Renin-Anjiyotensin-Aldosteron Sistem Fonksiyonlarının Değerlendirilmesi”</t>
        </is>
      </c>
    </row>
    <row r="62" ht="63" customHeight="1" s="221">
      <c r="A62" s="61" t="inlineStr">
        <is>
          <t>62.</t>
        </is>
      </c>
      <c r="B62" s="57" t="inlineStr">
        <is>
          <t>SBA 25/062</t>
        </is>
      </c>
      <c r="C62" s="58" t="inlineStr">
        <is>
          <t>Prof. Dr. Taner YILMAZ</t>
        </is>
      </c>
      <c r="D62" s="59" t="inlineStr">
        <is>
          <t>“Uyku Apnesi Olmayan Ancak Nazal Septal Deviasyonu Olan Hastalarda Septoplasti Ameliyatı Öncesi ve Sonrası Serum Melatonin Düzeylerinin Karşılaştırılması”</t>
        </is>
      </c>
    </row>
    <row r="63" ht="31.5" customHeight="1" s="221">
      <c r="A63" s="61" t="inlineStr">
        <is>
          <t>63.</t>
        </is>
      </c>
      <c r="B63" s="57" t="inlineStr">
        <is>
          <t>SBA 25/063</t>
        </is>
      </c>
      <c r="C63" s="58" t="inlineStr">
        <is>
          <t>Prof. Dr. Tolga YILDIRIM</t>
        </is>
      </c>
      <c r="D63" s="59" t="inlineStr">
        <is>
          <t>“Sekonder Hipertansiyon Klinik Özellikleri ve Tanıda Bilgisayarlı Tomografinin Rolü”</t>
        </is>
      </c>
    </row>
    <row r="64" ht="47.25" customHeight="1" s="221">
      <c r="A64" s="61" t="inlineStr">
        <is>
          <t>64.</t>
        </is>
      </c>
      <c r="B64" s="57" t="inlineStr">
        <is>
          <t>SBA 25/064</t>
        </is>
      </c>
      <c r="C64" s="58" t="inlineStr">
        <is>
          <t>Arş. Gör. Dr. Tuğçe TORUN</t>
        </is>
      </c>
      <c r="D64" s="59" t="inlineStr">
        <is>
          <t>“Kronik Hastalığı Olan Çocukların Eğitiminde Yapay Zeka Kullanımına İlişkin Pediatri Hemşirelerinin Metaforlarının Analizi”</t>
        </is>
      </c>
    </row>
    <row r="65" ht="31.5" customHeight="1" s="221">
      <c r="A65" s="61" t="inlineStr">
        <is>
          <t>65.</t>
        </is>
      </c>
      <c r="B65" s="57" t="inlineStr">
        <is>
          <t>SBA 25/065</t>
        </is>
      </c>
      <c r="C65" s="58" t="inlineStr">
        <is>
          <t>Prof. Dr. Turgut Emrah BOZKURT</t>
        </is>
      </c>
      <c r="D65" s="59" t="inlineStr">
        <is>
          <t>“Translasyonel Preklinik Modeller ile Pulmoner Fibrozis İçin Yeni Tedavi Yaklaşımlarının Geliştirilmesi”</t>
        </is>
      </c>
    </row>
    <row r="66" ht="31.5" customHeight="1" s="221">
      <c r="A66" s="61" t="inlineStr">
        <is>
          <t>66.</t>
        </is>
      </c>
      <c r="B66" s="57" t="inlineStr">
        <is>
          <t>SBA 25/066</t>
        </is>
      </c>
      <c r="C66" s="58" t="inlineStr">
        <is>
          <t>Prof. Dr. Ümit Murat ŞAHİNER</t>
        </is>
      </c>
      <c r="D66" s="59" t="inlineStr">
        <is>
          <t>“Kronik Spontan Ürtiker Tanılı Adölesan Hastalarda Menstrüel Siklusun Hastalık Aktiviyesi Üzerine Etkisi”</t>
        </is>
      </c>
    </row>
    <row r="67" ht="63" customHeight="1" s="221">
      <c r="A67" s="61" t="inlineStr">
        <is>
          <t>67.</t>
        </is>
      </c>
      <c r="B67" s="57" t="inlineStr">
        <is>
          <t>SBA 25/067</t>
        </is>
      </c>
      <c r="C67" s="60" t="inlineStr">
        <is>
          <t>Prof. Dr. Ümit Murat ŞAHİNER</t>
        </is>
      </c>
      <c r="D67" s="59" t="inlineStr">
        <is>
          <t>“Atopik Dermatit Tanılı 1-3 Yaş Arası Çocuklarda Besin Alerjisi Varlığının Lezyonel ve Non-lezyonel Deri Bölgelerindeki Sitokin ve Mikrobiyom Özelliklerine Etkisi”</t>
        </is>
      </c>
    </row>
    <row r="68" ht="47.25" customHeight="1" s="221">
      <c r="A68" s="61" t="inlineStr">
        <is>
          <t>68.</t>
        </is>
      </c>
      <c r="B68" s="57" t="inlineStr">
        <is>
          <t>SBA 25/068</t>
        </is>
      </c>
      <c r="C68" s="58" t="inlineStr">
        <is>
          <t>Prof. Dr. Yasemin ÖZSÜREKCİ</t>
        </is>
      </c>
      <c r="D68" s="59" t="inlineStr">
        <is>
          <t>“Septik Artrit ve Osteomyelit Tanılı 0-18 Yaş Arasındaki Hastaların Klinik, Etiyolojik ve Epidemiyolojik Açıdan İncelenmesi”</t>
        </is>
      </c>
    </row>
    <row r="69" ht="31.5" customHeight="1" s="221">
      <c r="A69" s="61" t="inlineStr">
        <is>
          <t>69.</t>
        </is>
      </c>
      <c r="B69" s="57" t="inlineStr">
        <is>
          <t>SBA 25/069</t>
        </is>
      </c>
      <c r="C69" s="58" t="inlineStr">
        <is>
          <t>Prof. Dr. Zeliha Günnur DİKMEN</t>
        </is>
      </c>
      <c r="D69" s="59" t="inlineStr">
        <is>
          <t>“Akciğer Kanserinde Lipid Metabolizması ile İmmün Sistem İlişkisi”</t>
        </is>
      </c>
    </row>
    <row r="70" ht="31.5" customHeight="1" s="221">
      <c r="A70" s="61" t="inlineStr">
        <is>
          <t>70.</t>
        </is>
      </c>
      <c r="B70" s="57" t="inlineStr">
        <is>
          <t>SBA 25/070</t>
        </is>
      </c>
      <c r="C70" s="58" t="inlineStr">
        <is>
          <t>Prof. Dr. Deniz ÇAĞDAŞ AYVAZ</t>
        </is>
      </c>
      <c r="D70" s="59" t="inlineStr">
        <is>
          <t>“Farklı Ajanların İmmün Hücre Metabolizması ve Proliferasyonuna Etkileri”</t>
        </is>
      </c>
    </row>
    <row r="71" ht="31.5" customHeight="1" s="221">
      <c r="A71" s="61" t="inlineStr">
        <is>
          <t>71.</t>
        </is>
      </c>
      <c r="B71" s="57" t="inlineStr">
        <is>
          <t>SBA 25/071</t>
        </is>
      </c>
      <c r="C71" s="58" t="inlineStr">
        <is>
          <t>Prof. Dr. Gökçen ÇOBAN ÇİFÇİ</t>
        </is>
      </c>
      <c r="D71" s="59" t="inlineStr">
        <is>
          <t>“Baş-boyun, Beyin ve Spinal Tümörlerin CEST Görüntüleme Yöntemi ile Değerlendirilmesi”</t>
        </is>
      </c>
    </row>
    <row r="72" ht="31.5" customHeight="1" s="221">
      <c r="A72" s="61" t="inlineStr">
        <is>
          <t>72.</t>
        </is>
      </c>
      <c r="B72" s="6" t="inlineStr">
        <is>
          <t>SBA 25/072</t>
        </is>
      </c>
      <c r="C72" s="8" t="inlineStr">
        <is>
          <t>Dr. Öğr. Üyesi Irmak OCAK</t>
        </is>
      </c>
      <c r="D72" s="7" t="inlineStr">
        <is>
          <t>“Midpalatal Sütur Olgunlaşmasının Değerlendirilmesinde Yeni Bir Metot”</t>
        </is>
      </c>
    </row>
    <row r="73" ht="63" customHeight="1" s="221">
      <c r="A73" s="61" t="inlineStr">
        <is>
          <t>73.</t>
        </is>
      </c>
      <c r="B73" s="6" t="inlineStr">
        <is>
          <t>SBA 25/073</t>
        </is>
      </c>
      <c r="C73" s="8" t="inlineStr">
        <is>
          <t>Dr. Öğr. Üyesi Cem VARAN</t>
        </is>
      </c>
      <c r="D73" s="7" t="inlineStr">
        <is>
          <t>“Beyin Tümörünün Postoperatif Tedavisinde Antikanser/Antianjiogenik İlaç ve Kök Hücre İçeren, 3B Yazıcı ile Kişiselleştirilebilir İmplantların Geliştirilmesi ve İnvitro/İnvivo Değerlendirilmesi”</t>
        </is>
      </c>
    </row>
    <row r="74" ht="63" customHeight="1" s="221">
      <c r="A74" s="61" t="inlineStr">
        <is>
          <t>74.</t>
        </is>
      </c>
      <c r="B74" s="6" t="inlineStr">
        <is>
          <t>SBA 25/074</t>
        </is>
      </c>
      <c r="C74" s="8" t="inlineStr">
        <is>
          <t>Prof. Dr. Meryem Aslı TUNCER</t>
        </is>
      </c>
      <c r="D74" s="7" t="inlineStr">
        <is>
          <t>“Multipl Skleroz Tanılı Hastalarda Telomer Uzunluğu Analizi: Prognoz, Klinik Fenotip, Dizabilite ve Manyetik Rezonans Görüntüleme Beyin Volüm Değişiklikleri ile İlişkisi”</t>
        </is>
      </c>
    </row>
    <row r="75" ht="31.5" customHeight="1" s="221">
      <c r="A75" s="61" t="inlineStr">
        <is>
          <t>75.</t>
        </is>
      </c>
      <c r="B75" s="6" t="inlineStr">
        <is>
          <t>SBA 25/075</t>
        </is>
      </c>
      <c r="C75" s="8" t="inlineStr">
        <is>
          <t>Prof. Dr. Sibel DOĞAN GÜNAYDIN</t>
        </is>
      </c>
      <c r="D75" s="7" t="inlineStr">
        <is>
          <t>“Psoriatik Tırnak Bulgularının İncelenmesi ve Psoriatik Artrit ile İlişkisi”</t>
        </is>
      </c>
    </row>
    <row r="76" ht="47.25" customHeight="1" s="221">
      <c r="A76" s="61" t="inlineStr">
        <is>
          <t>76.</t>
        </is>
      </c>
      <c r="B76" s="6" t="inlineStr">
        <is>
          <t>SBA 25/076</t>
        </is>
      </c>
      <c r="C76" s="8" t="inlineStr">
        <is>
          <t>Prof. Dr. Ömer Alper GÜRLEK</t>
        </is>
      </c>
      <c r="D76" s="7" t="inlineStr">
        <is>
          <t>“IL-1 İnhibitörü Tedavisi ve Kolşisin Tedavisi Alan Ailevi Akdeniz Ateşi Hastalarında Kemik Dönüşüm Belirteçlerinin Karşılaştırılması”</t>
        </is>
      </c>
    </row>
    <row r="77" ht="31.5" customHeight="1" s="221">
      <c r="A77" s="61" t="inlineStr">
        <is>
          <t>77.</t>
        </is>
      </c>
      <c r="B77" s="6" t="inlineStr">
        <is>
          <t>SBA 25/077</t>
        </is>
      </c>
      <c r="C77" s="8" t="inlineStr">
        <is>
          <t>Prof. Dr. Sercan AKSOY</t>
        </is>
      </c>
      <c r="D77" s="7" t="inlineStr">
        <is>
          <t>“Triple Negatif Meme Kanseri Tanılı Hastaların Klinik Özellikleri ve Tedavi Sonuçlarının İncelenmesi”</t>
        </is>
      </c>
    </row>
    <row r="78" ht="31.5" customHeight="1" s="221">
      <c r="A78" s="61" t="inlineStr">
        <is>
          <t>78.</t>
        </is>
      </c>
      <c r="B78" s="6" t="inlineStr">
        <is>
          <t>SBA 25/078</t>
        </is>
      </c>
      <c r="C78" s="8" t="inlineStr">
        <is>
          <t>Doç. Dr. İzzet FİDANCI</t>
        </is>
      </c>
      <c r="D78" s="7" t="inlineStr">
        <is>
          <t>“WaLIDD Skorunun Türkçe Geçerlik ve Güvenirlik Çalışması”</t>
        </is>
      </c>
    </row>
    <row r="79" ht="63" customHeight="1" s="221">
      <c r="A79" s="61" t="inlineStr">
        <is>
          <t>79.</t>
        </is>
      </c>
      <c r="B79" s="6" t="inlineStr">
        <is>
          <t>SBA 25/079</t>
        </is>
      </c>
      <c r="C79" s="8" t="inlineStr">
        <is>
          <t>Prof. Dr. Zeynep Alev ÖZÖN</t>
        </is>
      </c>
      <c r="D79" s="7" t="inlineStr">
        <is>
          <t>“Ulusal Yenidoğan Tarama Programı ile Konjenital Hipotiroidi Tanısı Alarak İzlemde Geçici ve Kalıcı Konjenital Hipotiroidi Tanımlanan Olguların Retrospektif Değerlendirmesi"</t>
        </is>
      </c>
    </row>
    <row r="80" ht="31.5" customHeight="1" s="221">
      <c r="A80" s="5" t="inlineStr">
        <is>
          <t>9.</t>
        </is>
      </c>
      <c r="B80" s="6" t="inlineStr">
        <is>
          <t>SBA 25/080</t>
        </is>
      </c>
      <c r="C80" s="8" t="inlineStr">
        <is>
          <t>Prof. Dr. Alp ÇETİN</t>
        </is>
      </c>
      <c r="D80" s="7" t="inlineStr">
        <is>
          <t>“Fibromiyalji Tanılı Hastalarda İstenilen Görüntüleme Yöntemleri ile Geçirilmiş Cerrahi Operasyonların Sıklığı"</t>
        </is>
      </c>
    </row>
    <row r="81" ht="47.25" customHeight="1" s="221">
      <c r="A81" s="5" t="inlineStr">
        <is>
          <t>10.</t>
        </is>
      </c>
      <c r="B81" s="6" t="inlineStr">
        <is>
          <t>SBA 25/081</t>
        </is>
      </c>
      <c r="C81" s="8" t="inlineStr">
        <is>
          <t>Prof. Dr. Elmas Nazlı GÖNÇ</t>
        </is>
      </c>
      <c r="D81" s="7" t="inlineStr">
        <is>
          <t>“Üçüncü Basamak Sağlık Merkezinde Pediatrik Osteoporoz Olgularının Etiyolojik Dağılımı, Klinik ve Laboratuvar Özellikleri”</t>
        </is>
      </c>
    </row>
    <row r="82" ht="47.25" customHeight="1" s="221">
      <c r="A82" s="5" t="inlineStr">
        <is>
          <t>11.</t>
        </is>
      </c>
      <c r="B82" s="6" t="inlineStr">
        <is>
          <t>SBA 25/082</t>
        </is>
      </c>
      <c r="C82" s="8" t="inlineStr">
        <is>
          <t>Doç. Dr. Filiz ÜZÜMCÜGİL</t>
        </is>
      </c>
      <c r="D82" s="7" t="inlineStr">
        <is>
          <t>“Pediatrik Brakiosefalik Ven Kateterizasyonlarının Komplikasyonlar Açısından Retrospektif Olarak İncelenmesi”</t>
        </is>
      </c>
    </row>
    <row r="83" ht="47.25" customHeight="1" s="221">
      <c r="A83" s="5" t="inlineStr">
        <is>
          <t>12.</t>
        </is>
      </c>
      <c r="B83" s="6" t="inlineStr">
        <is>
          <t>SBA 25/083</t>
        </is>
      </c>
      <c r="C83" s="8" t="inlineStr">
        <is>
          <t>Dr. Öğr. Üyesi Gizem ERBAŞ ÜNVERDİ</t>
        </is>
      </c>
      <c r="D83" s="7" t="inlineStr">
        <is>
          <t>“İyon Salan Restoratif Dental Malzemelerin Bazı Mekanik Özellikler ve Mikrosızıntı Açısından İn-Vitro Olarak Değerlendirilmesi”</t>
        </is>
      </c>
    </row>
    <row r="84" ht="47.25" customHeight="1" s="221">
      <c r="A84" s="5" t="inlineStr">
        <is>
          <t>13.</t>
        </is>
      </c>
      <c r="B84" s="6" t="inlineStr">
        <is>
          <t>SBA 25/084</t>
        </is>
      </c>
      <c r="C84" s="8" t="inlineStr">
        <is>
          <t>Prof. Dr. Yasemin BAYAZIT</t>
        </is>
      </c>
      <c r="D84" s="7" t="inlineStr">
        <is>
          <t>“Glutatyon S Transferaz P1 Enziminin Triple-Negatif Meme Kanser Hücrelerinde Ferroptoz Üzerindeki Rolünün İncelenmesi”</t>
        </is>
      </c>
    </row>
    <row r="85" ht="31.5" customHeight="1" s="221">
      <c r="A85" s="5" t="inlineStr">
        <is>
          <t>14.</t>
        </is>
      </c>
      <c r="B85" s="6" t="inlineStr">
        <is>
          <t>SBA 25/085</t>
        </is>
      </c>
      <c r="C85" s="8" t="inlineStr">
        <is>
          <t>Arş. Gör. Dr. Hatice Ceren İSKENDER</t>
        </is>
      </c>
      <c r="D85" s="7" t="inlineStr">
        <is>
          <t>"Tip I Diyabet Tanısı Olan Çocukların Sağlıkta Baba Katılımlarının Değerlendirilmesi"</t>
        </is>
      </c>
    </row>
    <row r="86" ht="47.25" customHeight="1" s="221">
      <c r="A86" s="5" t="inlineStr">
        <is>
          <t>15.</t>
        </is>
      </c>
      <c r="B86" s="6" t="inlineStr">
        <is>
          <t>SBA 25/086</t>
        </is>
      </c>
      <c r="C86" s="8" t="inlineStr">
        <is>
          <t>Prof. Dr. Yahya BÜYÜKAŞIK</t>
        </is>
      </c>
      <c r="D86" s="7" t="inlineStr">
        <is>
          <t>“Kronik Myeloid Lösemi Blastik Faz Hastalarının Tek Merkezden Gerçek Yaşam Verileriyle Retrospektif İncelenmesi”</t>
        </is>
      </c>
    </row>
    <row r="87" ht="31.5" customHeight="1" s="221">
      <c r="A87" s="5" t="inlineStr">
        <is>
          <t>16.</t>
        </is>
      </c>
      <c r="B87" s="6" t="inlineStr">
        <is>
          <t>SBA 25/087</t>
        </is>
      </c>
      <c r="C87" s="8" t="inlineStr">
        <is>
          <t>Dr. Öğr. Üyesi Berna ÇELİK ERTAŞ</t>
        </is>
      </c>
      <c r="D87" s="7" t="inlineStr">
        <is>
          <t>“Çocukluk Çağı Eksojen Obezite Tedavisinde Yaşam Tarzı Değişikliği Önerilerinin Etkinliğinin İncelenmesi”</t>
        </is>
      </c>
    </row>
    <row r="88" ht="47.25" customHeight="1" s="221">
      <c r="A88" s="5" t="inlineStr">
        <is>
          <t>17.</t>
        </is>
      </c>
      <c r="B88" s="6" t="inlineStr">
        <is>
          <t>SBA 25/088</t>
        </is>
      </c>
      <c r="C88" s="8" t="inlineStr">
        <is>
          <t>Prof. Dr. Nuray BAYRAKÇI</t>
        </is>
      </c>
      <c r="D88" s="7" t="inlineStr">
        <is>
          <t>“Bifosfonat Kullanan Hastalarda İlaca Bağlı Olarak Çenelerde Görülen Osteonekrozun Etyopatogenezinde Otofaji, Apoptoz ve Nekrozun Rolü”</t>
        </is>
      </c>
    </row>
    <row r="89" ht="47.25" customHeight="1" s="221">
      <c r="A89" s="5" t="inlineStr">
        <is>
          <t>18.</t>
        </is>
      </c>
      <c r="B89" s="6" t="inlineStr">
        <is>
          <t>SBA 25/089</t>
        </is>
      </c>
      <c r="C89" s="8" t="inlineStr">
        <is>
          <t>Prof. Dr. Nilgün SAYINALP</t>
        </is>
      </c>
      <c r="D89" s="7" t="inlineStr">
        <is>
          <t>"Kronik Lenfositik Lösemi Hastalarında Ekstrameduller Tutulumunun Prognostik, Klinik, Laboratuvar, Tedavi Yanıtı Açısından Değerlendirmesi"</t>
        </is>
      </c>
    </row>
    <row r="90" ht="47.25" customHeight="1" s="221">
      <c r="A90" s="5" t="inlineStr">
        <is>
          <t>19.</t>
        </is>
      </c>
      <c r="B90" s="6" t="inlineStr">
        <is>
          <t>SBA 25/090</t>
        </is>
      </c>
      <c r="C90" s="8" t="inlineStr">
        <is>
          <t>Prof. Dr. İbrahim Celalettin HAZNEDAROĞLU</t>
        </is>
      </c>
      <c r="D90" s="7" t="inlineStr">
        <is>
          <t>“Kronik Myeloid Lösemi Hastalarının Klinik, Prognostik, Sağkalım ve Tedavilerinin Değerlendirilmesi”</t>
        </is>
      </c>
    </row>
    <row r="91" ht="47.25" customHeight="1" s="221">
      <c r="A91" s="5" t="inlineStr">
        <is>
          <t>20.</t>
        </is>
      </c>
      <c r="B91" s="6" t="inlineStr">
        <is>
          <t>SBA 25/091</t>
        </is>
      </c>
      <c r="C91" s="8" t="inlineStr">
        <is>
          <t>Doç. Dr. Ümit Yavuz MALKAN</t>
        </is>
      </c>
      <c r="D91" s="7" t="inlineStr">
        <is>
          <t>“Akut Myeloid Lösemi Hastalarında Konsolidasyon Tedavisinde Kullanılan Sitarabin Doz Yoğunluğunun Hastalığın Prognozu ve Sağkalımı Üzerine Etkisi”</t>
        </is>
      </c>
    </row>
    <row r="92" ht="47.25" customHeight="1" s="221">
      <c r="A92" s="5" t="inlineStr">
        <is>
          <t>21.</t>
        </is>
      </c>
      <c r="B92" s="6" t="inlineStr">
        <is>
          <t>SBA 25/092</t>
        </is>
      </c>
      <c r="C92" s="8" t="inlineStr">
        <is>
          <t>Doç. Dr. Derman BAŞARAN</t>
        </is>
      </c>
      <c r="D92" s="7" t="inlineStr">
        <is>
          <t>“Fertilite Koruyucu Tedavi Uygulanan Endometrium Kanseri ve Endometrial İntraepitelyal Neoplazi Tanılı Hastalarda Moleküler Sınıflandırmanın Prognoza Etkisi”</t>
        </is>
      </c>
    </row>
    <row r="93" ht="78.75" customHeight="1" s="221">
      <c r="A93" s="5" t="inlineStr">
        <is>
          <t>22.</t>
        </is>
      </c>
      <c r="B93" s="6" t="inlineStr">
        <is>
          <t>SBA 25/093</t>
        </is>
      </c>
      <c r="C93" s="8" t="inlineStr">
        <is>
          <t>Prof. Dr. Dilşad FOTO ÖZDEMİR</t>
        </is>
      </c>
      <c r="D93" s="7" t="inlineStr">
        <is>
          <t>“Özgül Öğrenme Bozukluğu ve Dikkat Eksikliği Hiperaktivite Bozukluğu Komorbiditesi Olan Çocuklarda Okuma-Yazma Performansının Yönetici İşlevler, Nörobilişsel Profil ve İşlevsellik ile İlişkisinin İncelenmesi”</t>
        </is>
      </c>
    </row>
    <row r="94" ht="78.75" customHeight="1" s="221">
      <c r="A94" s="5" t="inlineStr">
        <is>
          <t>23.</t>
        </is>
      </c>
      <c r="B94" s="6" t="inlineStr">
        <is>
          <t>SBA 25/094</t>
        </is>
      </c>
      <c r="C94" s="8" t="inlineStr">
        <is>
          <t>Prof. Dr. Hatice Nursun ÖZCAN</t>
        </is>
      </c>
      <c r="D94" s="7" t="inlineStr">
        <is>
          <t>“Pediatrik Akciğer Enfeksiyonlarında Toraks BT Bulgularının Klinik Verilerle Birleştirilmesi Sonucunda Mantar ve Diğer Etkenlerin Derin Öğrenme ve Makine Öğrenmesi Yöntemleriyle Erken Dönemde Ayırt Edilmesi”</t>
        </is>
      </c>
    </row>
    <row r="95" ht="31.5" customHeight="1" s="221">
      <c r="A95" s="5" t="inlineStr">
        <is>
          <t>24.</t>
        </is>
      </c>
      <c r="B95" s="6" t="inlineStr">
        <is>
          <t>SBA 25/095</t>
        </is>
      </c>
      <c r="C95" s="8" t="inlineStr">
        <is>
          <t>Arş. Gör. Dr. Nihat Şükrü ÖZGÖREN</t>
        </is>
      </c>
      <c r="D95" s="7" t="inlineStr">
        <is>
          <t>“İnsan Hareketinin Biyomekanik Analizi İçin Bilgisayar Benzeşim Modeli Geliştirilmesi”</t>
        </is>
      </c>
    </row>
    <row r="96" ht="31.5" customHeight="1" s="221">
      <c r="A96" s="5" t="inlineStr">
        <is>
          <t>25.</t>
        </is>
      </c>
      <c r="B96" s="6" t="inlineStr">
        <is>
          <t>SBA 25/096</t>
        </is>
      </c>
      <c r="C96" s="8" t="inlineStr">
        <is>
          <t>Arş. Gör. Dt. Tülin TAŞDEMİR</t>
        </is>
      </c>
      <c r="D96" s="7" t="inlineStr">
        <is>
          <t>“Amelogenezis İmperfectalı Hastaların Mandibula Kemik Yapısının Fraktal Analizi”</t>
        </is>
      </c>
    </row>
    <row r="97" ht="63" customHeight="1" s="221">
      <c r="A97" s="5" t="inlineStr">
        <is>
          <t>26.</t>
        </is>
      </c>
      <c r="B97" s="6" t="inlineStr">
        <is>
          <t>SBA 25/097</t>
        </is>
      </c>
      <c r="C97" s="8" t="inlineStr">
        <is>
          <t>Prof. Dr. Salih Kutay DEMİRKAN</t>
        </is>
      </c>
      <c r="D97" s="7" t="inlineStr">
        <is>
          <t>“Göğüs Hastalıkları Hekimlerinin Kistik Fibrozis Transmembran Düzenleyici (KFTR) Modülatör Tedaviler-İlaç Etkileşimleri Hakkında Bilgi ve Tutumlarının Değerlendirilmesi"</t>
        </is>
      </c>
    </row>
    <row r="98" ht="31.5" customHeight="1" s="221">
      <c r="A98" s="5" t="inlineStr">
        <is>
          <t>27.</t>
        </is>
      </c>
      <c r="B98" s="6" t="inlineStr">
        <is>
          <t>SBA 25/098</t>
        </is>
      </c>
      <c r="C98" s="8" t="inlineStr">
        <is>
          <t>Prof. Dr. Meryem UZAMIŞ TEKÇİÇEK</t>
        </is>
      </c>
      <c r="D98" s="7" t="inlineStr">
        <is>
          <t>Osteogenezis İmperfekta Hastalarında Ağız Diş Sağlığı Durumunun Değerlendirilmesi</t>
        </is>
      </c>
    </row>
    <row r="99" ht="47.25" customHeight="1" s="221">
      <c r="A99" s="5" t="inlineStr">
        <is>
          <t>28.</t>
        </is>
      </c>
      <c r="B99" s="6" t="inlineStr">
        <is>
          <t>SBA 25/099</t>
        </is>
      </c>
      <c r="C99" s="8" t="inlineStr">
        <is>
          <t>Doç. Dr. Duygu AYHAN BAŞER</t>
        </is>
      </c>
      <c r="D99" s="7" t="inlineStr">
        <is>
          <t>“Çalışan Kadın Sağlığı: Genel Sağlık, Koruyucu Sağlık Hizmetlerinden Faydalanma ve İş-Yaşam Dengesi Durumları”</t>
        </is>
      </c>
    </row>
    <row r="100" ht="47.25" customHeight="1" s="221">
      <c r="A100" s="5" t="inlineStr">
        <is>
          <t>29.</t>
        </is>
      </c>
      <c r="B100" s="6" t="inlineStr">
        <is>
          <t>SBA 25/100</t>
        </is>
      </c>
      <c r="C100" s="8" t="inlineStr">
        <is>
          <t>Prof. Dr. Meltem Gülhan HALİL</t>
        </is>
      </c>
      <c r="D100" s="7" t="inlineStr">
        <is>
          <t>“65 Yaş ve Üzeri Tip 2 Diabetes Mellituslu Bireylerde İlaç Kullanım Uygunluğunun Retrospektif Değerlendirilmesi”</t>
        </is>
      </c>
    </row>
    <row r="101" ht="63" customHeight="1" s="221">
      <c r="A101" s="5" t="inlineStr">
        <is>
          <t>30.</t>
        </is>
      </c>
      <c r="B101" s="6" t="inlineStr">
        <is>
          <t>SBA 25/101</t>
        </is>
      </c>
      <c r="C101" s="8" t="inlineStr">
        <is>
          <t>Doç. Dr. Nursel ÇALIK BAŞARAN</t>
        </is>
      </c>
      <c r="D101" s="7" t="inlineStr">
        <is>
          <t>“Hacettepe Üniversitesi Erişkin Hastanesi İç Hastalıkları Servislerinde İstem Dışı Kilo Kaybı Nedeni ile Yatırılmış Hastalarda Tetkik Süreçlerinin ve Etiyoloji Dağılımlarının Retrospektif İncelenmesi”</t>
        </is>
      </c>
    </row>
    <row r="102" ht="31.5" customHeight="1" s="221">
      <c r="A102" s="5" t="inlineStr">
        <is>
          <t>31.</t>
        </is>
      </c>
      <c r="B102" s="6" t="inlineStr">
        <is>
          <t>SBA 25/102</t>
        </is>
      </c>
      <c r="C102" s="8" t="inlineStr">
        <is>
          <t>Prof. Dr. Yahya BÜYÜKAŞIK</t>
        </is>
      </c>
      <c r="D102" s="7" t="inlineStr">
        <is>
          <t>“Akut Lösemi Hastalarında Tanı Öncesi Kan Değerlerinin Etkinliği”</t>
        </is>
      </c>
    </row>
    <row r="103" ht="47.25" customHeight="1" s="221">
      <c r="A103" s="5" t="inlineStr">
        <is>
          <t>32.</t>
        </is>
      </c>
      <c r="B103" s="6" t="inlineStr">
        <is>
          <t>SBA 25/103</t>
        </is>
      </c>
      <c r="C103" s="8" t="inlineStr">
        <is>
          <t>Prof. Dr. Salih AKSU</t>
        </is>
      </c>
      <c r="D103" s="7" t="inlineStr">
        <is>
          <t>“Relaps/ Refrakter Akut Myeloid Lösemi Hastalarında Reindüksiyonda Venetoklaks İçeren Tedavi Rejimlerinin Diğer Tedavilerle Karşılaştırılması”</t>
        </is>
      </c>
    </row>
    <row r="104" ht="63" customHeight="1" s="221">
      <c r="A104" s="5" t="inlineStr">
        <is>
          <t>33.</t>
        </is>
      </c>
      <c r="B104" s="6" t="inlineStr">
        <is>
          <t>SBA 25/104</t>
        </is>
      </c>
      <c r="C104" s="8" t="inlineStr">
        <is>
          <t>Prof. Dr. Ferah YILDIZ</t>
        </is>
      </c>
      <c r="D104" s="7" t="inlineStr">
        <is>
          <t>“Distal-Orta Yerleşimli Lokal İleri Evre Rektum Adenokanser Tanılı Hastalarda Radyoterapi Müdahalelerinin Patolojik ve Klinik Tümör Yanıt Oranlarına Etkisinin Araştırılması”</t>
        </is>
      </c>
    </row>
    <row r="105" ht="47.25" customHeight="1" s="221">
      <c r="A105" s="5" t="inlineStr">
        <is>
          <t>34.</t>
        </is>
      </c>
      <c r="B105" s="6" t="inlineStr">
        <is>
          <t>SBA 25/105</t>
        </is>
      </c>
      <c r="C105" s="8" t="inlineStr">
        <is>
          <t>Doç. Dr. Halide Özge BAŞARAN</t>
        </is>
      </c>
      <c r="D105" s="7" t="inlineStr">
        <is>
          <t>''Kawasaki Hastalığı Tanısı Koymaya Yardımcı Yapay Zeka Modeli 'Galadriel'in Tanı Koyma Başarısının Retrospektif Değerlendirilmesi''</t>
        </is>
      </c>
    </row>
    <row r="106" ht="47.25" customHeight="1" s="221">
      <c r="A106" s="5" t="inlineStr">
        <is>
          <t>35.</t>
        </is>
      </c>
      <c r="B106" s="6" t="inlineStr">
        <is>
          <t>SBA 25/106</t>
        </is>
      </c>
      <c r="C106" s="8" t="inlineStr">
        <is>
          <t>Doç. Dr. Halide Özge BAŞARAN</t>
        </is>
      </c>
      <c r="D106" s="7" t="inlineStr">
        <is>
          <t>''Çocukluk Çağı Sistemik Lupus Eritematozus Tanısı Koymaya Yardımcı Yapay Zeka Modeli 'Morgaf''ın Tanı Koyma Başarısının Retrospektif Değerlendirilmesi''</t>
        </is>
      </c>
    </row>
    <row r="107" ht="47.25" customHeight="1" s="221">
      <c r="A107" s="5" t="inlineStr">
        <is>
          <t>36.</t>
        </is>
      </c>
      <c r="B107" s="6" t="inlineStr">
        <is>
          <t>SBA 25/107</t>
        </is>
      </c>
      <c r="C107" s="8" t="inlineStr">
        <is>
          <t>Doç. Dr. Erdal SAĞ</t>
        </is>
      </c>
      <c r="D107" s="7" t="inlineStr">
        <is>
          <t>“Çocukluk Çağı İnflamatuvar Doku Hastalıkları Tanılı Çocuk ve Ergenlerde Yaşam Kalitesi ve İlişkili Faktörlerin Değerlendirilmesi”</t>
        </is>
      </c>
    </row>
    <row r="108" ht="47.25" customHeight="1" s="221">
      <c r="A108" s="5" t="inlineStr">
        <is>
          <t>37.</t>
        </is>
      </c>
      <c r="B108" s="6" t="inlineStr">
        <is>
          <t>SBA 25/108</t>
        </is>
      </c>
      <c r="C108" s="8" t="inlineStr">
        <is>
          <t>Doç. Dr. Erdal SAĞ</t>
        </is>
      </c>
      <c r="D108" s="7" t="inlineStr">
        <is>
          <t>“Çocukluk Çağı Otoimmün Romatolojik Hastalıklar Tanılı Çocuk ve Ergenlerde Yaşam Kalitesi ve İlişkili Faktörlerin Değerlendirilmesi”</t>
        </is>
      </c>
    </row>
    <row r="109" ht="47.25" customHeight="1" s="221">
      <c r="A109" s="5" t="inlineStr">
        <is>
          <t>38.</t>
        </is>
      </c>
      <c r="B109" s="6" t="inlineStr">
        <is>
          <t>SBA 25/109</t>
        </is>
      </c>
      <c r="C109" s="8" t="inlineStr">
        <is>
          <t>Doç. Dr. Duygu AYHAN BAŞER</t>
        </is>
      </c>
      <c r="D109" s="7" t="inlineStr">
        <is>
          <t>“Ergenlerde Dijital Bağımlılık Düzeyleri ile Yaşam Tarzı İnancı Arasındaki İlişkinin İncelenmesi: Bir Aile Sağlığı Merkezi Örneği”</t>
        </is>
      </c>
    </row>
    <row r="110" ht="31.5" customHeight="1" s="221">
      <c r="A110" s="5" t="inlineStr">
        <is>
          <t>39.</t>
        </is>
      </c>
      <c r="B110" s="6" t="inlineStr">
        <is>
          <t>SBA 25/110</t>
        </is>
      </c>
      <c r="C110" s="8" t="inlineStr">
        <is>
          <t>Prof. Dr. Çağrı Mesut TEMUÇİN</t>
        </is>
      </c>
      <c r="D110" s="7" t="inlineStr">
        <is>
          <t>"Referans Merkezi Servikal Distoni Botulinum Toksin Uygulamaları Değerlendirmesi"</t>
        </is>
      </c>
    </row>
    <row r="111" ht="31.5" customHeight="1" s="221">
      <c r="A111" s="5" t="inlineStr">
        <is>
          <t>40.</t>
        </is>
      </c>
      <c r="B111" s="6" t="inlineStr">
        <is>
          <t>SBA 25/111</t>
        </is>
      </c>
      <c r="C111" s="8" t="inlineStr">
        <is>
          <t>Prof. Dr. Çağrı Mesut TEMUÇİN</t>
        </is>
      </c>
      <c r="D111" s="7" t="inlineStr">
        <is>
          <t>"Motor İletim Blokları Parametrelerinin Retrospektif Olarak Analizi"</t>
        </is>
      </c>
    </row>
    <row r="112" ht="63" customHeight="1" s="221">
      <c r="A112" s="5" t="inlineStr">
        <is>
          <t>41.</t>
        </is>
      </c>
      <c r="B112" s="6" t="inlineStr">
        <is>
          <t>SBA 25/112</t>
        </is>
      </c>
      <c r="C112" s="8" t="inlineStr">
        <is>
          <t>Prof. Dr. Burcu Balam DOĞU</t>
        </is>
      </c>
      <c r="D112" s="7" t="inlineStr">
        <is>
          <t>“Geriatri Eğitimi, Uzmanlık Alanı ve Sosyo-Demografik Faktörlerin Geriatrik Hasta Yaklaşımına Etkisi:Türkiye'deki Uzman Doktorlar Arasında Çok Yönlü Bir Analiz”</t>
        </is>
      </c>
    </row>
    <row r="113" ht="47.25" customHeight="1" s="221">
      <c r="A113" s="5" t="inlineStr">
        <is>
          <t>42.</t>
        </is>
      </c>
      <c r="B113" s="6" t="inlineStr">
        <is>
          <t>SBA 25/113</t>
        </is>
      </c>
      <c r="C113" s="8" t="inlineStr">
        <is>
          <t>Dr. Öğr. Üyesi Irmak OCAK</t>
        </is>
      </c>
      <c r="D113" s="7" t="inlineStr">
        <is>
          <t>“Sınıf II Malokluzyona Sahip Bireylerde Temporomandibular Eklem Bozukluklarının Panoramik Radyografiler Kullanılarak Yapay Zeka ile Teşhisi”</t>
        </is>
      </c>
    </row>
    <row r="114" ht="47.25" customHeight="1" s="221">
      <c r="A114" s="5" t="inlineStr">
        <is>
          <t>43.</t>
        </is>
      </c>
      <c r="B114" s="6" t="inlineStr">
        <is>
          <t>SBA 25/114</t>
        </is>
      </c>
      <c r="C114" s="8" t="inlineStr">
        <is>
          <t>Dr. Öğr. Üyesi Serkan UYSAL</t>
        </is>
      </c>
      <c r="D114" s="7" t="inlineStr">
        <is>
          <t>“Mesleksel ve Çevresel İç Ortam Hava Kirleticileri ile Akciğer Adenokarsinomu Arasındaki İlişkinin Biyolojik Kanıtlar ile Değerlendirilmesi”</t>
        </is>
      </c>
    </row>
    <row r="115" ht="47.25" customHeight="1" s="221">
      <c r="A115" s="5" t="inlineStr">
        <is>
          <t>44.</t>
        </is>
      </c>
      <c r="B115" s="6" t="inlineStr">
        <is>
          <t>SBA 25/115</t>
        </is>
      </c>
      <c r="C115" s="8" t="inlineStr">
        <is>
          <t>Doç. Dr. Serpil ÖCAL</t>
        </is>
      </c>
      <c r="D115" s="7" t="inlineStr">
        <is>
          <t>“Kronik Karaciğer Hastalarında Sarkopeninin Non-İnvaziv Yöntemlerle Değerlendirilmesi ve Sarkopenin Uzun Dönem Morbidite ve Mortaliteye Etkisi”</t>
        </is>
      </c>
    </row>
    <row r="116" ht="63" customHeight="1" s="221">
      <c r="A116" s="5" t="inlineStr">
        <is>
          <t>45.</t>
        </is>
      </c>
      <c r="B116" s="6" t="inlineStr">
        <is>
          <t>SBA 25/116</t>
        </is>
      </c>
      <c r="C116" s="8" t="inlineStr">
        <is>
          <t>Doç. Dr. Ahmet Çağkan İNKAYA</t>
        </is>
      </c>
      <c r="D116" s="7" t="inlineStr">
        <is>
          <t>“Noninvazif Pulmoner Aspergillozis ve Allerjik Bronkopulmoner Aspergillozis Tanılı Kistik Fibrozis Hastalarında Vorikonazol Serum Düzeyi Ölçümünün Tedaviye Katkısı”</t>
        </is>
      </c>
    </row>
    <row r="117" ht="31.5" customHeight="1" s="221">
      <c r="A117" s="5" t="inlineStr">
        <is>
          <t>46.</t>
        </is>
      </c>
      <c r="B117" s="6" t="inlineStr">
        <is>
          <t>SBA 25/117</t>
        </is>
      </c>
      <c r="C117" s="8" t="inlineStr">
        <is>
          <t>Doç. Dr. Ulaş KUMBASAR</t>
        </is>
      </c>
      <c r="D117" s="7" t="inlineStr">
        <is>
          <t>“Primer İntratorasik Nörojenik Tümörlere Multidisipliner Yaklaşım”</t>
        </is>
      </c>
    </row>
    <row r="118" ht="31.5" customHeight="1" s="221">
      <c r="A118" s="5" t="inlineStr">
        <is>
          <t>47.</t>
        </is>
      </c>
      <c r="B118" s="6" t="inlineStr">
        <is>
          <t>SBA 25/118</t>
        </is>
      </c>
      <c r="C118" s="8" t="inlineStr">
        <is>
          <t>Prof. Dr. Uğur ÜNLÜTÜRK</t>
        </is>
      </c>
      <c r="D118" s="7" t="inlineStr">
        <is>
          <t>“Papiller Tiroid Kanseri Tanısında Prediktif Değeri Olan Moleküllerin Tespit Edilmesi”</t>
        </is>
      </c>
    </row>
    <row r="119" ht="63" customHeight="1" s="221">
      <c r="A119" s="5" t="inlineStr">
        <is>
          <t>48.</t>
        </is>
      </c>
      <c r="B119" s="6" t="inlineStr">
        <is>
          <t>SBA 25/119</t>
        </is>
      </c>
      <c r="C119" s="8" t="inlineStr">
        <is>
          <t>Prof. Dr. Hakan GÖKER</t>
        </is>
      </c>
      <c r="D119" s="7" t="inlineStr">
        <is>
          <t>“Allojenik Kök Hücre Nakli Yapılan Hastalarda Sitomegalovirüs Reaktivasyonu Sıklığının Risk Faktörlerinin ve Sağ Kalıma Etkisinin Retrospektif Değerlendirilmesi”</t>
        </is>
      </c>
    </row>
    <row r="120" ht="47.25" customHeight="1" s="221">
      <c r="A120" s="5" t="inlineStr">
        <is>
          <t>49.</t>
        </is>
      </c>
      <c r="B120" s="6" t="inlineStr">
        <is>
          <t>SBA 25/120</t>
        </is>
      </c>
      <c r="C120" s="8" t="inlineStr">
        <is>
          <t>Prof. Dr. Ayşe KİN İŞLER</t>
        </is>
      </c>
      <c r="D120" s="7" t="inlineStr">
        <is>
          <t>“Hız Temelli Antrenmanın Aktivasyon Sonrası Performans Artışına Etkisinin Sirkadiyen Ritme göre İncelenmesi”</t>
        </is>
      </c>
    </row>
    <row r="121" ht="47.25" customHeight="1" s="221">
      <c r="A121" s="5" t="inlineStr">
        <is>
          <t>50.</t>
        </is>
      </c>
      <c r="B121" s="6" t="inlineStr">
        <is>
          <t>SBA 25/121</t>
        </is>
      </c>
      <c r="C121" s="8" t="inlineStr">
        <is>
          <t>Doç. Dr. Saliha ESENBOĞA</t>
        </is>
      </c>
      <c r="D121" s="7" t="inlineStr">
        <is>
          <t>“Oral İmmunoglobulin Replasmanı Almış Olan Primer İmmün Yetmezlik Hastalarının Demografik, Klinik ve Laboratuvar Özelliklerinin Değerlendirilmesi”</t>
        </is>
      </c>
    </row>
    <row r="122" ht="31.5" customHeight="1" s="221">
      <c r="A122" s="5" t="inlineStr">
        <is>
          <t>51.</t>
        </is>
      </c>
      <c r="B122" s="6" t="inlineStr">
        <is>
          <t>SBA 25/122</t>
        </is>
      </c>
      <c r="C122" s="8" t="inlineStr">
        <is>
          <t>Dr. Öğr. Üyesi Gamze VARAN</t>
        </is>
      </c>
      <c r="D122" s="7" t="inlineStr">
        <is>
          <t>“Antimikrobiyal Dirençle Mücadeleye Yönelik Nanopartiküler Aşı Formülasyonlarının Geliştirilmesi”</t>
        </is>
      </c>
    </row>
    <row r="123" ht="63" customHeight="1" s="221">
      <c r="A123" s="5" t="inlineStr">
        <is>
          <t>52.</t>
        </is>
      </c>
      <c r="B123" s="6" t="inlineStr">
        <is>
          <t>SBA 25/123</t>
        </is>
      </c>
      <c r="C123" s="8" t="inlineStr">
        <is>
          <t>Prof. Dr. Okan Bülent YILDIZ</t>
        </is>
      </c>
      <c r="D123" s="7" t="inlineStr">
        <is>
          <t>“Polikistik Over Sendromlu Hastaların Açlık ve Tokluk Durumunda Beyin Fonksiyonel Durum Değişiminin İnkretin Hormonlarla İlişkisinin İncelenmesi ve Sağlıklı Gönüllüler ile Karşılaştırılması”</t>
        </is>
      </c>
    </row>
    <row r="124" ht="78.75" customHeight="1" s="221">
      <c r="A124" s="5" t="inlineStr">
        <is>
          <t>53.</t>
        </is>
      </c>
      <c r="B124" s="6" t="inlineStr">
        <is>
          <t>SBA 25/124</t>
        </is>
      </c>
      <c r="C124" s="8" t="inlineStr">
        <is>
          <t>Doç. Dr. Göksel GÜVEN</t>
        </is>
      </c>
      <c r="D124" s="7" t="inlineStr">
        <is>
          <t>“Kritik Hastalarda Yatak Başında Nabız Basıncı Değerlendirmesi Strok Volümdeki Düşük Değerleri Tespit Edebilir mi veya Değişiklikleri Takip Edebilir mi? Çok Merkezli, Kesitsel, Gözlemsel ANDROMEDA-PEGASUS Çalışması”</t>
        </is>
      </c>
    </row>
    <row r="125" ht="31.5" customHeight="1" s="221">
      <c r="A125" s="5" t="inlineStr">
        <is>
          <t>54.</t>
        </is>
      </c>
      <c r="B125" s="6" t="inlineStr">
        <is>
          <t>SBA 25/125</t>
        </is>
      </c>
      <c r="C125" s="8" t="inlineStr">
        <is>
          <t>Prof. Dr. Ali Bülent CENGİZ</t>
        </is>
      </c>
      <c r="D125" s="7" t="inlineStr">
        <is>
          <t>“Preseptal, Orbital ve Bukkal Sellülit Nedeniyle Hastanede Yatan Çocukların Değerlendirilmesi”</t>
        </is>
      </c>
    </row>
    <row r="126" ht="31.5" customHeight="1" s="221">
      <c r="A126" s="5" t="inlineStr">
        <is>
          <t>55.</t>
        </is>
      </c>
      <c r="B126" s="6" t="inlineStr">
        <is>
          <t>SBA 25/126</t>
        </is>
      </c>
      <c r="C126" s="8" t="inlineStr">
        <is>
          <t>Prof. Dr. Yasemin ÖZSÜREKCİ</t>
        </is>
      </c>
      <c r="D126" s="7" t="inlineStr">
        <is>
          <t>“Çocuk Hastalarda Kombine Antibiyotik Tedavilerinin Yan Etkilerinin Retrospektif Olarak İncelenmesi”</t>
        </is>
      </c>
    </row>
    <row r="127" ht="31.5" customHeight="1" s="221">
      <c r="A127" s="5" t="inlineStr">
        <is>
          <t>56.</t>
        </is>
      </c>
      <c r="B127" s="6" t="inlineStr">
        <is>
          <t>SBA 25/127</t>
        </is>
      </c>
      <c r="C127" s="8" t="inlineStr">
        <is>
          <t>Doç. Dr. Ulaş KUMBASAR</t>
        </is>
      </c>
      <c r="D127" s="7" t="inlineStr">
        <is>
          <t>“Kistik Hava Boşlukları ile İlişkili Akciğer Kanseri: Klinik, RadyolojikVe Patolojik Özellikler”</t>
        </is>
      </c>
    </row>
    <row r="128" ht="31.5" customHeight="1" s="221">
      <c r="A128" s="5" t="inlineStr">
        <is>
          <t>57.</t>
        </is>
      </c>
      <c r="B128" s="6" t="inlineStr">
        <is>
          <t>SBA 25/128</t>
        </is>
      </c>
      <c r="C128" s="8" t="inlineStr">
        <is>
          <t>Dr. Öğr. Üyesi Arif Mithat AMCA</t>
        </is>
      </c>
      <c r="D128" s="7" t="inlineStr">
        <is>
          <t>“Artistik Buz Pateninde Başarılı ve Başarısız Salchow Sıçrayışlarının Kinematik Analizi”</t>
        </is>
      </c>
    </row>
    <row r="129" ht="31.5" customHeight="1" s="221">
      <c r="A129" s="5" t="inlineStr">
        <is>
          <t>58.</t>
        </is>
      </c>
      <c r="B129" s="6" t="inlineStr">
        <is>
          <t>SBA 25/129</t>
        </is>
      </c>
      <c r="C129" s="8" t="inlineStr">
        <is>
          <t>Prof. Dr. Tahir HAZIR</t>
        </is>
      </c>
      <c r="D129" s="7" t="inlineStr">
        <is>
          <t>“Yön Değiştirme Mesafesine Göre 5-0-5 Testinin Geçerliliği ve Alt Ekstremite Kuvveti ile İlişkisi”</t>
        </is>
      </c>
    </row>
    <row r="130" ht="31.5" customHeight="1" s="221">
      <c r="A130" s="5" t="inlineStr">
        <is>
          <t>59.</t>
        </is>
      </c>
      <c r="B130" s="6" t="inlineStr">
        <is>
          <t>SBA 25/130</t>
        </is>
      </c>
      <c r="C130" s="8" t="inlineStr">
        <is>
          <t>Prof. Dr. Deniz ÇAĞDAŞ AYVAZ</t>
        </is>
      </c>
      <c r="D130" s="7" t="inlineStr">
        <is>
          <t>“Ataksi-Telanjiektazi Hastalığının Patogenezinin Moleküler Boyutta Sistemik Analizi”</t>
        </is>
      </c>
    </row>
    <row r="131" ht="47.25" customHeight="1" s="221">
      <c r="A131" s="5" t="inlineStr">
        <is>
          <t>60.</t>
        </is>
      </c>
      <c r="B131" s="6" t="inlineStr">
        <is>
          <t>SBA 25/131</t>
        </is>
      </c>
      <c r="C131" s="8" t="inlineStr">
        <is>
          <t>Doç. Dr. Nursel ÇALIK BAŞARAN</t>
        </is>
      </c>
      <c r="D131" s="7" t="inlineStr">
        <is>
          <t>"Adipozite İlişkili Ateroskleroz Patogenezinde Rol Oynayan Periferik Mononükleer Hücrelerdeki İnflamasyon Yolaklarının Belirlenmesi"</t>
        </is>
      </c>
    </row>
    <row r="132" ht="47.25" customHeight="1" s="221">
      <c r="A132" s="5" t="inlineStr">
        <is>
          <t>61.</t>
        </is>
      </c>
      <c r="B132" s="6" t="inlineStr">
        <is>
          <t>SBA 25/132</t>
        </is>
      </c>
      <c r="C132" s="8" t="inlineStr">
        <is>
          <t>Prof. Dr. Dilek YALNIZOĞLU</t>
        </is>
      </c>
      <c r="D132" s="7" t="inlineStr">
        <is>
          <t>“Yenidoğan Yoğun Bakım Ünitesinde Sürekli Elektroensefalografi ile Değerlendirilmiş Olan Kritik Hastaların Sonuçlarının İncelenmesi”</t>
        </is>
      </c>
    </row>
    <row r="133" ht="47.25" customHeight="1" s="221">
      <c r="A133" s="5" t="inlineStr">
        <is>
          <t>62.</t>
        </is>
      </c>
      <c r="B133" s="6" t="inlineStr">
        <is>
          <t>SBA 25/133</t>
        </is>
      </c>
      <c r="C133" s="8" t="inlineStr">
        <is>
          <t>Prof. Dr. Dilek YALNIZOĞLU</t>
        </is>
      </c>
      <c r="D133" s="7" t="inlineStr">
        <is>
          <t>“Çocuk Yoğun Bakım Servisinde Sürekli Elektroensefalografi ile Değerlendirilmiş Olan Kritik Hastaların Sonuçlarının İncelenmesi”</t>
        </is>
      </c>
    </row>
    <row r="134" ht="78.75" customHeight="1" s="221">
      <c r="A134" s="5" t="inlineStr">
        <is>
          <t>63.</t>
        </is>
      </c>
      <c r="B134" s="6" t="inlineStr">
        <is>
          <t>SBA 25/134</t>
        </is>
      </c>
      <c r="C134" s="8" t="inlineStr">
        <is>
          <t>Prof. Dr. Bora PEYNİRCİOĞLU</t>
        </is>
      </c>
      <c r="D134" s="7" t="inlineStr">
        <is>
          <t>“Konservatif Tedaviye Dirençli Periartiküler Kas İskelet Sistemi Hastalıklarında Fonksiyon Kısıtlayıcı Semptomların Transarteryal Periartiküler Embolizasyonu (TAPE) Tedavisi Sonrası Yanıt Değerlendirilmesi”</t>
        </is>
      </c>
    </row>
    <row r="135" ht="47.25" customHeight="1" s="221">
      <c r="A135" s="5" t="inlineStr">
        <is>
          <t>64.</t>
        </is>
      </c>
      <c r="B135" s="6" t="inlineStr">
        <is>
          <t>SBA 25/135</t>
        </is>
      </c>
      <c r="C135" s="8" t="inlineStr">
        <is>
          <t>Prof. Dr. Şevkiye Selin AYTAÇ EYÜPOĞLU</t>
        </is>
      </c>
      <c r="D135" s="7" t="inlineStr">
        <is>
          <t>“ALL BFM IC 2009 Protokolü ile Tedavi Edilen Akut Lenfoblastik Lösemili Çocuk Hastalarda Yaşam Süresi Analizi"</t>
        </is>
      </c>
    </row>
    <row r="136" ht="47.25" customHeight="1" s="221">
      <c r="A136" s="5" t="inlineStr">
        <is>
          <t>65.</t>
        </is>
      </c>
      <c r="B136" s="6" t="inlineStr">
        <is>
          <t>SBA 25/136</t>
        </is>
      </c>
      <c r="C136" s="8" t="inlineStr">
        <is>
          <t>Prof. Dr. Arzu TOPELİ İSKİT</t>
        </is>
      </c>
      <c r="D136" s="7" t="inlineStr">
        <is>
          <t>“Yoğun Bakmda Hizmet veren Hekim Hemşire ve Klinik Eczacıların İntravenöz Sıvı Tedavisi Hakkında Bilgi ve Tutumlarının Değerlendirilmesi”</t>
        </is>
      </c>
    </row>
    <row r="137" ht="47.25" customHeight="1" s="221">
      <c r="A137" s="5" t="inlineStr">
        <is>
          <t>66.</t>
        </is>
      </c>
      <c r="B137" s="6" t="inlineStr">
        <is>
          <t>SBA 25/137</t>
        </is>
      </c>
      <c r="C137" s="8" t="inlineStr">
        <is>
          <t>Dr. Öğr. Üyesi Onur KOÇ</t>
        </is>
      </c>
      <c r="D137" s="7" t="inlineStr">
        <is>
          <t>“Hastalarda Var Olan Uyku Bozukluklarının Diş Çekimi Sonrası Rahatsızlıklara Olan Etkisinin İncelenmesi”</t>
        </is>
      </c>
    </row>
    <row r="138" ht="47.25" customHeight="1" s="221">
      <c r="A138" s="5" t="inlineStr">
        <is>
          <t>67.</t>
        </is>
      </c>
      <c r="B138" s="6" t="inlineStr">
        <is>
          <t>SBA 25/138</t>
        </is>
      </c>
      <c r="C138" s="8" t="inlineStr">
        <is>
          <t>Dr. Öğr. Üyesi Onur KOÇ</t>
        </is>
      </c>
      <c r="D138" s="7" t="inlineStr">
        <is>
          <t>“Ağız, Diş ve Çene Cerrahisi Alanında Yapay Zekâ Destekli Teknolojilere Yönelik Hasta İlgi ve Bilgi Seviyesi: Anket Çalışması”</t>
        </is>
      </c>
    </row>
    <row r="139" ht="31.5" customHeight="1" s="221">
      <c r="A139" s="5" t="inlineStr">
        <is>
          <t>68.</t>
        </is>
      </c>
      <c r="B139" s="6" t="inlineStr">
        <is>
          <t>SBA 25/139</t>
        </is>
      </c>
      <c r="C139" s="8" t="inlineStr">
        <is>
          <t>Dr. Öğr. Üyesi Burak TAŞTEKİN</t>
        </is>
      </c>
      <c r="D139" s="7" t="inlineStr">
        <is>
          <t>“Demiryolu ile İlişkili Ölümlerin Değerlendirilmesi: Bölgesel Bir Otopsi Çalışması”</t>
        </is>
      </c>
    </row>
    <row r="140" ht="47.25" customHeight="1" s="221">
      <c r="A140" s="5" t="inlineStr">
        <is>
          <t>69.</t>
        </is>
      </c>
      <c r="B140" s="6" t="inlineStr">
        <is>
          <t>SBA 25/140</t>
        </is>
      </c>
      <c r="C140" s="8" t="inlineStr">
        <is>
          <t>Dr. Öğr. Üyesi Burak TAŞTEKİN</t>
        </is>
      </c>
      <c r="D140" s="7" t="inlineStr">
        <is>
          <t>“Ankara Bölgesinde 2014-2023 Yılları Arasında Otopsisi Yapılmış Elektrik Akımına Bağlı Ölüm Olgularının Değerlendirilmesi”</t>
        </is>
      </c>
    </row>
    <row r="141" ht="31.5" customHeight="1" s="221">
      <c r="A141" s="5" t="inlineStr">
        <is>
          <t>70.</t>
        </is>
      </c>
      <c r="B141" s="6" t="inlineStr">
        <is>
          <t>SBA 25/141</t>
        </is>
      </c>
      <c r="C141" s="8" t="inlineStr">
        <is>
          <t>Dr. Öğr. Üyesi Burak TAŞTEKİN</t>
        </is>
      </c>
      <c r="D141" s="7" t="inlineStr">
        <is>
          <t>“Ankara Bölgesinde Otopsisi Yapılmış İkili Ölüm Olgularının Değerlendirilmesi”</t>
        </is>
      </c>
    </row>
    <row r="142" ht="110.25" customHeight="1" s="221">
      <c r="A142" s="5" t="inlineStr">
        <is>
          <t>71.</t>
        </is>
      </c>
      <c r="B142" s="6" t="inlineStr">
        <is>
          <t>SBA 25/142</t>
        </is>
      </c>
      <c r="C142" s="8" t="inlineStr">
        <is>
          <t>Doç. Dr. Deniz ATEŞ ÖZDEMİR</t>
        </is>
      </c>
      <c r="D142" s="7" t="inlineStr">
        <is>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is>
      </c>
    </row>
    <row r="143" ht="31.5" customHeight="1" s="221">
      <c r="A143" s="5" t="inlineStr">
        <is>
          <t>72.</t>
        </is>
      </c>
      <c r="B143" s="6" t="inlineStr">
        <is>
          <t>SBA 25/143</t>
        </is>
      </c>
      <c r="C143" s="8" t="inlineStr">
        <is>
          <t>Dr. Öğr. Üyesi Emre KARA</t>
        </is>
      </c>
      <c r="D143" s="7" t="inlineStr">
        <is>
          <t>“Teikoplanin Terapötik İlaç Düzey İzlemi: Tek Merkezli Retrospektif Analiz”</t>
        </is>
      </c>
    </row>
    <row r="144" ht="47.25" customHeight="1" s="221">
      <c r="A144" s="5" t="inlineStr">
        <is>
          <t>73.</t>
        </is>
      </c>
      <c r="B144" s="6" t="inlineStr">
        <is>
          <t>SBA 25/144</t>
        </is>
      </c>
      <c r="C144" s="8" t="inlineStr">
        <is>
          <t>Prof. Dr. Salih AKSU</t>
        </is>
      </c>
      <c r="D144" s="7" t="inlineStr">
        <is>
          <t>“Uzun Süren Nötropeniye Bağlı Ciddi Enfeksiyon Olan Hastalarda Granülosit Transfüzyonu Tedavisinin Değerlendirilmesi”</t>
        </is>
      </c>
    </row>
    <row r="145" ht="31.5" customHeight="1" s="221">
      <c r="A145" s="5" t="inlineStr">
        <is>
          <t>74.</t>
        </is>
      </c>
      <c r="B145" s="6" t="inlineStr">
        <is>
          <t>SBA 25/145</t>
        </is>
      </c>
      <c r="C145" s="8" t="inlineStr">
        <is>
          <t>Prof. Dr. Salih AKSU</t>
        </is>
      </c>
      <c r="D145" s="7" t="inlineStr">
        <is>
          <t>“Yetişkin Hemofili A ve B Hastaları ile Aile Üyesi Bakım Verenlerde Yaşam Kalitesi ve Bakım Yükü”</t>
        </is>
      </c>
    </row>
    <row r="146" ht="47.25" customHeight="1" s="221">
      <c r="A146" s="5" t="inlineStr">
        <is>
          <t>75.</t>
        </is>
      </c>
      <c r="B146" s="6" t="inlineStr">
        <is>
          <t>SBA 25/146</t>
        </is>
      </c>
      <c r="C146" s="8" t="inlineStr">
        <is>
          <t>Doç. Dr. Ümit Yavuz MALKAN</t>
        </is>
      </c>
      <c r="D146" s="7" t="inlineStr">
        <is>
          <t>“Orak Hücreli Anemi Hastalarının Kanama ve Tromboz Sıklıkları ile Klinik Özelliklerinin ve Tedavi Yöntemlerinin İncelenmesi”</t>
        </is>
      </c>
    </row>
    <row r="147" ht="63" customHeight="1" s="221">
      <c r="A147" s="5" t="inlineStr">
        <is>
          <t>76.</t>
        </is>
      </c>
      <c r="B147" s="6" t="inlineStr">
        <is>
          <t>SBA 25/147</t>
        </is>
      </c>
      <c r="C147" s="8" t="inlineStr">
        <is>
          <t>Prof. Dr. Emirhan NEMUTLU</t>
        </is>
      </c>
      <c r="D147" s="7" t="inlineStr">
        <is>
          <t>“Mitokondriyal Hastalıklarda Mitokondri Fonksiyon Bozukluğunun Çoklu-Omik Platformları ile Değerlendirilmesi ve Girişimsel Olmayan Yeni Tanı ve İzlem Yöntemlerinin Geliştirilmesi”</t>
        </is>
      </c>
    </row>
    <row r="148" ht="63" customHeight="1" s="221">
      <c r="A148" s="5" t="inlineStr">
        <is>
          <t>77.</t>
        </is>
      </c>
      <c r="B148" s="6" t="inlineStr">
        <is>
          <t>SBA 25/148</t>
        </is>
      </c>
      <c r="C148" s="8" t="inlineStr">
        <is>
          <t>Prof. Dr. Hikmet YORGUN</t>
        </is>
      </c>
      <c r="D148" s="7" t="inlineStr">
        <is>
          <t>“Mekanik Aort ve Mitral Kapak Protezi Bulunan Hastalarda Ventriküler Taşikardi Ablasyonunda Sol Ventriküle Transapikal ve Trans-Sağ Atriyal Erişimin Etkinliği ve Sonuçları”</t>
        </is>
      </c>
    </row>
    <row r="149" ht="31.5" customHeight="1" s="221">
      <c r="A149" s="5" t="inlineStr">
        <is>
          <t>78.</t>
        </is>
      </c>
      <c r="B149" s="6" t="inlineStr">
        <is>
          <t>SBA 25/149</t>
        </is>
      </c>
      <c r="C149" s="8" t="inlineStr">
        <is>
          <t>Prof. Dr. Fadime İrsel TEZER FİLİK</t>
        </is>
      </c>
      <c r="D149" s="7" t="inlineStr">
        <is>
          <t>“Subkortikal Bant Heterotopisi: Klinik Özellikler ve Epilepsi Yükü”</t>
        </is>
      </c>
    </row>
    <row r="150" ht="47.25" customHeight="1" s="221">
      <c r="A150" s="5" t="inlineStr">
        <is>
          <t>79.</t>
        </is>
      </c>
      <c r="B150" s="6" t="inlineStr">
        <is>
          <t>SBA 25/150</t>
        </is>
      </c>
      <c r="C150" s="8" t="inlineStr">
        <is>
          <t>Prof. Dr. Egemen TURHAN</t>
        </is>
      </c>
      <c r="D150" s="7" t="inlineStr">
        <is>
          <t>“Standart AP ve Lateral Diz Grafilerinin Değerlendirilmesi ve Radyolojik Ölçümlerin Yapay Zeka ile Analizi”</t>
        </is>
      </c>
    </row>
    <row r="151" ht="47.25" customHeight="1" s="221">
      <c r="A151" s="5" t="inlineStr">
        <is>
          <t>80.</t>
        </is>
      </c>
      <c r="B151" s="6" t="inlineStr">
        <is>
          <t>SBA 25/151</t>
        </is>
      </c>
      <c r="C151" s="8" t="inlineStr">
        <is>
          <t>Prof. Dr. Cengiz KILIÇ</t>
        </is>
      </c>
      <c r="D151" s="7" t="inlineStr">
        <is>
          <t>“6 Şubat 2023 Depremzedelerinde Uzun Dönemdeki Ruhsal Sorunları Belirleyen Faktörler: Bölge Dışına Göçün Etkileri”</t>
        </is>
      </c>
    </row>
    <row r="152" ht="47.25" customHeight="1" s="221">
      <c r="A152" s="5" t="inlineStr">
        <is>
          <t>81.</t>
        </is>
      </c>
      <c r="B152" s="6" t="inlineStr">
        <is>
          <t>SBA 25/152</t>
        </is>
      </c>
      <c r="C152" s="8" t="inlineStr">
        <is>
          <t>Prof. Dr. Ayşe Tomris ERBAŞ</t>
        </is>
      </c>
      <c r="D152" s="7" t="inlineStr">
        <is>
          <t>“Akromegali Hastalarında Serebral Küçük Damar Hastalığı ve Vasküler Kognitif Bozuklukların Değerlendirilmesi”</t>
        </is>
      </c>
    </row>
    <row r="153" ht="47.25" customHeight="1" s="221">
      <c r="A153" s="5" t="inlineStr">
        <is>
          <t>82.</t>
        </is>
      </c>
      <c r="B153" s="6" t="inlineStr">
        <is>
          <t>SBA 25/153</t>
        </is>
      </c>
      <c r="C153" s="8" t="inlineStr">
        <is>
          <t>Prof. Dr. Emine ÇAĞLAR</t>
        </is>
      </c>
      <c r="D153" s="7" t="inlineStr">
        <is>
          <t>“Omuz Yaralanması Geçiren Sporcularda Spora Dönüş Evrelerinde Psikolojik Hazıroluşluğun İncelenmesi: Boylamsal Karma Desen Çalışması”</t>
        </is>
      </c>
    </row>
    <row r="154" ht="47.25" customHeight="1" s="221">
      <c r="A154" s="5" t="inlineStr">
        <is>
          <t>83.</t>
        </is>
      </c>
      <c r="B154" s="6" t="inlineStr">
        <is>
          <t>SBA 25/154</t>
        </is>
      </c>
      <c r="C154" s="8" t="inlineStr">
        <is>
          <t>Prof. Dr. Bülent ALTUN</t>
        </is>
      </c>
      <c r="D154" s="7" t="inlineStr">
        <is>
          <t>“Diyabet Dışı Kronik Böbrek Hastalığında Sodyum-Glukoz Kotransporter 2 İnhibitörünün Proteinüri Üzerine Etkisi”</t>
        </is>
      </c>
    </row>
    <row r="155" ht="47.25" customHeight="1" s="221">
      <c r="A155" s="5" t="inlineStr">
        <is>
          <t>84.</t>
        </is>
      </c>
      <c r="B155" s="6" t="inlineStr">
        <is>
          <t>SBA 25/155</t>
        </is>
      </c>
      <c r="C155" s="8" t="inlineStr">
        <is>
          <t>Dr. Öğr. Üyesi Yağmur ÜNSAL</t>
        </is>
      </c>
      <c r="D155" s="7" t="inlineStr">
        <is>
          <t>“Gordon Sendromu Tanılı Bir Çocukta Saptanan Yeni WNK1 Varyantının Aile İçi Hastalıkla Segregasyonunun Araştırılması”</t>
        </is>
      </c>
    </row>
    <row r="156" ht="63" customHeight="1" s="221">
      <c r="A156" s="5" t="inlineStr">
        <is>
          <t>85.</t>
        </is>
      </c>
      <c r="B156" s="6" t="inlineStr">
        <is>
          <t>SBA 25/156</t>
        </is>
      </c>
      <c r="C156" s="8" t="inlineStr">
        <is>
          <t>Dr. Öğr. Üyesi Hilmi Anıl DİNÇER</t>
        </is>
      </c>
      <c r="D156" s="7" t="inlineStr">
        <is>
          <t>“Malignite Nedeniyle Yapılan Gastrointestinal Sistem Cerrahisi Sonrası Görülen İntraabdominal Kanamaların Tedavisinde Cerrahi ve Vasküler Girişimsel Radyolojik Yöntem Sonuçlarının Karşılaştırılması”</t>
        </is>
      </c>
    </row>
    <row r="157" ht="63" customHeight="1" s="221">
      <c r="A157" s="5" t="inlineStr">
        <is>
          <t>86.</t>
        </is>
      </c>
      <c r="B157" s="6" t="inlineStr">
        <is>
          <t>SBA 25/157</t>
        </is>
      </c>
      <c r="C157" s="8" t="inlineStr">
        <is>
          <t>Dr. Öğr. Üyesi Yağmur ÜNSAL</t>
        </is>
      </c>
      <c r="D157" s="7" t="inlineStr">
        <is>
          <t>“Konjenital Hipotiroidi İçin Ulusal Ölçekli Yenidoğan Tarama Testi Sonucuyla Çocuk Endokrinoloji Bölümüne Yönlendirilen Olguların Klinik, Laboratuvar, Radyolojik Özelliklerinin İncelenmesi”</t>
        </is>
      </c>
    </row>
    <row r="158" ht="78.75" customHeight="1" s="221">
      <c r="A158" s="5" t="inlineStr">
        <is>
          <t>87.</t>
        </is>
      </c>
      <c r="B158" s="6" t="inlineStr">
        <is>
          <t>SBA 25/158</t>
        </is>
      </c>
      <c r="C158" s="8" t="inlineStr">
        <is>
          <t>Prof. Dr. Güliz Fatma YAVAŞ</t>
        </is>
      </c>
      <c r="D158" s="7" t="inlineStr">
        <is>
          <t>“Optik Disk Druzeni Tanılı Hastalar ve Kontrol Gruplarında, Optik Koherens Tomografı-Anjiyografı (OCT-A) Tetkiki ile Optik Sinir Başı ve Peripapiller Mikrovasküler Değişikliklerin Karşılaştırılması ve Klinik Bulgular ile Korelasyonu”</t>
        </is>
      </c>
    </row>
    <row r="159" ht="47.25" customHeight="1" s="221">
      <c r="A159" s="5" t="inlineStr">
        <is>
          <t>88.</t>
        </is>
      </c>
      <c r="B159" s="6" t="inlineStr">
        <is>
          <t>SBA 25/159</t>
        </is>
      </c>
      <c r="C159" s="8" t="inlineStr">
        <is>
          <t>Doç. Dr. Rahşan GÖÇMEN</t>
        </is>
      </c>
      <c r="D159" s="7" t="inlineStr">
        <is>
          <t>“Manyetik Rezonans Görüntüleme ile Serebellum, Beyin Sapı, Bazal Gangliyon ve Talamusta Saptanan Insidentalomaların Görüntüleme Bulguları”</t>
        </is>
      </c>
    </row>
    <row r="160" ht="31.5" customHeight="1" s="221">
      <c r="A160" s="5" t="inlineStr">
        <is>
          <t>89.</t>
        </is>
      </c>
      <c r="B160" s="6" t="inlineStr">
        <is>
          <t>SBA 25/160</t>
        </is>
      </c>
      <c r="C160" s="8" t="inlineStr">
        <is>
          <t>Dr. Öğr. Üyesi Hatice BOYACIOĞLU ERDEN</t>
        </is>
      </c>
      <c r="D160" s="7" t="inlineStr">
        <is>
          <t>"Alt Premolar Dişlere Ait Gubernakular Kanalın Konik Işınlı Bilgisayarlı Tomografi Görüntülerinde İncelenmesi"</t>
        </is>
      </c>
    </row>
    <row r="161" ht="31.5" customHeight="1" s="221">
      <c r="A161" s="5" t="inlineStr">
        <is>
          <t>90.</t>
        </is>
      </c>
      <c r="B161" s="6" t="inlineStr">
        <is>
          <t>SBA 25/161</t>
        </is>
      </c>
      <c r="C161" s="8" t="inlineStr">
        <is>
          <t>Doç. Dr. Baran ERMAN</t>
        </is>
      </c>
      <c r="D161" s="7" t="inlineStr">
        <is>
          <t>“PIK3CG Eksikliğinin Doğal ve Kazanılmış Bağışıklık Sistemi Üzerindeki Etkilerinin Araştırılması”</t>
        </is>
      </c>
    </row>
    <row r="162">
      <c r="A162" s="5" t="inlineStr">
        <is>
          <t>91.</t>
        </is>
      </c>
      <c r="B162" s="6" t="inlineStr">
        <is>
          <t>SBA 25/162</t>
        </is>
      </c>
      <c r="C162" s="8" t="inlineStr">
        <is>
          <t>Prof. Dr. Alp USUBÜTÜN</t>
        </is>
      </c>
      <c r="D162" s="7" t="inlineStr">
        <is>
          <t>“GPT-4 ile Patoloji Raporlarında Veri Analizi”</t>
        </is>
      </c>
    </row>
    <row r="163" ht="31.5" customHeight="1" s="221">
      <c r="A163" s="5" t="inlineStr">
        <is>
          <t>92.</t>
        </is>
      </c>
      <c r="B163" s="6" t="inlineStr">
        <is>
          <t>SBA 25/163</t>
        </is>
      </c>
      <c r="C163" s="8" t="inlineStr">
        <is>
          <t>Prof. Dr. Alper AKTAŞ</t>
        </is>
      </c>
      <c r="D163" s="7" t="inlineStr">
        <is>
          <t>“Geçirilmiş Oral Cerrahi İşlemlerin Hastaların Dental Anksiyete ve Ağrı Üzerine Etkisinin Değerlendirilmesi”</t>
        </is>
      </c>
    </row>
    <row r="164" ht="47.25" customHeight="1" s="221">
      <c r="A164" s="5" t="inlineStr">
        <is>
          <t>93.</t>
        </is>
      </c>
      <c r="B164" s="6" t="inlineStr">
        <is>
          <t>SBA 25/164</t>
        </is>
      </c>
      <c r="C164" s="8" t="inlineStr">
        <is>
          <t>Öğr. Gör. Salih Eren MERAL</t>
        </is>
      </c>
      <c r="D164" s="7" t="inlineStr">
        <is>
          <t>“Temporomandibular Eklem Bozukluklarında Çene Fonksiyon Kısıtlanmasının ve Yaşam Kalitesinin Değerlendirilmesi”</t>
        </is>
      </c>
    </row>
    <row r="165" ht="47.25" customHeight="1" s="221">
      <c r="A165" s="5" t="inlineStr">
        <is>
          <t>94.</t>
        </is>
      </c>
      <c r="B165" s="6" t="inlineStr">
        <is>
          <t>SBA 25/165</t>
        </is>
      </c>
      <c r="C165" s="53" t="inlineStr">
        <is>
          <t>Doç. Dr. Derman BAŞARAN
Prof. Dr. Alp USUBÜTÜN</t>
        </is>
      </c>
      <c r="D165" s="7" t="inlineStr">
        <is>
          <t>“Endometrium Adenokarsinom Hastalarında Retrospektif Yetersiz ve Negatif Biyopsilerinin Klinikopatolojik Açıdan Değerlendirilmesi”</t>
        </is>
      </c>
    </row>
    <row r="166" ht="47.25" customHeight="1" s="221">
      <c r="A166" s="5" t="inlineStr">
        <is>
          <t>95.</t>
        </is>
      </c>
      <c r="B166" s="6" t="inlineStr">
        <is>
          <t>SBA 25/166</t>
        </is>
      </c>
      <c r="C166" s="8" t="inlineStr">
        <is>
          <t>Dr. Öğr. Üyesi Şafak ALPAT</t>
        </is>
      </c>
      <c r="D166" s="7" t="inlineStr">
        <is>
          <t>“Çocuk Kalp Cerrahisi Uygulanan Hastalarda Postoperatif İntraabdominal Hipertansiyonun Cerrahi Sonuçlara Etkisinin İncelenmesi”</t>
        </is>
      </c>
    </row>
    <row r="167" ht="47.25" customHeight="1" s="221">
      <c r="A167" s="5" t="inlineStr">
        <is>
          <t>96.</t>
        </is>
      </c>
      <c r="B167" s="6" t="inlineStr">
        <is>
          <t>SBA 25/167</t>
        </is>
      </c>
      <c r="C167" s="8" t="inlineStr">
        <is>
          <t>Doç. Dr. Ahmet Hakan ATEŞ</t>
        </is>
      </c>
      <c r="D167" s="7" t="inlineStr">
        <is>
          <t>“Aort Kapak Protezi olan Hastalarda Transtorasik Ekokardiyografik ve İnvaziv Ölçümlerle Transvalvüler Aort Gradientlerinin Karşılaştırılması”</t>
        </is>
      </c>
    </row>
    <row r="168" ht="47.25" customHeight="1" s="221">
      <c r="A168" s="5" t="inlineStr">
        <is>
          <t>97.</t>
        </is>
      </c>
      <c r="B168" s="6" t="inlineStr">
        <is>
          <t>SBA 25/168</t>
        </is>
      </c>
      <c r="C168" s="8" t="inlineStr">
        <is>
          <t>Prof. Dr. Burcu Balam DOĞU</t>
        </is>
      </c>
      <c r="D168" s="7" t="inlineStr">
        <is>
          <t>“Body Roundness Index ve Body Shape Index'in Sarkopenik Obezite ile Yaşayanlarda Geriatrik Sendromlar ve Kognitif Fonksiyonlarla İlişkisi</t>
        </is>
      </c>
    </row>
    <row r="169" ht="47.25" customHeight="1" s="221">
      <c r="A169" s="5" t="inlineStr">
        <is>
          <t>98.</t>
        </is>
      </c>
      <c r="B169" s="6" t="inlineStr">
        <is>
          <t>SBA 25/169</t>
        </is>
      </c>
      <c r="C169" s="8" t="inlineStr">
        <is>
          <t>Doç. Dr. İzzet FİDANCI</t>
        </is>
      </c>
      <c r="D169" s="7" t="inlineStr">
        <is>
          <t>“Primer Dismenoreden Etkilenme Düzeyine Göre Başvurulan Tamamlayıcı ve Alternatif Tedavi Yöntemlerinin Değerlendirilmesi”</t>
        </is>
      </c>
    </row>
    <row r="170" ht="31.5" customHeight="1" s="221">
      <c r="A170" s="5" t="inlineStr">
        <is>
          <t>99.</t>
        </is>
      </c>
      <c r="B170" s="6" t="inlineStr">
        <is>
          <t>SBA 25/170</t>
        </is>
      </c>
      <c r="C170" s="8" t="inlineStr">
        <is>
          <t>Doç. Dr. Duygu AYHAN BAŞER</t>
        </is>
      </c>
      <c r="D170" s="7" t="inlineStr">
        <is>
          <t>“Kullanılmayan İlaçların İadesi ve İmhası Anketinin Türkçe Geçerlik ve Güvenirlik Çalışması</t>
        </is>
      </c>
    </row>
    <row r="171" ht="47.25" customHeight="1" s="221">
      <c r="A171" s="5" t="inlineStr">
        <is>
          <t>100.</t>
        </is>
      </c>
      <c r="B171" s="6" t="inlineStr">
        <is>
          <t>SBA 25/171</t>
        </is>
      </c>
      <c r="C171" s="8" t="inlineStr">
        <is>
          <t>Doç. Dr. Rahşan GÖÇMEN</t>
        </is>
      </c>
      <c r="D171" s="7" t="inlineStr">
        <is>
          <t>“Nörofibromatozis Tip 1 Hastalarının Beyin Manyetik Rezonans Görüntüleme Bulgularının Retrospektif Degerlendirilmesi”</t>
        </is>
      </c>
    </row>
    <row r="172" ht="47.25" customHeight="1" s="221">
      <c r="A172" s="5" t="inlineStr">
        <is>
          <t>101.</t>
        </is>
      </c>
      <c r="B172" s="6" t="inlineStr">
        <is>
          <t>SBA 25/172</t>
        </is>
      </c>
      <c r="C172" s="8" t="inlineStr">
        <is>
          <t>Prof. Dr. Rıza Köksal ÖZGÜL</t>
        </is>
      </c>
      <c r="D172" s="7" t="inlineStr">
        <is>
          <t>“Kalıtsal Metabolik Hastalıklar ile ROS-Aracılı Hücresel Stres Arasındaki İlişkinin Metabolizma Açısından Değerlendirilmesi”</t>
        </is>
      </c>
    </row>
    <row r="173" ht="47.25" customHeight="1" s="221">
      <c r="A173" s="5" t="inlineStr">
        <is>
          <t>102.</t>
        </is>
      </c>
      <c r="B173" s="6" t="inlineStr">
        <is>
          <t>SBA 25/173</t>
        </is>
      </c>
      <c r="C173" s="8" t="inlineStr">
        <is>
          <t>Doç. Dr. Ümit Yavuz MALKAN</t>
        </is>
      </c>
      <c r="D173" s="7" t="inlineStr">
        <is>
          <t>“İmmün Trombositopeni Hastalarında Splenektomi ile Alternatif Tedaviler Arasında Tedavi Etkinliği ve Trombositk Olay Sıklığının Karşılaştırılması”</t>
        </is>
      </c>
    </row>
    <row r="174" ht="47.25" customHeight="1" s="221">
      <c r="A174" s="5" t="inlineStr">
        <is>
          <t>103.</t>
        </is>
      </c>
      <c r="B174" s="6" t="inlineStr">
        <is>
          <t>SBA 25/174</t>
        </is>
      </c>
      <c r="C174" s="8" t="inlineStr">
        <is>
          <t>Doç. Dr. Muhammed Bahaddin DURAK</t>
        </is>
      </c>
      <c r="D174" s="7" t="inlineStr">
        <is>
          <t>“İnflamatuar Bağırsak Hastalığında Sarkopeni Değerlendirmesinde Optimal Yönteminin Belirlenmesi ve Nütrisyonel Değerlendirme”</t>
        </is>
      </c>
    </row>
    <row r="175" ht="31.5" customHeight="1" s="221">
      <c r="A175" s="5" t="inlineStr">
        <is>
          <t>104.</t>
        </is>
      </c>
      <c r="B175" s="6" t="inlineStr">
        <is>
          <t>SBA 25/175</t>
        </is>
      </c>
      <c r="C175" s="8" t="inlineStr">
        <is>
          <t>Doç. Dr. Cem ÇÖTELİ</t>
        </is>
      </c>
      <c r="D175" s="7" t="inlineStr">
        <is>
          <t>“Hipertrofik Kardiyomiyopati Hastalarında Ventriküler Taşikardi Ablasyonunun Etkinliği ve Sonuçları”</t>
        </is>
      </c>
    </row>
    <row r="176" ht="31.5" customHeight="1" s="221">
      <c r="A176" s="5" t="inlineStr">
        <is>
          <t>105.</t>
        </is>
      </c>
      <c r="B176" s="6" t="inlineStr">
        <is>
          <t>SBA 25/176</t>
        </is>
      </c>
      <c r="C176" s="8" t="inlineStr">
        <is>
          <t>Prof. Dr. Ali DURSUN</t>
        </is>
      </c>
      <c r="D176" s="7" t="inlineStr">
        <is>
          <t>“Statin Tedavisi Altındaki Pediatrik Hiperlipidemi Hastalarında Glikolizasyon Profili Karşılaştırması”</t>
        </is>
      </c>
    </row>
    <row r="177" ht="47.25" customHeight="1" s="221">
      <c r="A177" s="5" t="inlineStr">
        <is>
          <t>106.</t>
        </is>
      </c>
      <c r="B177" s="6" t="inlineStr">
        <is>
          <t>SBA 25/177</t>
        </is>
      </c>
      <c r="C177" s="8" t="inlineStr">
        <is>
          <t>Prof. Dr. Şule YİĞİT</t>
        </is>
      </c>
      <c r="D177" s="7" t="inlineStr">
        <is>
          <t>“Gecikmiş Kord Klemplenmesinin Erken Dönem Yenidoğan Komplikasyonları Üzerine Etkisinin Değerlendirilmesi”</t>
        </is>
      </c>
    </row>
    <row r="178" ht="63" customHeight="1" s="221">
      <c r="A178" s="5" t="inlineStr">
        <is>
          <t>107.</t>
        </is>
      </c>
      <c r="B178" s="6" t="inlineStr">
        <is>
          <t>SBA 25/178</t>
        </is>
      </c>
      <c r="C178" s="8" t="inlineStr">
        <is>
          <t>Prof. Dr. Ali DURSUN</t>
        </is>
      </c>
      <c r="D178" s="7" t="inlineStr">
        <is>
          <t>“Tirozinemi Tip 1 Tanılı Pediatrik Yaş Grubu Hastalarda Metabolomik Profilin Hastalığın Klinik ve Laboratuvar Bulguları ve Tedavisi ile İlişkisinin Değerlendirilmesi”</t>
        </is>
      </c>
    </row>
    <row r="179" ht="31.5" customHeight="1" s="221">
      <c r="A179" s="5" t="inlineStr">
        <is>
          <t>108.</t>
        </is>
      </c>
      <c r="B179" s="6" t="inlineStr">
        <is>
          <t>SBA 25/179</t>
        </is>
      </c>
      <c r="C179" s="8" t="inlineStr">
        <is>
          <t>Doç. Dr. Şafak PARLAK SAĞOL</t>
        </is>
      </c>
      <c r="D179" s="7" t="inlineStr">
        <is>
          <t>“Amyotrofik Lateral Skleroz Hastalarının MRG ile Degerlendirilmesi”</t>
        </is>
      </c>
    </row>
    <row r="180" ht="31.5" customHeight="1" s="221">
      <c r="A180" s="5" t="inlineStr">
        <is>
          <t>109.</t>
        </is>
      </c>
      <c r="B180" s="6" t="inlineStr">
        <is>
          <t>SBA 25/180</t>
        </is>
      </c>
      <c r="C180" s="8" t="inlineStr">
        <is>
          <t>Dr. Öğr. Üyesi Muhammed Çağrı KÜLEKÇİ</t>
        </is>
      </c>
      <c r="D180" s="7" t="inlineStr">
        <is>
          <t>“Benign Paroksizimal Pozisyonel Vertigo Hastalarında Klinik Tecrübemiz”</t>
        </is>
      </c>
    </row>
    <row r="181" ht="63" customHeight="1" s="221">
      <c r="A181" s="5" t="inlineStr">
        <is>
          <t>110.</t>
        </is>
      </c>
      <c r="B181" s="6" t="inlineStr">
        <is>
          <t>SBA 25/181</t>
        </is>
      </c>
      <c r="C181" s="8" t="inlineStr">
        <is>
          <t>Dr. Öğr. Üyesi Ali BATUR</t>
        </is>
      </c>
      <c r="D181" s="7" t="inlineStr">
        <is>
          <t>“Acil Servise Başvuran Febril Nötropeni Hastalarında MASCC Skorlaması ile Yapılan Hasta Yönetiminin FRAİL Kırılganlık İndeksi Skorları ile Karşılaştırılması ve Değerlendirilmesi: Gözlemsel Çalışma”</t>
        </is>
      </c>
    </row>
    <row r="182" ht="47.25" customHeight="1" s="221">
      <c r="A182" s="5" t="inlineStr">
        <is>
          <t>111.</t>
        </is>
      </c>
      <c r="B182" s="6" t="inlineStr">
        <is>
          <t>SBA 25/182</t>
        </is>
      </c>
      <c r="C182" s="8" t="inlineStr">
        <is>
          <t>Prof. Dr. Gazi HURİ</t>
        </is>
      </c>
      <c r="D182" s="7" t="inlineStr">
        <is>
          <t>“Erişkin Hastalarda Glenoid Versiyonlarının ve Morfolojilerinin Bilgisayarlı Tomografi (BT) ile Değerlendirilmesi”</t>
        </is>
      </c>
    </row>
    <row r="183" ht="31.5" customHeight="1" s="221">
      <c r="A183" s="5" t="inlineStr">
        <is>
          <t>112.</t>
        </is>
      </c>
      <c r="B183" s="6" t="inlineStr">
        <is>
          <t>SBA 25/183</t>
        </is>
      </c>
      <c r="C183" s="8" t="inlineStr">
        <is>
          <t>Prof. Dr. Gazi HURİ</t>
        </is>
      </c>
      <c r="D183" s="7" t="inlineStr">
        <is>
          <t>“Dirsek Lateral Epikondilit Tanılı Hastalarda Uyku Kalitesinin Değerlendirilmesi”</t>
        </is>
      </c>
    </row>
    <row r="184" ht="47.25" customHeight="1" s="221">
      <c r="A184" s="5" t="inlineStr">
        <is>
          <t>113.</t>
        </is>
      </c>
      <c r="B184" s="6" t="inlineStr">
        <is>
          <t>SBA 25/184</t>
        </is>
      </c>
      <c r="C184" s="8" t="inlineStr">
        <is>
          <t>Prof. Dr. Deniz DOĞRU</t>
        </is>
      </c>
      <c r="D184" s="7" t="inlineStr">
        <is>
          <t>“Ulusal Kistik Fibrozis Hasta Kayıt Sisteminde Kayıtlı Hastalarda Kistik Fibrozis İlişkili Karaciğer Hastalığının Bağımsız Belirleyicilerinin Saptanması”</t>
        </is>
      </c>
    </row>
    <row r="185" ht="47.25" customHeight="1" s="221">
      <c r="A185" s="5" t="inlineStr">
        <is>
          <t>114.</t>
        </is>
      </c>
      <c r="B185" s="6" t="inlineStr">
        <is>
          <t>SBA 25/185</t>
        </is>
      </c>
      <c r="C185" s="8" t="inlineStr">
        <is>
          <t>Doç. Dr. Fatoş KORKMAZ</t>
        </is>
      </c>
      <c r="D185" s="7" t="inlineStr">
        <is>
          <t>“Yoğun Bakım Ünitelerinde Endotrakeal Tüp İlişkili Oral Mukoz Membran Basınç Yaralanması: Tek Merkezde Boylamsal Bir Nokta Prevalans Çalışması”</t>
        </is>
      </c>
    </row>
    <row r="186" ht="31.5" customHeight="1" s="221">
      <c r="A186" s="5" t="inlineStr">
        <is>
          <t>115.</t>
        </is>
      </c>
      <c r="B186" s="6" t="inlineStr">
        <is>
          <t>SBA 25/186</t>
        </is>
      </c>
      <c r="C186" s="8" t="inlineStr">
        <is>
          <t>Doç. Dr. Hilal AKSOY</t>
        </is>
      </c>
      <c r="D186" s="7" t="inlineStr">
        <is>
          <t>“HPV Aşısının Sosyal Medyadaki İnfodemisi: Nitel Çalışma”</t>
        </is>
      </c>
    </row>
    <row r="187" ht="31.5" customHeight="1" s="221">
      <c r="A187" s="5" t="inlineStr">
        <is>
          <t>116.</t>
        </is>
      </c>
      <c r="B187" s="6" t="inlineStr">
        <is>
          <t>SBA 25/187</t>
        </is>
      </c>
      <c r="C187" s="8" t="inlineStr">
        <is>
          <t>Doç. Dr. Hilal AKSOY</t>
        </is>
      </c>
      <c r="D187" s="7" t="inlineStr">
        <is>
          <t>“X, Y ve Z Kuşağında Beslenme Alışkanlıklarındaki Farklılıkların Araştırılması”</t>
        </is>
      </c>
    </row>
    <row r="188" ht="63" customHeight="1" s="221">
      <c r="A188" s="5" t="inlineStr">
        <is>
          <t>117.</t>
        </is>
      </c>
      <c r="B188" s="6" t="inlineStr">
        <is>
          <t>SBA 25/188</t>
        </is>
      </c>
      <c r="C188" s="8" t="inlineStr">
        <is>
          <t>Prof. Dr. Ayşe HEVES KARAGÖZ</t>
        </is>
      </c>
      <c r="D188" s="7" t="inlineStr">
        <is>
          <t>“Ameliyathane Dışı İrreversible Elektroporasyon Uygulanan Onkolojik Hastalarda Anestezi Yönetimi ve Komplikasyonların İncelenmesi: Retrospektif Gözlemsel Çalışma”</t>
        </is>
      </c>
    </row>
    <row r="189" ht="31.5" customHeight="1" s="221">
      <c r="A189" s="5" t="inlineStr">
        <is>
          <t>118.</t>
        </is>
      </c>
      <c r="B189" s="6" t="inlineStr">
        <is>
          <t>SBA 25/189</t>
        </is>
      </c>
      <c r="C189" s="8" t="inlineStr">
        <is>
          <t>Prof. Dr. A. Mazhar TOKGÖZOĞLU</t>
        </is>
      </c>
      <c r="D189" s="7" t="inlineStr">
        <is>
          <t>“Kalça Artroplastisinde Constrained Asetabular İnsertlerin Uzun Dönem Sonuçları”</t>
        </is>
      </c>
    </row>
    <row r="190" ht="47.25" customHeight="1" s="221">
      <c r="A190" s="5" t="inlineStr">
        <is>
          <t>119.</t>
        </is>
      </c>
      <c r="B190" s="6" t="inlineStr">
        <is>
          <t>SBA 25/190</t>
        </is>
      </c>
      <c r="C190" s="8" t="inlineStr">
        <is>
          <t>Doç. Dr. Barış SEZER</t>
        </is>
      </c>
      <c r="D190" s="7" t="inlineStr">
        <is>
          <t>“Tıp Fakültesi Öğrencileri İçin Geliştirilen Bir Elektronik Performans Destek Sisteminin Akademik Başarı ve Performansa Etkisi”</t>
        </is>
      </c>
    </row>
    <row r="191" ht="31.5" customHeight="1" s="221">
      <c r="A191" s="5" t="inlineStr">
        <is>
          <t>120.</t>
        </is>
      </c>
      <c r="B191" s="6" t="inlineStr">
        <is>
          <t>SBA 25/191</t>
        </is>
      </c>
      <c r="C191" s="8" t="inlineStr">
        <is>
          <t>Doç. Dr. Neslihan AKDOĞAN</t>
        </is>
      </c>
      <c r="D191" s="7" t="inlineStr">
        <is>
          <t>“Mikozis Fungoides, Psöriasis ve Atopik Dermatit Hastalarında Dermoskopik Bulguların İncelenmesi”</t>
        </is>
      </c>
    </row>
    <row r="192" ht="63" customHeight="1" s="221">
      <c r="A192" s="5" t="inlineStr">
        <is>
          <t>121.</t>
        </is>
      </c>
      <c r="B192" s="6" t="inlineStr">
        <is>
          <t>SBA 25/192</t>
        </is>
      </c>
      <c r="C192" s="8" t="inlineStr">
        <is>
          <t>Doç. Dr. Gamze DURHAN</t>
        </is>
      </c>
      <c r="D192" s="7" t="inlineStr">
        <is>
          <t>“Kistik Nötrofilik Granülomatöz Mastit ve İdiopatik Granülomatöz Mastitin Radyolojik Görüntüleme Bulgularının Klinik ve Patolojik Veriler Eşliğinde Karşılaştırılması”</t>
        </is>
      </c>
    </row>
    <row r="193" ht="78.75" customHeight="1" s="221">
      <c r="A193" s="5" t="inlineStr">
        <is>
          <t>122.</t>
        </is>
      </c>
      <c r="B193" s="6" t="inlineStr">
        <is>
          <t>SBA 25/193</t>
        </is>
      </c>
      <c r="C193" s="8" t="inlineStr">
        <is>
          <t>Prof. Dr. Mustafa CENGİZ</t>
        </is>
      </c>
      <c r="D193" s="7" t="inlineStr">
        <is>
          <t>“Baş Boyun Kanserli Olgularda European Organisation for Research and Treatment of Cancer (EORTC) H&amp;N43 Modülünün Türkçe Validasyonu, Kronoradyoterapinin Hayat Kalitesi ve Akut Toksisiteler Üzerine Etkisi”</t>
        </is>
      </c>
    </row>
    <row r="194" ht="31.5" customHeight="1" s="221">
      <c r="A194" s="5" t="inlineStr">
        <is>
          <t>123.</t>
        </is>
      </c>
      <c r="B194" s="6" t="inlineStr">
        <is>
          <t>SBA 25/194</t>
        </is>
      </c>
      <c r="C194" s="8" t="inlineStr">
        <is>
          <t>Prof. Dr. Hakan UZUN</t>
        </is>
      </c>
      <c r="D194" s="7" t="inlineStr">
        <is>
          <t>“Tendon Transferi Uygulanan Hastalarda Etiyolojik Faktörlerin Retrospektif Analizi”</t>
        </is>
      </c>
    </row>
    <row r="195" ht="47.25" customHeight="1" s="221">
      <c r="A195" s="5" t="inlineStr">
        <is>
          <t>124.</t>
        </is>
      </c>
      <c r="B195" s="6" t="inlineStr">
        <is>
          <t>SBA 25/195</t>
        </is>
      </c>
      <c r="C195" s="8" t="inlineStr">
        <is>
          <t>Prof. Dr. Ali Fuat KALYONCU</t>
        </is>
      </c>
      <c r="D195" s="7" t="inlineStr">
        <is>
          <t>"Nonsteroid Anti-İnflamatuar İlaçlar ile Alevlenen Hava Yolu Hastalığında Aspirin Kullanımının Kardiyovasküler Olaylar ve Kanama ile İlişkisini Değerlendirmek"</t>
        </is>
      </c>
    </row>
    <row r="196" ht="47.25" customHeight="1" s="221">
      <c r="A196" s="5" t="inlineStr">
        <is>
          <t>125.</t>
        </is>
      </c>
      <c r="B196" s="6" t="inlineStr">
        <is>
          <t>SBA 25/196</t>
        </is>
      </c>
      <c r="C196" s="8" t="inlineStr">
        <is>
          <t>Prof. Dr. Ali Fuat KALYONCU</t>
        </is>
      </c>
      <c r="D196" s="7" t="inlineStr">
        <is>
          <t>"Nonsteroidal Anti-İnflamatuar ilaçlarla Alevlenen Solunum Yolu Hastalığında (N-ERD) Biyolojik ve Aspirin Tedavilerinin Karşılaştırmalı Etkileri "</t>
        </is>
      </c>
    </row>
    <row r="197" ht="47.25" customHeight="1" s="221">
      <c r="A197" s="5" t="inlineStr">
        <is>
          <t>126.</t>
        </is>
      </c>
      <c r="B197" s="6" t="inlineStr">
        <is>
          <t>SBA 25/197</t>
        </is>
      </c>
      <c r="C197" s="8" t="inlineStr">
        <is>
          <t>Prof. Dr. Bora GÜLHAN</t>
        </is>
      </c>
      <c r="D197" s="7" t="inlineStr">
        <is>
          <t>“Proteinüri Nedeniyle Çocuk Nefrolojisi Bilim Dalı'nda Değerlendirilen Diabetes Mellitus Tanılı Çocuk Hastaların Retrospektif Değerlendirilmesi”</t>
        </is>
      </c>
    </row>
    <row r="198" ht="31.5" customHeight="1" s="221">
      <c r="A198" s="5" t="inlineStr">
        <is>
          <t>127.</t>
        </is>
      </c>
      <c r="B198" s="6" t="inlineStr">
        <is>
          <t>SBA 25/198</t>
        </is>
      </c>
      <c r="C198" s="8" t="inlineStr">
        <is>
          <t>Prof. Dr. Meltem Gülhan HALİL</t>
        </is>
      </c>
      <c r="D198" s="7" t="inlineStr">
        <is>
          <t>“Türk Erişkinlerde El Sıkma Kuvveti Referans Değerlerinin Belirlenmesi”</t>
        </is>
      </c>
    </row>
    <row r="199" ht="31.5" customHeight="1" s="221">
      <c r="A199" s="5" t="inlineStr">
        <is>
          <t>128.</t>
        </is>
      </c>
      <c r="B199" s="6" t="inlineStr">
        <is>
          <t>SBA 25/199</t>
        </is>
      </c>
      <c r="C199" s="8" t="inlineStr">
        <is>
          <t>Prof. Dr. Uğur Özçelik</t>
        </is>
      </c>
      <c r="D199" s="7" t="inlineStr">
        <is>
          <t>“Çocuk ve Adolesan Tüberküloz Vakalarında Göçün Etkisi”</t>
        </is>
      </c>
    </row>
    <row r="200" ht="31.5" customHeight="1" s="221">
      <c r="A200" s="5" t="inlineStr">
        <is>
          <t>129.</t>
        </is>
      </c>
      <c r="B200" s="6" t="inlineStr">
        <is>
          <t>SBA 25/200</t>
        </is>
      </c>
      <c r="C200" s="8" t="inlineStr">
        <is>
          <t>Doç. Dr. Duygu AYHAN BAŞER</t>
        </is>
      </c>
      <c r="D200" s="7" t="inlineStr">
        <is>
          <t>“Erişkinlerin Aromaterapi Hakkında Bilgi, Tutum ve Davranışlarının Araştırılması: Kesitsel Çalışma”</t>
        </is>
      </c>
    </row>
    <row r="201" ht="31.5" customHeight="1" s="221">
      <c r="A201" s="5" t="inlineStr">
        <is>
          <t>130.</t>
        </is>
      </c>
      <c r="B201" s="6" t="inlineStr">
        <is>
          <t>SBA 25/201</t>
        </is>
      </c>
      <c r="C201" s="8" t="inlineStr">
        <is>
          <t>Prof. Dr. Sıddıka Songül YALÇIN</t>
        </is>
      </c>
      <c r="D201" s="7" t="inlineStr">
        <is>
          <t>“Nörofibromatosis Tip 1 Vakalarında Gebelik Öncesi Dönemden Çocukluk Dönemine Çevresel Etkilenimler”</t>
        </is>
      </c>
    </row>
    <row r="202" ht="47.25" customHeight="1" s="221">
      <c r="A202" s="5" t="inlineStr">
        <is>
          <t>131.</t>
        </is>
      </c>
      <c r="B202" s="6" t="inlineStr">
        <is>
          <t>SBA 25/202</t>
        </is>
      </c>
      <c r="C202" s="8" t="inlineStr">
        <is>
          <t>Prof. Dr. Gazi HURİ</t>
        </is>
      </c>
      <c r="D202" s="7" t="inlineStr">
        <is>
          <t>“Sıfır Eko Zamanlı Manyetik Rezonans Görüntüleme ile Ölçülen Kritik Omuz Açısının Rotator Kılıf Anormallikleri ve Glenohumeral Osteoartrit ile İlişkisi”</t>
        </is>
      </c>
    </row>
    <row r="203" ht="47.25" customHeight="1" s="221">
      <c r="A203" s="5" t="inlineStr">
        <is>
          <t>132.</t>
        </is>
      </c>
      <c r="B203" s="6" t="inlineStr">
        <is>
          <t>SBA 25/203</t>
        </is>
      </c>
      <c r="C203" s="8" t="inlineStr">
        <is>
          <t>Prof. Dr. Sibel DOĞAN GÜNAYDIN</t>
        </is>
      </c>
      <c r="D203" s="7" t="inlineStr">
        <is>
          <t>“Küçük/Orta Damar Vaskülitli Hastaların Kutanöz Prezentasyonları: Dermoskopik ve Histopatolojik Benzerlik ve Farklılıkların İncelenmesi”</t>
        </is>
      </c>
    </row>
    <row r="204" ht="63" customHeight="1" s="221">
      <c r="A204" s="5" t="inlineStr">
        <is>
          <t>133.</t>
        </is>
      </c>
      <c r="B204" s="6" t="inlineStr">
        <is>
          <t>SBA 25/204</t>
        </is>
      </c>
      <c r="C204" s="8" t="inlineStr">
        <is>
          <t>Doç. Dr. Mevhibe İrem YILDIZ</t>
        </is>
      </c>
      <c r="D204" s="7" t="inlineStr">
        <is>
          <t>“Fonksiyonel Nöbet ve Epilepsi Hastalarında Faillik ve Sahiplik Hissi Parametrelerinin Değerlendirilmesi, Epilepsi Hastalarında Fonksiyonel Nöbet Gelişimini Yordayan Etmenlerin İncelenmesi”</t>
        </is>
      </c>
    </row>
    <row r="205" ht="63" customHeight="1" s="221">
      <c r="A205" s="5" t="inlineStr">
        <is>
          <t>134.</t>
        </is>
      </c>
      <c r="B205" s="6" t="inlineStr">
        <is>
          <t>SBA 25/205</t>
        </is>
      </c>
      <c r="C205" s="8" t="inlineStr">
        <is>
          <t>Prof. Dr. Seda Banu AKINCI</t>
        </is>
      </c>
      <c r="D205" s="7" t="inlineStr">
        <is>
          <t>“Yoğun Bakımda Takip Edilen Geriatrik Hasta Grubunun Klinik Özellikleri ve Klinik Skorların Yoğun Bakım Sonuçlarına Etkisi: Çok Merkezli Prospektif Çalışma”</t>
        </is>
      </c>
    </row>
    <row r="206" ht="31.5" customHeight="1" s="221">
      <c r="A206" s="5" t="inlineStr">
        <is>
          <t>135.</t>
        </is>
      </c>
      <c r="B206" s="6" t="inlineStr">
        <is>
          <t>SBA 25/206</t>
        </is>
      </c>
      <c r="C206" s="8" t="inlineStr">
        <is>
          <t>Arş. Gör. Dr. Hatice Ceren İSKENDER</t>
        </is>
      </c>
      <c r="D206" s="7" t="inlineStr">
        <is>
          <t>"Preterm Doğum Öyküsü Olan Çocukların Okula Hazır Bulunuşluklarının Değerlendirilmesi"</t>
        </is>
      </c>
    </row>
    <row r="207" ht="31.5" customHeight="1" s="221">
      <c r="A207" s="5" t="inlineStr">
        <is>
          <t>136.</t>
        </is>
      </c>
      <c r="B207" s="6" t="inlineStr">
        <is>
          <t>SBA 25/207</t>
        </is>
      </c>
      <c r="C207" s="8" t="inlineStr">
        <is>
          <t>Prof. Dr. Sinem AKGÜL</t>
        </is>
      </c>
      <c r="D207" s="7" t="inlineStr">
        <is>
          <t>“Hastaneye Yatan Ergenlerde Hastalıkların Siberkondri Üzerindeki Etkisi”</t>
        </is>
      </c>
    </row>
    <row r="208" ht="47.25" customHeight="1" s="221">
      <c r="A208" s="5" t="inlineStr">
        <is>
          <t>137.</t>
        </is>
      </c>
      <c r="B208" s="6" t="inlineStr">
        <is>
          <t>SBA 25/208</t>
        </is>
      </c>
      <c r="C208" s="8" t="inlineStr">
        <is>
          <t>Doç. Dr. Duygu AYHAN BAŞER</t>
        </is>
      </c>
      <c r="D208" s="7" t="inlineStr">
        <is>
          <t>“Türkiye’de Aile Sağlığı Merkezlerinde Yapılan Okul Sağlık Taramalarına Yönelik Öğretmenlerin Farkındalık ve Tutumlarının Araştırılması: Nitel Çalışma”</t>
        </is>
      </c>
    </row>
    <row r="209" ht="31.5" customHeight="1" s="221">
      <c r="A209" s="5" t="inlineStr">
        <is>
          <t>138.</t>
        </is>
      </c>
      <c r="B209" s="6" t="inlineStr">
        <is>
          <t>SBA 25/209</t>
        </is>
      </c>
      <c r="C209" s="8" t="inlineStr">
        <is>
          <t>Dr. Öğr. Üyesi Sevtap ARSLAN SARIKAYA</t>
        </is>
      </c>
      <c r="D209" s="7" t="inlineStr">
        <is>
          <t>“Bilgisayarlı Tomografi Anjiyografide Hepatik Arter Aterosklerozu Prevalansının Araştırılması”</t>
        </is>
      </c>
    </row>
    <row r="210" ht="31.5" customHeight="1" s="221">
      <c r="A210" s="5" t="inlineStr">
        <is>
          <t>139.</t>
        </is>
      </c>
      <c r="B210" s="6" t="inlineStr">
        <is>
          <t>SBA 25/210</t>
        </is>
      </c>
      <c r="C210" s="8" t="inlineStr">
        <is>
          <t>Dr. Öğr. Üyesi Pınar SERDAR EYMİRLİ</t>
        </is>
      </c>
      <c r="D210" s="7" t="inlineStr">
        <is>
          <t>“Farklı Diş Macunları ve Er,Cr:YSGG Lazerin Süt Dişi Remineralizasyonuna Etkisi”</t>
        </is>
      </c>
    </row>
    <row r="211" ht="63" customHeight="1" s="221">
      <c r="A211" s="5" t="inlineStr">
        <is>
          <t>140.</t>
        </is>
      </c>
      <c r="B211" s="6" t="inlineStr">
        <is>
          <t>SBA 25/211</t>
        </is>
      </c>
      <c r="C211" s="8" t="inlineStr">
        <is>
          <t>Dr. Öğr. Üyesi Ahmet AYDIN</t>
        </is>
      </c>
      <c r="D211" s="7" t="inlineStr">
        <is>
          <t>“Biyoprostetik Kalp Kapağı İmplantasyonu Geçiren Hastalarda Trombo-profilaksi İçin Warfarin ile Non–Vitamin K Oral Antikoagülanların Karşılaştırılması”</t>
        </is>
      </c>
    </row>
    <row r="212" ht="31.5" customHeight="1" s="221">
      <c r="A212" s="5" t="inlineStr">
        <is>
          <t>141.</t>
        </is>
      </c>
      <c r="B212" s="6" t="inlineStr">
        <is>
          <t>SBA 25/212</t>
        </is>
      </c>
      <c r="C212" s="8" t="inlineStr">
        <is>
          <t>Prof. Dr. Yahya BÜYÜKAŞIK</t>
        </is>
      </c>
      <c r="D212" s="7" t="inlineStr">
        <is>
          <t>“Farklı Miyeloid Neoplazilerde Tanı ve İzlemde İnflamasyon Parametreleri”</t>
        </is>
      </c>
    </row>
    <row r="213" ht="47.25" customHeight="1" s="221">
      <c r="A213" s="5" t="inlineStr">
        <is>
          <t>142.</t>
        </is>
      </c>
      <c r="B213" s="6" t="inlineStr">
        <is>
          <t>SBA 25/213</t>
        </is>
      </c>
      <c r="C213" s="8" t="inlineStr">
        <is>
          <t>Prof. Dr. Gözde YAZICI</t>
        </is>
      </c>
      <c r="D213" s="7" t="inlineStr">
        <is>
          <t>“Erken Evre Glottik Kanserlerde Radyoterapi Sonuçları ve Ön Komissür Tutulumunun Radyoterapi Tekniği ile İlişkisi”</t>
        </is>
      </c>
    </row>
    <row r="214" ht="47.25" customHeight="1" s="221">
      <c r="A214" s="5" t="inlineStr">
        <is>
          <t>143.</t>
        </is>
      </c>
      <c r="B214" s="6" t="inlineStr">
        <is>
          <t>SBA 25/214</t>
        </is>
      </c>
      <c r="C214" s="8" t="inlineStr">
        <is>
          <t>Doç. Dr. Saliha ESENBOĞA</t>
        </is>
      </c>
      <c r="D214" s="7" t="inlineStr">
        <is>
          <t>"IKZF1 Gen Varyantı Saptanan Primer İmmün Yetmezlik Hastalarının Demografik, Klinik ve Laboratuvar Özelliklerinin Değerlendirilmesi"</t>
        </is>
      </c>
    </row>
    <row r="215" ht="47.25" customHeight="1" s="221">
      <c r="A215" s="5" t="inlineStr">
        <is>
          <t>144.</t>
        </is>
      </c>
      <c r="B215" s="6" t="inlineStr">
        <is>
          <t>SBA 25/215</t>
        </is>
      </c>
      <c r="C215" s="8" t="inlineStr">
        <is>
          <t>Prof. Dr. Mustafa YILMAZ</t>
        </is>
      </c>
      <c r="D215" s="7" t="inlineStr">
        <is>
          <t>“Kardiyopulmoner Bypass Sırasında Hemadsorbsiyon Uygulamasının Pediyatrik Hastaların Mortalite ve Morbiditesi Üzerine Etkileri”</t>
        </is>
      </c>
    </row>
    <row r="216" ht="47.25" customHeight="1" s="221">
      <c r="A216" s="5" t="inlineStr">
        <is>
          <t>145.</t>
        </is>
      </c>
      <c r="B216" s="6" t="inlineStr">
        <is>
          <t>SBA 25/216</t>
        </is>
      </c>
      <c r="C216" s="8" t="inlineStr">
        <is>
          <t>Doç. Dr. Murat KARA</t>
        </is>
      </c>
      <c r="D216" s="7" t="inlineStr">
        <is>
          <t>“İleri Blefaropitoz Olgularında Yeni Bir Cerrahi Yaklaşım: Kontralateral Corrugatör Supercilii Kas Transpozisyonu ve Topografik-Mikroskopik Analizi”</t>
        </is>
      </c>
    </row>
    <row r="217" ht="47.25" customHeight="1" s="221">
      <c r="A217" s="5" t="inlineStr">
        <is>
          <t>146.</t>
        </is>
      </c>
      <c r="B217" s="6" t="inlineStr">
        <is>
          <t>SBA 25/217</t>
        </is>
      </c>
      <c r="C217" s="8" t="inlineStr">
        <is>
          <t>Prof. Dr. Emirhan NEMUTLU</t>
        </is>
      </c>
      <c r="D217" s="7" t="inlineStr">
        <is>
          <t>“Kan Akımı Kısıtlanmasına Bağlı Aerobik Egzersizin Metabolik Değişiklikler Üzerindeki Etkisinin Çoklu Omiks Teknikler ile Belirlenmesi”</t>
        </is>
      </c>
    </row>
    <row r="218" ht="47.25" customHeight="1" s="221">
      <c r="A218" s="5" t="inlineStr">
        <is>
          <t>147.</t>
        </is>
      </c>
      <c r="B218" s="6" t="inlineStr">
        <is>
          <t>SBA 25/218</t>
        </is>
      </c>
      <c r="C218" s="8" t="inlineStr">
        <is>
          <t>Prof. Dr. Burcu Balam DOĞU</t>
        </is>
      </c>
      <c r="D218" s="7" t="inlineStr">
        <is>
          <t>“Toplumda Tarama İçin Risk Aracının (RISC) Hospitalize Yaşlı Hastada Geçerlik ve Güvenirliğinin Değerlendirilmesi”</t>
        </is>
      </c>
    </row>
    <row r="219" ht="47.25" customHeight="1" s="221">
      <c r="A219" s="5" t="inlineStr">
        <is>
          <t>148.</t>
        </is>
      </c>
      <c r="B219" s="6" t="inlineStr">
        <is>
          <t>SBA 25/219</t>
        </is>
      </c>
      <c r="C219" s="8" t="inlineStr">
        <is>
          <t>Doç. Dr. Mert EŞME</t>
        </is>
      </c>
      <c r="D219" s="7" t="inlineStr">
        <is>
          <t>“Osteoporozu Olan Geriatrik Hastalarda Kırık Riskinin FI-Lab Skoru ve Kapsamlı Geriatrik Değerlendirme ile Değerlendirilmesi”</t>
        </is>
      </c>
    </row>
    <row r="220" ht="63" customHeight="1" s="221">
      <c r="A220" s="5" t="inlineStr">
        <is>
          <t>149.</t>
        </is>
      </c>
      <c r="B220" s="6" t="inlineStr">
        <is>
          <t>SBA 25/220</t>
        </is>
      </c>
      <c r="C220" s="8" t="inlineStr">
        <is>
          <t>Prof. Dr. Banu TAVAT</t>
        </is>
      </c>
      <c r="D220" s="7" t="inlineStr">
        <is>
          <t>"İşitsel Üçlü Sessiz Harf Sıralaması Testi’nin Hafif Bilişsel Bozukluk ve Alzheimer Hastalarında Psikometrik Özelliklerinin Belirlenmesi: Ayırtedicilik, Geçerlik ve Güvenirlik Çalışması”</t>
        </is>
      </c>
    </row>
    <row r="221" ht="47.25" customHeight="1" s="221">
      <c r="A221" s="5" t="inlineStr">
        <is>
          <t>150.</t>
        </is>
      </c>
      <c r="B221" s="6" t="inlineStr">
        <is>
          <t>SBA 25/221</t>
        </is>
      </c>
      <c r="C221" s="8" t="inlineStr">
        <is>
          <t>Doç. Dr. Nadir YALÇIN</t>
        </is>
      </c>
      <c r="D221" s="7" t="inlineStr">
        <is>
          <t>“Çocuk Acil Servise İlaç İntoksikasyonu ile Başvuran ve Çocuk ve Ergen Ruh Sağlığı Tarafından Takip Edilen Bireylerin Geriye Dönük Değerlendirilmesi”</t>
        </is>
      </c>
    </row>
    <row r="222" ht="47.25" customHeight="1" s="221">
      <c r="A222" s="5" t="inlineStr">
        <is>
          <t>151.</t>
        </is>
      </c>
      <c r="B222" s="6" t="inlineStr">
        <is>
          <t>SBA 25/222</t>
        </is>
      </c>
      <c r="C222" s="8" t="inlineStr">
        <is>
          <t>Prof. Dr. Tarık TUNCAY</t>
        </is>
      </c>
      <c r="D222" s="7" t="inlineStr">
        <is>
          <t>“Palyatif Bakım Hastalarına Bakım Verenlerin Deneyimlerinde Cinsiyet Rollerinin Etkilerinin İncelenmesi”</t>
        </is>
      </c>
    </row>
    <row r="223" ht="31.5" customHeight="1" s="221">
      <c r="A223" s="5" t="inlineStr">
        <is>
          <t>152.</t>
        </is>
      </c>
      <c r="B223" s="6" t="inlineStr">
        <is>
          <t>SBA 25/223</t>
        </is>
      </c>
      <c r="C223" s="8" t="inlineStr">
        <is>
          <t>Doç. Dr. Akın ÜZÜMCÜGİL</t>
        </is>
      </c>
      <c r="D223" s="7" t="inlineStr">
        <is>
          <t>“Brakial Pleksus Doğum Paralizisi Olan Hastalarda Gövde ve Alt Ekstremite Dengesinin Değerlendirilmesi”</t>
        </is>
      </c>
    </row>
    <row r="224" ht="31.5" customHeight="1" s="221">
      <c r="A224" s="5" t="inlineStr">
        <is>
          <t>153.</t>
        </is>
      </c>
      <c r="B224" s="6" t="inlineStr">
        <is>
          <t>SBA 25/224</t>
        </is>
      </c>
      <c r="C224" s="8" t="inlineStr">
        <is>
          <t>Prof. Dr. Sinem AKGÜL</t>
        </is>
      </c>
      <c r="D224" s="7" t="inlineStr">
        <is>
          <t>“Ergen ve Genç Yetişkinlerde Menstrüasyon Farkındalığı”</t>
        </is>
      </c>
    </row>
    <row r="225" ht="47.25" customHeight="1" s="221">
      <c r="A225" s="5" t="inlineStr">
        <is>
          <t>154.</t>
        </is>
      </c>
      <c r="B225" s="6" t="inlineStr">
        <is>
          <t>SBA 25/225</t>
        </is>
      </c>
      <c r="C225" s="8" t="inlineStr">
        <is>
          <t>Doç. Dr. Kübra AYKAÇ</t>
        </is>
      </c>
      <c r="D225" s="7" t="inlineStr">
        <is>
          <t>“Viral Solunum Yolu Enfeksiyonu Tanısı ile Takip Edilen Çocuk Hastaların Klinik Verilerinin Retrospektif Olarak İncelenmesi”</t>
        </is>
      </c>
    </row>
    <row r="226" ht="47.25" customHeight="1" s="221">
      <c r="A226" s="5" t="inlineStr">
        <is>
          <t>155.</t>
        </is>
      </c>
      <c r="B226" s="6" t="inlineStr">
        <is>
          <t>SBA 25/226</t>
        </is>
      </c>
      <c r="C226" s="8" t="inlineStr">
        <is>
          <t>Prof. Dr. Banu ÇAKIR</t>
        </is>
      </c>
      <c r="D226" s="7" t="inlineStr">
        <is>
          <t>“Astım Tanılı Çocuklarda Çekirdek Aile ve Çekirdek Aile Dışı Akrabalarda Alerjik Hastalık Sıklığının Belirlenmesi"</t>
        </is>
      </c>
    </row>
    <row r="227" ht="31.5" customHeight="1" s="221">
      <c r="A227" s="5" t="inlineStr">
        <is>
          <t>156.</t>
        </is>
      </c>
      <c r="B227" s="6" t="inlineStr">
        <is>
          <t>SBA 25/227</t>
        </is>
      </c>
      <c r="C227" s="8" t="inlineStr">
        <is>
          <t>Prof. Dr. Mehmet AYVAZ</t>
        </is>
      </c>
      <c r="D227" s="7" t="inlineStr">
        <is>
          <t>“Proksimal Tibia Rekonstrüksiyonu ile Tedavi Edilen Hastaların Klinik Sonuçları”</t>
        </is>
      </c>
    </row>
    <row r="228" ht="31.5" customHeight="1" s="221">
      <c r="A228" s="5" t="inlineStr">
        <is>
          <t>157.</t>
        </is>
      </c>
      <c r="B228" s="6" t="inlineStr">
        <is>
          <t>SBA 25/228</t>
        </is>
      </c>
      <c r="C228" s="8" t="inlineStr">
        <is>
          <t>Dr. Öğr. Üyesi Hatice BOYACIOĞLU ERDEN</t>
        </is>
      </c>
      <c r="D228" s="7" t="inlineStr">
        <is>
          <t>"Diş Hekimliğinde Yapay Zeka Destekli Teşhis ve Tedavilere Güven: Hasta Perspektifinden Bir Analiz"</t>
        </is>
      </c>
    </row>
    <row r="229" ht="31.5" customHeight="1" s="221">
      <c r="A229" s="5" t="inlineStr">
        <is>
          <t>158.</t>
        </is>
      </c>
      <c r="B229" s="6" t="inlineStr">
        <is>
          <t>SBA 25/229</t>
        </is>
      </c>
      <c r="C229" s="8" t="inlineStr">
        <is>
          <t>Doç. Dr. Eda Didem KURT ŞÜKÜR</t>
        </is>
      </c>
      <c r="D229" s="7" t="inlineStr">
        <is>
          <t>"Akut Poststreptokoksik Glomerulonefrit Tanılı Hastaların Retrospektif Olarak İncelenmesi"</t>
        </is>
      </c>
    </row>
    <row r="230" ht="31.5" customHeight="1" s="221">
      <c r="A230" s="5" t="inlineStr">
        <is>
          <t>159.</t>
        </is>
      </c>
      <c r="B230" s="6" t="inlineStr">
        <is>
          <t>SBA 25/230</t>
        </is>
      </c>
      <c r="C230" s="8" t="inlineStr">
        <is>
          <t>Doç. Dr. Fatima AERTS KAYA</t>
        </is>
      </c>
      <c r="D230" s="7" t="inlineStr">
        <is>
          <t>“İnsan Göbek Kordonu Temelli Yapay Timüs Organoidlerinin Geliştirilmesi ve Karakterize Edilmesi”</t>
        </is>
      </c>
    </row>
    <row r="231" ht="31.5" customHeight="1" s="221">
      <c r="A231" s="5" t="inlineStr">
        <is>
          <t>160.</t>
        </is>
      </c>
      <c r="B231" s="6" t="inlineStr">
        <is>
          <t>SBA 25/231</t>
        </is>
      </c>
      <c r="C231" s="8" t="inlineStr">
        <is>
          <t>Prof. Dr. Diclehan ORHAN</t>
        </is>
      </c>
      <c r="D231" s="7" t="inlineStr">
        <is>
          <t>“Wilms Tümörü ve Nefrojenik Artıklardaki Moleküler Değişiklikler”</t>
        </is>
      </c>
    </row>
    <row r="232" ht="63" customHeight="1" s="221">
      <c r="A232" s="5" t="inlineStr">
        <is>
          <t>161.</t>
        </is>
      </c>
      <c r="B232" s="6" t="inlineStr">
        <is>
          <t>SBA 25/232</t>
        </is>
      </c>
      <c r="C232" s="8" t="inlineStr">
        <is>
          <t>Prof. Dr. Bülent ATİLLA</t>
        </is>
      </c>
      <c r="D232" s="7" t="inlineStr">
        <is>
          <t>“Erişkin Popülasyonda Ayak Bileği Kırıklarının Deplasman ve Yumuşak Doku Hasarlarının ZTE sekanslı MRG ile Değerlendirilmesi ve BT ile Karşılaştırılması”</t>
        </is>
      </c>
    </row>
    <row r="233" ht="31.5" customHeight="1" s="221">
      <c r="A233" s="5" t="inlineStr">
        <is>
          <t>162.</t>
        </is>
      </c>
      <c r="B233" s="6" t="inlineStr">
        <is>
          <t>SBA 25/233</t>
        </is>
      </c>
      <c r="C233" s="8" t="inlineStr">
        <is>
          <t>Öğr. Gör. Salih Eren MERAL</t>
        </is>
      </c>
      <c r="D233" s="7" t="inlineStr">
        <is>
          <t>“Yeni Nesil Antikoagülan İlaçların İlaç Etkileşimleri Hakkında Farkındalık Düzeyinin Ölçülmesi”</t>
        </is>
      </c>
    </row>
    <row r="234" ht="47.25" customHeight="1" s="221">
      <c r="A234" s="5" t="inlineStr">
        <is>
          <t>163.</t>
        </is>
      </c>
      <c r="B234" s="6" t="inlineStr">
        <is>
          <t>SBA 25/234</t>
        </is>
      </c>
      <c r="C234" s="8" t="inlineStr">
        <is>
          <t>Öğr. Gör. Salih Eren MERAL</t>
        </is>
      </c>
      <c r="D234" s="7" t="inlineStr">
        <is>
          <t>“Dental Tedavi Sırasında veya Reçetelendirmede Gelişebilecek İlaç Etkileşimleri Hakkında Farkındalık Düzeyinin Ölçülmesi”</t>
        </is>
      </c>
    </row>
    <row r="235" ht="47.25" customHeight="1" s="221">
      <c r="A235" s="5" t="inlineStr">
        <is>
          <t>164.</t>
        </is>
      </c>
      <c r="B235" s="6" t="inlineStr">
        <is>
          <t>SBA 25/235</t>
        </is>
      </c>
      <c r="C235" s="8" t="inlineStr">
        <is>
          <t>Dr. Öğr. Üyesi Deniz Can GÜVEN</t>
        </is>
      </c>
      <c r="D235" s="7" t="inlineStr">
        <is>
          <t>"İmmünoterapi ile Tedavi Edilen Kanser Hastalarında Tedavi Öncesi Serbest T3/T4 Oranı ile Sağkalım İlişkisi”</t>
        </is>
      </c>
    </row>
    <row r="236" ht="47.25" customHeight="1" s="221">
      <c r="A236" s="5" t="inlineStr">
        <is>
          <t>165.</t>
        </is>
      </c>
      <c r="B236" s="6" t="inlineStr">
        <is>
          <t>SBA 25/236</t>
        </is>
      </c>
      <c r="C236" s="8" t="inlineStr">
        <is>
          <t>Prof. Dr. Bülent ATİLLA</t>
        </is>
      </c>
      <c r="D236" s="7" t="inlineStr">
        <is>
          <t>“Rotasyon Profilli Bilgisayarlı Tomografi Kullanılarak Oluşturulan Parametreler ile Radyografide Proksimal Femur Rotasyonunun Değerlendirilmesi”</t>
        </is>
      </c>
    </row>
    <row r="237" ht="47.25" customHeight="1" s="221">
      <c r="A237" s="5" t="inlineStr">
        <is>
          <t>166.</t>
        </is>
      </c>
      <c r="B237" s="6" t="inlineStr">
        <is>
          <t>SBA 25/237</t>
        </is>
      </c>
      <c r="C237" s="8" t="inlineStr">
        <is>
          <t>Doç. Dr. Hanife Güler DÖNMEZ</t>
        </is>
      </c>
      <c r="D237" s="7" t="inlineStr">
        <is>
          <t>"Vegan Beslenmenin Oral Mukoza Üzerindeki Sitolojik, Genotoksik ve Antioksidan Etkilerinin İncelenmesi”</t>
        </is>
      </c>
    </row>
    <row r="238" ht="47.25" customHeight="1" s="221">
      <c r="A238" s="5" t="inlineStr">
        <is>
          <t>167.</t>
        </is>
      </c>
      <c r="B238" s="6" t="inlineStr">
        <is>
          <t>SBA 25/238</t>
        </is>
      </c>
      <c r="C238" s="8" t="inlineStr">
        <is>
          <t>Dr. Öğr. Üyesi Deniz Can GÜVEN</t>
        </is>
      </c>
      <c r="D238" s="7" t="inlineStr">
        <is>
          <t>"Hospitalize Edilen Kanser Hastalarında Mortaliteye ve Hastanede Yeniden Yatışa Etki Eden Klinik Faktörlerin İncelenmesi"</t>
        </is>
      </c>
    </row>
    <row r="239" ht="47.25" customHeight="1" s="221">
      <c r="A239" s="5" t="inlineStr">
        <is>
          <t>168.</t>
        </is>
      </c>
      <c r="B239" s="6" t="inlineStr">
        <is>
          <t>SBA 25/239</t>
        </is>
      </c>
      <c r="C239" s="8" t="inlineStr">
        <is>
          <t>Dr. Öğr. Üyesi Deniz Can GÜVEN</t>
        </is>
      </c>
      <c r="D239" s="7" t="inlineStr">
        <is>
          <t>"BRCA Mutant Meme ve Over Kanseri Hastaların Birinci Derece Erkek ve Kadın Yakınlarında Genetik Test Oranlarının ve Sonuçlarının Değerlendirilmesi"</t>
        </is>
      </c>
    </row>
    <row r="240" ht="47.25" customHeight="1" s="221">
      <c r="A240" s="5" t="inlineStr">
        <is>
          <t>169.</t>
        </is>
      </c>
      <c r="B240" s="6" t="inlineStr">
        <is>
          <t>SBA 25/240</t>
        </is>
      </c>
      <c r="C240" s="8" t="inlineStr">
        <is>
          <t>Doç. Dr. İbrahim Halil ÖNCEL</t>
        </is>
      </c>
      <c r="D240" s="7" t="inlineStr">
        <is>
          <t>“Çocuklarda Doğal İmmünite Kaynaklı Santral Sinir Sistemi İnflamasyonunda Beyin Büyümesini ve Sağlığını Haritalama”</t>
        </is>
      </c>
    </row>
    <row r="241" ht="31.5" customHeight="1" s="221">
      <c r="A241" s="5" t="inlineStr">
        <is>
          <t>170.</t>
        </is>
      </c>
      <c r="B241" s="6" t="inlineStr">
        <is>
          <t>SBA 25/241</t>
        </is>
      </c>
      <c r="C241" s="8" t="inlineStr">
        <is>
          <t>Doç. Dr. Mert EŞME</t>
        </is>
      </c>
      <c r="D241" s="7" t="inlineStr">
        <is>
          <t>“Geriatrik Sendromlarla C Reaktif-Albumin-Lenfosit İndeksinin İlişkisinin İncelenmesi”</t>
        </is>
      </c>
    </row>
    <row r="242" ht="31.5" customHeight="1" s="221">
      <c r="A242" s="5" t="inlineStr">
        <is>
          <t>171.</t>
        </is>
      </c>
      <c r="B242" s="6" t="inlineStr">
        <is>
          <t>SBA 25/242</t>
        </is>
      </c>
      <c r="C242" s="8" t="inlineStr">
        <is>
          <t>Prof. Dr. Umut KALYONCU</t>
        </is>
      </c>
      <c r="D242" s="7" t="inlineStr">
        <is>
          <t>"Kristal Artropatilerde Klinik ve Radyolojik Değerlendirmenin İncelenmesi"</t>
        </is>
      </c>
    </row>
    <row r="243" ht="47.25" customHeight="1" s="221">
      <c r="A243" s="5" t="inlineStr">
        <is>
          <t>172.</t>
        </is>
      </c>
      <c r="B243" s="6" t="inlineStr">
        <is>
          <t>SBA 25/243</t>
        </is>
      </c>
      <c r="C243" s="8" t="inlineStr">
        <is>
          <t>Doç. Dr. Kübra AYKAÇ</t>
        </is>
      </c>
      <c r="D243" s="7" t="inlineStr">
        <is>
          <t>"Bakteriyel Enfeksiyon Tanısı ile Yatarak Tedavi Olan Çocuk Hastaların Verilerinin Retrospektif Olarak İncelenmesi"</t>
        </is>
      </c>
    </row>
    <row r="244" ht="31.5" customHeight="1" s="221">
      <c r="A244" s="5" t="inlineStr">
        <is>
          <t>173.</t>
        </is>
      </c>
      <c r="B244" s="6" t="inlineStr">
        <is>
          <t>SBA 25/244</t>
        </is>
      </c>
      <c r="C244" s="8" t="inlineStr">
        <is>
          <t>Prof. Dr. Sunay İL</t>
        </is>
      </c>
      <c r="D244" s="7" t="inlineStr">
        <is>
          <t>“Genç Yetişkin Erkeklerde Cinsiyet Rolü Gerilimi ve Problemli Kumar Oynama”</t>
        </is>
      </c>
    </row>
    <row r="245" ht="47.25" customHeight="1" s="221">
      <c r="A245" s="5" t="inlineStr">
        <is>
          <t>174.</t>
        </is>
      </c>
      <c r="B245" s="6" t="inlineStr">
        <is>
          <t>SBA 25/245</t>
        </is>
      </c>
      <c r="C245" s="8" t="inlineStr">
        <is>
          <t>Doç. Dr. Mert EŞME</t>
        </is>
      </c>
      <c r="D245" s="7" t="inlineStr">
        <is>
          <t>“Koroner Arter Hastalığı Tanılı Geriatrik Hastalarda Elektif Perkütan Koroner Girişiminin Geriatrik Sendromlarla İlişkisi”</t>
        </is>
      </c>
    </row>
    <row r="246" ht="47.25" customHeight="1" s="221">
      <c r="A246" s="5" t="inlineStr">
        <is>
          <t>175.</t>
        </is>
      </c>
      <c r="B246" s="6" t="inlineStr">
        <is>
          <t>SBA 25/246</t>
        </is>
      </c>
      <c r="C246" s="8" t="inlineStr">
        <is>
          <t>Prof. Dr. Mert ÇALIŞ</t>
        </is>
      </c>
      <c r="D246" s="7" t="inlineStr">
        <is>
          <t>“Rinoplasti Ameliyatlarında Piezoelektrik Yardımlı Osteotomi ve Konvansiyonel Osteotomilerin Periorbital Ödem ve Ekimoz Üzerine Etkisi”</t>
        </is>
      </c>
    </row>
    <row r="247" ht="31.5" customHeight="1" s="221">
      <c r="A247" s="5" t="inlineStr">
        <is>
          <t>176.</t>
        </is>
      </c>
      <c r="B247" s="6" t="inlineStr">
        <is>
          <t>SBA 25/247</t>
        </is>
      </c>
      <c r="C247" s="8" t="inlineStr">
        <is>
          <t>Doç. Dr. Zeynep TÜZÜN GÜN</t>
        </is>
      </c>
      <c r="D247" s="7" t="inlineStr">
        <is>
          <t>“Yeme Bozukluğu Olan Ergenlerde Ebeveyn-Ergen Sınırlarının İncelenmesi”</t>
        </is>
      </c>
    </row>
    <row r="248" ht="47.25" customHeight="1" s="221">
      <c r="A248" s="5" t="inlineStr">
        <is>
          <t>177.</t>
        </is>
      </c>
      <c r="B248" s="6" t="inlineStr">
        <is>
          <t>SBA 25/248</t>
        </is>
      </c>
      <c r="C248" s="8" t="inlineStr">
        <is>
          <t>Doç. Dr. Kübra AYKAÇ</t>
        </is>
      </c>
      <c r="D248" s="7" t="inlineStr">
        <is>
          <t>“Ciddi Pnömokokkal Enfeksiyon Geçiren Hastaların Retrospektif Olarak İmmün Yetmezlik Açısından Değerlendirilmesi”</t>
        </is>
      </c>
    </row>
    <row r="249" ht="31.5" customHeight="1" s="221">
      <c r="A249" s="5" t="inlineStr">
        <is>
          <t>178.</t>
        </is>
      </c>
      <c r="B249" s="6" t="inlineStr">
        <is>
          <t>SBA 25/249</t>
        </is>
      </c>
      <c r="C249" s="8" t="inlineStr">
        <is>
          <t>Doç. Dr. Ayşe Bikem KARGI</t>
        </is>
      </c>
      <c r="D249" s="7" t="inlineStr">
        <is>
          <t>“Borderline Kişilik Özellikleri ve Çocuklukta Onaylamayan Çevre Arasındaki İlişki: Bir Model Testi”</t>
        </is>
      </c>
    </row>
    <row r="250" ht="47.25" customHeight="1" s="221">
      <c r="A250" s="5" t="inlineStr">
        <is>
          <t>179.</t>
        </is>
      </c>
      <c r="B250" s="6" t="inlineStr">
        <is>
          <t>SBA 25/250</t>
        </is>
      </c>
      <c r="C250" s="8" t="inlineStr">
        <is>
          <t>Prof. Dr. Hüseyin Gencay KEÇELİ</t>
        </is>
      </c>
      <c r="D250" s="7" t="inlineStr">
        <is>
          <t>“Serbest Dişeti Grefti Alınan Lateral Damak Bölgesine Farklı Ajanlar Uygulanarak Yara İyileşmesinin Karşılaştırılması”</t>
        </is>
      </c>
    </row>
    <row r="251" ht="31.5" customHeight="1" s="221">
      <c r="A251" s="5" t="inlineStr">
        <is>
          <t>180.</t>
        </is>
      </c>
      <c r="B251" s="6" t="inlineStr">
        <is>
          <t>SBA 25/251</t>
        </is>
      </c>
      <c r="C251" s="8" t="inlineStr">
        <is>
          <t>Doç. Dr. Erdal SAĞ</t>
        </is>
      </c>
      <c r="D251" s="7" t="inlineStr">
        <is>
          <t>“Heterozigot FMF Hastalarının Tedavi Kesildikten Sonraki İzleminin Değerlendirilmesi”</t>
        </is>
      </c>
    </row>
    <row r="252" ht="31.5" customHeight="1" s="221">
      <c r="A252" s="5" t="inlineStr">
        <is>
          <t>181.</t>
        </is>
      </c>
      <c r="B252" s="6" t="inlineStr">
        <is>
          <t>SBA 25/252</t>
        </is>
      </c>
      <c r="C252" s="8" t="inlineStr">
        <is>
          <t>Doç. Dr. Erdal SAĞ</t>
        </is>
      </c>
      <c r="D252" s="7" t="inlineStr">
        <is>
          <t>“PFAPA Tanılı Hastalarda Kullanılan Tedavilerin Retrospektif Olarak Değerlendirilmesi”</t>
        </is>
      </c>
    </row>
    <row r="253" ht="31.5" customHeight="1" s="221">
      <c r="A253" s="5" t="inlineStr">
        <is>
          <t>182.</t>
        </is>
      </c>
      <c r="B253" s="6" t="inlineStr">
        <is>
          <t>SBA 25/253</t>
        </is>
      </c>
      <c r="C253" s="8" t="inlineStr">
        <is>
          <t>Doç. Dr. Başak YALICI ARMAĞAN</t>
        </is>
      </c>
      <c r="D253" s="7" t="inlineStr">
        <is>
          <t>“Geriatrik Popülasyonda Prurigo Nodülaris Hastalarında Etyolojik Faktörlerin Araştırılması”</t>
        </is>
      </c>
    </row>
    <row r="254" ht="63" customHeight="1" s="221">
      <c r="A254" s="5" t="inlineStr">
        <is>
          <t>183.</t>
        </is>
      </c>
      <c r="B254" s="6" t="inlineStr">
        <is>
          <t>SBA 25/254</t>
        </is>
      </c>
      <c r="C254" s="8" t="inlineStr">
        <is>
          <t>Dr. Öğr. Üyesi Figen BEZCİ AYGÜN</t>
        </is>
      </c>
      <c r="D254" s="7" t="inlineStr">
        <is>
          <t>“İntravitreal Enjeksiyon Yapılan Yaşa Bağlı Makula Dejenerasyonuna Sahip Olan Hastalarda Non Kontakt Speküler Konfokal Mikroskopi İle Korneal Parametrelerin Değerlendirilmesi”</t>
        </is>
      </c>
    </row>
    <row r="255" ht="31.5" customHeight="1" s="221">
      <c r="A255" s="5" t="inlineStr">
        <is>
          <t>184.</t>
        </is>
      </c>
      <c r="B255" s="6" t="inlineStr">
        <is>
          <t>SBA 25/255</t>
        </is>
      </c>
      <c r="C255" s="8" t="inlineStr">
        <is>
          <t>Prof. Dr. Elmas Ebru YALÇIN</t>
        </is>
      </c>
      <c r="D255" s="7" t="inlineStr">
        <is>
          <t>“Çocuklarda Post Enfeksiyöz Bronşiolitis Obliterans Gelişmesinin Genetik Temellerinin Belirlenmesi”</t>
        </is>
      </c>
    </row>
    <row r="256" ht="31.5" customHeight="1" s="221">
      <c r="A256" s="5" t="inlineStr">
        <is>
          <t>185.</t>
        </is>
      </c>
      <c r="B256" s="6" t="inlineStr">
        <is>
          <t>SBA 25/256</t>
        </is>
      </c>
      <c r="C256" s="8" t="inlineStr">
        <is>
          <t>Prof. Dr. Suna SABUNCUOĞLU</t>
        </is>
      </c>
      <c r="D256" s="7" t="inlineStr">
        <is>
          <t>“Kemoterapötik İlaç Hazırlayan ve Uygulayan Hemşirelerde Olası Toksik Etkilerin Değerlendirilmesi”</t>
        </is>
      </c>
    </row>
    <row r="257" ht="47.25" customHeight="1" s="221">
      <c r="A257" s="5" t="inlineStr">
        <is>
          <t>186.</t>
        </is>
      </c>
      <c r="B257" s="6" t="inlineStr">
        <is>
          <t>SBA 25/257</t>
        </is>
      </c>
      <c r="C257" s="8" t="inlineStr">
        <is>
          <t>Prof. Dr. Şuayip YALÇIN</t>
        </is>
      </c>
      <c r="D257" s="7" t="inlineStr">
        <is>
          <t>“Metastatik Kolorektal Adenokarsinomunda Karaciğer Metastazektomisi Sonrası Adjuvan Tedavilerin Etkinliğinin Değerlendirilmesi”</t>
        </is>
      </c>
    </row>
    <row r="258" ht="31.5" customHeight="1" s="221">
      <c r="A258" s="5" t="inlineStr">
        <is>
          <t>187.</t>
        </is>
      </c>
      <c r="B258" s="6" t="inlineStr">
        <is>
          <t>SBA 25/258</t>
        </is>
      </c>
      <c r="C258" s="8" t="inlineStr">
        <is>
          <t>Doç. Dr. Kübra AYKAÇ</t>
        </is>
      </c>
      <c r="D258" s="7" t="inlineStr">
        <is>
          <t>"Çocukluk Çağı Aşılarına Karşı Antikor Düzeylerinin Değerlendirilmesi"</t>
        </is>
      </c>
    </row>
    <row r="259" ht="31.5" customHeight="1" s="221">
      <c r="A259" s="5" t="inlineStr">
        <is>
          <t>188.</t>
        </is>
      </c>
      <c r="B259" s="6" t="inlineStr">
        <is>
          <t>SBA 25/259</t>
        </is>
      </c>
      <c r="C259" s="8" t="inlineStr">
        <is>
          <t>Prof. Dr. Yasemin ÖZSÜREKCİ</t>
        </is>
      </c>
      <c r="D259" s="7" t="inlineStr">
        <is>
          <t>“Pediatrik Ampiyemde Streptococcus Pneumoniae’nin Rolü: Tanıdaki Gelişmeler ve Epidemiyolojik Bulgular”</t>
        </is>
      </c>
    </row>
    <row r="260" ht="31.5" customHeight="1" s="221">
      <c r="A260" s="5" t="inlineStr">
        <is>
          <t>189.</t>
        </is>
      </c>
      <c r="B260" s="6" t="inlineStr">
        <is>
          <t>SBA 25/260</t>
        </is>
      </c>
      <c r="C260" s="8" t="inlineStr">
        <is>
          <t>Doç. Dr. İdil Rana USER</t>
        </is>
      </c>
      <c r="D260" s="7" t="inlineStr">
        <is>
          <t>“Superior Mezenter Arter Sendromu Tedavisinde Beslenme Desteği ve Sonuçları”</t>
        </is>
      </c>
    </row>
    <row r="261" ht="47.25" customHeight="1" s="221">
      <c r="A261" s="5" t="inlineStr">
        <is>
          <t>190.</t>
        </is>
      </c>
      <c r="B261" s="6" t="inlineStr">
        <is>
          <t>SBA 25/261</t>
        </is>
      </c>
      <c r="C261" s="8" t="inlineStr">
        <is>
          <t>Prof. Dr. Tutku SOYER</t>
        </is>
      </c>
      <c r="D261" s="7" t="inlineStr">
        <is>
          <t>“Eozinofilik Özofajit Gelişen Özofagus Atrezili Olgularda Oral Mikrobiyom ve Metabolomik Profillerinin İncelenmesi”</t>
        </is>
      </c>
    </row>
    <row r="262" ht="47.25" customHeight="1" s="221">
      <c r="A262" s="5" t="inlineStr">
        <is>
          <t>191.</t>
        </is>
      </c>
      <c r="B262" s="6" t="inlineStr">
        <is>
          <t>SBA 25/262</t>
        </is>
      </c>
      <c r="C262" s="8" t="inlineStr">
        <is>
          <t>Prof. Dr. Serdar ÖZER</t>
        </is>
      </c>
      <c r="D262" s="7" t="inlineStr">
        <is>
          <t>“Septal Perforasyon Onarımı Sonrası Mukosiliyer Klirens değerlendirilmesi: Rinosintigrafi ve Sakkarin Testi ile Karşılaştırmalı Analiz”</t>
        </is>
      </c>
    </row>
    <row r="263" ht="47.25" customHeight="1" s="221">
      <c r="A263" s="5" t="inlineStr">
        <is>
          <t>192.</t>
        </is>
      </c>
      <c r="B263" s="6" t="inlineStr">
        <is>
          <t>SBA 25/263</t>
        </is>
      </c>
      <c r="C263" s="8" t="inlineStr">
        <is>
          <t>Prof. Dr. Hakan Hıfzı TÜZ</t>
        </is>
      </c>
      <c r="D263" s="7" t="inlineStr">
        <is>
          <t>“Ortognatik Cerrahi Takiplerinde Karşılaşılan Nörosensoriyel Bozuklukların Klinik Testler ile Değerlendirilmesi ve Yaşam Kalitesi Üzerine Etkisi”</t>
        </is>
      </c>
    </row>
    <row r="264" ht="78.75" customHeight="1" s="221">
      <c r="A264" s="5" t="inlineStr">
        <is>
          <t>193.</t>
        </is>
      </c>
      <c r="B264" s="6" t="inlineStr">
        <is>
          <t>SBA 25/264</t>
        </is>
      </c>
      <c r="C264" s="8" t="inlineStr">
        <is>
          <t>Doç. Dr. Seda Hanife OĞUZ BAYKAL</t>
        </is>
      </c>
      <c r="D264" s="7" t="inlineStr">
        <is>
          <t>“Cinsiyet Olumlayıcı Hormon Tedavisi Alan Transgender Erkekler ve Endojen Hiperandrojenizmi Olan Polikistik Over Sendromlu Kadınlarda İnsülin Direnci ile İlişkili Laboratuvar ve Vücut Kompozisyon Parametrelerinin Karşılaştırılması”</t>
        </is>
      </c>
    </row>
    <row r="265" ht="31.5" customHeight="1" s="221">
      <c r="A265" s="5" t="inlineStr">
        <is>
          <t>194.</t>
        </is>
      </c>
      <c r="B265" s="6" t="inlineStr">
        <is>
          <t>SBA 25/265</t>
        </is>
      </c>
      <c r="C265" s="8" t="inlineStr">
        <is>
          <t>Prof. Dr. Deniz ÇAĞDAŞ AYVAZ</t>
        </is>
      </c>
      <c r="D265" s="7" t="inlineStr">
        <is>
          <t>“Sarkoidoz Hastalarının İmmünolojik Açıdan Değerlendirilmesi”</t>
        </is>
      </c>
    </row>
    <row r="266" ht="47.25" customHeight="1" s="221">
      <c r="A266" s="5" t="inlineStr">
        <is>
          <t>195.</t>
        </is>
      </c>
      <c r="B266" s="6" t="inlineStr">
        <is>
          <t>SBA 25/266</t>
        </is>
      </c>
      <c r="C266" s="8" t="inlineStr">
        <is>
          <t>Prof. Dr. Emel UZUNOĞLU ÖZYÜREK</t>
        </is>
      </c>
      <c r="D266" s="7" t="inlineStr">
        <is>
          <t>“Rejeneratif Endodontik Tedavide Kullanılan Materyallerin Simüle Dişlerin Kırılma Dayanımına Etkisi: Laboratuvar Çalışması”</t>
        </is>
      </c>
    </row>
    <row r="267" ht="63" customHeight="1" s="221">
      <c r="A267" s="5" t="inlineStr">
        <is>
          <t>196.</t>
        </is>
      </c>
      <c r="B267" s="6" t="inlineStr">
        <is>
          <t>SBA 25/267</t>
        </is>
      </c>
      <c r="C267" s="8" t="inlineStr">
        <is>
          <t>Dr. Öğr. Üyesi Gonca ÖZTEN DERE</t>
        </is>
      </c>
      <c r="D267" s="7" t="inlineStr">
        <is>
          <t>“Fertil Yaş Grubunda Myomektomi Sonrası Gerçekleşen Gebeliklerin Myomektomi Zamanı ile Gebelik Zamanı Arasında Geçen Sürelerin ve Gebelik Sonuçlarının Retrospektif Olarak Araştırılması”</t>
        </is>
      </c>
    </row>
    <row r="268" ht="47.25" customHeight="1" s="221">
      <c r="A268" s="5" t="inlineStr">
        <is>
          <t>197.</t>
        </is>
      </c>
      <c r="B268" s="6" t="inlineStr">
        <is>
          <t>SBA 25/268</t>
        </is>
      </c>
      <c r="C268" s="8" t="inlineStr">
        <is>
          <t>Prof. Dr. Mustafa Barış GÜNCÜ</t>
        </is>
      </c>
      <c r="D268" s="7" t="inlineStr">
        <is>
          <t>“Titanyum Tabanlı Monolitik Zirkonya Köprülerin Klinik Değerlendirmesi: Bir Retrospektif Takip Çalışması”</t>
        </is>
      </c>
    </row>
    <row r="269" ht="47.25" customHeight="1" s="221">
      <c r="A269" s="5" t="inlineStr">
        <is>
          <t>198.</t>
        </is>
      </c>
      <c r="B269" s="6" t="inlineStr">
        <is>
          <t>SBA 25/269</t>
        </is>
      </c>
      <c r="C269" s="8" t="inlineStr">
        <is>
          <t>Dr. Öğr. Üyesi Güneş GÜNER GEBEŞ</t>
        </is>
      </c>
      <c r="D269" s="7" t="inlineStr">
        <is>
          <t>“Testiküler Germ Hücreli Tümörlerde Tedavi Yanıtı ve Prognoz ile İlişkilendirilebilecek Biyobelirteçlerin Araştırılması”</t>
        </is>
      </c>
    </row>
    <row r="270" ht="47.25" customHeight="1" s="221">
      <c r="A270" s="5" t="inlineStr">
        <is>
          <t>199.</t>
        </is>
      </c>
      <c r="B270" s="6" t="inlineStr">
        <is>
          <t>SBA 25/270</t>
        </is>
      </c>
      <c r="C270" s="8" t="inlineStr">
        <is>
          <t>Prof. Dr. Sinem AKGÜL</t>
        </is>
      </c>
      <c r="D270" s="7" t="inlineStr">
        <is>
          <t>“Anoreksiya Nervoza Hastalarında Solunum Fonksiyonları ile Kas Kalınlığı ve Kuvveti Arasındaki İlişkinin Araştırılması: Vaka-Kontrol ve İzlem Çalışması”</t>
        </is>
      </c>
    </row>
    <row r="271" ht="47.25" customHeight="1" s="221">
      <c r="A271" s="5" t="inlineStr">
        <is>
          <t>200.</t>
        </is>
      </c>
      <c r="B271" s="6" t="inlineStr">
        <is>
          <t>SBA 25/271</t>
        </is>
      </c>
      <c r="C271" s="8" t="inlineStr">
        <is>
          <t>Doç. Dr. Uzay KOÇ VURAL</t>
        </is>
      </c>
      <c r="D271" s="7" t="inlineStr">
        <is>
          <t>“Kalsiyum Silikat ve Kalsiyum Hidroksit Kontaminasyonunun Universal Adezivlerin Dentin Yüzeylerine Bağlanma Dayanımı Üzerindeki Etkisi”</t>
        </is>
      </c>
    </row>
    <row r="272" ht="31.5" customHeight="1" s="221">
      <c r="A272" s="5" t="inlineStr">
        <is>
          <t>201.</t>
        </is>
      </c>
      <c r="B272" s="6" t="inlineStr">
        <is>
          <t>SBA 25/272</t>
        </is>
      </c>
      <c r="C272" s="8" t="inlineStr">
        <is>
          <t>Prof. Dr. Ali DURSUN</t>
        </is>
      </c>
      <c r="D272" s="7" t="inlineStr">
        <is>
          <t>“Pediatrik Hiperlipidemi Hastalarında Glikolizasyon Profil  Karşılaştırması”</t>
        </is>
      </c>
    </row>
    <row r="273" ht="47.25" customHeight="1" s="221">
      <c r="A273" s="5" t="inlineStr">
        <is>
          <t>202.</t>
        </is>
      </c>
      <c r="B273" s="6" t="inlineStr">
        <is>
          <t>SBA 25/273</t>
        </is>
      </c>
      <c r="C273" s="8" t="inlineStr">
        <is>
          <t>Prof. Dr. Yasemin ÖZSÜREKCİ</t>
        </is>
      </c>
      <c r="D273" s="7" t="inlineStr">
        <is>
          <t>“Türkiye'de Steril Vücut Sıvılarında Streptococcus Pneumoniae Serogruplarının Prevalansı: Çok Merkezli, Prospektif Çalışma”</t>
        </is>
      </c>
    </row>
    <row r="274" ht="78.75" customHeight="1" s="221">
      <c r="A274" s="5" t="inlineStr">
        <is>
          <t>203.</t>
        </is>
      </c>
      <c r="B274" s="6" t="inlineStr">
        <is>
          <t>SBA 25/274</t>
        </is>
      </c>
      <c r="C274" s="8" t="inlineStr">
        <is>
          <t>Doç. Dr. Duygu AYHAN BAŞER</t>
        </is>
      </c>
      <c r="D274" s="7" t="inlineStr">
        <is>
          <t>“Kullanılmış İnsülin İğnelerinin İmha Yöntemlerinin Tespiti: Türkiye’de Bir Aile Sağlığı Merkezi’nde Yapılandırılmış Hasta Eğitimi Müdahalesinin Sürdürülebilir Evsel Tıbbi Atık Yönetimine Etkisinin Değerlendirilmesi”</t>
        </is>
      </c>
    </row>
    <row r="275" ht="47.25" customHeight="1" s="221">
      <c r="A275" s="5" t="inlineStr">
        <is>
          <t>204.</t>
        </is>
      </c>
      <c r="B275" s="6" t="inlineStr">
        <is>
          <t>SBA 25/275</t>
        </is>
      </c>
      <c r="C275" s="8" t="inlineStr">
        <is>
          <t>Doç. Dr. Seda AYDAN</t>
        </is>
      </c>
      <c r="D275" s="7" t="inlineStr">
        <is>
          <t>“Ambulans Çağrısı Sonrası Hastaneye Nakledilmeyen Hasta Özelliklerinin İncelenmesi ve Alternatif Bakım Önerilerinin Değerlendirilmesi”</t>
        </is>
      </c>
    </row>
    <row r="276" ht="47.25" customHeight="1" s="221">
      <c r="A276" s="5" t="inlineStr">
        <is>
          <t>205.</t>
        </is>
      </c>
      <c r="B276" s="6" t="inlineStr">
        <is>
          <t>SBA 25/276</t>
        </is>
      </c>
      <c r="C276" s="8" t="inlineStr">
        <is>
          <t>Prof. Dr. Bülent ATİLLA</t>
        </is>
      </c>
      <c r="D276" s="7" t="inlineStr">
        <is>
          <t>“Orta Dönemde Bakılan Serum ve İdrar Metal İyon Seviyeleri, Metal-Metal Kalça Artroplastisinin On İki Yıllık Sağkalımım Öngörebilir mi?”</t>
        </is>
      </c>
    </row>
    <row r="277" ht="47.25" customHeight="1" s="221">
      <c r="A277" s="5" t="inlineStr">
        <is>
          <t>206.</t>
        </is>
      </c>
      <c r="B277" s="6" t="inlineStr">
        <is>
          <t>SBA 25/277</t>
        </is>
      </c>
      <c r="C277" s="8" t="inlineStr">
        <is>
          <t>Prof. Dr. Hüseyin Hüsrev TURNAGÖL</t>
        </is>
      </c>
      <c r="D277" s="7" t="inlineStr">
        <is>
          <t>"Rekreasyonel Sporcuların Maksimal Oksijen Tüketim Düzeyleri ile Vücut Kompozisyonu Arasındaki İlişkinin Belirlenmesi"</t>
        </is>
      </c>
    </row>
    <row r="278" ht="31.5" customHeight="1" s="221">
      <c r="A278" s="5" t="inlineStr">
        <is>
          <t>207.</t>
        </is>
      </c>
      <c r="B278" s="6" t="inlineStr">
        <is>
          <t>SBA 25/278</t>
        </is>
      </c>
      <c r="C278" s="8" t="inlineStr">
        <is>
          <t>Doç. Dr. Duygu AYHAN BAŞER</t>
        </is>
      </c>
      <c r="D278" s="7" t="inlineStr">
        <is>
          <t>“Uyku Sağlığı Okuryazarlığı Ölçeğinin Türkçe Geçerlik ve Güvenirlik Çalışması"</t>
        </is>
      </c>
    </row>
    <row r="279" ht="63" customHeight="1" s="221">
      <c r="A279" s="5" t="inlineStr">
        <is>
          <t>208.</t>
        </is>
      </c>
      <c r="B279" s="6" t="inlineStr">
        <is>
          <t>SBA 25/279</t>
        </is>
      </c>
      <c r="C279" s="8" t="inlineStr">
        <is>
          <t>Doç. Dr. Naşide MANGIR BOLAT</t>
        </is>
      </c>
      <c r="D279" s="7" t="inlineStr">
        <is>
          <t>“Videoürodinami Tetkiki Öncesi Hastanın Skopi İşlemi Sırasında Maruz Kalacağı Radyasyon Miktarını Öngörücü Faktörlerin ve Videoürodinami Tetkiki ile Kadın İşeme Fonksiyonun Tanımlanması”</t>
        </is>
      </c>
    </row>
    <row r="280" ht="47.25" customHeight="1" s="221">
      <c r="A280" s="5" t="inlineStr">
        <is>
          <t>209.</t>
        </is>
      </c>
      <c r="B280" s="6" t="inlineStr">
        <is>
          <t>SBA 25/280</t>
        </is>
      </c>
      <c r="C280" s="8" t="inlineStr">
        <is>
          <t>Prof. Dr. Mustafa CENGİZ</t>
        </is>
      </c>
      <c r="D280" s="7" t="inlineStr">
        <is>
          <t>“Rekürren Glial Tümörlerde Robotik Jiroskopik Lattice Tedavisi ile Reirradyasyon: Klinik Sonuçlar ve Yaşam Kalitesinin Değerlendirilmesi”</t>
        </is>
      </c>
    </row>
    <row r="281" ht="47.25" customHeight="1" s="221">
      <c r="A281" s="5" t="inlineStr">
        <is>
          <t>210.</t>
        </is>
      </c>
      <c r="B281" s="6" t="inlineStr">
        <is>
          <t>SBA 25/281</t>
        </is>
      </c>
      <c r="C281" s="8" t="inlineStr">
        <is>
          <t>Prof. Dr. Ömür ÇAĞLAR</t>
        </is>
      </c>
      <c r="D281" s="7" t="inlineStr">
        <is>
          <t>“Total Kalça Protezi Yapılan Hastalarda Gelişen Periprostetik Kırıkların Uzun Dönem Sonuçları ve Sağkalım Analizi”</t>
        </is>
      </c>
    </row>
    <row r="282" ht="47.25" customHeight="1" s="221">
      <c r="A282" s="5" t="inlineStr">
        <is>
          <t>211.</t>
        </is>
      </c>
      <c r="B282" s="6" t="inlineStr">
        <is>
          <t>SBA 25/282</t>
        </is>
      </c>
      <c r="C282" s="8" t="inlineStr">
        <is>
          <t>Doç. Dr. Mehmet Ali KARACA</t>
        </is>
      </c>
      <c r="D282" s="7" t="inlineStr">
        <is>
          <t>“Acil Serviste Fraktür Şüphesi Taşıyan Hastalara Çekilen Pelvis Bilgisayarlı              Tomografi Görüntülerinin Yapay Zeka ile Değerlendirilmesi”</t>
        </is>
      </c>
    </row>
    <row r="283" ht="47.25" customHeight="1" s="221">
      <c r="A283" s="5" t="inlineStr">
        <is>
          <t>212.</t>
        </is>
      </c>
      <c r="B283" s="6" t="inlineStr">
        <is>
          <t>SBA 25/283</t>
        </is>
      </c>
      <c r="C283" s="8" t="inlineStr">
        <is>
          <t>Doç. Dr. Duygu AYHAN BAŞER</t>
        </is>
      </c>
      <c r="D283" s="7" t="inlineStr">
        <is>
          <t>“Bir Aile Sağlığı Merkezi’ne Başvuran Erişkin Bireylerin Hipnoterapi Konusundaki Bilgi ve Tutumlarının İncelenmesi”</t>
        </is>
      </c>
    </row>
    <row r="284" ht="31.5" customHeight="1" s="221">
      <c r="A284" s="5" t="inlineStr">
        <is>
          <t>213.</t>
        </is>
      </c>
      <c r="B284" s="6" t="inlineStr">
        <is>
          <t>SBA 25/284</t>
        </is>
      </c>
      <c r="C284" s="8" t="inlineStr">
        <is>
          <t>Doç. Dr. Halide Özge BAŞARAN</t>
        </is>
      </c>
      <c r="D284" s="7" t="inlineStr">
        <is>
          <t>“Otoinflamatuvar Hastalıklarda Akciğer Tutulumunun Değerlendirilmesi”</t>
        </is>
      </c>
    </row>
    <row r="285" ht="31.5" customHeight="1" s="221">
      <c r="A285" s="5" t="inlineStr">
        <is>
          <t>214.</t>
        </is>
      </c>
      <c r="B285" s="6" t="inlineStr">
        <is>
          <t>SBA 25/285</t>
        </is>
      </c>
      <c r="C285" s="8" t="inlineStr">
        <is>
          <t>Doç. Dr. Halide Özge BAŞARAN</t>
        </is>
      </c>
      <c r="D285" s="7" t="inlineStr">
        <is>
          <t>“Psöriatik Artrit ve Psöriasis Tanılı Hastaların Tırnak Yatağı Kapilleroskopi Değerlendirmesi”</t>
        </is>
      </c>
    </row>
    <row r="286" ht="31.5" customHeight="1" s="221">
      <c r="A286" s="5" t="inlineStr">
        <is>
          <t>215.</t>
        </is>
      </c>
      <c r="B286" s="6" t="inlineStr">
        <is>
          <t>SBA 25/286</t>
        </is>
      </c>
      <c r="C286" s="8" t="inlineStr">
        <is>
          <t>Doç. Dr. Halide Özge BAŞARAN</t>
        </is>
      </c>
      <c r="D286" s="7" t="inlineStr">
        <is>
          <t>“Otoimmün Hastalıklarda Eşlik Eden Ek Otoimmün Hastalıkların İncelenmesi”</t>
        </is>
      </c>
    </row>
    <row r="287" ht="31.5" customHeight="1" s="221">
      <c r="A287" s="5" t="inlineStr">
        <is>
          <t>216.</t>
        </is>
      </c>
      <c r="B287" s="6" t="inlineStr">
        <is>
          <t>SBA 25/287</t>
        </is>
      </c>
      <c r="C287" s="8" t="inlineStr">
        <is>
          <t>Doç. Dr. Halide Özge BAŞARAN</t>
        </is>
      </c>
      <c r="D287" s="7" t="inlineStr">
        <is>
          <t>“Juvenil İdiyopatik Artritte Hastalık Gidişatının Değerlendirilmesinde Kalprotektinin Yeri”</t>
        </is>
      </c>
    </row>
    <row r="288" ht="31.5" customHeight="1" s="221">
      <c r="A288" s="5" t="inlineStr">
        <is>
          <t>217.</t>
        </is>
      </c>
      <c r="B288" s="6" t="inlineStr">
        <is>
          <t>SBA 25/288</t>
        </is>
      </c>
      <c r="C288" s="8" t="inlineStr">
        <is>
          <t>Prof. Dr. Bülent Enis ŞEKEREL</t>
        </is>
      </c>
      <c r="D288" s="7" t="inlineStr">
        <is>
          <t>“6-18 Yaş Arası Besin İlişkili IgE Aracılı Reaksiyonu Olan Hastaların Değerlendirilmesi”</t>
        </is>
      </c>
    </row>
    <row r="289" ht="31.5" customHeight="1" s="221">
      <c r="A289" s="5" t="inlineStr">
        <is>
          <t>218.</t>
        </is>
      </c>
      <c r="B289" s="6" t="inlineStr">
        <is>
          <t>SBA 25/289</t>
        </is>
      </c>
      <c r="C289" s="8" t="inlineStr">
        <is>
          <t>Prof. Dr. Özge UYSAL SOYER</t>
        </is>
      </c>
      <c r="D289" s="7" t="inlineStr">
        <is>
          <t>“Astım Hastalarında Yorgunluk Düzeyinin Astım Kontrol Durumu ile İlişkisinin Değerlendirilmesi”</t>
        </is>
      </c>
    </row>
    <row r="290" ht="47.25" customHeight="1" s="221">
      <c r="A290" s="5" t="inlineStr">
        <is>
          <t>219.</t>
        </is>
      </c>
      <c r="B290" s="6" t="inlineStr">
        <is>
          <t>SBA 25/290</t>
        </is>
      </c>
      <c r="C290" s="8" t="inlineStr">
        <is>
          <t>Prof. Dr. Özge UYSAL SOYER</t>
        </is>
      </c>
      <c r="D290" s="7" t="inlineStr">
        <is>
          <t>“Antiepileptik İlaç Aşırı Duyarlılık Reaksiyonlarının Klinik ve Laboratuvar Özelliklerinin Risk Analizi ile Değerlendirilmesi”</t>
        </is>
      </c>
    </row>
    <row r="291" ht="31.5" customHeight="1" s="221">
      <c r="A291" s="5" t="inlineStr">
        <is>
          <t>220.</t>
        </is>
      </c>
      <c r="B291" s="6" t="inlineStr">
        <is>
          <t>SBA 25/291</t>
        </is>
      </c>
      <c r="C291" s="8" t="inlineStr">
        <is>
          <t>Prof. Dr. Yelda BİLGİNER</t>
        </is>
      </c>
      <c r="D291" s="7" t="inlineStr">
        <is>
          <t>“Çocukluk Çağı IgG4 İlişkili Hastalık: Çok Merkezli Uluslararası Çalışma”</t>
        </is>
      </c>
    </row>
    <row r="292" ht="31.5" customHeight="1" s="221">
      <c r="A292" s="5" t="inlineStr">
        <is>
          <t>221.</t>
        </is>
      </c>
      <c r="B292" s="6" t="inlineStr">
        <is>
          <t>SBA 25/292</t>
        </is>
      </c>
      <c r="C292" s="8" t="inlineStr">
        <is>
          <t>Prof. Dr. Selçuk DAĞDELEN</t>
        </is>
      </c>
      <c r="D292" s="7" t="inlineStr">
        <is>
          <t>“Kronik Böbrek Hastalarında Glisemik Değişkenlik ve Metabolik Profilin İncelenmesi”</t>
        </is>
      </c>
    </row>
    <row r="293" ht="31.5" customHeight="1" s="221">
      <c r="A293" s="5" t="inlineStr">
        <is>
          <t>222.</t>
        </is>
      </c>
      <c r="B293" s="6" t="inlineStr">
        <is>
          <t>SBA 25/293</t>
        </is>
      </c>
      <c r="C293" s="8" t="inlineStr">
        <is>
          <t>Prof. Dr. Aysun BALSEVEN ODABAŞI</t>
        </is>
      </c>
      <c r="D293" s="7" t="inlineStr">
        <is>
          <t>“Adli Tıp Araştırma Görevlilerinin İstifalarına Yönelik Değerlendirme: Bir Anket Çalışması”</t>
        </is>
      </c>
    </row>
    <row r="294" ht="63" customHeight="1" s="221">
      <c r="A294" s="5" t="inlineStr">
        <is>
          <t>223.</t>
        </is>
      </c>
      <c r="B294" s="6" t="inlineStr">
        <is>
          <t>SBA 25/294</t>
        </is>
      </c>
      <c r="C294" s="8" t="inlineStr">
        <is>
          <t>Prof. Dr. Ayşe HEVES KARAGÖZ</t>
        </is>
      </c>
      <c r="D294" s="7" t="inlineStr">
        <is>
          <t>“Abdominal ve Torasik Aort Anevrizma Olgularında Endovasküler Onarım Sırasındaki Anestezi Yaklaşımının Klinik Sonuçlar Üzerine Etkilerinin Retrospektif Olarak İncelenmesi”</t>
        </is>
      </c>
    </row>
    <row r="295" ht="31.5" customHeight="1" s="221">
      <c r="A295" s="5" t="inlineStr">
        <is>
          <t>224.</t>
        </is>
      </c>
      <c r="B295" s="6" t="inlineStr">
        <is>
          <t>SBA 25/295</t>
        </is>
      </c>
      <c r="C295" s="8" t="inlineStr">
        <is>
          <t>Doç. Dr. Hande GÖRÜCÜ COŞKUNER</t>
        </is>
      </c>
      <c r="D295" s="7" t="inlineStr">
        <is>
          <t>“Ortodontik Tedavi Sürecinin Keratinize Diş Eti Özellikleri Üzerine Etkisinin İncelenmesi”</t>
        </is>
      </c>
    </row>
    <row r="296" ht="63" customHeight="1" s="221">
      <c r="A296" s="5" t="inlineStr">
        <is>
          <t>225.</t>
        </is>
      </c>
      <c r="B296" s="6" t="inlineStr">
        <is>
          <t>SBA 25/296</t>
        </is>
      </c>
      <c r="C296" s="8" t="inlineStr">
        <is>
          <t>Doç. Dr. İzzet FİDANCI</t>
        </is>
      </c>
      <c r="D296" s="7" t="inlineStr">
        <is>
          <t>“Ankara’da Çalışan Aile Hekimlerinin Çalıştıkları İlçenin Sosyo-Ekonomik Gelişmişlik Düzeyi ile Tükenmişlik Durumları Arasındaki İlişkinin Değerlendirilmesi”</t>
        </is>
      </c>
    </row>
    <row r="297" ht="47.25" customHeight="1" s="221">
      <c r="A297" s="5" t="inlineStr">
        <is>
          <t>226.</t>
        </is>
      </c>
      <c r="B297" s="6" t="inlineStr">
        <is>
          <t>SBA 25/297</t>
        </is>
      </c>
      <c r="C297" s="8" t="inlineStr">
        <is>
          <t>Prof. Dr. Ayşen AKINCI</t>
        </is>
      </c>
      <c r="D297" s="7" t="inlineStr">
        <is>
          <t>“Ankilozan Spondiliti Olan ve Olmayan Bireylerde Aşil, Plantar Fasya, Supraspinatus Entez Bölgelerinin Shear Wave Elastografi ile Değerlendirilmesi”</t>
        </is>
      </c>
    </row>
    <row r="298" ht="63" customHeight="1" s="221">
      <c r="A298" s="5" t="inlineStr">
        <is>
          <t>227.</t>
        </is>
      </c>
      <c r="B298" s="6" t="inlineStr">
        <is>
          <t>SBA 25/298</t>
        </is>
      </c>
      <c r="C298" s="8" t="inlineStr">
        <is>
          <t>Prof. Dr. Mehmet AYVAZ</t>
        </is>
      </c>
      <c r="D298" s="7" t="inlineStr">
        <is>
          <t>“Erken Başlangıçlı Skolyozda Tweener Grubunun Cerrahi Tedavisinde Büyüyen Rod Uygulamaları ile Posterior Spinal Füzyonun Orta-Uzun Dönem Sonuçlarının Karşılaştırılması”</t>
        </is>
      </c>
    </row>
    <row r="299" ht="31.5" customHeight="1" s="221">
      <c r="A299" s="5" t="inlineStr">
        <is>
          <t>228.</t>
        </is>
      </c>
      <c r="B299" s="6" t="inlineStr">
        <is>
          <t>SBA 25/299</t>
        </is>
      </c>
      <c r="C299" s="8" t="inlineStr">
        <is>
          <t>Prof. Dr. Güney YILMAZ</t>
        </is>
      </c>
      <c r="D299" s="7" t="inlineStr">
        <is>
          <t>“Serebral Palsili Çocuklarda Kalça Cerrahisi Sonrası Tekrar Çıkık Gelişimini Etkileyen Faktörler”</t>
        </is>
      </c>
    </row>
    <row r="300" ht="63" customHeight="1" s="221">
      <c r="A300" s="5" t="inlineStr">
        <is>
          <t>229.</t>
        </is>
      </c>
      <c r="B300" s="6" t="inlineStr">
        <is>
          <t>SBA 25/300</t>
        </is>
      </c>
      <c r="C300" s="8" t="inlineStr">
        <is>
          <t>Prof. Dr. Güney YILMAZ</t>
        </is>
      </c>
      <c r="D300" s="7" t="inlineStr">
        <is>
          <t>“Pediatrik Popülasyonda Pelvik BT ile Asetabular Sektör Açıları ve Femoroasetabular Parametreler Arasındaki Korelasyonun Değerlendirilmesi ve Normatif Referans Değerlerin Belirlenmesi”</t>
        </is>
      </c>
    </row>
    <row r="301" ht="63" customHeight="1" s="221">
      <c r="A301" s="5" t="inlineStr">
        <is>
          <t>230.</t>
        </is>
      </c>
      <c r="B301" s="6" t="inlineStr">
        <is>
          <t>SBA 25/301</t>
        </is>
      </c>
      <c r="C301" s="8" t="inlineStr">
        <is>
          <t>Dr. Öğr. Üyesi Gökçen AKÇİÇEK</t>
        </is>
      </c>
      <c r="D301" s="7" t="inlineStr">
        <is>
          <t>“Panoramik Radyograflarda Derin Öğrenme Yöntemiyle Gelistirilen Yapay Zeka Algoritmasıyla Mandibulada Idiyopatik Osteoskleroz ile Kondensing Osteitisin Tespitinin ve Ayrımının Yapılması”</t>
        </is>
      </c>
    </row>
    <row r="302" ht="31.5" customHeight="1" s="221">
      <c r="A302" s="5" t="inlineStr">
        <is>
          <t>231.</t>
        </is>
      </c>
      <c r="B302" s="6" t="inlineStr">
        <is>
          <t>SBA 25/302</t>
        </is>
      </c>
      <c r="C302" s="8" t="inlineStr">
        <is>
          <t>Doç. Dr. Derman BAŞARAN</t>
        </is>
      </c>
      <c r="D302" s="7" t="inlineStr">
        <is>
          <t>“Geriatrik Jinekolojik Hastalarda Cerrahi Morbiditenin İncelenmesi”</t>
        </is>
      </c>
    </row>
    <row r="303" ht="31.5" customHeight="1" s="221">
      <c r="A303" s="5" t="inlineStr">
        <is>
          <t>232.</t>
        </is>
      </c>
      <c r="B303" s="6" t="inlineStr">
        <is>
          <t>SBA 25/303</t>
        </is>
      </c>
      <c r="C303" s="8" t="inlineStr">
        <is>
          <t>Prof. Dr. Zafer Selçuk TUNCER</t>
        </is>
      </c>
      <c r="D303" s="7" t="inlineStr">
        <is>
          <t>“İzole Humerus Kırığı İle Prezente Olan Endometrium Kanseri Vaka Raporu”</t>
        </is>
      </c>
    </row>
    <row r="304" ht="31.5" customHeight="1" s="221">
      <c r="A304" s="5" t="inlineStr">
        <is>
          <t>233.</t>
        </is>
      </c>
      <c r="B304" s="6" t="inlineStr">
        <is>
          <t>SBA 25/304</t>
        </is>
      </c>
      <c r="C304" s="8" t="inlineStr">
        <is>
          <t>Doç. Dr. Duygu AYHAN BAŞER</t>
        </is>
      </c>
      <c r="D304" s="7" t="inlineStr">
        <is>
          <t>“Kanıta Dayalı Eğitim Müdahaleleri ile Lipid Profili Test İstemlerinin Optimizasyonu: Kalite Geliştirme Çalışması”</t>
        </is>
      </c>
    </row>
    <row r="305" ht="47.25" customHeight="1" s="221">
      <c r="A305" s="5" t="inlineStr">
        <is>
          <t>234.</t>
        </is>
      </c>
      <c r="B305" s="6" t="inlineStr">
        <is>
          <t>SBA 25/305</t>
        </is>
      </c>
      <c r="C305" s="8" t="inlineStr">
        <is>
          <t>Doç. Dr. Duygu AYHAN BAŞER</t>
        </is>
      </c>
      <c r="D305" s="7" t="inlineStr">
        <is>
          <t>“Aile Sağlığı Merkezlerinde Aile Hekimleri Tarafından Yapılacak Bakım Noktası Ultrasonografisi: Erişkin Bireylerin Tutum ve Güveni”</t>
        </is>
      </c>
    </row>
    <row r="306" ht="31.5" customHeight="1" s="221">
      <c r="A306" s="5" t="inlineStr">
        <is>
          <t>235.</t>
        </is>
      </c>
      <c r="B306" s="6" t="inlineStr">
        <is>
          <t>SBA 25/306</t>
        </is>
      </c>
      <c r="C306" s="8" t="inlineStr">
        <is>
          <t>Prof. Dr. Murat GÜLTEKİN</t>
        </is>
      </c>
      <c r="D306" s="7" t="inlineStr">
        <is>
          <t>“Borderline Over Tümörlerinde Histerektominin Prognoza Etkisi”</t>
        </is>
      </c>
    </row>
    <row r="307" ht="31.5" customHeight="1" s="221">
      <c r="A307" s="5" t="inlineStr">
        <is>
          <t>236.</t>
        </is>
      </c>
      <c r="B307" s="6" t="inlineStr">
        <is>
          <t>SBA 25/307</t>
        </is>
      </c>
      <c r="C307" s="8" t="inlineStr">
        <is>
          <t>Doç. Dr. Neslihan AKDOĞAN</t>
        </is>
      </c>
      <c r="D307" s="7" t="inlineStr">
        <is>
          <t>“IL-23 İnhibitörü Kullanan Hastalarda Üçüncü Ay Yanıtlarının Birinci Yıl Yanıtlarıyla Korelasyonu”</t>
        </is>
      </c>
    </row>
    <row r="308" ht="31.5" customHeight="1" s="221">
      <c r="A308" s="5" t="inlineStr">
        <is>
          <t>237.</t>
        </is>
      </c>
      <c r="B308" s="6" t="inlineStr">
        <is>
          <t>SBA 25/308</t>
        </is>
      </c>
      <c r="C308" s="8" t="inlineStr">
        <is>
          <t>Arş. Gör. Dr. Evrim ÜNVER</t>
        </is>
      </c>
      <c r="D308" s="7" t="inlineStr">
        <is>
          <t>“Kol Salınımının Derinlik Sıçraması Optimal Düşüş Yüksekliğine Etkisinin İncelenmesi”</t>
        </is>
      </c>
    </row>
    <row r="309" ht="31.5" customHeight="1" s="221">
      <c r="A309" s="5" t="inlineStr">
        <is>
          <t>238.</t>
        </is>
      </c>
      <c r="B309" s="6" t="inlineStr">
        <is>
          <t>SBA 25/309</t>
        </is>
      </c>
      <c r="C309" s="8" t="inlineStr">
        <is>
          <t>Doç. Dr. Aslıhan AYKARA</t>
        </is>
      </c>
      <c r="D309" s="7" t="inlineStr">
        <is>
          <t>“Yardımcı Üreme Tekniklerine Başvuran Kadınlarla Güçlendirme Odaklı Sosyal Hizmet Grup Müdahalesi”</t>
        </is>
      </c>
    </row>
    <row r="310" ht="47.25" customHeight="1" s="221">
      <c r="A310" s="5" t="inlineStr">
        <is>
          <t>239.</t>
        </is>
      </c>
      <c r="B310" s="6" t="inlineStr">
        <is>
          <t>SBA 25/310</t>
        </is>
      </c>
      <c r="C310" s="8" t="inlineStr">
        <is>
          <t>Prof. Dr. Emel UZUNOĞLU ÖZYÜREK</t>
        </is>
      </c>
      <c r="D310" s="7" t="inlineStr">
        <is>
          <t>“Kalsiyum Silikat Esaslı Kök Kanal Dolgu Maddelerinin Kanal Tedavili Dişlerin Kırılma Dayanımına Etkisinde Kalsiyum Hidroksitin Rolü”</t>
        </is>
      </c>
    </row>
    <row r="311" ht="63" customHeight="1" s="221">
      <c r="A311" s="5" t="inlineStr">
        <is>
          <t>240.</t>
        </is>
      </c>
      <c r="B311" s="6" t="inlineStr">
        <is>
          <t>SBA 25/311</t>
        </is>
      </c>
      <c r="C311" s="8" t="inlineStr">
        <is>
          <t>Doç. Dr. Ayhan EYMİRLİ</t>
        </is>
      </c>
      <c r="D311" s="7" t="inlineStr">
        <is>
          <t>“Kök Kanalında Kırılan Farklı Döner Eğelerin Kanaldan Uzaklaştırılması Sırasındaki Dentin Kalınlığındaki Değişimin ve Apikalden Taşan Debrisin Değerlendirilmesi”</t>
        </is>
      </c>
    </row>
    <row r="312" ht="63" customHeight="1" s="221">
      <c r="A312" s="5" t="inlineStr">
        <is>
          <t>241.</t>
        </is>
      </c>
      <c r="B312" s="6" t="inlineStr">
        <is>
          <t>SBA 25/312</t>
        </is>
      </c>
      <c r="C312" s="8" t="inlineStr">
        <is>
          <t>Prof. Dr. Ömer KARADAĞ</t>
        </is>
      </c>
      <c r="D312" s="7" t="inlineStr">
        <is>
          <t>“Retroperitoneal Fibrozisli IgG4 İlişkili Hastalığı Bulunan Hastaların Romatolojik ve Ürolojik Açıdan Mortalite, Morbitide, Prognozlarının ve Tedavi Yaklaşımlarının Değerlendirilendirilmesi”</t>
        </is>
      </c>
    </row>
    <row r="313" ht="47.25" customHeight="1" s="221">
      <c r="A313" s="5" t="inlineStr">
        <is>
          <t>242.</t>
        </is>
      </c>
      <c r="B313" s="6" t="inlineStr">
        <is>
          <t>SBA 25/313</t>
        </is>
      </c>
      <c r="C313" s="8" t="inlineStr">
        <is>
          <t>Doç. Dr. Derman BAŞARAN</t>
        </is>
      </c>
      <c r="D313" s="7" t="inlineStr">
        <is>
          <t>"Fertilite Koruyucu Tedavi Uygulanan Endometrium Kanseri ve Endometrial İntraepitelyal Neoplazi Tanılı Hastalarda Moleküler Sınıflandırmanın Prognoza Etkisi”</t>
        </is>
      </c>
    </row>
    <row r="314" ht="47.25" customHeight="1" s="221">
      <c r="A314" s="5" t="inlineStr">
        <is>
          <t>243.</t>
        </is>
      </c>
      <c r="B314" s="6" t="inlineStr">
        <is>
          <t>SBA 25/314</t>
        </is>
      </c>
      <c r="C314" s="8" t="inlineStr">
        <is>
          <t>Prof. Dr. Özgür CANBAY</t>
        </is>
      </c>
      <c r="D314" s="7" t="inlineStr">
        <is>
          <t>“Mandibuler Distraktör Takılan Pediatrik Hastalarda Perioperatif Komlikasyonların Retrospektrif İncelenmesi”</t>
        </is>
      </c>
    </row>
    <row r="315" ht="47.25" customHeight="1" s="221">
      <c r="A315" s="5" t="inlineStr">
        <is>
          <t>244.</t>
        </is>
      </c>
      <c r="B315" s="6" t="inlineStr">
        <is>
          <t>SBA 25/315</t>
        </is>
      </c>
      <c r="C315" s="8" t="inlineStr">
        <is>
          <t>Prof. Dr. Ziya Toros SELÇUK</t>
        </is>
      </c>
      <c r="D315" s="7" t="inlineStr">
        <is>
          <t>“Pnömosistis Jirovecii Pnömonisi Tanısı Koyulan Hastalarda Risk Faktörleri ve Tedavi Yanıtlarının Değerlendirilmesi”</t>
        </is>
      </c>
    </row>
    <row r="316" ht="31.5" customHeight="1" s="221">
      <c r="A316" s="5" t="inlineStr">
        <is>
          <t>245.</t>
        </is>
      </c>
      <c r="B316" s="6" t="inlineStr">
        <is>
          <t>SBA 25/316</t>
        </is>
      </c>
      <c r="C316" s="8" t="inlineStr">
        <is>
          <t>Prof. Dr. Emel UZUNOĞLU ÖZYÜREK</t>
        </is>
      </c>
      <c r="D316" s="7" t="inlineStr">
        <is>
          <t>“Kök Kanal Tedavili Dişlerin Kırılma Dayanımında Gütaperkanın Tavsiye Edilen Tüketim Tarihinin Rolü”</t>
        </is>
      </c>
    </row>
    <row r="317" ht="47.25" customHeight="1" s="221">
      <c r="A317" s="5" t="inlineStr">
        <is>
          <t>246.</t>
        </is>
      </c>
      <c r="B317" s="6" t="inlineStr">
        <is>
          <t>SBA 25/317</t>
        </is>
      </c>
      <c r="C317" s="8" t="inlineStr">
        <is>
          <t>Prof. Dr. Işkın Pınar ZARAKOL</t>
        </is>
      </c>
      <c r="D317" s="7" t="inlineStr">
        <is>
          <t>“Cinsel Yolla Bulaşan Enfeksiyonlarda Risk Paternlerinin Veri Odaklı Keşfi: Makine Öğrenimi Yaklaşımı”</t>
        </is>
      </c>
    </row>
    <row r="318" ht="31.5" customHeight="1" s="221">
      <c r="A318" s="5" t="inlineStr">
        <is>
          <t>247.</t>
        </is>
      </c>
      <c r="B318" s="6" t="inlineStr">
        <is>
          <t>SBA 25/318</t>
        </is>
      </c>
      <c r="C318" s="8" t="inlineStr">
        <is>
          <t>Prof. Dr. Burcu Balam DOĞU</t>
        </is>
      </c>
      <c r="D318" s="7" t="inlineStr">
        <is>
          <t>“Adipozite İndeksleri İle Geriatrik Sendromlar Arasındaki İlişki”</t>
        </is>
      </c>
    </row>
    <row r="319" ht="47.25" customHeight="1" s="221">
      <c r="A319" s="5" t="inlineStr">
        <is>
          <t>248.</t>
        </is>
      </c>
      <c r="B319" s="6" t="inlineStr">
        <is>
          <t>SBA 25/319</t>
        </is>
      </c>
      <c r="C319" s="8" t="inlineStr">
        <is>
          <t>Dr. Öğr. Üyesi Onur KOÇ</t>
        </is>
      </c>
      <c r="D319" s="7" t="inlineStr">
        <is>
          <t>“Kişiye Özel İmplantlar İle Yapılan Le Fort 1 Cerrahisinde Maksilla Pozisyonunun Doğruluğunun İncelenmesi”</t>
        </is>
      </c>
    </row>
    <row r="320" ht="31.5" customHeight="1" s="221">
      <c r="A320" s="5" t="inlineStr">
        <is>
          <t>249.</t>
        </is>
      </c>
      <c r="B320" s="6" t="inlineStr">
        <is>
          <t>SBA 25/320</t>
        </is>
      </c>
      <c r="C320" s="8" t="inlineStr">
        <is>
          <t>Doç. Dr. Hilal AKSOY</t>
        </is>
      </c>
      <c r="D320" s="7" t="inlineStr">
        <is>
          <t>“Migren Tedavisi Optimizasyon Anketi (MTOQ)-4"ün Türkçe Geçerlik ve Güvenirlik Çalışması”</t>
        </is>
      </c>
    </row>
    <row r="321" ht="31.5" customHeight="1" s="221">
      <c r="A321" s="5" t="inlineStr">
        <is>
          <t>250.</t>
        </is>
      </c>
      <c r="B321" s="6" t="inlineStr">
        <is>
          <t>SBA 25/321</t>
        </is>
      </c>
      <c r="C321" s="8" t="inlineStr">
        <is>
          <t>Doç. Dr. Duygu AYHAN BAŞER</t>
        </is>
      </c>
      <c r="D321" s="7" t="inlineStr">
        <is>
          <t>“Kronik Hastalıklarda Doktor-Hasta İlişkisi Ölçeği’nin Türkçe Geçerlik ve Güvenirlik Çalışması”</t>
        </is>
      </c>
    </row>
    <row r="322" ht="94.5" customHeight="1" s="221">
      <c r="A322" s="5" t="inlineStr">
        <is>
          <t>251.</t>
        </is>
      </c>
      <c r="B322" s="6" t="inlineStr">
        <is>
          <t>SBA 25/322</t>
        </is>
      </c>
      <c r="C322" s="8" t="inlineStr">
        <is>
          <t>Prof. Dr. Alp USUBÜTÜN</t>
        </is>
      </c>
      <c r="D322" s="7" t="inlineStr">
        <is>
          <t>“Deoksiriboz Nükleik Asit Yanlış Eşleşme Tamir Proteinlerinde İmmunohistokimyasal Olarak Kayıp Gözlenen Endometrium Kanserlerinde, Lynch Sendromu İçin Uygulanan Algoritmanın ve Çalışma Kohortunda Lynch Sendromu Saptanan Olguların Değerlendirilmesi”</t>
        </is>
      </c>
    </row>
    <row r="323" ht="31.5" customHeight="1" s="221">
      <c r="A323" s="5" t="inlineStr">
        <is>
          <t>252.</t>
        </is>
      </c>
      <c r="B323" s="6" t="inlineStr">
        <is>
          <t>SBA 25/323</t>
        </is>
      </c>
      <c r="C323" s="8" t="inlineStr">
        <is>
          <t>Doç. Dr. Oytun PORTAKAL</t>
        </is>
      </c>
      <c r="D323" s="7" t="inlineStr">
        <is>
          <t>“Prostat ve Mesane Kanserlerinde DNA Hasar Yanıtının Hedeflenmesi: Preklinik Modelleme"</t>
        </is>
      </c>
    </row>
    <row r="324" ht="47.25" customHeight="1" s="221">
      <c r="A324" s="5" t="inlineStr">
        <is>
          <t>253.</t>
        </is>
      </c>
      <c r="B324" s="6" t="inlineStr">
        <is>
          <t>SBA 25/324</t>
        </is>
      </c>
      <c r="C324" s="8" t="inlineStr">
        <is>
          <t>Doç. Dr. Derman BAŞARAN</t>
        </is>
      </c>
      <c r="D324" s="7" t="inlineStr">
        <is>
          <t>“Leiomyoma Tanısıyla Opere Edilen Ve Fumarat Hidrataz Eksikliği Saptanan Hastaların Klinik Sonuçlarının Değerlendirilmesi”</t>
        </is>
      </c>
    </row>
    <row r="325" ht="47.25" customHeight="1" s="221">
      <c r="A325" s="5" t="inlineStr">
        <is>
          <t>254.</t>
        </is>
      </c>
      <c r="B325" s="6" t="inlineStr">
        <is>
          <t>SBA 25/325</t>
        </is>
      </c>
      <c r="C325" s="8" t="inlineStr">
        <is>
          <t>Dr. Öğr. Üyesi Selen ADİLOĞLU</t>
        </is>
      </c>
      <c r="D325" s="7" t="inlineStr">
        <is>
          <t>“Bir Üniversite Hastanesindeki Diş Hekimlerinin Dental Anksiyete Konusundaki Bilgi, Farkındalık ve Yönetim Stratejilerinin Değerlendirilmesi”</t>
        </is>
      </c>
    </row>
    <row r="326" ht="31.5" customHeight="1" s="221">
      <c r="A326" s="5" t="inlineStr">
        <is>
          <t>255.</t>
        </is>
      </c>
      <c r="B326" s="6" t="inlineStr">
        <is>
          <t>SBA 25/326</t>
        </is>
      </c>
      <c r="C326" s="8" t="inlineStr">
        <is>
          <t>Prof. Dr. Deniz ÇAĞDAŞ AYVAZ</t>
        </is>
      </c>
      <c r="D326" s="7" t="inlineStr">
        <is>
          <t>“Aktive Fosfoinositid 3-Kinaz Delta| Sendromu Tanısında Laboratuvar Testlerinin Karşılaştırılması”</t>
        </is>
      </c>
    </row>
    <row r="327" ht="63" customHeight="1" s="221">
      <c r="A327" s="5" t="inlineStr">
        <is>
          <t>256.</t>
        </is>
      </c>
      <c r="B327" s="6" t="inlineStr">
        <is>
          <t>SBA 25/327</t>
        </is>
      </c>
      <c r="C327" s="8" t="inlineStr">
        <is>
          <t>Prof. Dr. Elmas Ebru YALÇIN</t>
        </is>
      </c>
      <c r="D327" s="7" t="inlineStr">
        <is>
          <t>“Kistik Fibrozisli Çocuklarda İlk Asemptomatik Metisilin Dirençli Staphylococcus aureus Üremesine Yönelik Antibiyotik Tedavisi Verilmesinin Klinik Duruma Etkisi”</t>
        </is>
      </c>
    </row>
    <row r="328" ht="31.5" customHeight="1" s="221">
      <c r="A328" s="5" t="inlineStr">
        <is>
          <t>257.</t>
        </is>
      </c>
      <c r="B328" s="6" t="inlineStr">
        <is>
          <t>SBA 25/328</t>
        </is>
      </c>
      <c r="C328" s="8" t="inlineStr">
        <is>
          <t>Prof. Dr. Pelin Özlem ŞİMŞEK KİPER</t>
        </is>
      </c>
      <c r="D328" s="7" t="inlineStr">
        <is>
          <t>“46,XY Cinsiyet Gelişim Bozukluğu Tanılı Hastalarda Moleküler Etiyolojinin Araştırılması”</t>
        </is>
      </c>
    </row>
    <row r="329" ht="47.25" customHeight="1" s="221">
      <c r="A329" s="5" t="inlineStr">
        <is>
          <t>258.</t>
        </is>
      </c>
      <c r="B329" s="6" t="inlineStr">
        <is>
          <t>SBA 25/329</t>
        </is>
      </c>
      <c r="C329" s="8" t="inlineStr">
        <is>
          <t>Prof. Dr. Bülent Enis ŞEKEREL</t>
        </is>
      </c>
      <c r="D329" s="7" t="inlineStr">
        <is>
          <t>“İnek Sütü Alerjisi Olan Çocuklarda Serum Albümin Duyarlılığı ve Sığır Eti Alerjisi Birlikteliğinin Değerlendirilmesi”</t>
        </is>
      </c>
    </row>
    <row r="330" ht="31.5" customHeight="1" s="221">
      <c r="A330" s="5" t="inlineStr">
        <is>
          <t>259.</t>
        </is>
      </c>
      <c r="B330" s="6" t="inlineStr">
        <is>
          <t>SBA 25/330</t>
        </is>
      </c>
      <c r="C330" s="8" t="inlineStr">
        <is>
          <t>Prof. Dr. E. Nazlı GÖNÇ</t>
        </is>
      </c>
      <c r="D330" s="7" t="inlineStr">
        <is>
          <t>“Psödohipoparatiroidizmin Klinik ve Laboratuvar Özellikleri ile Genotip-Fenotip İlişkisi”</t>
        </is>
      </c>
    </row>
    <row r="331" ht="31.5" customHeight="1" s="221">
      <c r="A331" s="5" t="inlineStr">
        <is>
          <t>260.</t>
        </is>
      </c>
      <c r="B331" s="6" t="inlineStr">
        <is>
          <t>SBA 25/331</t>
        </is>
      </c>
      <c r="C331" s="8" t="inlineStr">
        <is>
          <t>Öğr. Gör. Dr. Bahattin PASLI</t>
        </is>
      </c>
      <c r="D331" s="7" t="inlineStr">
        <is>
          <t>“Fossa Vermiana’nın Morfolojik ve Morfometrik Olarak İncelenmesi”</t>
        </is>
      </c>
    </row>
    <row r="332" ht="47.25" customHeight="1" s="221">
      <c r="A332" s="5" t="inlineStr">
        <is>
          <t>261.</t>
        </is>
      </c>
      <c r="B332" s="6" t="inlineStr">
        <is>
          <t>SBA 25/332</t>
        </is>
      </c>
      <c r="C332" s="8" t="inlineStr">
        <is>
          <t>Doç. Dr. Ceren GÜNBEY</t>
        </is>
      </c>
      <c r="D332" s="7" t="inlineStr">
        <is>
          <t>“Çocukluk Çağında Dirençli Epilepside Uyku Bozuklukları ve Diğer Komorbid Durumların Değerlendirilmesi”</t>
        </is>
      </c>
    </row>
    <row r="333" ht="47.25" customHeight="1" s="221">
      <c r="A333" s="5" t="inlineStr">
        <is>
          <t>262.</t>
        </is>
      </c>
      <c r="B333" s="6" t="inlineStr">
        <is>
          <t>SBA 25/333</t>
        </is>
      </c>
      <c r="C333" s="8" t="inlineStr">
        <is>
          <t>Doç. Dr. Özlem DİKMETAŞ SANDIKÇI</t>
        </is>
      </c>
      <c r="D333" s="7" t="inlineStr">
        <is>
          <t>“Kornea Endotelini Etkileyen Hastalıklarda İnvivo Konfokal Mikroskopi Görüntülerinin Derin Öğrenme Tabanlı Bilgisayarlı Görü Yöntemleriyle Sınıflandırılması”</t>
        </is>
      </c>
    </row>
    <row r="334" ht="47.25" customHeight="1" s="221">
      <c r="A334" s="5" t="inlineStr">
        <is>
          <t>263.</t>
        </is>
      </c>
      <c r="B334" s="6" t="inlineStr">
        <is>
          <t>SBA 25/334</t>
        </is>
      </c>
      <c r="C334" s="8" t="inlineStr">
        <is>
          <t>Prof. Dr. Burcu Balam DOĞU</t>
        </is>
      </c>
      <c r="D334" s="7" t="inlineStr">
        <is>
          <t>“Yaşlı Bireylerde Farklı Formüllerle Hesaplanan Glomerüler Filtrasyon Hızı ile Kognitif Fonksiyonların ilişkisi”</t>
        </is>
      </c>
    </row>
    <row r="335" ht="47.25" customHeight="1" s="221">
      <c r="A335" s="5" t="inlineStr">
        <is>
          <t>264.</t>
        </is>
      </c>
      <c r="B335" s="6" t="inlineStr">
        <is>
          <t>SBA 25/335</t>
        </is>
      </c>
      <c r="C335" s="8" t="inlineStr">
        <is>
          <t>Prof. Dr. Emel UZUNOĞLU ÖZYÜREK</t>
        </is>
      </c>
      <c r="D335" s="7" t="inlineStr">
        <is>
          <t>“Kök Kanalında Farklı Uzunluklarda Kırılan Nikel-Titanyum Eğelerin Farklı Yöntemler ile Uzaklaştırılmasının Apikalden Taşan Debrise Etkisi”</t>
        </is>
      </c>
    </row>
    <row r="336" ht="47.25" customHeight="1" s="221">
      <c r="A336" s="5" t="inlineStr">
        <is>
          <t>265.</t>
        </is>
      </c>
      <c r="B336" s="6" t="inlineStr">
        <is>
          <t>SBA 25/336</t>
        </is>
      </c>
      <c r="C336" s="8" t="inlineStr">
        <is>
          <t>Doç. Dr. Cafer BALCI</t>
        </is>
      </c>
      <c r="D336" s="7" t="inlineStr">
        <is>
          <t>“Türkiye 65 Yaş Üstü Popülasyonunda Yaşa ve Cinsiyete Göre Baldır Çevresi Persentil Eğrilerinin Oluşturulması: Tek Merkezli Kesitsel Bir Çalışma”</t>
        </is>
      </c>
    </row>
    <row r="337" ht="31.5" customHeight="1" s="221">
      <c r="A337" s="5" t="inlineStr">
        <is>
          <t>266.</t>
        </is>
      </c>
      <c r="B337" s="6" t="inlineStr">
        <is>
          <t>SBA 25/337</t>
        </is>
      </c>
      <c r="C337" s="8" t="inlineStr">
        <is>
          <t>Prof. Dr. Egemen TURHAN</t>
        </is>
      </c>
      <c r="D337" s="7" t="inlineStr">
        <is>
          <t>“Kartilaj Slop ve Ön Çapraz Bağı Rüptürü Risk Faktörlerinin Merge MRG ile Değerlendirilmesi”</t>
        </is>
      </c>
    </row>
    <row r="338" ht="47.25" customHeight="1" s="221">
      <c r="A338" s="5" t="inlineStr">
        <is>
          <t>267.</t>
        </is>
      </c>
      <c r="B338" s="6" t="inlineStr">
        <is>
          <t>SBA 25/338</t>
        </is>
      </c>
      <c r="C338" s="8" t="inlineStr">
        <is>
          <t>Öğr. Gör. Dr. Aslı Şan DAĞLI GÜL</t>
        </is>
      </c>
      <c r="D338" s="7" t="inlineStr">
        <is>
          <t>“Sigara İçen ve İçmeyen Bireylerde D Vitamini Seviyeleri ile İnflamatuar Biyobelirteçler (CRP, IL-17, IL-19) Arasındaki İlişkinin Değerlendirilmesi”</t>
        </is>
      </c>
    </row>
    <row r="339" ht="47.25" customHeight="1" s="221">
      <c r="A339" s="5" t="inlineStr">
        <is>
          <t>268.</t>
        </is>
      </c>
      <c r="B339" s="6" t="inlineStr">
        <is>
          <t>SBA 25/339</t>
        </is>
      </c>
      <c r="C339" s="8" t="inlineStr">
        <is>
          <t>Prof. Dr. M. Özgür UYANIK</t>
        </is>
      </c>
      <c r="D339" s="7" t="inlineStr">
        <is>
          <t>“Farklı Konsantrasyonlarda ve Taşıyıcılarla Hazırlanan Kalsiyum Hidroksitin Apikalden Taşma Miktarının İn Vitro Değerlendirilmesi”</t>
        </is>
      </c>
    </row>
    <row r="340" ht="31.5" customHeight="1" s="221">
      <c r="A340" s="5" t="inlineStr">
        <is>
          <t>269.</t>
        </is>
      </c>
      <c r="B340" s="6" t="inlineStr">
        <is>
          <t>SBA 25/340</t>
        </is>
      </c>
      <c r="C340" s="8" t="inlineStr">
        <is>
          <t>Prof. Dr. İnci Nur SALTIK TEMİZEL</t>
        </is>
      </c>
      <c r="D340" s="7" t="inlineStr">
        <is>
          <t>“Çocuklarda Duodenogastrik Reflü Hastalığı: Bu Bir Fonksiyonel Gastrointestinal Hastalık mıdır?”</t>
        </is>
      </c>
    </row>
    <row r="341" ht="31.5" customHeight="1" s="221">
      <c r="A341" s="5" t="inlineStr">
        <is>
          <t>270.</t>
        </is>
      </c>
      <c r="B341" s="6" t="inlineStr">
        <is>
          <t>SBA 25/341</t>
        </is>
      </c>
      <c r="C341" s="8" t="inlineStr">
        <is>
          <t>Prof. Dr. Ümit Murat ŞAHİNER</t>
        </is>
      </c>
      <c r="D341" s="7" t="inlineStr">
        <is>
          <t>“AtopikDermatit Tanılı Adölesan Hastalarda Uyku ve Yasam Kalitesinin Değerlendirilmesi”</t>
        </is>
      </c>
    </row>
    <row r="342" ht="31.5" customHeight="1" s="221">
      <c r="A342" s="5" t="inlineStr">
        <is>
          <t>271.</t>
        </is>
      </c>
      <c r="B342" s="6" t="inlineStr">
        <is>
          <t>SBA 25/342</t>
        </is>
      </c>
      <c r="C342" s="8" t="inlineStr">
        <is>
          <t>Öğr. Gör. Dr. Yaman MUŞDAL</t>
        </is>
      </c>
      <c r="D342" s="7" t="inlineStr">
        <is>
          <t>“Schwartz Jampel Sendromunda Metabolik Yolakların Araştırılması ve Terapötik Yaklaşım Hedefleri”</t>
        </is>
      </c>
    </row>
    <row r="343" ht="47.25" customHeight="1" s="221">
      <c r="A343" s="5" t="inlineStr">
        <is>
          <t>272.</t>
        </is>
      </c>
      <c r="B343" s="6" t="inlineStr">
        <is>
          <t>SBA 25/343</t>
        </is>
      </c>
      <c r="C343" s="8" t="inlineStr">
        <is>
          <t>Prof. Dr. Mehmet Ali KILIÇARSLAN</t>
        </is>
      </c>
      <c r="D343" s="7" t="inlineStr">
        <is>
          <t>"Erişkinlerde Yaş Tayini İçin Pulpanın Radyolojik Değişikliklerinin İncelendiği Yeni Bir Yöntemin Değerlendirilmesi"</t>
        </is>
      </c>
    </row>
    <row r="344" ht="31.5" customHeight="1" s="221">
      <c r="A344" s="5" t="inlineStr">
        <is>
          <t>273.</t>
        </is>
      </c>
      <c r="B344" s="6" t="inlineStr">
        <is>
          <t>SBA 25/344</t>
        </is>
      </c>
      <c r="C344" s="8" t="inlineStr">
        <is>
          <t>Prof. Dr. Çağrı Mesut TEMUÇİN</t>
        </is>
      </c>
      <c r="D344" s="7" t="inlineStr">
        <is>
          <t>“Elektrofizyoloji Laboratuvarında Miyotonik Boşalımlar: Tanı, Klinik ve Elektrofizyoloji”</t>
        </is>
      </c>
    </row>
    <row r="345" ht="31.5" customHeight="1" s="221">
      <c r="A345" s="5" t="inlineStr">
        <is>
          <t>274.</t>
        </is>
      </c>
      <c r="B345" s="6" t="inlineStr">
        <is>
          <t>SBA 25/345</t>
        </is>
      </c>
      <c r="C345" s="8" t="inlineStr">
        <is>
          <t>Prof. Dr. Çağrı Mesut TEMUÇİN</t>
        </is>
      </c>
      <c r="D345" s="7" t="inlineStr">
        <is>
          <t>“Herediter Miyelin Hastalıklarında Periferik Sinir Sistemi Tutulumunun Elektrofizyolojik Özellikleri”</t>
        </is>
      </c>
    </row>
    <row r="346" ht="63" customHeight="1" s="221">
      <c r="A346" s="5" t="inlineStr">
        <is>
          <t>275.</t>
        </is>
      </c>
      <c r="B346" s="6" t="inlineStr">
        <is>
          <t>SBA 25/346</t>
        </is>
      </c>
      <c r="C346" s="8" t="inlineStr">
        <is>
          <t>Doç. Dr. Nagihan KOÇ</t>
        </is>
      </c>
      <c r="D346" s="7" t="inlineStr">
        <is>
          <t>“Dudak Damak Yarığı Hastalarında Temporomandibuler Eklem Patolojilerinin Konik Işınlı Bilgisayarlı Tomografi (KIBT) Görüntüleri Üzerinden Araştırılması”</t>
        </is>
      </c>
    </row>
    <row r="347" ht="47.25" customHeight="1" s="221">
      <c r="A347" s="5" t="inlineStr">
        <is>
          <t>276.</t>
        </is>
      </c>
      <c r="B347" s="6" t="inlineStr">
        <is>
          <t>SBA 25/347</t>
        </is>
      </c>
      <c r="C347" s="8" t="inlineStr">
        <is>
          <t>Doç. Dr. Oğuz KUŞCU</t>
        </is>
      </c>
      <c r="D347" s="7" t="inlineStr">
        <is>
          <t>“Baş Boyun Yassı Hücreli Kanserlerinde DNA Metilasyonunun Gen Ekspresyonu Üzerinden Prognoza Etkisi”</t>
        </is>
      </c>
      <c r="E347" s="55" t="n"/>
    </row>
    <row r="348" ht="47.25" customHeight="1" s="221">
      <c r="A348" s="5" t="inlineStr">
        <is>
          <t>277.</t>
        </is>
      </c>
      <c r="B348" s="6" t="inlineStr">
        <is>
          <t>SBA 25/348</t>
        </is>
      </c>
      <c r="C348" s="8" t="inlineStr">
        <is>
          <t>Prof. Dr. Mehmet Ruhi ONUR</t>
        </is>
      </c>
      <c r="D348" s="7" t="inlineStr">
        <is>
          <t>“Radyasyon Yönetim Sistemleri ile Bilgisayarlı Tomografi Tetkiklerinin Lokal Tanısal Referans Seviyelerinin Belirlenmesi”</t>
        </is>
      </c>
      <c r="E348" s="55" t="n"/>
    </row>
    <row r="349" ht="47.25" customHeight="1" s="221">
      <c r="A349" s="5" t="inlineStr">
        <is>
          <t>278.</t>
        </is>
      </c>
      <c r="B349" s="6" t="inlineStr">
        <is>
          <t>SBA 25/349</t>
        </is>
      </c>
      <c r="C349" s="8" t="inlineStr">
        <is>
          <t>Prof. Dr. Ömer Alper GÜRLEK</t>
        </is>
      </c>
      <c r="D349" s="7" t="inlineStr">
        <is>
          <t>“Primer Hiperparatiroidi Hastalarında Cerrahi Tedavi ile Sağlanan Kürün Miyokin Profili Üzerindeki Etkilerinin İncelenmesi”</t>
        </is>
      </c>
      <c r="E349" s="55" t="n"/>
    </row>
    <row r="350" ht="47.25" customHeight="1" s="221">
      <c r="A350" s="5" t="inlineStr">
        <is>
          <t>279.</t>
        </is>
      </c>
      <c r="B350" s="6" t="inlineStr">
        <is>
          <t>SBA 25/350</t>
        </is>
      </c>
      <c r="C350" s="8" t="inlineStr">
        <is>
          <t>Prof. Dr. Nalan ÇELEBİ</t>
        </is>
      </c>
      <c r="D350" s="7" t="inlineStr">
        <is>
          <t>“Lateral Epikondilit Tedavisinde Steroid Enjeksiyonu ile Kombine Lateral Antebrakial Kutanöz Sinir Pulsed Radyofrekans Tedavisinin Etkinliğinin Değerlendirilmesi”</t>
        </is>
      </c>
      <c r="E350" s="55" t="n"/>
    </row>
    <row r="351" ht="63" customHeight="1" s="221">
      <c r="A351" s="5" t="inlineStr">
        <is>
          <t>280.</t>
        </is>
      </c>
      <c r="B351" s="6" t="inlineStr">
        <is>
          <t>SBA 25/351</t>
        </is>
      </c>
      <c r="C351" s="8" t="inlineStr">
        <is>
          <t>Prof. Dr. Nalan ÇELEBİ</t>
        </is>
      </c>
      <c r="D351" s="7" t="inlineStr">
        <is>
          <t>“Medial Diz Ağrısı Olan Diz Osteoartritli Hastalarda Safen ve Medial Geniküler Sinirlerin Pulsed Radyofrekans Tedavilerinin Etkinliklerinin Karşılaştırılması”</t>
        </is>
      </c>
      <c r="E351" s="55" t="n"/>
    </row>
    <row r="352" ht="63" customHeight="1" s="221">
      <c r="A352" s="5" t="inlineStr">
        <is>
          <t>281.</t>
        </is>
      </c>
      <c r="B352" s="6" t="inlineStr">
        <is>
          <t>SBA 25/352</t>
        </is>
      </c>
      <c r="C352" s="8" t="inlineStr">
        <is>
          <t>Prof. Dr. İmran VURAL</t>
        </is>
      </c>
      <c r="D352" s="7" t="inlineStr">
        <is>
          <t>“Küresel Bir Halk Sağlığı Problemi Olan Antibiyotik Direncini Aşmak için Antisense Oligonükleotit Temelli Yenilikçi Formülasyonların Geliştirilmesi ve Değerlendirilmesi”</t>
        </is>
      </c>
      <c r="E352" s="55" t="n"/>
    </row>
    <row r="353" ht="47.25" customHeight="1" s="221">
      <c r="A353" s="5" t="inlineStr">
        <is>
          <t>282.</t>
        </is>
      </c>
      <c r="B353" s="6" t="inlineStr">
        <is>
          <t>SBA 25/353</t>
        </is>
      </c>
      <c r="C353" s="8" t="inlineStr">
        <is>
          <t>Dr. Öğr. Üyesi Ceren Damla DURMAZ ÖZDİNÇ</t>
        </is>
      </c>
      <c r="D353" s="7" t="inlineStr">
        <is>
          <t>“Multiple Miyelom Etiyolojisinde Kopya Sayısı Değişikliklerinin Dijital Multipleks Ligasyon Bağımlı Prob Amplifikasyonu (MLPA) ile Araştırılması”</t>
        </is>
      </c>
      <c r="E353" s="55" t="n"/>
    </row>
    <row r="354" ht="63" customHeight="1" s="221">
      <c r="A354" s="5" t="inlineStr">
        <is>
          <t>283.</t>
        </is>
      </c>
      <c r="B354" s="6" t="inlineStr">
        <is>
          <t>SBA 25/354</t>
        </is>
      </c>
      <c r="C354" s="8" t="inlineStr">
        <is>
          <t>Prof. Dr. Özlem BOYBEYİ</t>
        </is>
      </c>
      <c r="D354" s="7" t="inlineStr">
        <is>
          <t>“Çocuklarda Laparoskopik Kolesistektomilerde İndosiyaninyeşil (ICG) destekli Floresan Görüntülemenin Cerrahi Sonuçlara Etkisinin Belirlenmesi”</t>
        </is>
      </c>
      <c r="E354" s="55" t="n"/>
    </row>
    <row r="355" ht="78.75" customHeight="1" s="221">
      <c r="A355" s="5" t="inlineStr">
        <is>
          <t>284.</t>
        </is>
      </c>
      <c r="B355" s="6" t="inlineStr">
        <is>
          <t>SBA 25/355</t>
        </is>
      </c>
      <c r="C355" s="8" t="inlineStr">
        <is>
          <t>Dr. Öğr. Üyesi Irmak OCAK</t>
        </is>
      </c>
      <c r="D355" s="7" t="inlineStr">
        <is>
          <t>“Maksiller Darlığa Sahip İleri Sutural Maturasyon Evresinde Olan Hastalarda Modifiye Glassman Tekniği ile Cortico-Puncture Tekniği Uygulanarak Yapılan Mini Vida Destekli Genişletme Tedavisinin Etkilerinin Karşılaştırılması”</t>
        </is>
      </c>
      <c r="E355" s="55" t="n"/>
    </row>
    <row r="356" ht="31.5" customHeight="1" s="221">
      <c r="A356" s="5" t="inlineStr">
        <is>
          <t>285.</t>
        </is>
      </c>
      <c r="B356" s="6" t="inlineStr">
        <is>
          <t>SBA 25/356</t>
        </is>
      </c>
      <c r="C356" s="8" t="inlineStr">
        <is>
          <t>Doç. Dr. İrem KOÇ</t>
        </is>
      </c>
      <c r="D356" s="7" t="inlineStr">
        <is>
          <t>"İntraoküler Retinoblastomun Geç Nükslerinin Retrospektif Olarak Değerlendirilmesi"</t>
        </is>
      </c>
      <c r="E356" s="55" t="n"/>
    </row>
    <row r="357" ht="78.75" customHeight="1" s="221">
      <c r="A357" s="5" t="inlineStr">
        <is>
          <t>286.</t>
        </is>
      </c>
      <c r="B357" s="6" t="inlineStr">
        <is>
          <t>SBA 25/357</t>
        </is>
      </c>
      <c r="C357" s="8" t="inlineStr">
        <is>
          <t>Prof. Dr. Hakan Hıfzı TÜZ</t>
        </is>
      </c>
      <c r="D357" s="7" t="inlineStr">
        <is>
          <t>“Temporomandibular Eklem Bozukluklarında Ağız Açma Sırasında Disk Morfolojisinde Meydana Gelen Pozisyonel Transformasyonun Klinik Bulgular ve Manyetik Rezonans Görüntüleme Parametreleri ile İlişkisinin Değerlendirilmesi”</t>
        </is>
      </c>
      <c r="E357" s="55" t="n"/>
    </row>
    <row r="358" ht="47.25" customHeight="1" s="221">
      <c r="A358" s="5" t="inlineStr">
        <is>
          <t>287.</t>
        </is>
      </c>
      <c r="B358" s="6" t="inlineStr">
        <is>
          <t>SBA 25/358</t>
        </is>
      </c>
      <c r="C358" s="8" t="inlineStr">
        <is>
          <t>Prof. Dr. Hane TAYLAN ŞEKEROĞLU</t>
        </is>
      </c>
      <c r="D358" s="7" t="inlineStr">
        <is>
          <t>“Nörodejeneratif Hastalıkların Erken Tanısında Göz Hareketleri Kullanılabilir mi?: Yapay Zeka Aracılıklı Vaka-Kontrol Çalışması”</t>
        </is>
      </c>
      <c r="E358" s="55" t="n"/>
    </row>
    <row r="359" ht="31.5" customHeight="1" s="221">
      <c r="A359" s="5" t="inlineStr">
        <is>
          <t>288.</t>
        </is>
      </c>
      <c r="B359" s="6" t="inlineStr">
        <is>
          <t>SBA 25/359</t>
        </is>
      </c>
      <c r="C359" s="8" t="inlineStr">
        <is>
          <t>Doç. Dr. Göksel GÜVEN</t>
        </is>
      </c>
      <c r="D359" s="7" t="inlineStr">
        <is>
          <t>“Kritik Hastalarda Rutin Mikrodolaşım Değerlendirmesinin Şok Erken Tanısına Etkisi”</t>
        </is>
      </c>
      <c r="E359" s="55" t="n"/>
    </row>
    <row r="360" ht="78.75" customHeight="1" s="221">
      <c r="A360" s="5" t="inlineStr">
        <is>
          <t>289.</t>
        </is>
      </c>
      <c r="B360" s="6" t="inlineStr">
        <is>
          <t>SBA 25/360</t>
        </is>
      </c>
      <c r="C360" s="8" t="inlineStr">
        <is>
          <t>Prof. Dr. Hikmet YORGUN</t>
        </is>
      </c>
      <c r="D360" s="7" t="inlineStr">
        <is>
          <t>“İskemik Ventriküler Taşikardi Ablasyon Tedavisinde Kritik Koridorların Değerlendirilmesi: Üç Boyutlu Elektroanatomik Haritalama ve Kardiyak Manyetik Rezonans Görüntüleme Bulgularının Karşılaştırılması ve Sonlanımlar Üzerine Etkisi”</t>
        </is>
      </c>
      <c r="E360" s="55" t="n"/>
    </row>
    <row r="361" ht="31.5" customHeight="1" s="221">
      <c r="A361" s="5" t="inlineStr">
        <is>
          <t>290.</t>
        </is>
      </c>
      <c r="B361" s="6" t="inlineStr">
        <is>
          <t>SBA 25/361</t>
        </is>
      </c>
      <c r="C361" s="8" t="inlineStr">
        <is>
          <t>Prof. Dr. Taylan TAV</t>
        </is>
      </c>
      <c r="D361" s="7" t="inlineStr">
        <is>
          <t>“Şiddetli Ülseratif Kolit Hastalarında Aleksitimi Varlığının Değerlendirilmesi”</t>
        </is>
      </c>
      <c r="E361" s="55" t="n"/>
    </row>
    <row r="362" ht="47.25" customHeight="1" s="221">
      <c r="A362" s="5" t="inlineStr">
        <is>
          <t>291.</t>
        </is>
      </c>
      <c r="B362" s="6" t="inlineStr">
        <is>
          <t>SBA 25/362</t>
        </is>
      </c>
      <c r="C362" s="8" t="inlineStr">
        <is>
          <t>Prof. Dr. Taylan TAV</t>
        </is>
      </c>
      <c r="D362" s="7" t="inlineStr">
        <is>
          <t>“İnflamatuar Bağırsak Hastalıklarında Kullanılan Biyolojik Ajanlarda Tedavi Persistensinin Değerlendirilmesi ”</t>
        </is>
      </c>
      <c r="E362" s="55" t="n"/>
    </row>
    <row r="363" ht="31.5" customHeight="1" s="221">
      <c r="A363" s="5" t="inlineStr">
        <is>
          <t>292.</t>
        </is>
      </c>
      <c r="B363" s="6" t="inlineStr">
        <is>
          <t>SBA 25/363</t>
        </is>
      </c>
      <c r="C363" s="8" t="inlineStr">
        <is>
          <t>Dr. Öğr. Üyesi Deniz Can GÜVEN</t>
        </is>
      </c>
      <c r="D363" s="7" t="inlineStr">
        <is>
          <t>“Meme Kanseri Hastalarında Gustave Roussy İmmün Skorunun Sağ Kalım ile İlişkisi”</t>
        </is>
      </c>
      <c r="E363" s="55" t="n"/>
    </row>
    <row r="364" ht="63" customHeight="1" s="221">
      <c r="A364" s="5" t="inlineStr">
        <is>
          <t>293.</t>
        </is>
      </c>
      <c r="B364" s="6" t="inlineStr">
        <is>
          <t>SBA 25/364</t>
        </is>
      </c>
      <c r="C364" s="53" t="inlineStr">
        <is>
          <t>Prof. Dr. Murat GÜLTEKİN
Prof. Dr. Türkmen Turan ÇİFTÇİ</t>
        </is>
      </c>
      <c r="D364" s="7" t="inlineStr">
        <is>
          <t>“Endometrioma Nedeniyle Skleroterapi Uygulanan Hastalarda Over Rezervi, Fertilite, Gebelik Sonuçları ve Endometrioma Prognozu Üzerine Etkisinin Retrospektif Analizi”</t>
        </is>
      </c>
      <c r="E364" s="55" t="n"/>
    </row>
    <row r="365" ht="78.75" customHeight="1" s="221">
      <c r="A365" s="5" t="inlineStr">
        <is>
          <t>294.</t>
        </is>
      </c>
      <c r="B365" s="6" t="inlineStr">
        <is>
          <t>SBA 25/365</t>
        </is>
      </c>
      <c r="C365" s="8" t="inlineStr">
        <is>
          <t>Prof. Dr. Ebru DAMADOĞLU</t>
        </is>
      </c>
      <c r="D365" s="7" t="inlineStr">
        <is>
          <t>"Steroid Olmayan Anti-İnflamatuar İlaçlarla Alevlenen Hava Yolu Hastalığı (NERD) Hastalarında Aspirin Desensitizasyonu Sonrası Düzenli Aspirin Tedavisinin (ATAD) Serum Lipit Mediyatörleri Üzerine Etkilerinin Araştırılması"</t>
        </is>
      </c>
      <c r="E365" s="55" t="n"/>
    </row>
    <row r="366" ht="63" customHeight="1" s="221">
      <c r="A366" s="5" t="inlineStr">
        <is>
          <t>295.</t>
        </is>
      </c>
      <c r="B366" s="6" t="inlineStr">
        <is>
          <t>SBA 25/366</t>
        </is>
      </c>
      <c r="C366" s="8" t="inlineStr">
        <is>
          <t>Doç. Dr. Özlem DİKMETAŞ SANDIKÇI</t>
        </is>
      </c>
      <c r="D366" s="7" t="inlineStr">
        <is>
          <t>“Keratokonus Evresi ile Retina Sinir Lifi Tabakası, Makula Kalınlığı, Ganglion Hücre Tabakası Parametrelerindeki Değişikliklerin İlişkisinin Optik Koherens Tomografi Kullanarak İncelenmesi”</t>
        </is>
      </c>
      <c r="E366" s="55" t="n"/>
    </row>
    <row r="367" ht="31.5" customHeight="1" s="221">
      <c r="A367" s="5" t="inlineStr">
        <is>
          <t>296.</t>
        </is>
      </c>
      <c r="B367" s="6" t="inlineStr">
        <is>
          <t>SBA 25/367</t>
        </is>
      </c>
      <c r="C367" s="8" t="inlineStr">
        <is>
          <t>Prof. Dr. Ahmet PINAR</t>
        </is>
      </c>
      <c r="D367" s="7" t="inlineStr">
        <is>
          <t>“Yeni Hepatit B Biyobelirteçlerinin Kronik Hepatit B Hastalığının Fazlarındaki Değişiminin İncelenmesi”</t>
        </is>
      </c>
      <c r="E367" s="55" t="n"/>
    </row>
    <row r="368" ht="31.5" customHeight="1" s="221">
      <c r="A368" s="5" t="inlineStr">
        <is>
          <t>297.</t>
        </is>
      </c>
      <c r="B368" s="6" t="inlineStr">
        <is>
          <t>SBA 25/368</t>
        </is>
      </c>
      <c r="C368" s="8" t="inlineStr">
        <is>
          <t>Dr. Öğr. Üyesi Yiğitcan KARANFİL</t>
        </is>
      </c>
      <c r="D368" s="7" t="inlineStr">
        <is>
          <t>“Rekreasyonel ve Elit Kadın Sporcularda İnkontinans Sıklığının ve Etiyolojisinin Belirlenmesi”</t>
        </is>
      </c>
      <c r="E368" s="55" t="n"/>
    </row>
    <row r="369" ht="31.5" customHeight="1" s="221">
      <c r="A369" s="5" t="inlineStr">
        <is>
          <t>298.</t>
        </is>
      </c>
      <c r="B369" s="6" t="inlineStr">
        <is>
          <t>SBA 25/369</t>
        </is>
      </c>
      <c r="C369" s="8" t="inlineStr">
        <is>
          <t>Prof. Dr. Feza KORKUSUZ</t>
        </is>
      </c>
      <c r="D369" s="7" t="inlineStr">
        <is>
          <t>“Eklem İçi Ortobiyolojik Uygulanmış Diz Osteoartritli Hastaların Hareket Analizi”</t>
        </is>
      </c>
      <c r="E369" s="55" t="n"/>
    </row>
    <row r="370" ht="47.25" customHeight="1" s="221">
      <c r="A370" s="5" t="inlineStr">
        <is>
          <t>299.</t>
        </is>
      </c>
      <c r="B370" s="6" t="inlineStr">
        <is>
          <t>SBA 25/370</t>
        </is>
      </c>
      <c r="C370" s="8" t="inlineStr">
        <is>
          <t>Prof. Dr. Hasan Serkan DOĞAN</t>
        </is>
      </c>
      <c r="D370" s="7" t="inlineStr">
        <is>
          <t>''Tam Çift Sistemler İçin Yapılan Üst Kutuplu Heminefrektomi Sonrası Hasta Takiplerinde Alt Üriner Sistem Cerrahisi Gerekliliğinin Değerlendirilmesi”</t>
        </is>
      </c>
      <c r="E370" s="55" t="n"/>
    </row>
    <row r="371" ht="47.25" customHeight="1" s="221">
      <c r="A371" s="5" t="inlineStr">
        <is>
          <t>300.</t>
        </is>
      </c>
      <c r="B371" s="6" t="inlineStr">
        <is>
          <t>SBA 25/371</t>
        </is>
      </c>
      <c r="C371" s="8" t="inlineStr">
        <is>
          <t>Prof. Dr. Cenk Yücel BİLEN</t>
        </is>
      </c>
      <c r="D371" s="7" t="inlineStr">
        <is>
          <t>“Farklı Cinsteki Üriner Sistem Taşlarının Evriminin Cerrahi Bulgular ve Laboratuar Tetkikleri ile Araştırılması”</t>
        </is>
      </c>
      <c r="E371" s="55" t="n"/>
    </row>
    <row r="372" ht="31.5" customHeight="1" s="221">
      <c r="A372" s="5" t="inlineStr">
        <is>
          <t>301.</t>
        </is>
      </c>
      <c r="B372" s="6" t="inlineStr">
        <is>
          <t>SBA 25/372</t>
        </is>
      </c>
      <c r="C372" s="8" t="inlineStr">
        <is>
          <t>Prof. Dr. Neşe DERİCİOĞLU</t>
        </is>
      </c>
      <c r="D372" s="7" t="inlineStr">
        <is>
          <t>“Post-travmatik Epilepsi: Hastaların Klinik Özellikleri, MRGve EEG Bulgularının Prognozla İlişkisi”</t>
        </is>
      </c>
      <c r="E372" s="55" t="n"/>
    </row>
    <row r="373" ht="31.5" customHeight="1" s="221">
      <c r="A373" s="5" t="inlineStr">
        <is>
          <t>302.</t>
        </is>
      </c>
      <c r="B373" s="6" t="inlineStr">
        <is>
          <t>SBA 25/373</t>
        </is>
      </c>
      <c r="C373" s="8" t="inlineStr">
        <is>
          <t>Prof. Dr. Ömer DİZDAR</t>
        </is>
      </c>
      <c r="D373" s="7" t="inlineStr">
        <is>
          <t>“Mikrosatellit İnstabilitesi Yüksek Olan Mide Kanseri Olgularında Tedavi Yaklaşımı ve Prognoz İncelenmesi”</t>
        </is>
      </c>
      <c r="E373" s="55" t="n"/>
    </row>
    <row r="374">
      <c r="A374" s="5" t="inlineStr">
        <is>
          <t>303.</t>
        </is>
      </c>
      <c r="B374" s="6" t="inlineStr">
        <is>
          <t>SBA 25/374</t>
        </is>
      </c>
      <c r="C374" s="8" t="inlineStr">
        <is>
          <t>Prof. Dr. Çağrı Mesut TEMUÇİN</t>
        </is>
      </c>
      <c r="D374" s="7" t="inlineStr">
        <is>
          <t>“Elektrofizyoloji Laboratuvannda Pleksus Hasarı Tanısı”</t>
        </is>
      </c>
      <c r="E374" s="55" t="n"/>
    </row>
    <row r="375" ht="31.5" customHeight="1" s="221">
      <c r="A375" s="5" t="inlineStr">
        <is>
          <t>304.</t>
        </is>
      </c>
      <c r="B375" s="6" t="inlineStr">
        <is>
          <t>SBA 25/375</t>
        </is>
      </c>
      <c r="C375" s="8" t="inlineStr">
        <is>
          <t>Doç. Dr. Göksel GÜVEN</t>
        </is>
      </c>
      <c r="D375" s="7" t="inlineStr">
        <is>
          <t>“Yoğun Bakım Hastalarında Vücut Yağ ve Kas Dağılımının Organ Sonlanımı ve Mortaliteye Etkisi”</t>
        </is>
      </c>
      <c r="E375" s="55" t="n"/>
    </row>
    <row r="376" ht="31.5" customHeight="1" s="221">
      <c r="A376" s="5" t="inlineStr">
        <is>
          <t>305.</t>
        </is>
      </c>
      <c r="B376" s="6" t="inlineStr">
        <is>
          <t>SBA 25/376</t>
        </is>
      </c>
      <c r="C376" s="8" t="inlineStr">
        <is>
          <t>Dr. Öğr. Üyesi Ceren Damla DURMAZ ÖZDİNÇ</t>
        </is>
      </c>
      <c r="D376" s="7" t="inlineStr">
        <is>
          <t>“Kalıtsal Kanser Sendromlarında Gelişmiş Genomik Yaklaşımlarla Yeni Genetik Faktörlerin Tanımlanması”</t>
        </is>
      </c>
      <c r="E376" s="55" t="n"/>
    </row>
    <row r="377" ht="31.5" customHeight="1" s="221">
      <c r="A377" s="5" t="inlineStr">
        <is>
          <t>306.</t>
        </is>
      </c>
      <c r="B377" s="6" t="inlineStr">
        <is>
          <t>SBA 25/377</t>
        </is>
      </c>
      <c r="C377" s="8" t="inlineStr">
        <is>
          <t>Prof. Dr. Fadime İrsel TEZER FİLİK</t>
        </is>
      </c>
      <c r="D377" s="7" t="inlineStr">
        <is>
          <t>“Opere Temporal Lob Epilepsili Hastalarda Jeneralize İnteriktal Epileptiform Deşarj Varlığı ve Önemi”</t>
        </is>
      </c>
      <c r="E377" s="55" t="n"/>
    </row>
    <row r="378" ht="63" customHeight="1" s="221">
      <c r="A378" s="5" t="inlineStr">
        <is>
          <t>307.</t>
        </is>
      </c>
      <c r="B378" s="6" t="inlineStr">
        <is>
          <t>SBA 25/378</t>
        </is>
      </c>
      <c r="C378" s="8" t="inlineStr">
        <is>
          <t>Prof. Dr. Dilek ASLAN</t>
        </is>
      </c>
      <c r="D378" s="7" t="inlineStr">
        <is>
          <t>"Üniversite Öğrencileri Arasında Sosyal Medyada Karşılaştıkları Beslenme ve Gıda ile İlgili İçeriklerin Öğrencilerin Beslenme Davranışlarını Etkileme Durumlarına İlişkin Görüşlerinin Belirlenmesi"</t>
        </is>
      </c>
      <c r="E378" s="55" t="n"/>
    </row>
    <row r="379" ht="47.25" customHeight="1" s="221">
      <c r="A379" s="5" t="inlineStr">
        <is>
          <t>308.</t>
        </is>
      </c>
      <c r="B379" s="6" t="inlineStr">
        <is>
          <t>SBA 25/379</t>
        </is>
      </c>
      <c r="C379" s="8" t="inlineStr">
        <is>
          <t>Doç. Dr. Çiğdem KARACA</t>
        </is>
      </c>
      <c r="D379" s="7" t="inlineStr">
        <is>
          <t>“Üçüncü Molar Dişlerle İlişkili Perikoronal Foliküllerin Radyografik ve Patolojik Özelliklerinin Retrospektif İncelenmesi”</t>
        </is>
      </c>
      <c r="E379" s="55" t="n"/>
    </row>
    <row r="380" ht="47.25" customHeight="1" s="221">
      <c r="A380" s="5" t="inlineStr">
        <is>
          <t>309.</t>
        </is>
      </c>
      <c r="B380" s="6" t="inlineStr">
        <is>
          <t>SBA 25/380</t>
        </is>
      </c>
      <c r="C380" s="8" t="inlineStr">
        <is>
          <t>Doç. Dr. Nursel ÇALIK BAŞARAN</t>
        </is>
      </c>
      <c r="D380" s="7" t="inlineStr">
        <is>
          <t>“İç Hastalıkları Uzmanları ve Araştırma Görevlilerinde Obezite Farkındalığı ve Bilgi Düzeyi ile Eğitim İhtiyacının Belirlenmesi”</t>
        </is>
      </c>
      <c r="E380" s="55" t="n"/>
    </row>
    <row r="381" ht="31.5" customHeight="1" s="221">
      <c r="A381" s="5" t="inlineStr">
        <is>
          <t>310.</t>
        </is>
      </c>
      <c r="B381" s="6" t="inlineStr">
        <is>
          <t>SBA 25/381</t>
        </is>
      </c>
      <c r="C381" s="8" t="inlineStr">
        <is>
          <t>Prof. Dr. Tevfik KARAGÖZ</t>
        </is>
      </c>
      <c r="D381" s="7" t="inlineStr">
        <is>
          <t>“Mitral Anüler Disjunction Saptanan Hastalarda Genetik Etiyolojinin Araştırılması ”</t>
        </is>
      </c>
      <c r="E381" s="55" t="n"/>
    </row>
    <row r="382" ht="31.5" customHeight="1" s="221">
      <c r="A382" s="5" t="inlineStr">
        <is>
          <t>311.</t>
        </is>
      </c>
      <c r="B382" s="6" t="inlineStr">
        <is>
          <t>SBA 25/382</t>
        </is>
      </c>
      <c r="C382" s="8" t="inlineStr">
        <is>
          <t>Prof. Dr. Arzu TOPELİ İSKİT</t>
        </is>
      </c>
      <c r="D382" s="7" t="inlineStr">
        <is>
          <t>“POS-VAP: Sürekli Gözlemsel Çalışma- Ventilatör İlişkili Pnömoni”</t>
        </is>
      </c>
      <c r="E382" s="55" t="n"/>
    </row>
    <row r="383" ht="31.5" customHeight="1" s="221">
      <c r="A383" s="5" t="inlineStr">
        <is>
          <t>312.</t>
        </is>
      </c>
      <c r="B383" s="6" t="inlineStr">
        <is>
          <t>SBA 25/383</t>
        </is>
      </c>
      <c r="C383" s="8" t="inlineStr">
        <is>
          <t>Prof. Dr. Aygin EKİNCİOĞLU</t>
        </is>
      </c>
      <c r="D383" s="7" t="inlineStr">
        <is>
          <t>“Dahiliye Servislerinde İlaç Uygulama Zamanlarının Değerlendirilmesi ve Klinik Eczacının Rolü”</t>
        </is>
      </c>
      <c r="E383" s="55" t="n"/>
    </row>
    <row r="384" ht="47.25" customHeight="1" s="221">
      <c r="A384" s="5" t="inlineStr">
        <is>
          <t>313.</t>
        </is>
      </c>
      <c r="B384" s="6" t="inlineStr">
        <is>
          <t>SBA 25/384</t>
        </is>
      </c>
      <c r="C384" s="8" t="inlineStr">
        <is>
          <t>Prof. Dr. Nalan ÇELEBİ</t>
        </is>
      </c>
      <c r="D384" s="7" t="inlineStr">
        <is>
          <t>“Kalça Osteoartritli Hastalarda Floroskopi ve Ultrasonografi Kılavuzluğunda İntraartiküler Kalça Enjeksiyonlarının Etkinliklerinin Karşılaştırılması”</t>
        </is>
      </c>
      <c r="E384" s="55" t="n"/>
    </row>
    <row r="385" ht="47.25" customHeight="1" s="221">
      <c r="A385" s="5" t="inlineStr">
        <is>
          <t>314.</t>
        </is>
      </c>
      <c r="B385" s="6" t="inlineStr">
        <is>
          <t>SBA 25/385</t>
        </is>
      </c>
      <c r="C385" s="8" t="inlineStr">
        <is>
          <t>Prof. Dr. Nalan ÇELEBİ</t>
        </is>
      </c>
      <c r="D385" s="7" t="inlineStr">
        <is>
          <t>“Diz Osteoartritli Hastalarda Floroskopi ve Ultrasonografi Kılavuzluğunda İntraartiküler Diz Enjeksiyonlarının Etkinliklerinin Karşılaştırılması"</t>
        </is>
      </c>
      <c r="E385" s="55" t="n"/>
    </row>
    <row r="386" ht="31.5" customHeight="1" s="221">
      <c r="A386" s="5" t="inlineStr">
        <is>
          <t>315.</t>
        </is>
      </c>
      <c r="B386" s="6" t="inlineStr">
        <is>
          <t>SBA 25/386</t>
        </is>
      </c>
      <c r="C386" s="8" t="inlineStr">
        <is>
          <t>Doç. Dr. Oğuz KUŞCU</t>
        </is>
      </c>
      <c r="D386" s="7" t="inlineStr">
        <is>
          <t>“Laringotrakeal Stenoz Cerrahi Tedavisinde Uzun Dönem Sonuçlarımız: 15 Yıllık Hacettepe Tecrübesi”</t>
        </is>
      </c>
      <c r="E386" s="55" t="n"/>
    </row>
    <row r="387" ht="47.25" customHeight="1" s="221">
      <c r="A387" s="5" t="inlineStr">
        <is>
          <t>316.</t>
        </is>
      </c>
      <c r="B387" s="6" t="inlineStr">
        <is>
          <t>SBA 25/387</t>
        </is>
      </c>
      <c r="C387" s="8" t="inlineStr">
        <is>
          <t>Prof. Dr. Ömer DİZDAR</t>
        </is>
      </c>
      <c r="D387" s="7" t="inlineStr">
        <is>
          <t>“Soliter Fibröz Tümör/Hemanjioperisitoma Tanılı Hastaların Demografik, Klinikopatolojik, Prognostik Özelliklerinin ve Tedavi Yanıtlarının Değerlendirilmesi”</t>
        </is>
      </c>
      <c r="E387" s="55" t="n"/>
    </row>
    <row r="388" ht="31.5" customHeight="1" s="221">
      <c r="A388" s="5" t="inlineStr">
        <is>
          <t>317.</t>
        </is>
      </c>
      <c r="B388" s="6" t="inlineStr">
        <is>
          <t>SBA 25/388</t>
        </is>
      </c>
      <c r="C388" s="8" t="inlineStr">
        <is>
          <t>Prof. Dr. Aygin EKİNCİOĞLU</t>
        </is>
      </c>
      <c r="D388" s="7" t="inlineStr">
        <is>
          <t>“B12 Vitamini Eksikliği Tedavisinin Kılavuza Uygunluğunun Değerlendirilmes”</t>
        </is>
      </c>
      <c r="E388" s="55" t="n"/>
    </row>
    <row r="389" ht="47.25" customHeight="1" s="221">
      <c r="A389" s="5" t="inlineStr">
        <is>
          <t>318.</t>
        </is>
      </c>
      <c r="B389" s="6" t="inlineStr">
        <is>
          <t>SBA 25/389</t>
        </is>
      </c>
      <c r="C389" s="8" t="inlineStr">
        <is>
          <t>Prof. Dr. Salih Kutay DEMİRKAN</t>
        </is>
      </c>
      <c r="D389" s="7" t="inlineStr">
        <is>
          <t>“Obez Hastalarda Meropenem ve Vankomisin Terapötik İlaç Düzeyi İzlemi: Retrospektif Bir Kohort Çalışması”</t>
        </is>
      </c>
      <c r="E389" s="55" t="n"/>
    </row>
    <row r="390" ht="31.5" customHeight="1" s="221">
      <c r="A390" s="5" t="inlineStr">
        <is>
          <t>319.</t>
        </is>
      </c>
      <c r="B390" s="6" t="inlineStr">
        <is>
          <t>SBA 25/390</t>
        </is>
      </c>
      <c r="C390" s="8" t="inlineStr">
        <is>
          <t>Doç. Dr. Ülkühan ÖZTOPRAK</t>
        </is>
      </c>
      <c r="D390" s="7" t="inlineStr">
        <is>
          <t>“İlaca Dirençli Fokal Epilepsili Çocuklarda İktal Otonomik Bulguların Değerlendirilmesi”</t>
        </is>
      </c>
    </row>
    <row r="391" ht="63" customHeight="1" s="221">
      <c r="A391" s="5" t="inlineStr">
        <is>
          <t>320.</t>
        </is>
      </c>
      <c r="B391" s="6" t="inlineStr">
        <is>
          <t>SBA 25/391</t>
        </is>
      </c>
      <c r="C391" s="8" t="inlineStr">
        <is>
          <t>Dr. Öğr. Üyesi Leyla HUSEYNOVA TERZİ</t>
        </is>
      </c>
      <c r="D391" s="7" t="inlineStr">
        <is>
          <t>“Türkiye’de Deri ve Zührevi Hastalıklar Uzmanları ve Uzmanlık Öğrencilerinin Hekimlik Uygulamalarında Chat GPT Kullanımını ve Bu Uygulamaya Güvenini Değerlendiren Anket Çalışması”</t>
        </is>
      </c>
    </row>
    <row r="392" ht="47.25" customHeight="1" s="221">
      <c r="A392" s="5" t="inlineStr">
        <is>
          <t>321.</t>
        </is>
      </c>
      <c r="B392" s="6" t="inlineStr">
        <is>
          <t>SBA 25/392</t>
        </is>
      </c>
      <c r="C392" s="8" t="inlineStr">
        <is>
          <t>Prof. Dr. Ebru DAMADOĞLU</t>
        </is>
      </c>
      <c r="D392" s="7" t="inlineStr">
        <is>
          <t>"Biyolojik Tedavilerin Otoenjektor ve Kullanıma Hazır Enjektörler Formlarının Evde Kullanımının Degerlendirilmesi"</t>
        </is>
      </c>
    </row>
    <row r="393" ht="47.25" customHeight="1" s="221">
      <c r="A393" s="5" t="inlineStr">
        <is>
          <t>322.</t>
        </is>
      </c>
      <c r="B393" s="6" t="inlineStr">
        <is>
          <t>SBA 25/393</t>
        </is>
      </c>
      <c r="C393" s="8" t="inlineStr">
        <is>
          <t>Prof. Dr. Serdar ÖZER</t>
        </is>
      </c>
      <c r="D393" s="7" t="inlineStr">
        <is>
          <t>“Paranazal Sinüs Pnömotizasyonu ile Nazal Muayene Bulguları ve Rinomanometrik Parametreler Arasındaki İlişkinin Değerlendirilmesi”</t>
        </is>
      </c>
    </row>
    <row r="394" ht="31.5" customHeight="1" s="221">
      <c r="A394" s="5" t="inlineStr">
        <is>
          <t>323.</t>
        </is>
      </c>
      <c r="B394" s="6" t="inlineStr">
        <is>
          <t>SBA 25/394</t>
        </is>
      </c>
      <c r="C394" s="8" t="inlineStr">
        <is>
          <t>Prof. Dr. Hakan Hıfzı TÜZ</t>
        </is>
      </c>
      <c r="D394" s="7" t="inlineStr">
        <is>
          <t>“Ortognatik Cerrahide ERAS Yaklaşımının Operatif Parametreler ve Nörosensoryel İyileşmeye Etkisi”</t>
        </is>
      </c>
    </row>
    <row r="395" ht="47.25" customHeight="1" s="221">
      <c r="A395" s="5" t="inlineStr">
        <is>
          <t>324.</t>
        </is>
      </c>
      <c r="B395" s="6" t="inlineStr">
        <is>
          <t>SBA 25/395</t>
        </is>
      </c>
      <c r="C395" s="8" t="inlineStr">
        <is>
          <t>Doç. Dr. İzzet FİDANCI</t>
        </is>
      </c>
      <c r="D395" s="7" t="inlineStr">
        <is>
          <t>“Tıp Fakültesi Öğrencilerinin Zona Hastalığı ve Zona Aşısıyla İlgili Bilgi Düzeyinin Değerlendirilmesi: Tanımlayıcı Kesitsel Çalışma”</t>
        </is>
      </c>
    </row>
    <row r="396" ht="31.5" customHeight="1" s="221">
      <c r="A396" s="5" t="inlineStr">
        <is>
          <t>325.</t>
        </is>
      </c>
      <c r="B396" s="6" t="inlineStr">
        <is>
          <t>SBA 25/396</t>
        </is>
      </c>
      <c r="C396" s="8" t="inlineStr">
        <is>
          <t>Prof. Dr. Özge UYSAL SOYER</t>
        </is>
      </c>
      <c r="D396" s="7" t="inlineStr">
        <is>
          <t>“Yumurta Alerjisi Olan Çocuk Hastalarda Yumurta Merdiveninin Güvenlik ve Etkinliğinin Değerlendirilmesi”</t>
        </is>
      </c>
    </row>
    <row r="397" ht="63" customHeight="1" s="221">
      <c r="A397" s="5" t="inlineStr">
        <is>
          <t>326.</t>
        </is>
      </c>
      <c r="B397" s="6" t="inlineStr">
        <is>
          <t>SBA 25/397</t>
        </is>
      </c>
      <c r="C397" s="8" t="inlineStr">
        <is>
          <t>Prof. Dr. Özgür Ahmet ATAY</t>
        </is>
      </c>
      <c r="D397" s="7" t="inlineStr">
        <is>
          <t>“Ön Çapraz Bağ Rekonstrüksiyonu Yapılan Hastalarda Kemik Tünel Genişliklerinin Zero Time Echo Sekans Manyetik Rezonans Görüntülemeve Bilgisayarlı Tomografi ile Karşılaştırılması”</t>
        </is>
      </c>
    </row>
    <row r="398" ht="63" customHeight="1" s="221">
      <c r="A398" s="5" t="inlineStr">
        <is>
          <t>327.</t>
        </is>
      </c>
      <c r="B398" s="6" t="inlineStr">
        <is>
          <t>SBA 25/398</t>
        </is>
      </c>
      <c r="C398" s="8" t="inlineStr">
        <is>
          <t>Dr. Öğr. Üyesi Cansu ÖZDEMİR SAKA</t>
        </is>
      </c>
      <c r="D398" s="7" t="inlineStr">
        <is>
          <t>“Aril Hidrokarbon Reseptör (AhR) Yolağının Mezenkimal Kök Hücreden İn Vitro Adiposit Farklılaşmasındaki ve Olgun Adipositlerdeki Rolünün İncelenmesi”</t>
        </is>
      </c>
    </row>
    <row r="399" ht="47.25" customHeight="1" s="221">
      <c r="A399" s="5" t="inlineStr">
        <is>
          <t>328.</t>
        </is>
      </c>
      <c r="B399" s="6" t="inlineStr">
        <is>
          <t>SBA 25/399</t>
        </is>
      </c>
      <c r="C399" s="8" t="inlineStr">
        <is>
          <t>Doç. Dr. Hacı Hasan YETER</t>
        </is>
      </c>
      <c r="D399" s="7" t="inlineStr">
        <is>
          <t>“Metabolik Disfonsiyon ile İlişkili Steatotik Karaciğer Hastalığında Serum ve İdrar Uromodulin Düzeylerinin Böbrek Fonksiyonlarıyla İlişkisi”</t>
        </is>
      </c>
    </row>
    <row r="400" ht="31.5" customHeight="1" s="221">
      <c r="A400" s="5" t="inlineStr">
        <is>
          <t>329.</t>
        </is>
      </c>
      <c r="B400" s="6" t="inlineStr">
        <is>
          <t>SBA 25/400</t>
        </is>
      </c>
      <c r="C400" s="8" t="inlineStr">
        <is>
          <t>Doç. Dr. Kübra AYKAÇ</t>
        </is>
      </c>
      <c r="D400" s="7" t="inlineStr">
        <is>
          <t>“Kırım- Kongo Kanamalı Ateşi Olan Çocuk Hastaların Klinik Verilerinin Retrospektif Değerlendirilmesi”</t>
        </is>
      </c>
    </row>
    <row r="401" ht="47.25" customHeight="1" s="221">
      <c r="A401" s="5" t="inlineStr">
        <is>
          <t>330.</t>
        </is>
      </c>
      <c r="B401" s="6" t="inlineStr">
        <is>
          <t>SBA 25/401</t>
        </is>
      </c>
      <c r="C401" s="8" t="inlineStr">
        <is>
          <t>Prof. Dr. Uğur CANPOLAT</t>
        </is>
      </c>
      <c r="D401" s="7" t="inlineStr">
        <is>
          <t>“Kalıcı Kalp Pili İmplantasyonunda Venöz Oklüzyon İzlenen Hastalarda Venoplasti Sonuçlarının Değerlendirilmesi”</t>
        </is>
      </c>
    </row>
    <row r="402" ht="47.25" customHeight="1" s="221">
      <c r="A402" s="5" t="inlineStr">
        <is>
          <t>331.</t>
        </is>
      </c>
      <c r="B402" s="6" t="inlineStr">
        <is>
          <t>SBA 25/402</t>
        </is>
      </c>
      <c r="C402" s="8" t="inlineStr">
        <is>
          <t>Doç. Dr. Ahmet Hakan ATEŞ</t>
        </is>
      </c>
      <c r="D402" s="7" t="inlineStr">
        <is>
          <t>“Transfemoral Yol ile Yapılan Girişimsel İşlemlerde Yüzeyel Ultrasonografinin Prognoz ve Mortaliteye Etkisinin Değerlendirilmesi”</t>
        </is>
      </c>
    </row>
    <row r="403" ht="63" customHeight="1" s="221">
      <c r="A403" s="5" t="inlineStr">
        <is>
          <t>332.</t>
        </is>
      </c>
      <c r="B403" s="6" t="inlineStr">
        <is>
          <t>SBA 25/403</t>
        </is>
      </c>
      <c r="C403" s="8" t="inlineStr">
        <is>
          <t>Doç. Dr. Cem ÇÖTELİ</t>
        </is>
      </c>
      <c r="D403" s="7" t="inlineStr">
        <is>
          <t>“Yapay Zekanın Ventriküler Ekstrasistollerin Elektrokardiyografik Özelliklerine Göre Anatomik Lokalizasyonlarının Değerlendirilmesindeki Rolünün İncelenmesi”</t>
        </is>
      </c>
    </row>
    <row r="404" ht="47.25" customHeight="1" s="221">
      <c r="A404" s="5" t="inlineStr">
        <is>
          <t>333.</t>
        </is>
      </c>
      <c r="B404" s="6" t="inlineStr">
        <is>
          <t>SBA 25/404</t>
        </is>
      </c>
      <c r="C404" s="8" t="inlineStr">
        <is>
          <t>Prof. Dr. Mustafa CANKURTARAN</t>
        </is>
      </c>
      <c r="D404" s="7" t="inlineStr">
        <is>
          <t>“Hastanede Yatan 65 Yaş ve Üstü Bireylerde Sosyal Kırılganlığın Değerlendirilmesi ve Geriatrik Sendromlarla İlişkisi”</t>
        </is>
      </c>
    </row>
    <row r="405" ht="31.5" customHeight="1" s="221">
      <c r="A405" s="5" t="inlineStr">
        <is>
          <t>334.</t>
        </is>
      </c>
      <c r="B405" s="6" t="inlineStr">
        <is>
          <t>SBA 25/405</t>
        </is>
      </c>
      <c r="C405" s="8" t="inlineStr">
        <is>
          <t>Prof. Dr. Okan Bülent YILDIZ</t>
        </is>
      </c>
      <c r="D405" s="7" t="inlineStr">
        <is>
          <t>“Polikistik Over Sendromuna İlişkin Bilgi ve Algının Çok Dilli Video Tabanlı Eğitim ile Değerlendirilmesi”</t>
        </is>
      </c>
    </row>
    <row r="406" ht="47.25" customHeight="1" s="221">
      <c r="A406" s="5" t="inlineStr">
        <is>
          <t>335.</t>
        </is>
      </c>
      <c r="B406" s="6" t="inlineStr">
        <is>
          <t>SBA 25/406</t>
        </is>
      </c>
      <c r="C406" s="8" t="inlineStr">
        <is>
          <t>Doç. Dr. Emre ALTUNDAŞAR</t>
        </is>
      </c>
      <c r="D406" s="7" t="inlineStr">
        <is>
          <t>“Periapikal Patolojisi Bulunan Dişlerde Primer Endodontik Tedavinin Başarısızlık Nedenlerinin İncelenmesi”</t>
        </is>
      </c>
    </row>
    <row r="407" ht="47.25" customHeight="1" s="221">
      <c r="A407" s="5" t="inlineStr">
        <is>
          <t>336.</t>
        </is>
      </c>
      <c r="B407" s="6" t="inlineStr">
        <is>
          <t>SBA 25/407</t>
        </is>
      </c>
      <c r="C407" s="8" t="inlineStr">
        <is>
          <t>Prof. Dr. Banu SANCAK</t>
        </is>
      </c>
      <c r="D407" s="7" t="inlineStr">
        <is>
          <t>“Morganellaceae Ailesinde Antibiyotik Direnç Mekanizmalarının ve Virülans Faktörlerinin Fenotipik ve Genotipik Yöntemlerle İncelenmesi”</t>
        </is>
      </c>
    </row>
    <row r="408" ht="31.5" customHeight="1" s="221">
      <c r="A408" s="5" t="inlineStr">
        <is>
          <t>337.</t>
        </is>
      </c>
      <c r="B408" s="6" t="inlineStr">
        <is>
          <t>SBA 25/408</t>
        </is>
      </c>
      <c r="C408" s="8" t="inlineStr">
        <is>
          <t>Prof. Dr. Uzay KOÇ VURAL</t>
        </is>
      </c>
      <c r="D408" s="7" t="inlineStr">
        <is>
          <t>“Güncel Üniversal Kompozit Rezinlerin Polimerizasyon Büzülmesi ve Mikrosızıntı Açısından Karşılaştırılması”</t>
        </is>
      </c>
    </row>
    <row r="409" ht="63" customHeight="1" s="221">
      <c r="A409" s="5" t="inlineStr">
        <is>
          <t>338.</t>
        </is>
      </c>
      <c r="B409" s="6" t="inlineStr">
        <is>
          <t>SBA 25/409</t>
        </is>
      </c>
      <c r="C409" s="8" t="inlineStr">
        <is>
          <t>Dr. Öğr. Üyesi Buket ACAR</t>
        </is>
      </c>
      <c r="D409" s="7" t="inlineStr">
        <is>
          <t>“Peri-implantitis ve Periodontitiste İnflamatuvar ve Koruyucu Yanıt: Dişeti Islaklığı, Dişeti Oluğu Sıvısı ve Peri-implant Oluk Sıvısının TNF-α, IL-10, MUC4 Düzeylerinin İncelenmesi”</t>
        </is>
      </c>
    </row>
    <row r="410" ht="47.25" customHeight="1" s="221">
      <c r="A410" s="5" t="inlineStr">
        <is>
          <t>339.</t>
        </is>
      </c>
      <c r="B410" s="6" t="inlineStr">
        <is>
          <t>SBA 25/410</t>
        </is>
      </c>
      <c r="C410" s="8" t="inlineStr">
        <is>
          <t>Doç. Dr. Murat KARA</t>
        </is>
      </c>
      <c r="D410" s="7" t="inlineStr">
        <is>
          <t>“Fasiyal Reanimasyonda Yeni Bir Donör Sinir: Servikal Sinirin Topografik ve Mikroanatomik Özelliklerinin İncelenmesi, Kadavra Çalışması”</t>
        </is>
      </c>
    </row>
    <row r="411" ht="47.25" customHeight="1" s="221">
      <c r="A411" s="5" t="inlineStr">
        <is>
          <t>340.</t>
        </is>
      </c>
      <c r="B411" s="6" t="inlineStr">
        <is>
          <t>SBA 25/411</t>
        </is>
      </c>
      <c r="C411" s="8" t="inlineStr">
        <is>
          <t>Doç. Dr. Şükrü Alpan CİNEMRE</t>
        </is>
      </c>
      <c r="D411" s="7" t="inlineStr">
        <is>
          <t>“Sezon Öncesi Antrenman Yükü, Kuvvet Parametreleri ve Performans İlişkisinin Antrenman Takibi Yöntemleri ile Değerlendirmesi”</t>
        </is>
      </c>
    </row>
    <row r="412" ht="47.25" customHeight="1" s="221">
      <c r="A412" s="5" t="inlineStr">
        <is>
          <t>341.</t>
        </is>
      </c>
      <c r="B412" s="6" t="inlineStr">
        <is>
          <t>SBA 25/412</t>
        </is>
      </c>
      <c r="C412" s="8" t="inlineStr">
        <is>
          <t>Prof. Dr. Gökçen ÇOBAN ÇİFÇİ</t>
        </is>
      </c>
      <c r="D412" s="7" t="inlineStr">
        <is>
          <t>“Multipıl Skleroz Hastalarındaki Demiyelinizan Lezyonların, Non-demiyelinizan Lezyonlardan Duyarlılık Ağırlıklı MR Görüntüleme ile Ayrımı”</t>
        </is>
      </c>
    </row>
    <row r="413" ht="31.5" customHeight="1" s="221">
      <c r="A413" s="5" t="inlineStr">
        <is>
          <t>342.</t>
        </is>
      </c>
      <c r="B413" s="6" t="inlineStr">
        <is>
          <t>SBA 25/413</t>
        </is>
      </c>
      <c r="C413" s="8" t="inlineStr">
        <is>
          <t>Doç. Dr. Rahşan GÖÇMEN</t>
        </is>
      </c>
      <c r="D413" s="7" t="inlineStr">
        <is>
          <t>"Santral Sinir Sistemi’nde T Hücreli Lenfomaların Görüntüleme Bulguları"</t>
        </is>
      </c>
    </row>
    <row r="414" ht="47.25" customHeight="1" s="221">
      <c r="A414" s="5" t="inlineStr">
        <is>
          <t>343.</t>
        </is>
      </c>
      <c r="B414" s="6" t="inlineStr">
        <is>
          <t>SBA 25/414</t>
        </is>
      </c>
      <c r="C414" s="8" t="inlineStr">
        <is>
          <t>Prof. Dr. Nalan ÇELEBİ</t>
        </is>
      </c>
      <c r="D414" s="7" t="inlineStr">
        <is>
          <t>“Torasik Outlet Sendromu Hastalarında Stellat Ganglion Bloğu ile Torasik Sempatik Bloğun Ağrı Yönetimindeki Etkinliğinin Karşılaştırılması”</t>
        </is>
      </c>
    </row>
    <row r="415" ht="31.5" customHeight="1" s="221">
      <c r="A415" s="5" t="inlineStr">
        <is>
          <t>344.</t>
        </is>
      </c>
      <c r="B415" s="6" t="inlineStr">
        <is>
          <t>SBA 25/415</t>
        </is>
      </c>
      <c r="C415" s="8" t="inlineStr">
        <is>
          <t>Doç. Dr. Hilal AKSOY</t>
        </is>
      </c>
      <c r="D415" s="7" t="inlineStr">
        <is>
          <t>“Türkiye'de Aile Hekimlerinin Kronik Ağrısı Olan Hastalara Yaklaşımı: Tanımlayıcı Çalışma”</t>
        </is>
      </c>
    </row>
    <row r="416" ht="31.5" customHeight="1" s="221">
      <c r="A416" s="5" t="inlineStr">
        <is>
          <t>345.</t>
        </is>
      </c>
      <c r="B416" s="6" t="inlineStr">
        <is>
          <t>SBA 25/416</t>
        </is>
      </c>
      <c r="C416" s="8" t="inlineStr">
        <is>
          <t>Prof. Dr. Tevfik KARAGÖZ</t>
        </is>
      </c>
      <c r="D416" s="7" t="inlineStr">
        <is>
          <t>“Koroner Arteriovenöz Fistül Hastalarının Tanı, Tedavi ve Takip Süreçlerinin Retrospektif Değerlendirilmesi”</t>
        </is>
      </c>
    </row>
    <row r="417" ht="47.25" customHeight="1" s="221">
      <c r="A417" s="5" t="inlineStr">
        <is>
          <t>346.</t>
        </is>
      </c>
      <c r="B417" s="6" t="inlineStr">
        <is>
          <t>SBA 25/417</t>
        </is>
      </c>
      <c r="C417" s="8" t="inlineStr">
        <is>
          <t>Doç. Dr. Cafer BALCI</t>
        </is>
      </c>
      <c r="D417" s="7" t="inlineStr">
        <is>
          <t>“Yaş ve Cinsiyete Özgü Baldır Çevresi Persentilleri ile Geriatri Polikliniği Hastalarında Olası Sarkopeni Arasındaki İlişki”</t>
        </is>
      </c>
    </row>
    <row r="418" ht="63" customHeight="1" s="221">
      <c r="A418" s="5" t="inlineStr">
        <is>
          <t>347.</t>
        </is>
      </c>
      <c r="B418" s="6" t="inlineStr">
        <is>
          <t>SBA 25/418</t>
        </is>
      </c>
      <c r="C418" s="8" t="inlineStr">
        <is>
          <t>Dr. Öğr. Üyesi Cansu ÖZDEMİR SAKA</t>
        </is>
      </c>
      <c r="D418" s="7" t="inlineStr">
        <is>
          <t>“Aril Hidrokarbon Reseptörü İnhibisyonunun Kemik İliği Yağ Mezenkimal Kök Hücreleri Kaynaklı Ekstraselüler Veziküller Aracılığıyla Kemik İliği Nişine Olan Etkilerinin Araştırılması”</t>
        </is>
      </c>
    </row>
    <row r="419" ht="47.25" customHeight="1" s="221">
      <c r="A419" s="5" t="inlineStr">
        <is>
          <t>348.</t>
        </is>
      </c>
      <c r="B419" s="6" t="inlineStr">
        <is>
          <t>SBA 25/419</t>
        </is>
      </c>
      <c r="C419" s="8" t="inlineStr">
        <is>
          <t>Prof. Dr. Sadberk Lale TOKGÖZOĞLU</t>
        </is>
      </c>
      <c r="D419" s="7" t="inlineStr">
        <is>
          <t>“Femoral ve Karotis Plak Yükünün Uzun Dönem Takipte Aterosklerotik Vasküler Olaylar ile İlişkisinin Değerlendirilmesi”</t>
        </is>
      </c>
    </row>
    <row r="420" ht="63" customHeight="1" s="221">
      <c r="A420" s="5" t="inlineStr">
        <is>
          <t>349.</t>
        </is>
      </c>
      <c r="B420" s="6" t="inlineStr">
        <is>
          <t>SBA 25/420</t>
        </is>
      </c>
      <c r="C420" s="8" t="inlineStr">
        <is>
          <t>Prof. Dr. Elmas Ebru YALÇIN</t>
        </is>
      </c>
      <c r="D420" s="7" t="inlineStr">
        <is>
          <t>“Düşük İmmün Reaktif Tripsinojen (IRT) Değerleri Nedeniyle Yenidoğan Taramasından Kaçan Kistik Fibrozisli Çocukların Özellikleri ve Taramada Yakalanan Hasta Grubu ile Karşılaştırılması”</t>
        </is>
      </c>
    </row>
    <row r="421" ht="47.25" customHeight="1" s="221">
      <c r="A421" s="5" t="inlineStr">
        <is>
          <t>350.</t>
        </is>
      </c>
      <c r="B421" s="6" t="inlineStr">
        <is>
          <t>SBA 25/421</t>
        </is>
      </c>
      <c r="C421" s="8" t="inlineStr">
        <is>
          <t>Prof. Dr. Hüseyin Hüsrev TURNAGÖL</t>
        </is>
      </c>
      <c r="D421" s="7" t="inlineStr">
        <is>
          <t>“Kafein ve L-Karnitin Takviyesinin Koşucularda Substrat Oksidasyonu ve Solunumsal Eşik Şiddeti Üzerindeki Koşu Performansýna Etkisi”</t>
        </is>
      </c>
    </row>
    <row r="422" ht="47.25" customHeight="1" s="221">
      <c r="A422" s="5" t="inlineStr">
        <is>
          <t>351.</t>
        </is>
      </c>
      <c r="B422" s="6" t="inlineStr">
        <is>
          <t>SBA 25/422</t>
        </is>
      </c>
      <c r="C422" s="8" t="inlineStr">
        <is>
          <t>Doç. Dr. Neslihan AKDOĞAN</t>
        </is>
      </c>
      <c r="D422" s="7" t="inlineStr">
        <is>
          <t>“Psöriazis Tanılı Biyolojik Tedavi Alan Kronik Hepatit B Enfeksiyonu Olan Hastalarda Hepatik Fibrozisin Transient Elastografi ile Değerlendirilmesi”</t>
        </is>
      </c>
    </row>
    <row r="423" ht="31.5" customHeight="1" s="221">
      <c r="A423" s="5" t="inlineStr">
        <is>
          <t>352.</t>
        </is>
      </c>
      <c r="B423" s="6" t="inlineStr">
        <is>
          <t>SBA 25/423</t>
        </is>
      </c>
      <c r="C423" s="8" t="inlineStr">
        <is>
          <t>Doç. Dr. Erdal SAĞ</t>
        </is>
      </c>
      <c r="D423" s="7" t="inlineStr">
        <is>
          <t>“Kolşisin Dirençli Ailevi Akdeniz Ateşinin Yönetiminde Klinisyen Yaklaşımlarının Anket ile Araştırılması”</t>
        </is>
      </c>
    </row>
    <row r="424" ht="63" customHeight="1" s="221">
      <c r="A424" s="5" t="inlineStr">
        <is>
          <t>353.</t>
        </is>
      </c>
      <c r="B424" s="6" t="inlineStr">
        <is>
          <t>SBA 25/424</t>
        </is>
      </c>
      <c r="C424" s="8" t="inlineStr">
        <is>
          <t>Prof. Dr. Ayşe AKINCI</t>
        </is>
      </c>
      <c r="D424" s="7" t="inlineStr">
        <is>
          <t>"Ankilozan Spondiliti Olan ve Olmayan Bireylerde Asil ve Supraspinatus Entez Bölgelerinin Karşılaştırılması ve Ankilozan Spondilit Hastalik Aktivitesi ve Fonksiyonel Durumu ile İlişkilendirilmesi"</t>
        </is>
      </c>
    </row>
    <row r="425" ht="31.5" customHeight="1" s="221">
      <c r="A425" s="5" t="inlineStr">
        <is>
          <t>354.</t>
        </is>
      </c>
      <c r="B425" s="6" t="inlineStr">
        <is>
          <t>SBA 25/425</t>
        </is>
      </c>
      <c r="C425" s="8" t="inlineStr">
        <is>
          <t>Doç. Dr. Erdal SAĞ</t>
        </is>
      </c>
      <c r="D425" s="7" t="inlineStr">
        <is>
          <t>“Juvenil Skleroderma Tanılı Hastaların Özelliklerinin Belirlenmesi”</t>
        </is>
      </c>
    </row>
    <row r="426" ht="63" customHeight="1" s="221">
      <c r="A426" s="5" t="inlineStr">
        <is>
          <t>355.</t>
        </is>
      </c>
      <c r="B426" s="6" t="inlineStr">
        <is>
          <t>SBA 25/426</t>
        </is>
      </c>
      <c r="C426" s="8" t="inlineStr">
        <is>
          <t>Prof. Dr. Serap AYDIN</t>
        </is>
      </c>
      <c r="D426" s="7" t="inlineStr">
        <is>
          <t>“Major Depresyon Bozukluğunda SSRI Tedavisinin Başarısını Öngören, Emosyonel EEG Tabanlı, Çizge Kuramsal ve Nedensel Bir Prognostik Belirteç Araştırması”</t>
        </is>
      </c>
    </row>
    <row r="427" ht="47.25" customHeight="1" s="221">
      <c r="A427" s="5" t="inlineStr">
        <is>
          <t>356.</t>
        </is>
      </c>
      <c r="B427" s="6" t="inlineStr">
        <is>
          <t>SBA 25/427</t>
        </is>
      </c>
      <c r="C427" s="8" t="inlineStr">
        <is>
          <t>Prof. Dr. Güney YILMAZ</t>
        </is>
      </c>
      <c r="D427" s="7" t="inlineStr">
        <is>
          <t>“İskelet Displazili Çocuklarda Geçici Hemiepifizyodez Cerrahisi Sonrası Radyolojik Sonuçlar ve Rekürrens Eğilimleri”</t>
        </is>
      </c>
    </row>
    <row r="428" ht="47.25" customHeight="1" s="221">
      <c r="A428" s="5" t="inlineStr">
        <is>
          <t>357.</t>
        </is>
      </c>
      <c r="B428" s="6" t="inlineStr">
        <is>
          <t>SBA 25/428</t>
        </is>
      </c>
      <c r="C428" s="8" t="inlineStr">
        <is>
          <t>Prof. Dr. Meryem UZAMIŞ TEKÇİÇEK</t>
        </is>
      </c>
      <c r="D428" s="7" t="inlineStr">
        <is>
          <t>“Pierre Robin Sekanslı Hastalarda Distraksiyon Osteogenezis Uygulamasının Dentofasiyal Yapılara Uzun Dönemdeki Etkisi”</t>
        </is>
      </c>
    </row>
    <row r="429" ht="47.25" customHeight="1" s="221">
      <c r="A429" s="5" t="inlineStr">
        <is>
          <t>358.</t>
        </is>
      </c>
      <c r="B429" s="6" t="inlineStr">
        <is>
          <t>SBA 25/429</t>
        </is>
      </c>
      <c r="C429" s="8" t="inlineStr">
        <is>
          <t>Doç. Dr. Ezgi ATİK</t>
        </is>
      </c>
      <c r="D429" s="7" t="inlineStr">
        <is>
          <t>"Şeffaf Plak Tedavilerinde Kullanılan Ataşmanların Hastaların Estetik ve Fonksiyon Algılarının Üzerine Etkisinin Değerlendirilmesi"</t>
        </is>
      </c>
    </row>
    <row r="430" ht="47.25" customHeight="1" s="221">
      <c r="A430" s="5" t="inlineStr">
        <is>
          <t>359.</t>
        </is>
      </c>
      <c r="B430" s="6" t="inlineStr">
        <is>
          <t>SBA 25/430</t>
        </is>
      </c>
      <c r="C430" s="8" t="inlineStr">
        <is>
          <t>Doç. Dr. Ezgi ATİK</t>
        </is>
      </c>
      <c r="D430" s="7" t="inlineStr">
        <is>
          <t>"Yüz Dikey Yüksekliği Farklı Olan Kadınlarda Degişen Üst Lateral Diş Boyutlarınım Gülümseme Estetiğine Etkisi”</t>
        </is>
      </c>
    </row>
    <row r="431" ht="47.25" customHeight="1" s="221">
      <c r="A431" s="5" t="inlineStr">
        <is>
          <t>360.</t>
        </is>
      </c>
      <c r="B431" s="6" t="inlineStr">
        <is>
          <t>SBA 25/431</t>
        </is>
      </c>
      <c r="C431" s="8" t="inlineStr">
        <is>
          <t>Prof. Dr. Ferah YILDIZ</t>
        </is>
      </c>
      <c r="D431" s="7" t="inlineStr">
        <is>
          <t>“Neoadjuvan Kemoterapi, Cerrahi ve Adjuvan Radyoterapi Uygulanan Meme Kanserli Olgularda HER2- Düzeyi ile Sağkalım İlişkisi ”</t>
        </is>
      </c>
    </row>
    <row r="432" ht="47.25" customHeight="1" s="221">
      <c r="A432" s="5" t="inlineStr">
        <is>
          <t>361.</t>
        </is>
      </c>
      <c r="B432" s="6" t="inlineStr">
        <is>
          <t>SBA 25/432</t>
        </is>
      </c>
      <c r="C432" s="8" t="inlineStr">
        <is>
          <t>Prof. Dr. Bilge VOLKAN SALANCI</t>
        </is>
      </c>
      <c r="D432" s="7" t="inlineStr">
        <is>
          <t>“İnvaziv Lobüler Meme Kanserinde Pozitron Emisyon Tomografisi / Bilgisayarlı Tomografi Görüntüleme Yöntemi ile Hastalık Heterojenitesinin Değerlendirmesi”</t>
        </is>
      </c>
    </row>
    <row r="433" ht="47.25" customHeight="1" s="221">
      <c r="A433" s="5" t="inlineStr">
        <is>
          <t>362.</t>
        </is>
      </c>
      <c r="B433" s="6" t="inlineStr">
        <is>
          <t>SBA 25/433</t>
        </is>
      </c>
      <c r="C433" s="8" t="inlineStr">
        <is>
          <t>Prof. Dr. A. Mazhar TOKGÖZOĞLU</t>
        </is>
      </c>
      <c r="D433" s="7" t="inlineStr">
        <is>
          <t>“Cerrahi Olarak Tedavi Edilen Pelvik Fragilite Kırığı Olan Hastaların Retrospektif Olarak Değerlendirilmesi: Fonksiyonel ve Radyolojik Bulgular”</t>
        </is>
      </c>
    </row>
    <row r="434" ht="31.5" customHeight="1" s="221">
      <c r="A434" s="5" t="inlineStr">
        <is>
          <t>363.</t>
        </is>
      </c>
      <c r="B434" s="6" t="inlineStr">
        <is>
          <t>SBA 25/434</t>
        </is>
      </c>
      <c r="C434" s="8" t="inlineStr">
        <is>
          <t>Doç. Dr. Naşide MANGIR BOLAT</t>
        </is>
      </c>
      <c r="D434" s="7" t="inlineStr">
        <is>
          <t>“ICIQ-FLUTS ve ICIQ-MLUTS Skorlarının Ürodinamik Tanılarla İlişkisi: Retrospektif Bir Analiz”</t>
        </is>
      </c>
    </row>
    <row r="435" ht="63" customHeight="1" s="221">
      <c r="A435" s="5" t="inlineStr">
        <is>
          <t>364.</t>
        </is>
      </c>
      <c r="B435" s="6" t="inlineStr">
        <is>
          <t>SBA 25/435</t>
        </is>
      </c>
      <c r="C435" s="8" t="inlineStr">
        <is>
          <t>Prof. Dr. Deniz ÇAĞDAŞ AYVAZ</t>
        </is>
      </c>
      <c r="D435" s="7" t="inlineStr">
        <is>
          <t>“Nöroloji ve Çocuk Nöroloji Bölümlerinden Çocuk İmmünoloji Bölümüne Konsulte Edilen ve Primer İmmün Yetmezlik Tanısı Konulan Hastaların İncelenmesi”</t>
        </is>
      </c>
    </row>
    <row r="436" ht="63" customHeight="1" s="221">
      <c r="A436" s="5" t="inlineStr">
        <is>
          <t>365.</t>
        </is>
      </c>
      <c r="B436" s="6" t="inlineStr">
        <is>
          <t>SBA 25/436</t>
        </is>
      </c>
      <c r="C436" s="8" t="inlineStr">
        <is>
          <t>Doç. Dr. Murat KARA</t>
        </is>
      </c>
      <c r="D436" s="7" t="inlineStr">
        <is>
          <t>“2500 Hastalık Vaka Serisiyle Primer Dudak ve Damak Yarıkları: Epidemiyolojik, Cerrahi ve Postoperatif Komplikasyonların Erken ve Geç Dönem İlişkisinin Analizi”</t>
        </is>
      </c>
    </row>
    <row r="437" ht="63" customHeight="1" s="221">
      <c r="A437" s="5" t="inlineStr">
        <is>
          <t>366.</t>
        </is>
      </c>
      <c r="B437" s="6" t="inlineStr">
        <is>
          <t>SBA 25/437</t>
        </is>
      </c>
      <c r="C437" s="8" t="inlineStr">
        <is>
          <t>Prof. Dr. Deniz AKATA</t>
        </is>
      </c>
      <c r="D437" s="7" t="inlineStr">
        <is>
          <t>"Manyetik Rezonans Görüntülemede Difüzyon Ağırlıklı Görüntüleme Ovaryan ve Adneksal Lezyonları Raporlama ve Veri Sistemi– Manyetik Rezonans Skorlama Skalasının İsabetine Katkısı"</t>
        </is>
      </c>
    </row>
    <row r="438" ht="47.25" customHeight="1" s="221">
      <c r="A438" s="5" t="inlineStr">
        <is>
          <t>367.</t>
        </is>
      </c>
      <c r="B438" s="6" t="inlineStr">
        <is>
          <t>SBA 25/438</t>
        </is>
      </c>
      <c r="C438" s="8" t="inlineStr">
        <is>
          <t>Prof. Dr. Göknur HALİLOĞLU</t>
        </is>
      </c>
      <c r="D438" s="7" t="inlineStr">
        <is>
          <t>“Yenidoğan Taraması ile Tanı Alan Spinal Musküler Atrofili Çocukların Tedavi Altında +2. Yıl Fonksiyonel İzlem Sonuçları: Hacettepe Örneği”</t>
        </is>
      </c>
    </row>
    <row r="439" ht="31.5" customHeight="1" s="221">
      <c r="A439" s="5" t="inlineStr">
        <is>
          <t>368.</t>
        </is>
      </c>
      <c r="B439" s="6" t="inlineStr">
        <is>
          <t>SBA 25/439</t>
        </is>
      </c>
      <c r="C439" s="8" t="inlineStr">
        <is>
          <t>Doç. Dr. İdil Rana USER KILIÇ</t>
        </is>
      </c>
      <c r="D439" s="7" t="inlineStr">
        <is>
          <t>“Çocukluk Çağı Tümörleri İlişkili Trombüslerde Cerrahi Tedavi Yöntemleri”</t>
        </is>
      </c>
    </row>
    <row r="440" ht="47.25" customHeight="1" s="221">
      <c r="A440" s="5" t="inlineStr">
        <is>
          <t>369.</t>
        </is>
      </c>
      <c r="B440" s="6" t="inlineStr">
        <is>
          <t>SBA 25/440</t>
        </is>
      </c>
      <c r="C440" s="8" t="inlineStr">
        <is>
          <t>Doç. Dr. İdil Rana USER KILIÇ</t>
        </is>
      </c>
      <c r="D440" s="7" t="inlineStr">
        <is>
          <t>“Çocuk Hastalarda Ekstragonadal Germ Hücreli Tümörlerin Klinik, Patolojik Özellikleri ve LIN28 ile İmmunohistokimyasal Analizi”</t>
        </is>
      </c>
    </row>
    <row r="441" ht="47.25" customHeight="1" s="221">
      <c r="A441" s="5" t="inlineStr">
        <is>
          <t>370.</t>
        </is>
      </c>
      <c r="B441" s="6" t="inlineStr">
        <is>
          <t>SBA 25/441</t>
        </is>
      </c>
      <c r="C441" s="8" t="inlineStr">
        <is>
          <t>Doç. Dr. Murat KARA</t>
        </is>
      </c>
      <c r="D441" s="7" t="inlineStr">
        <is>
          <t>“Primer Dudak Damak Yarıklı Hastalarda Eşlik Eden Anomalilerin Operasyon Yaşı ve Erken Dönem Postoperatif Komplikasyonlarla İlişkisi</t>
        </is>
      </c>
    </row>
    <row r="442" ht="31.5" customHeight="1" s="221">
      <c r="A442" s="5" t="inlineStr">
        <is>
          <t>371.</t>
        </is>
      </c>
      <c r="B442" s="6" t="inlineStr">
        <is>
          <t>SBA 25/442</t>
        </is>
      </c>
      <c r="C442" s="8" t="inlineStr">
        <is>
          <t>Dr. Öğr. Üyesi Oğuz KARCIOĞLU</t>
        </is>
      </c>
      <c r="D442" s="7" t="inlineStr">
        <is>
          <t>“Erişkin Kistik Fibrozis Hastalarında Genotiplere Göre Modülatör Tedavi Etkinliğinin Değerlendirilmesi”</t>
        </is>
      </c>
    </row>
    <row r="443" ht="94.5" customHeight="1" s="221">
      <c r="A443" s="5" t="inlineStr">
        <is>
          <t>372.</t>
        </is>
      </c>
      <c r="B443" s="6" t="inlineStr">
        <is>
          <t>SBA 25/443</t>
        </is>
      </c>
      <c r="C443" s="8" t="inlineStr">
        <is>
          <t>Prof. Dr. Nüket PAKSOY ERBAYDAR</t>
        </is>
      </c>
      <c r="D443" s="7" t="inlineStr">
        <is>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is>
      </c>
    </row>
    <row r="444" ht="31.5" customHeight="1" s="221">
      <c r="A444" s="5" t="inlineStr">
        <is>
          <t>373.</t>
        </is>
      </c>
      <c r="B444" s="6" t="inlineStr">
        <is>
          <t>SBA 25/444</t>
        </is>
      </c>
      <c r="C444" s="8" t="inlineStr">
        <is>
          <t>Prof. Dr. Ülfet Pınar ERKEKOĞLU</t>
        </is>
      </c>
      <c r="D444" s="7" t="inlineStr">
        <is>
          <t>“Pediatrik Wilson Hastalarında Nörotoksisitenin Değerlendirilmesi”</t>
        </is>
      </c>
    </row>
    <row r="445" ht="31.5" customHeight="1" s="221">
      <c r="A445" s="5" t="inlineStr">
        <is>
          <t>374.</t>
        </is>
      </c>
      <c r="B445" s="6" t="inlineStr">
        <is>
          <t>SBA 25/445</t>
        </is>
      </c>
      <c r="C445" s="8" t="inlineStr">
        <is>
          <t>Doç. Dr. Cem ŞİMŞEK</t>
        </is>
      </c>
      <c r="D445" s="7" t="inlineStr">
        <is>
          <t>“Abdominal Patolojilerin Radyolojik Tanısına Yönelik Derin Öğrenme Modeli Geliştirilmesi.”</t>
        </is>
      </c>
    </row>
    <row r="446">
      <c r="A446" s="5" t="inlineStr">
        <is>
          <t>375.</t>
        </is>
      </c>
      <c r="B446" s="6" t="inlineStr">
        <is>
          <t>SBA 25/446</t>
        </is>
      </c>
      <c r="C446" s="8" t="inlineStr">
        <is>
          <t>Prof. Dr. Hülya DEMİR</t>
        </is>
      </c>
      <c r="D446" s="7" t="inlineStr">
        <is>
          <t>“Çocukluk Çağında Pankreatit”</t>
        </is>
      </c>
    </row>
    <row r="447" ht="47.25" customHeight="1" s="221">
      <c r="A447" s="5" t="inlineStr">
        <is>
          <t>376.</t>
        </is>
      </c>
      <c r="B447" s="6" t="inlineStr">
        <is>
          <t>SBA 25/447</t>
        </is>
      </c>
      <c r="C447" s="8" t="inlineStr">
        <is>
          <t>Prof. Dr. M. Özgür UYANIK</t>
        </is>
      </c>
      <c r="D447" s="7" t="inlineStr">
        <is>
          <t>“Farklı Materyaller ve Kalınlıklar ile Taklit Edilen Periodontal Ligamentin Kök Kanal Tedavili Dişlerde Kırılma Dayanımı Üzerindeki Etkisi: İn Vitro Çalışma”</t>
        </is>
      </c>
    </row>
    <row r="448" ht="31.5" customHeight="1" s="221">
      <c r="A448" s="5" t="inlineStr">
        <is>
          <t>377.</t>
        </is>
      </c>
      <c r="B448" s="6" t="inlineStr">
        <is>
          <t>SBA 25/448</t>
        </is>
      </c>
      <c r="C448" s="8" t="inlineStr">
        <is>
          <t>Prof. Dr. Ömer DİZDAR</t>
        </is>
      </c>
      <c r="D448" s="7" t="inlineStr">
        <is>
          <t>“İmmünoterapi Alan Hastalarda İmmün Yan Etki Gelişimini Predikte Eden Klinik ve Genetik Belirteçler”</t>
        </is>
      </c>
    </row>
    <row r="449" ht="47.25" customHeight="1" s="221">
      <c r="A449" s="5" t="inlineStr">
        <is>
          <t>378.</t>
        </is>
      </c>
      <c r="B449" s="6" t="inlineStr">
        <is>
          <t>SBA 25/449</t>
        </is>
      </c>
      <c r="C449" s="8" t="inlineStr">
        <is>
          <t>Doç. Dr. Oğuz KUŞCU</t>
        </is>
      </c>
      <c r="D449" s="7" t="inlineStr">
        <is>
          <t>“Üst Aerodigestif Sistem Mukozal Lezyonların Analizinde Dar Bant Görüntülemenin Yeri, Verilerin Histopatolojik İnceleme ile Karşılaştırılması”</t>
        </is>
      </c>
    </row>
    <row r="450" ht="47.25" customHeight="1" s="221">
      <c r="A450" s="5" t="inlineStr">
        <is>
          <t>379.</t>
        </is>
      </c>
      <c r="B450" s="6" t="inlineStr">
        <is>
          <t>SBA 25/450</t>
        </is>
      </c>
      <c r="C450" s="8" t="inlineStr">
        <is>
          <t>Doç. Dr. İdil Rana USER KILIÇ</t>
        </is>
      </c>
      <c r="D450" s="7" t="inlineStr">
        <is>
          <t>“Çocuklarda Cerrahi Sonrası Geliştirilmiş İyileştirme (Enhanced Recovery After Surgery: ERAS) Programı Uygulamaları”</t>
        </is>
      </c>
    </row>
    <row r="451" ht="47.25" customHeight="1" s="221">
      <c r="A451" s="5" t="inlineStr">
        <is>
          <t>380.</t>
        </is>
      </c>
      <c r="B451" s="6" t="inlineStr">
        <is>
          <t>SBA 25/451</t>
        </is>
      </c>
      <c r="C451" s="8" t="inlineStr">
        <is>
          <t>Doç. Dr. Kübra AYKAÇ</t>
        </is>
      </c>
      <c r="D451" s="7" t="inlineStr">
        <is>
          <t>“Kırım- Kongo Kanamalı Ateşi Tanılı Çocuk ve Erişkin Hastaların Sitokin ve Kemokin Yanıtlarının Değerlendirilmesi”</t>
        </is>
      </c>
    </row>
    <row r="452" ht="47.25" customHeight="1" s="221">
      <c r="A452" s="5" t="inlineStr">
        <is>
          <t>381.</t>
        </is>
      </c>
      <c r="B452" s="6" t="inlineStr">
        <is>
          <t>SBA 25/452</t>
        </is>
      </c>
      <c r="C452" s="8" t="inlineStr">
        <is>
          <t>Doç. Dr. Gamze DURHAN</t>
        </is>
      </c>
      <c r="D452" s="7" t="inlineStr">
        <is>
          <t>“Toraks BT Görüntülerinde İnterstisyel Akciğer Hastalığı Tespiti Amacıyla Akciğer Desen Analizine Yönelik Yapay Zeka Uygulaması”</t>
        </is>
      </c>
    </row>
    <row r="453" ht="47.25" customHeight="1" s="221">
      <c r="A453" s="5" t="inlineStr">
        <is>
          <t>382.</t>
        </is>
      </c>
      <c r="B453" s="6" t="inlineStr">
        <is>
          <t>SBA 25/453</t>
        </is>
      </c>
      <c r="C453" s="8" t="inlineStr">
        <is>
          <t>Dr. Öğr. Üyesi Ahmet AYDIN</t>
        </is>
      </c>
      <c r="D453" s="56" t="inlineStr">
        <is>
          <t>'Mitral Kapak Replasmanı Sonrası Postoperatif Mitral Gradient ile Kapak Boyutu, Vücut Kitle İndeksi ve Sol Atrium Çapı Arasındakı İlişkinin Retrospektif Analizi''</t>
        </is>
      </c>
    </row>
    <row r="454" ht="47.25" customHeight="1" s="221">
      <c r="A454" s="5" t="inlineStr">
        <is>
          <t>383.</t>
        </is>
      </c>
      <c r="B454" s="6" t="inlineStr">
        <is>
          <t>SBA 25/454</t>
        </is>
      </c>
      <c r="C454" s="8" t="inlineStr">
        <is>
          <t>Prof. Dr. Nuray BAYRAKÇI</t>
        </is>
      </c>
      <c r="D454" s="7" t="inlineStr">
        <is>
          <t>“Preoperatif Uyku Kalitesinin Mandibular Gömülü Üçüncü Molar Diş Çekimi Sonrası Ağrı ve Ödem Üzerine Etkisi”</t>
        </is>
      </c>
    </row>
    <row r="455" ht="63" customHeight="1" s="221">
      <c r="A455" s="5" t="inlineStr">
        <is>
          <t>384.</t>
        </is>
      </c>
      <c r="B455" s="6" t="inlineStr">
        <is>
          <t>SBA 25/455</t>
        </is>
      </c>
      <c r="C455" s="8" t="inlineStr">
        <is>
          <t>Doç. Dr. Gülşen TAŞDELEN</t>
        </is>
      </c>
      <c r="D455" s="7" t="inlineStr">
        <is>
          <t>“Aile Hekimliği Uzmanlık Öğrencileri İçin EASM Rotasyonu Öncesi Çevrimiçi Bir Oryantasyon Eğitimi Programının Geliştirilmesi ve Etkinliğinin Değerlendirilmesi”</t>
        </is>
      </c>
    </row>
    <row r="456" ht="47.25" customHeight="1" s="221">
      <c r="A456" s="5" t="inlineStr">
        <is>
          <t>385.</t>
        </is>
      </c>
      <c r="B456" s="6" t="inlineStr">
        <is>
          <t>SBA 25/456</t>
        </is>
      </c>
      <c r="C456" s="8" t="inlineStr">
        <is>
          <t>Prof. Dr. Göknur HALİLOĞLU</t>
        </is>
      </c>
      <c r="D456" s="7" t="inlineStr">
        <is>
          <t>“Nemalin Miyopatisi Olan Hastalar için Çok Merkezli, Prospektif, Uzunlamasına ve Gözlemsel Bir Doğal Seyir Çalışması”</t>
        </is>
      </c>
    </row>
    <row r="457" ht="47.25" customHeight="1" s="221">
      <c r="A457" s="5" t="inlineStr">
        <is>
          <t>386.</t>
        </is>
      </c>
      <c r="B457" s="6" t="inlineStr">
        <is>
          <t>SBA 25/457</t>
        </is>
      </c>
      <c r="C457" s="8" t="inlineStr">
        <is>
          <t>Prof. Dr. Ömür ÇAĞLAR</t>
        </is>
      </c>
      <c r="D457" s="7" t="inlineStr">
        <is>
          <t>“Femur Başı Avasküler Nekrozu Olan Hastalarda Tedavi Modalitelerinin ve Sağkalımın Retrospektif Olarak Değerlendirilmesi”</t>
        </is>
      </c>
    </row>
    <row r="458" ht="31.5" customHeight="1" s="221">
      <c r="A458" s="5" t="inlineStr">
        <is>
          <t>387.</t>
        </is>
      </c>
      <c r="B458" s="6" t="inlineStr">
        <is>
          <t>SBA 25/458</t>
        </is>
      </c>
      <c r="C458" s="8" t="inlineStr">
        <is>
          <t>Prof. Dr. Deniz DOĞRU ERSÖZ</t>
        </is>
      </c>
      <c r="D458" s="7" t="inlineStr">
        <is>
          <t>“Çocukluk Çağında Nintedanib Kullanımı: Tek Merkez Deneyimi”</t>
        </is>
      </c>
    </row>
    <row r="459" ht="63" customHeight="1" s="221">
      <c r="A459" s="5" t="inlineStr">
        <is>
          <t>388.</t>
        </is>
      </c>
      <c r="B459" s="6" t="inlineStr">
        <is>
          <t>SBA 25/459</t>
        </is>
      </c>
      <c r="C459" s="8" t="inlineStr">
        <is>
          <t>Dr. Öğr. Üyesi Melda ÇELİK</t>
        </is>
      </c>
      <c r="D459" s="7" t="inlineStr">
        <is>
          <t>“Emzirme Danışmanlığı Merkezi’ne Başvuran Ebeveynlerde Postpartum Depresyon Saptanma Durumunun ve İlişkili Faktörlerin Değerlendirilmesi: Retrospektif Kohort Çalışması”</t>
        </is>
      </c>
    </row>
    <row r="460" ht="47.25" customHeight="1" s="221">
      <c r="A460" s="5" t="inlineStr">
        <is>
          <t>389.</t>
        </is>
      </c>
      <c r="B460" s="6" t="inlineStr">
        <is>
          <t>SBA 25/460</t>
        </is>
      </c>
      <c r="C460" s="8" t="inlineStr">
        <is>
          <t>Doç. Dr. Gülşen TAŞDELEN</t>
        </is>
      </c>
      <c r="D460" s="7" t="inlineStr">
        <is>
          <t>“Tıp Fakültesi ve Beslenme ve Diyetetik Bölümü Öğrencilerinin Hasta Güvenliği ve Mesleklerarası İşbirliği Programına Yönelik Görüşleri”</t>
        </is>
      </c>
    </row>
    <row r="461" ht="47.25" customHeight="1" s="221">
      <c r="A461" s="5" t="inlineStr">
        <is>
          <t>390.</t>
        </is>
      </c>
      <c r="B461" s="6" t="inlineStr">
        <is>
          <t>SBA 25/461</t>
        </is>
      </c>
      <c r="C461" s="8" t="inlineStr">
        <is>
          <t>Prof. Dr. Dilek YALNIZOĞLU</t>
        </is>
      </c>
      <c r="D461" s="7" t="inlineStr">
        <is>
          <t>“Çocukluk Çağı Akut Arteriyel İskemik İnme Tanısı Alan Hastalarda Etiyoloji, Tedavi Yaklaşımı ve Nörolojik Sonuçlarının Değerlendirilmesi”</t>
        </is>
      </c>
    </row>
    <row r="462" ht="47.25" customHeight="1" s="221">
      <c r="A462" s="5" t="inlineStr">
        <is>
          <t>391.</t>
        </is>
      </c>
      <c r="B462" s="6" t="inlineStr">
        <is>
          <t>SBA 25/462</t>
        </is>
      </c>
      <c r="C462" s="8" t="inlineStr">
        <is>
          <t>Doç. Dr. Duygu AYHAN BAŞER</t>
        </is>
      </c>
      <c r="D462" s="7" t="inlineStr">
        <is>
          <t>“18-49 Yaş Arası Kadınların Birinci Basamakta Yapılan Jinekolojik Muayene Hakkındaki Görüş ve Deneyimleri”</t>
        </is>
      </c>
    </row>
    <row r="463" ht="31.5" customHeight="1" s="221">
      <c r="A463" s="5" t="inlineStr">
        <is>
          <t>392.</t>
        </is>
      </c>
      <c r="B463" s="6" t="inlineStr">
        <is>
          <t>SBA 25/463</t>
        </is>
      </c>
      <c r="C463" s="8" t="inlineStr">
        <is>
          <t>Doç. Dr. Gülşen TAŞDELEN</t>
        </is>
      </c>
      <c r="D463" s="7" t="inlineStr">
        <is>
          <t>“Mesleklerarası İşbirliği Programına Yönelik Öğrenci ve Eğitici Görüşleri: Program Değerlendirme Çalışması”</t>
        </is>
      </c>
    </row>
    <row r="464" ht="47.25" customHeight="1" s="221">
      <c r="A464" s="5" t="inlineStr">
        <is>
          <t>393.</t>
        </is>
      </c>
      <c r="B464" s="6" t="inlineStr">
        <is>
          <t>SBA 25/464</t>
        </is>
      </c>
      <c r="C464" s="8" t="inlineStr">
        <is>
          <t>Doç. Dr. Neslihan AKDOĞAN</t>
        </is>
      </c>
      <c r="D464" s="7" t="inlineStr">
        <is>
          <t>“Asitretin Tedavisi Almış Psoriazis Vulgaris Tanılı Hastalarda FIB-4 Skorunun Retrospektif Değerlendirilmesi”</t>
        </is>
      </c>
    </row>
    <row r="465" ht="31.5" customHeight="1" s="221">
      <c r="A465" s="5" t="inlineStr">
        <is>
          <t>394.</t>
        </is>
      </c>
      <c r="B465" s="6" t="inlineStr">
        <is>
          <t>SBA 25/465</t>
        </is>
      </c>
      <c r="C465" s="8" t="inlineStr">
        <is>
          <t>Prof. Dr. Meltem Gülhan HALİL</t>
        </is>
      </c>
      <c r="D465" s="7" t="inlineStr">
        <is>
          <t>“Klinik Nütrisyon Tedavisinde Hedefe Ulaşmada Önemli Bir Bariyer: Refeedin Sendromu”</t>
        </is>
      </c>
    </row>
    <row r="466" ht="31.5" customHeight="1" s="221">
      <c r="A466" s="5" t="inlineStr">
        <is>
          <t>395.</t>
        </is>
      </c>
      <c r="B466" s="6" t="inlineStr">
        <is>
          <t>SBA 25/466</t>
        </is>
      </c>
      <c r="C466" s="8" t="inlineStr">
        <is>
          <t>Prof. Dr. Meltem Gülhan HALİL</t>
        </is>
      </c>
      <c r="D466" s="7" t="inlineStr">
        <is>
          <t>"İleri Yaşlı Bireylerde Trombosit Lenfosit Oranı ile Disfaji Arasındaki İlişki”</t>
        </is>
      </c>
    </row>
    <row r="467" ht="31.5" customHeight="1" s="221">
      <c r="A467" s="5" t="inlineStr">
        <is>
          <t>396.</t>
        </is>
      </c>
      <c r="B467" s="6" t="inlineStr">
        <is>
          <t>SBA 25/467</t>
        </is>
      </c>
      <c r="C467" s="8" t="inlineStr">
        <is>
          <t>Doç. Dr. Kübra AYKAÇ</t>
        </is>
      </c>
      <c r="D467" s="7" t="inlineStr">
        <is>
          <t>“Bruselloz Tanılı Çocukların Sitokin ve Kemokin Yanıtlarının Değerlendirilmesi”</t>
        </is>
      </c>
    </row>
    <row r="468" ht="31.5" customHeight="1" s="221">
      <c r="A468" s="5" t="inlineStr">
        <is>
          <t>397.</t>
        </is>
      </c>
      <c r="B468" s="6" t="inlineStr">
        <is>
          <t>SBA 25/468</t>
        </is>
      </c>
      <c r="C468" s="8" t="inlineStr">
        <is>
          <t>Prof. Dr. Neşe DERİCİOĞLU</t>
        </is>
      </c>
      <c r="D468" s="7" t="inlineStr">
        <is>
          <t>“Acil İstenen EEG’lerin Tanısal Değeri ve Tedaviye Katkısı”</t>
        </is>
      </c>
    </row>
    <row r="469" ht="47.25" customHeight="1" s="221">
      <c r="A469" s="5" t="inlineStr">
        <is>
          <t>398.</t>
        </is>
      </c>
      <c r="B469" s="6" t="inlineStr">
        <is>
          <t>SBA 25/469</t>
        </is>
      </c>
      <c r="C469" s="8" t="inlineStr">
        <is>
          <t>Prof. Dr. Ayşe Sanem ŞAHLI</t>
        </is>
      </c>
      <c r="D469" s="7" t="inlineStr">
        <is>
          <t>“Anne Adaylarının İşitme Kaybı Risk Faktörleri ve Erken Korunma Hakkındaki Farkındalıklarının Belirlenmesi ve Eğitimi”</t>
        </is>
      </c>
    </row>
    <row r="470" ht="47.25" customHeight="1" s="221">
      <c r="A470" s="5" t="inlineStr">
        <is>
          <t>399.</t>
        </is>
      </c>
      <c r="B470" s="6" t="inlineStr">
        <is>
          <t>SBA 25/470</t>
        </is>
      </c>
      <c r="C470" s="8" t="inlineStr">
        <is>
          <t>Prof. Dr. Ayşe Sanem ŞAHLI</t>
        </is>
      </c>
      <c r="D470" s="7" t="inlineStr">
        <is>
          <t>“Ekran Maruziyetinin Çocukların İşitme, Konuşma ve Dil Becerilerine Etkisi Konusunda Ebeveyn Farkındalığının İncelenmesi ve Bilgilendirilmesi”</t>
        </is>
      </c>
    </row>
    <row r="471" ht="63" customHeight="1" s="221">
      <c r="A471" s="5" t="inlineStr">
        <is>
          <t>400.</t>
        </is>
      </c>
      <c r="B471" s="6" t="inlineStr">
        <is>
          <t>SBA 25/471</t>
        </is>
      </c>
      <c r="C471" s="8" t="inlineStr">
        <is>
          <t>Dr. Öğr. Üyesi Irmak OCAK</t>
        </is>
      </c>
      <c r="D471" s="7" t="inlineStr">
        <is>
          <t>“Panoramik Radyografik Görüntüler Kullanılarak Angle Sınıf I, II ve III Malokluzyona Sahip Hastalarda Mandibular Kemik Dansite ve Morfolojisinin Karşılaştırılması”</t>
        </is>
      </c>
    </row>
    <row r="472" ht="63" customHeight="1" s="221">
      <c r="A472" s="5" t="inlineStr">
        <is>
          <t>401.</t>
        </is>
      </c>
      <c r="B472" s="6" t="inlineStr">
        <is>
          <t>SBA 25/472</t>
        </is>
      </c>
      <c r="C472" s="8" t="inlineStr">
        <is>
          <t>Dr. Öğr. Üyesi Muhammed Çağrı KÜLEKÇİ</t>
        </is>
      </c>
      <c r="D472" s="7" t="inlineStr">
        <is>
          <t>“Uyku Apnesinde Cerrahi Tedavi Olan ve  Pozitif Havayolu Basıncı(CPAP) Cihazı Kullanan Hastalarla, Amelyat Olmadan CPAP Tedavisi Kullanan Hastaların CPAP Basınç ve Titrasyon  Farklılıklarının Saptanması”</t>
        </is>
      </c>
    </row>
    <row r="473" ht="31.5" customHeight="1" s="221">
      <c r="A473" s="5" t="inlineStr">
        <is>
          <t>402.</t>
        </is>
      </c>
      <c r="B473" s="6" t="inlineStr">
        <is>
          <t>SBA 25/473</t>
        </is>
      </c>
      <c r="C473" s="8" t="inlineStr">
        <is>
          <t>Doç. Dr. Önder İLGİLİ</t>
        </is>
      </c>
      <c r="D473" s="7" t="inlineStr">
        <is>
          <t>“Kurtarıcı Kardeş Uygulamasının Etik Boyutları: Uzman Hekimlerin Yaklaşımları”</t>
        </is>
      </c>
    </row>
    <row r="474" ht="31.5" customHeight="1" s="221">
      <c r="A474" s="5" t="inlineStr">
        <is>
          <t>403.</t>
        </is>
      </c>
      <c r="B474" s="6" t="inlineStr">
        <is>
          <t>SBA 25/474</t>
        </is>
      </c>
      <c r="C474" s="8" t="inlineStr">
        <is>
          <t>Prof. Dr. Tolga YILDIRIM</t>
        </is>
      </c>
      <c r="D474" s="7" t="inlineStr">
        <is>
          <t>“Membranöz Nefropati Hastalarında Tiroid Kanseri Taramasının Önemi”</t>
        </is>
      </c>
    </row>
    <row r="475" ht="31.5" customHeight="1" s="221">
      <c r="A475" s="5" t="inlineStr">
        <is>
          <t>404.</t>
        </is>
      </c>
      <c r="B475" s="6" t="inlineStr">
        <is>
          <t>SBA 25/475</t>
        </is>
      </c>
      <c r="C475" s="8" t="inlineStr">
        <is>
          <t>Prof. Dr. Göknur HALİLOĞLU</t>
        </is>
      </c>
      <c r="D475" s="7" t="inlineStr">
        <is>
          <t>“Pediatrik Nöroloji Polikliniğinde Nörogenetik Hastalıkların Dağılımı”</t>
        </is>
      </c>
    </row>
    <row r="476" ht="31.5" customHeight="1" s="221">
      <c r="A476" s="5" t="inlineStr">
        <is>
          <t>405.</t>
        </is>
      </c>
      <c r="B476" s="6" t="inlineStr">
        <is>
          <t>SBA 25/476</t>
        </is>
      </c>
      <c r="C476" s="8" t="inlineStr">
        <is>
          <t>Prof. Dr. Meryem Aslı TUNCER</t>
        </is>
      </c>
      <c r="D476" s="7" t="inlineStr">
        <is>
          <t>“ Santral Sinir Sistemi Atipik Demiyelinizan Olgularında Klinik, Radyolojik ve Patolojik Değerlendirme ”</t>
        </is>
      </c>
    </row>
    <row r="477" ht="63" customHeight="1" s="221">
      <c r="A477" s="5" t="inlineStr">
        <is>
          <t>406.</t>
        </is>
      </c>
      <c r="B477" s="6" t="inlineStr">
        <is>
          <t>SBA 25/477</t>
        </is>
      </c>
      <c r="C477" s="8" t="inlineStr">
        <is>
          <t>Prof. Dr. Mert ÇALIŞ</t>
        </is>
      </c>
      <c r="D477" s="7" t="inlineStr">
        <is>
          <t>"Zigomatikomaksiller Kompleks Fraktürlerinde 2 Nokta ve 3 Nokta Fiksasyonunun Uzun Dönem Stabilite ve Orbital Hacim Açısından Kraniyometrik Analizi"</t>
        </is>
      </c>
    </row>
    <row r="478" ht="31.5" customHeight="1" s="221">
      <c r="A478" s="5" t="inlineStr">
        <is>
          <t>407.</t>
        </is>
      </c>
      <c r="B478" s="6" t="inlineStr">
        <is>
          <t>SBA 25/478</t>
        </is>
      </c>
      <c r="C478" s="8" t="inlineStr">
        <is>
          <t>Prof. Dr. Deniz DOĞRU ERSÖZ</t>
        </is>
      </c>
      <c r="D478" s="7" t="inlineStr">
        <is>
          <t>“Kistik Fibrozis Yenidoğan Tarama Programı: 10 Yıllık Retrospektif Analiz ve Tanısal Değerlendirme”</t>
        </is>
      </c>
    </row>
    <row r="479" ht="31.5" customHeight="1" s="221">
      <c r="A479" s="5" t="inlineStr">
        <is>
          <t>408.</t>
        </is>
      </c>
      <c r="B479" s="6" t="inlineStr">
        <is>
          <t>SBA 25/479</t>
        </is>
      </c>
      <c r="C479" s="8" t="inlineStr">
        <is>
          <t>Dr. Öğr. Üyesi Evrim ÜNVER</t>
        </is>
      </c>
      <c r="D479" s="7" t="inlineStr">
        <is>
          <t>“Arttırılmış Eksantrik Yük Uygulamasının Derinlik Sıçraması Üzerine Akut Etkisinin İncelenmesi”</t>
        </is>
      </c>
    </row>
    <row r="480" ht="47.25" customHeight="1" s="221">
      <c r="A480" s="5" t="inlineStr">
        <is>
          <t>409.</t>
        </is>
      </c>
      <c r="B480" s="6" t="inlineStr">
        <is>
          <t>SBA 25/480</t>
        </is>
      </c>
      <c r="C480" s="8" t="inlineStr">
        <is>
          <t>Prof. Dr. Ümit Murat ŞAHİNER</t>
        </is>
      </c>
      <c r="D480" s="7" t="inlineStr">
        <is>
          <t>“Atopik Dermatit Tanılı Adölesan Hastalarda Menstrüasyon Siklusun Hastalık Aktivitesi Üzerine Etkisi”</t>
        </is>
      </c>
    </row>
    <row r="481" ht="47.25" customHeight="1" s="221">
      <c r="A481" s="5" t="inlineStr">
        <is>
          <t>410.</t>
        </is>
      </c>
      <c r="B481" s="6" t="inlineStr">
        <is>
          <t>SBA 25/481</t>
        </is>
      </c>
      <c r="C481" s="8" t="inlineStr">
        <is>
          <t>Prof. Dr. Filiz METE</t>
        </is>
      </c>
      <c r="D481" s="7" t="inlineStr">
        <is>
          <t>“Duygusal Zekâ Temelli Etkinliklerin Konuşma Akıcılığına, Duygusal Zekâya ve Beyin Bağlantısallık Ağlarına Etkisi”</t>
        </is>
      </c>
    </row>
    <row r="482" ht="47.25" customHeight="1" s="221">
      <c r="A482" s="5" t="inlineStr">
        <is>
          <t>411.</t>
        </is>
      </c>
      <c r="B482" s="6" t="inlineStr">
        <is>
          <t>SBA 25/482</t>
        </is>
      </c>
      <c r="C482" s="8" t="inlineStr">
        <is>
          <t>Dr. Öğr. Üyesi Hasan Barış ILGAZ</t>
        </is>
      </c>
      <c r="D482" s="7" t="inlineStr">
        <is>
          <t>“Tıp Fakültesi Öğrencilerinin Anatomi Eğitiminde Kullandıkları Yapay Zeka Araçları Hakkındaki Tutum ve Görüşleri”</t>
        </is>
      </c>
    </row>
    <row r="483" ht="31.5" customHeight="1" s="221">
      <c r="A483" s="5" t="inlineStr">
        <is>
          <t>412.</t>
        </is>
      </c>
      <c r="B483" s="6" t="inlineStr">
        <is>
          <t>SBA 25/483</t>
        </is>
      </c>
      <c r="C483" s="8" t="inlineStr">
        <is>
          <t>Prof. Dr. Tutku SOYER</t>
        </is>
      </c>
      <c r="D483" s="7" t="inlineStr">
        <is>
          <t>“Erişkin Özofagus Atrezilere Özgü Hayat Kalitesi Anketi”</t>
        </is>
      </c>
    </row>
    <row r="484" ht="63" customHeight="1" s="221">
      <c r="A484" s="5" t="inlineStr">
        <is>
          <t>413.</t>
        </is>
      </c>
      <c r="B484" s="6" t="inlineStr">
        <is>
          <t>SBA 25/484</t>
        </is>
      </c>
      <c r="C484" s="8" t="inlineStr">
        <is>
          <t>Dr. Öğr. Üyesi Ezgi YETİM ARSAVA</t>
        </is>
      </c>
      <c r="D484" s="7" t="inlineStr">
        <is>
          <t>“Atipik Alzheimer Varyantlarında Glimfatik Sistem, Serebral Perfüzyon ve APOE Genotipinin Bütüncül Değerlendirmesi: Pilot Nörogörüntüleme ve Genetik Çalışma”</t>
        </is>
      </c>
    </row>
    <row r="485" ht="31.5" customHeight="1" s="221">
      <c r="A485" s="5" t="inlineStr">
        <is>
          <t>414.</t>
        </is>
      </c>
      <c r="B485" s="6" t="inlineStr">
        <is>
          <t>SBA 25/485</t>
        </is>
      </c>
      <c r="C485" s="8" t="inlineStr">
        <is>
          <t>Prof. Dr. Tutku SOYER</t>
        </is>
      </c>
      <c r="D485" s="7" t="inlineStr">
        <is>
          <t>“Özofagus Atrezili Çocuklarda Tekrarlayan Trakeoözofageal Fistüllerin Yönetimi”</t>
        </is>
      </c>
    </row>
    <row r="486" ht="63" customHeight="1" s="221">
      <c r="A486" s="5" t="inlineStr">
        <is>
          <t>415.</t>
        </is>
      </c>
      <c r="B486" s="6" t="inlineStr">
        <is>
          <t>SBA 25/486</t>
        </is>
      </c>
      <c r="C486" s="8" t="inlineStr">
        <is>
          <t>Prof. Dr. Elmas Ebru YALÇIN</t>
        </is>
      </c>
      <c r="D486" s="7" t="inlineStr">
        <is>
          <t>“Ağır Akciğer Hastalığı Olan Kistik Fibrozis Hastalarında Modulatör Tedavinin Akciğer Nakil Gereksinimine Etkisi: Ulusal Kistik Fibrozis Kayıt Sistemi Verilerinin İncelenmesi”</t>
        </is>
      </c>
    </row>
    <row r="487" ht="47.25" customHeight="1" s="221">
      <c r="A487" s="5" t="inlineStr">
        <is>
          <t>416.</t>
        </is>
      </c>
      <c r="B487" s="6" t="inlineStr">
        <is>
          <t>SBA 25/487</t>
        </is>
      </c>
      <c r="C487" s="8" t="inlineStr">
        <is>
          <t>Prof. Dr. Hane TAYLAN ŞEKEROĞLU</t>
        </is>
      </c>
      <c r="D487" s="7" t="inlineStr">
        <is>
          <t>“Tiroid Göz Hastalığında Hastalık Şiddetinin Oftalmolojik ve Ortoptik Klinik Bulgular ile Korelasyonu”</t>
        </is>
      </c>
    </row>
    <row r="488" ht="63" customHeight="1" s="221">
      <c r="A488" s="5" t="inlineStr">
        <is>
          <t>417.</t>
        </is>
      </c>
      <c r="B488" s="6" t="inlineStr">
        <is>
          <t>SBA 25/488</t>
        </is>
      </c>
      <c r="C488" s="8" t="inlineStr">
        <is>
          <t>Prof. Dr. Mehmet AYVAZ</t>
        </is>
      </c>
      <c r="D488" s="7" t="inlineStr">
        <is>
          <t>“Kemik Tümörleri Nedeniyle Yapılan Segmental Kemik Rezeksiyonları Sonrası Oluşan Defektlerin Otogreft ve Tümör Protezi Yöntemleriyle Rekonstrüksiyonlarının Karşılaştırılması”</t>
        </is>
      </c>
    </row>
    <row r="489" ht="31.5" customHeight="1" s="221">
      <c r="A489" s="5" t="inlineStr">
        <is>
          <t>418.</t>
        </is>
      </c>
      <c r="B489" s="6" t="inlineStr">
        <is>
          <t>SBA 25/489</t>
        </is>
      </c>
      <c r="C489" s="8" t="inlineStr">
        <is>
          <t>Prof. Dr. Güney YILMAZ</t>
        </is>
      </c>
      <c r="D489" s="7" t="inlineStr">
        <is>
          <t>“5 Yaş Altı Hastalarda İstismar ve İhmal Değerlendirilmesi, Sandığımız Kadar Nadir Mi?”</t>
        </is>
      </c>
    </row>
    <row r="490" ht="47.25" customHeight="1" s="221">
      <c r="A490" s="5" t="inlineStr">
        <is>
          <t>419.</t>
        </is>
      </c>
      <c r="B490" s="6" t="inlineStr">
        <is>
          <t>SBA 25/490</t>
        </is>
      </c>
      <c r="C490" s="8" t="inlineStr">
        <is>
          <t>Prof. Dr. Güney YILMAZ</t>
        </is>
      </c>
      <c r="D490" s="7" t="inlineStr">
        <is>
          <t>“Konjenital Tibia Psödoartrozunda Ilizarov Tekniği ile Vaskülarize Fibula Grefti Kombinasyonunun Cerrahi Sonuçlarının Değerlendirilmesi”</t>
        </is>
      </c>
    </row>
    <row r="491" ht="47.25" customHeight="1" s="221">
      <c r="A491" s="5" t="inlineStr">
        <is>
          <t>420.</t>
        </is>
      </c>
      <c r="B491" s="6" t="inlineStr">
        <is>
          <t>SBA 25/491</t>
        </is>
      </c>
      <c r="C491" s="8" t="inlineStr">
        <is>
          <t>Prof. Dr. Burcu Balam DOĞU</t>
        </is>
      </c>
      <c r="D491" s="7" t="inlineStr">
        <is>
          <t>“Geriatrik Popülasyonda Uykusuzluğu Ölçmeye Yönelik Bergen Uykusuzluk Ölçeğinin Türkçe Geçerlik ve Güvenirlik Çalışması”</t>
        </is>
      </c>
    </row>
    <row r="492" ht="47.25" customHeight="1" s="221">
      <c r="A492" s="5" t="inlineStr">
        <is>
          <t>421.</t>
        </is>
      </c>
      <c r="B492" s="6" t="inlineStr">
        <is>
          <t>SBA 25/492</t>
        </is>
      </c>
      <c r="C492" s="8" t="inlineStr">
        <is>
          <t>Prof. Dr. M. Cemalettin AKSOY</t>
        </is>
      </c>
      <c r="D492" s="7" t="inlineStr">
        <is>
          <t>“Legg-Calve-Perthes Hastalığı Olan Çocukların Kalça Eklem Sıvısından Alınan Örneklerinde Mikroorganizma Araştırılması: Karşılaştırmalı Prospektif Çalışma”</t>
        </is>
      </c>
    </row>
    <row r="493" ht="31.5" customHeight="1" s="221">
      <c r="A493" s="5" t="inlineStr">
        <is>
          <t>422.</t>
        </is>
      </c>
      <c r="B493" s="6" t="inlineStr">
        <is>
          <t>SBA 25/493</t>
        </is>
      </c>
      <c r="C493" s="8" t="inlineStr">
        <is>
          <t>Prof. Dr. Meltem Gülhan HALİL</t>
        </is>
      </c>
      <c r="D493" s="7" t="inlineStr">
        <is>
          <t>“Sarkopenik Obezite ile Serum İlişkili İnflamasyon Belirteçlerin İlişkisinin İncelenmesi”</t>
        </is>
      </c>
    </row>
    <row r="494" ht="31.5" customHeight="1" s="221">
      <c r="A494" s="5" t="inlineStr">
        <is>
          <t>423.</t>
        </is>
      </c>
      <c r="B494" s="6" t="inlineStr">
        <is>
          <t>SBA 25/494</t>
        </is>
      </c>
      <c r="C494" s="8" t="inlineStr">
        <is>
          <t>Prof. Dr. Sibel DOĞAN GÜNAYDIN</t>
        </is>
      </c>
      <c r="D494" s="7" t="inlineStr">
        <is>
          <t>“Psoriatik Tırnak ve Onikomikozda Klinik ve Dermoskopik Özelliklerin Karşılaştırılması”</t>
        </is>
      </c>
    </row>
    <row r="495" ht="47.25" customHeight="1" s="221">
      <c r="A495" s="5" t="inlineStr">
        <is>
          <t>424.</t>
        </is>
      </c>
      <c r="B495" s="6" t="inlineStr">
        <is>
          <t>SBA 25/495</t>
        </is>
      </c>
      <c r="C495" s="8" t="inlineStr">
        <is>
          <t>Prof. Dr. İbrahim Çağatay KARAASLAN</t>
        </is>
      </c>
      <c r="D495" s="7" t="inlineStr">
        <is>
          <t>“Alerjik ve Alerjik Olmayan Astımlı Çocuklardan İzole Edilen Eozinofillerde Oksidatif Stres Cevap Mekanizmalarının Araştırılması”</t>
        </is>
      </c>
    </row>
    <row r="496" ht="47.25" customHeight="1" s="221">
      <c r="A496" s="5" t="inlineStr">
        <is>
          <t>425.</t>
        </is>
      </c>
      <c r="B496" s="6" t="inlineStr">
        <is>
          <t>SBA 25/496</t>
        </is>
      </c>
      <c r="C496" s="8" t="inlineStr">
        <is>
          <t>Öğr. Gör. Dr. Ergin EROĞLU</t>
        </is>
      </c>
      <c r="D496" s="7" t="inlineStr">
        <is>
          <t>“İşitme Kayıplı Hastalarda Multidisipliner İmplant Konseyi Kararları ile ChatGPT Yanıtlarının Karşılaştırılması”</t>
        </is>
      </c>
    </row>
    <row r="497" ht="47.25" customHeight="1" s="221">
      <c r="A497" s="5" t="inlineStr">
        <is>
          <t>426.</t>
        </is>
      </c>
      <c r="B497" s="6" t="inlineStr">
        <is>
          <t>SBA 25/497</t>
        </is>
      </c>
      <c r="C497" s="8" t="inlineStr">
        <is>
          <t>Prof. Dr. Özgür DEREN</t>
        </is>
      </c>
      <c r="D497" s="7" t="inlineStr">
        <is>
          <t>“Fetal Anemi Nedeniyle İntrauterin Kan Transfüzyonu Yapılan Bebeklerin Kısa ve Uzun Dönem Nörolojik Sonuçlarının Değerlendirmesi”</t>
        </is>
      </c>
    </row>
    <row r="498" ht="47.25" customHeight="1" s="221">
      <c r="A498" s="5" t="inlineStr">
        <is>
          <t>427.</t>
        </is>
      </c>
      <c r="B498" s="6" t="inlineStr">
        <is>
          <t>SBA 25/498</t>
        </is>
      </c>
      <c r="C498" s="8" t="inlineStr">
        <is>
          <t>Doç. Dr. Gamze ATAY</t>
        </is>
      </c>
      <c r="D498" s="7" t="inlineStr">
        <is>
          <t>“Pre-menopozal ve Post-menopozal Kadınlarda Odyolojik ve Vestibüler Fonksiyonların Karşılaştırılması”</t>
        </is>
      </c>
    </row>
    <row r="499" ht="31.5" customHeight="1" s="221">
      <c r="A499" s="5" t="inlineStr">
        <is>
          <t>428.</t>
        </is>
      </c>
      <c r="B499" s="6" t="inlineStr">
        <is>
          <t>SBA 25/499</t>
        </is>
      </c>
      <c r="C499" s="8" t="inlineStr">
        <is>
          <t>Prof. Dr. Ferah YILDIZ</t>
        </is>
      </c>
      <c r="D499" s="7" t="inlineStr">
        <is>
          <t>"Serviks Kanserinde Kemoradyoterapi Öncesi ve Sürecindeki Sarkopeni ve Klinik Önemi"</t>
        </is>
      </c>
    </row>
    <row r="500" ht="63" customHeight="1" s="221">
      <c r="A500" s="5" t="inlineStr">
        <is>
          <t>429.</t>
        </is>
      </c>
      <c r="B500" s="6" t="inlineStr">
        <is>
          <t>SBA 25/500</t>
        </is>
      </c>
      <c r="C500" s="8" t="inlineStr">
        <is>
          <t>Prof. Dr. Mustafa ARICI</t>
        </is>
      </c>
      <c r="D500" s="7" t="inlineStr">
        <is>
          <t>“İç Hastalıkları Servislerinde İntravenöz Diüretik Tedavisi Amacıyla Yatan Hipervolemik Hastaların Diüretik Doz Etkinliğinin İdrar Sodyumu İle Değerlendirilmesi”</t>
        </is>
      </c>
    </row>
    <row r="501" ht="31.5" customHeight="1" s="221">
      <c r="A501" s="5" t="inlineStr">
        <is>
          <t>430.</t>
        </is>
      </c>
      <c r="B501" s="6" t="inlineStr">
        <is>
          <t>SBA 25/501</t>
        </is>
      </c>
      <c r="C501" s="8" t="inlineStr">
        <is>
          <t>Prof. Dr. Arzu TOPELİ İSKİT</t>
        </is>
      </c>
      <c r="D501" s="7" t="inlineStr">
        <is>
          <t>“Yoğun Bakım Ünitesinde İntravenöz Sıvı Kullanımının Değerlendirilmesi”</t>
        </is>
      </c>
    </row>
    <row r="502" ht="63" customHeight="1" s="221">
      <c r="A502" s="5" t="inlineStr">
        <is>
          <t>431.</t>
        </is>
      </c>
      <c r="B502" s="6" t="inlineStr">
        <is>
          <t>SBA 25/502</t>
        </is>
      </c>
      <c r="C502" s="8" t="inlineStr">
        <is>
          <t>Prof. Dr. Bora PEYNİRCİOĞLU</t>
        </is>
      </c>
      <c r="D502" s="7" t="inlineStr">
        <is>
          <t>“Konservatif Tedaviye Dirençli Periartiküler Kas İskelet Sistemi Hastalıklarında Fonksiyon Kısıtlayıcı Semptomların Transarteriyel Periartiküler Embolizasyon (TAPE) Tedavisi Sonrası Yanıt Değerlendirilemesi ”</t>
        </is>
      </c>
    </row>
    <row r="503" ht="31.5" customHeight="1" s="221">
      <c r="A503" s="5" t="inlineStr">
        <is>
          <t>432.</t>
        </is>
      </c>
      <c r="B503" s="6" t="inlineStr">
        <is>
          <t>SBA 25/503</t>
        </is>
      </c>
      <c r="C503" s="8" t="inlineStr">
        <is>
          <t>Prof. Dr. Ümit Yavuz MALKAN</t>
        </is>
      </c>
      <c r="D503" s="7" t="inlineStr">
        <is>
          <t>“Klasik Hodgkin Lenfoma Hastalarında İlk Basamak ve Kurtarma Tedavilerinin Karşılaştırılması”</t>
        </is>
      </c>
    </row>
    <row r="504" ht="47.25" customHeight="1" s="221">
      <c r="A504" s="5" t="inlineStr">
        <is>
          <t>433.</t>
        </is>
      </c>
      <c r="B504" s="6" t="inlineStr">
        <is>
          <t>SBA 25/504</t>
        </is>
      </c>
      <c r="C504" s="8" t="inlineStr">
        <is>
          <t>Dr. Öğr. Gör. Timuçin SABUNCU</t>
        </is>
      </c>
      <c r="D504" s="7" t="inlineStr">
        <is>
          <t>''Pulmoner Kapak Replasmanı Yapılan Hastaların Uzun Dönem Sonuçlarının İzlenmesi ve Bunların Maliyet Analizi Sonuçlarının Araştırılması''</t>
        </is>
      </c>
    </row>
    <row r="505" ht="31.5" customHeight="1" s="221">
      <c r="A505" s="5" t="inlineStr">
        <is>
          <t>434.</t>
        </is>
      </c>
      <c r="B505" s="6" t="inlineStr">
        <is>
          <t>SBA 25/505</t>
        </is>
      </c>
      <c r="C505" s="8" t="inlineStr">
        <is>
          <t>Prof. Dr. A. Elif ANIL YAĞCIOĞLU</t>
        </is>
      </c>
      <c r="D505" s="7" t="inlineStr">
        <is>
          <t>“Klozapinle İlişkili Nötropeni İçin Aday İmmun Biyobelirteçlerin Araştırılması”</t>
        </is>
      </c>
    </row>
    <row r="506" ht="63" customHeight="1" s="221">
      <c r="A506" s="5" t="inlineStr">
        <is>
          <t>435.</t>
        </is>
      </c>
      <c r="B506" s="6" t="inlineStr">
        <is>
          <t>SBA 25/506</t>
        </is>
      </c>
      <c r="C506" s="8" t="inlineStr">
        <is>
          <t>Doç. Dr. Başak YALICI ARMAĞAN</t>
        </is>
      </c>
      <c r="D506" s="7" t="inlineStr">
        <is>
          <t>“Kronik Plak Tip Psöriazis Vulgaris Tanılı Çoklu Biyolojik Tedavi Dirençli Hastaların Demografik Özellikleri, Klinik Özellikleri ve Komorbiditelerinin İncelenmesinın”</t>
        </is>
      </c>
    </row>
    <row r="507" ht="31.5" customHeight="1" s="221">
      <c r="A507" s="5" t="inlineStr">
        <is>
          <t>436.</t>
        </is>
      </c>
      <c r="B507" s="6" t="inlineStr">
        <is>
          <t>SBA 25/507</t>
        </is>
      </c>
      <c r="C507" s="8" t="inlineStr">
        <is>
          <t>Doç. Dr. Murat KARA</t>
        </is>
      </c>
      <c r="D507" s="7" t="inlineStr">
        <is>
          <t>“Mylohyoid Kas Transpozisyonunun Fasial Reanimasyondaki Potansiyeli: Kadavra Çalışması”</t>
        </is>
      </c>
    </row>
    <row r="508" ht="47.25" customHeight="1" s="221">
      <c r="A508" s="5" t="inlineStr">
        <is>
          <t>437.</t>
        </is>
      </c>
      <c r="B508" s="6" t="inlineStr">
        <is>
          <t>SBA 25/508</t>
        </is>
      </c>
      <c r="C508" s="8" t="inlineStr">
        <is>
          <t>Doç. Dr. Murat KARA</t>
        </is>
      </c>
      <c r="D508" s="7" t="inlineStr">
        <is>
          <t>“Superior ve İnferior Labial Arterlerin Vermilion Sınırındaki Derinliklerinin ve Konumunun Ölçümü: Kadavra Çalışması”</t>
        </is>
      </c>
    </row>
    <row r="509" ht="63" customHeight="1" s="221">
      <c r="A509" s="5" t="inlineStr">
        <is>
          <t>438.</t>
        </is>
      </c>
      <c r="B509" s="6" t="inlineStr">
        <is>
          <t>SBA 25/509</t>
        </is>
      </c>
      <c r="C509" s="8" t="inlineStr">
        <is>
          <t>Doç. Dr. Meliha Çağla SÖNMEZER</t>
        </is>
      </c>
      <c r="D509" s="7" t="inlineStr">
        <is>
          <t>“İmmünsüpresif Tedavi Öncesi HBV Serolojik Durumuna Göre Alınan Klinik Kararların ve Antiviral Kullanımının Uluslararası ve Ulusal Rehberlerle Uyumu: Tek Merkez Gerçek Yaşam Verilerinin Analizi”</t>
        </is>
      </c>
    </row>
    <row r="510" ht="47.25" customHeight="1" s="221">
      <c r="A510" s="5" t="inlineStr">
        <is>
          <t>439.</t>
        </is>
      </c>
      <c r="B510" s="6" t="inlineStr">
        <is>
          <t>SBA 25/510</t>
        </is>
      </c>
      <c r="C510" s="8" t="inlineStr">
        <is>
          <t>Prof. Dr. Ali Fuat KALYONCU</t>
        </is>
      </c>
      <c r="D510" s="7" t="inlineStr">
        <is>
          <t>"Astımlı Hastalarda Otonom Disfonksiyon ve Termoregülasyon Bozukluklarının Klinik ve Proteomik Etkileri”</t>
        </is>
      </c>
    </row>
    <row r="511" ht="78.75" customHeight="1" s="221">
      <c r="A511" s="5" t="inlineStr">
        <is>
          <t>440.</t>
        </is>
      </c>
      <c r="B511" s="6" t="inlineStr">
        <is>
          <t>SBA 25/511</t>
        </is>
      </c>
      <c r="C511" s="8" t="inlineStr">
        <is>
          <t>Prof. Dr. Zafer Selçuk TUNCER</t>
        </is>
      </c>
      <c r="D511" s="7" t="inlineStr">
        <is>
          <t>“Over Kanseri Hastalarında Primer Debulking Cerrahisi Yapılan ve Neoadjuvan Kemoterapi Alanlarda Gelişen Venöz Tromboembolik Olaylar, Risk Faktörleri, Sağkalım ve Profilaksi Uygulamalarının Retrospektif Olarak Araştırılması”</t>
        </is>
      </c>
    </row>
    <row r="512" ht="63" customHeight="1" s="221">
      <c r="A512" s="5" t="inlineStr">
        <is>
          <t>441.</t>
        </is>
      </c>
      <c r="B512" s="6" t="inlineStr">
        <is>
          <t>SBA 25/512</t>
        </is>
      </c>
      <c r="C512" s="8" t="inlineStr">
        <is>
          <t>Doç. Dr. Nagehan EMİRALİOĞLU ORDUKAYA</t>
        </is>
      </c>
      <c r="D512" s="7" t="inlineStr">
        <is>
          <t>“Kistik Fibrozis Hastalarında Balgam Kültüründe Kronik Candida Kolonizasyonunun Solunum Fonksiyonları, Klinik ve Laboratuar Parametreleri Üzerine Olan Etkilerinin Değerlendirilmesi”</t>
        </is>
      </c>
    </row>
    <row r="513" ht="63" customHeight="1" s="221">
      <c r="A513" s="5" t="inlineStr">
        <is>
          <t>442.</t>
        </is>
      </c>
      <c r="B513" s="6" t="inlineStr">
        <is>
          <t>SBA 25/513</t>
        </is>
      </c>
      <c r="C513" s="8" t="inlineStr">
        <is>
          <t>Prof. Dr. Murat GÜLTEKİN</t>
        </is>
      </c>
      <c r="D513" s="7" t="inlineStr">
        <is>
          <t>“İleri Evre Over Kanserinde Pelvik Sitoredüksiyon için Pelvik Peritonektomi Yapılan Hastalar ile Rektosigmoid Rezeksiyon Yapılan Hastalar Arasındaki Pelvik Nüks ve Sağ Kalım Oranlarının Karşılaştırılması”</t>
        </is>
      </c>
    </row>
    <row r="514" ht="31.5" customHeight="1" s="221">
      <c r="A514" s="5" t="inlineStr">
        <is>
          <t>443.</t>
        </is>
      </c>
      <c r="B514" s="6" t="inlineStr">
        <is>
          <t>SBA 25/514</t>
        </is>
      </c>
      <c r="C514" s="8" t="inlineStr">
        <is>
          <t>Doç. Dr. Özlem DİKMETAŞ SANDIKÇI</t>
        </is>
      </c>
      <c r="D514" s="7" t="inlineStr">
        <is>
          <t>“Obezite Hastalığının Oküler Yüzey Üzerindeki Etkilerinin Değerlendirilmesi”</t>
        </is>
      </c>
    </row>
    <row r="515" ht="31.5" customHeight="1" s="221">
      <c r="A515" s="5" t="inlineStr">
        <is>
          <t>444.</t>
        </is>
      </c>
      <c r="B515" s="6" t="inlineStr">
        <is>
          <t>SBA 25/515</t>
        </is>
      </c>
      <c r="C515" s="8" t="inlineStr">
        <is>
          <t>Doç. Dr. Burcu ERSÖZ ALAN</t>
        </is>
      </c>
      <c r="D515" s="7" t="inlineStr">
        <is>
          <t>“Ergenlerde Dayanıklılık ile İlişkili Etkenlerin İncelenmesi”</t>
        </is>
      </c>
    </row>
    <row r="516" ht="31.5" customHeight="1" s="221">
      <c r="A516" s="5" t="inlineStr">
        <is>
          <t>445.</t>
        </is>
      </c>
      <c r="B516" s="6" t="inlineStr">
        <is>
          <t>SBA 25/516</t>
        </is>
      </c>
      <c r="C516" s="8" t="inlineStr">
        <is>
          <t>Prof. Dr. Tolga YILDIRIM</t>
        </is>
      </c>
      <c r="D516" s="7" t="inlineStr">
        <is>
          <t>“Renal Amiloidozda Prognozu Etkileyen Faktörler: 25 Yıllık Tek Merkez Deneyimi”</t>
        </is>
      </c>
    </row>
    <row r="517" ht="31.5" customHeight="1" s="221">
      <c r="A517" s="5" t="inlineStr">
        <is>
          <t>446.</t>
        </is>
      </c>
      <c r="B517" s="6" t="inlineStr">
        <is>
          <t>SBA 25/517</t>
        </is>
      </c>
      <c r="C517" s="8" t="inlineStr">
        <is>
          <t>Doç. Dr. Hacı Hasan YETER</t>
        </is>
      </c>
      <c r="D517" s="7" t="inlineStr">
        <is>
          <t>“Glomerulonefritlerin Gebelik Süreci, Maternal ve Fetal Sonlanıma Etkisi”</t>
        </is>
      </c>
    </row>
    <row r="518" ht="47.25" customHeight="1" s="221">
      <c r="A518" s="5" t="inlineStr">
        <is>
          <t>447.</t>
        </is>
      </c>
      <c r="B518" s="6" t="inlineStr">
        <is>
          <t>SBA 25/518</t>
        </is>
      </c>
      <c r="C518" s="8" t="inlineStr">
        <is>
          <t>Prof. Dr. Hüseyin Gencay KEÇELİ</t>
        </is>
      </c>
      <c r="D518" s="7" t="inlineStr">
        <is>
          <t>“Serbest Diş Eti Grefti Alınan Lateral Damak Bölgesine Farklı Ajanlar Uygulanmış Hastaların Verilerinin Karşılaştırılmalı Olarak İncelenmesi”</t>
        </is>
      </c>
    </row>
    <row r="519" ht="31.5" customHeight="1" s="221">
      <c r="A519" s="5" t="inlineStr">
        <is>
          <t>448.</t>
        </is>
      </c>
      <c r="B519" s="6" t="inlineStr">
        <is>
          <t>SBA 25/519</t>
        </is>
      </c>
      <c r="C519" s="8" t="inlineStr">
        <is>
          <t>Dr. Öğr. Üyesi Emre MUTLU</t>
        </is>
      </c>
      <c r="D519" s="7" t="inlineStr">
        <is>
          <t>“Klozapine Yanıt ile Yan Etkiler Arasındaki İlişkinin İncelenmesi: Geriye Dönük Bir Çalışma”</t>
        </is>
      </c>
    </row>
    <row r="520" ht="47.25" customHeight="1" s="221">
      <c r="A520" s="5" t="inlineStr">
        <is>
          <t>449.</t>
        </is>
      </c>
      <c r="B520" s="6" t="inlineStr">
        <is>
          <t>SBA 25/520</t>
        </is>
      </c>
      <c r="C520" s="8" t="inlineStr">
        <is>
          <t>Prof. Dr. Selçuk DAĞDELEN</t>
        </is>
      </c>
      <c r="D520" s="7" t="inlineStr">
        <is>
          <t>“Metabolik Disfonksiyonla İlişkili Steatotik Karaciğer Hastalığı (MASLD) Etiyopatogenezinde Safra Asidi Metabolitleri ve Metabolomik Analizi”</t>
        </is>
      </c>
    </row>
    <row r="521" ht="31.5" customHeight="1" s="221">
      <c r="A521" s="5" t="inlineStr">
        <is>
          <t>450.</t>
        </is>
      </c>
      <c r="B521" s="6" t="inlineStr">
        <is>
          <t>SBA 25/521</t>
        </is>
      </c>
      <c r="C521" s="8" t="inlineStr">
        <is>
          <t>Dr. Öğr. Üyesi Süleyman BULUT</t>
        </is>
      </c>
      <c r="D521" s="7" t="inlineStr">
        <is>
          <t>"U14 Su Topu Oyuncularında Enerji Dengesi ve Bazı Performans Parametrelerinin Belirlenmesi"</t>
        </is>
      </c>
    </row>
    <row r="522" ht="47.25" customHeight="1" s="221">
      <c r="A522" s="5" t="inlineStr">
        <is>
          <t>451.</t>
        </is>
      </c>
      <c r="B522" s="6" t="inlineStr">
        <is>
          <t>SBA 25/522</t>
        </is>
      </c>
      <c r="C522" s="8" t="inlineStr">
        <is>
          <t>Doç. Dr. Duygu AYHAN BAŞER</t>
        </is>
      </c>
      <c r="D522" s="7" t="inlineStr">
        <is>
          <t>“Gıda Sağlığı ile İlgili Olan Profesyonellerin Gıda İnfodemisi Hakkındaki Görüş ve Deneyimleri: Niteliksel Bir Çalışma”</t>
        </is>
      </c>
    </row>
    <row r="523" ht="31.5" customHeight="1" s="221">
      <c r="A523" s="5" t="inlineStr">
        <is>
          <t>452.</t>
        </is>
      </c>
      <c r="B523" s="6" t="inlineStr">
        <is>
          <t>SBA 25/523</t>
        </is>
      </c>
      <c r="C523" s="8" t="inlineStr">
        <is>
          <t>Doç. Dr. Ahmet Erim PAMUK</t>
        </is>
      </c>
      <c r="D523" s="7" t="inlineStr">
        <is>
          <t>“Larinks Patolojilerinin Malignleşme Sürecinde SERPİNE1'in Rolü”</t>
        </is>
      </c>
    </row>
    <row r="524" ht="31.5" customHeight="1" s="221">
      <c r="A524" s="5" t="inlineStr">
        <is>
          <t>453.</t>
        </is>
      </c>
      <c r="B524" s="6" t="inlineStr">
        <is>
          <t>SBA 25/524</t>
        </is>
      </c>
      <c r="C524" s="8" t="inlineStr">
        <is>
          <t>Prof. Dr. Deniz ÇAĞDAŞ AYVAZ</t>
        </is>
      </c>
      <c r="D524" s="7" t="inlineStr">
        <is>
          <t>“Kalsiyum (Ca2+) ve Magnezyum (Mg2+) İlişkili İmmün Yetmezliklerde Fonksiyonel ve Klinik Özellikler”</t>
        </is>
      </c>
    </row>
    <row r="525" ht="31.5" customHeight="1" s="221">
      <c r="A525" s="5" t="inlineStr">
        <is>
          <t>454.</t>
        </is>
      </c>
      <c r="B525" s="6" t="inlineStr">
        <is>
          <t>SBA 25/525</t>
        </is>
      </c>
      <c r="C525" s="8" t="inlineStr">
        <is>
          <t>Doç. Dr. İlker ERTUĞRUL</t>
        </is>
      </c>
      <c r="D525" s="7" t="inlineStr">
        <is>
          <t>“SCN5A Varyantı Saptanan Hastaların Klinik ve Moleküler Bulgularının Değerlendirilmesi”</t>
        </is>
      </c>
    </row>
    <row r="526" ht="47.25" customHeight="1" s="221">
      <c r="A526" s="5" t="inlineStr">
        <is>
          <t>455.</t>
        </is>
      </c>
      <c r="B526" s="6" t="inlineStr">
        <is>
          <t>SBA 25/526</t>
        </is>
      </c>
      <c r="C526" s="8" t="inlineStr">
        <is>
          <t>Arş. Gör. Dr. Şüheda BAHTİYAR</t>
        </is>
      </c>
      <c r="D526" s="7" t="inlineStr">
        <is>
          <t>“Gelişimsel Açıdan Riskli Çocuklarda 4–6 Yaş Arasında Öğrenme Güçlüğü Belirtilerinin Taranması ve Risk Etkenleriyle İlişkisinin Belirlenmesi”</t>
        </is>
      </c>
    </row>
    <row r="527" ht="47.25" customHeight="1" s="221">
      <c r="A527" s="5" t="inlineStr">
        <is>
          <t>456.</t>
        </is>
      </c>
      <c r="B527" s="6" t="inlineStr">
        <is>
          <t>SBA 25/527</t>
        </is>
      </c>
      <c r="C527" s="8" t="inlineStr">
        <is>
          <t>Prof. Dr. Hayriye Uğur ÖZÇELİK</t>
        </is>
      </c>
      <c r="D527" s="7" t="inlineStr">
        <is>
          <t>“Akondroplazili Çocuk Hastalarda Uyku ile İlişkili Solunum Bozukluklarının ve Polisomnografi Bulgularının Değerlendirilmesi”</t>
        </is>
      </c>
    </row>
    <row r="528" ht="47.25" customHeight="1" s="221">
      <c r="A528" s="5" t="inlineStr">
        <is>
          <t>457.</t>
        </is>
      </c>
      <c r="B528" s="6" t="inlineStr">
        <is>
          <t>SBA 25/528</t>
        </is>
      </c>
      <c r="C528" s="8" t="inlineStr">
        <is>
          <t>Prof. Dr. Yelda BİLGİNER</t>
        </is>
      </c>
      <c r="D528" s="7" t="inlineStr">
        <is>
          <t>“Skleroderma Tanılı Olgu ve Bireylerin Biyopsikososyal Durumları ile Çiğneme-Yutma Performansları Arasındaki İlişkinin Araştırılması”</t>
        </is>
      </c>
    </row>
    <row r="529" ht="47.25" customHeight="1" s="221">
      <c r="A529" s="5" t="inlineStr">
        <is>
          <t>458.</t>
        </is>
      </c>
      <c r="B529" s="6" t="inlineStr">
        <is>
          <t>SBA 25/529</t>
        </is>
      </c>
      <c r="C529" s="8" t="inlineStr">
        <is>
          <t>Prof. Dr. Yelda BİLGİNER</t>
        </is>
      </c>
      <c r="D529" s="7" t="inlineStr">
        <is>
          <t>“Skleroderma Tanılı Olgu ve Bireylerin Biyopsikososyal Durumları ile Fiziksel Performans ve Fonksiyonellikleri Arasındaki İlişkinin Araştırılması”</t>
        </is>
      </c>
    </row>
    <row r="530" ht="47.25" customHeight="1" s="221">
      <c r="A530" s="5" t="inlineStr">
        <is>
          <t>459.</t>
        </is>
      </c>
      <c r="B530" s="6" t="inlineStr">
        <is>
          <t>SBA 25/530</t>
        </is>
      </c>
      <c r="C530" s="8" t="inlineStr">
        <is>
          <t>Prof. Dr. Yelda BİLGİNER</t>
        </is>
      </c>
      <c r="D530" s="7" t="inlineStr">
        <is>
          <t>“JİA Tanılı Olgularda Ebeveynlerin Bildirdiği Ağrıyı Felaketleştirme Durumuna Göre Biyopsikososyal Özelliklerin İncelenmesi”</t>
        </is>
      </c>
    </row>
    <row r="531" ht="63" customHeight="1" s="221">
      <c r="A531" s="5" t="inlineStr">
        <is>
          <t>460.</t>
        </is>
      </c>
      <c r="B531" s="6" t="inlineStr">
        <is>
          <t>SBA 25/531</t>
        </is>
      </c>
      <c r="C531" s="8" t="inlineStr">
        <is>
          <t>Prof. Dr. Ali AKDOĞAN</t>
        </is>
      </c>
      <c r="D531" s="7" t="inlineStr">
        <is>
          <t>“Üst Ekstremite Deri Kalınlığının Hasta Tarafından Kendi Kendine Değerlendirilmesi Anketinin Türkçe Versiyonunun Kültürel Adaptasyonu, Geçerliği ve Güvenirliğinin İncelenmesi”</t>
        </is>
      </c>
    </row>
    <row r="532" ht="47.25" customHeight="1" s="221">
      <c r="A532" s="5" t="inlineStr">
        <is>
          <t>461.</t>
        </is>
      </c>
      <c r="B532" s="6" t="inlineStr">
        <is>
          <t>SBA 25/532</t>
        </is>
      </c>
      <c r="C532" s="8" t="inlineStr">
        <is>
          <t>Prof. Dr. Serdar ÖZER</t>
        </is>
      </c>
      <c r="D532" s="7" t="inlineStr">
        <is>
          <t>“Nazal Septal Perforasyon Onarımının Hastaların Nazal Hava Akımı ve Yaşam Kalitesi Üzerine Olan Etkisinin Değerlendirilmesi”</t>
        </is>
      </c>
    </row>
    <row r="533" ht="47.25" customHeight="1" s="221">
      <c r="A533" s="5" t="inlineStr">
        <is>
          <t>462.</t>
        </is>
      </c>
      <c r="B533" s="6" t="inlineStr">
        <is>
          <t>SBA 25/533</t>
        </is>
      </c>
      <c r="C533" s="8" t="inlineStr">
        <is>
          <t>Prof. Dr. Elmas Ebru YALÇIN</t>
        </is>
      </c>
      <c r="D533" s="7" t="inlineStr">
        <is>
          <t>“Kistik Fibrozis Transmembran Regülatör Protein-İlişkili Hastalık Tanılı Çocuk Hastalarımızın Klinik ve Radyolojik Özellikleri”</t>
        </is>
      </c>
    </row>
    <row r="534" ht="31.5" customHeight="1" s="221">
      <c r="A534" s="5" t="inlineStr">
        <is>
          <t>463.</t>
        </is>
      </c>
      <c r="B534" s="6" t="inlineStr">
        <is>
          <t>SBA 25/534</t>
        </is>
      </c>
      <c r="C534" s="8" t="inlineStr">
        <is>
          <t>Prof. Dr. Ali VARAN</t>
        </is>
      </c>
      <c r="D534" s="7" t="inlineStr">
        <is>
          <t>“Çocukluk Çağı Sinoviyal Sarkom Olgularının Retrospektif Değerlendrilmesi”</t>
        </is>
      </c>
    </row>
    <row r="535" ht="31.5" customHeight="1" s="221">
      <c r="A535" s="5" t="inlineStr">
        <is>
          <t>464.</t>
        </is>
      </c>
      <c r="B535" s="6" t="inlineStr">
        <is>
          <t>SBA 25/535</t>
        </is>
      </c>
      <c r="C535" s="8" t="inlineStr">
        <is>
          <t>Prof. Dr. Göknur HALİLOĞLU</t>
        </is>
      </c>
      <c r="D535" s="7" t="inlineStr">
        <is>
          <t>“Spinal Musküler Atrofi Tanılı Hastalarda Kemik Sağlığının Retrospektif Olarak Değerlendirilmesi”</t>
        </is>
      </c>
    </row>
    <row r="536" ht="31.5" customHeight="1" s="221">
      <c r="A536" s="5" t="inlineStr">
        <is>
          <t>465.</t>
        </is>
      </c>
      <c r="B536" s="6" t="inlineStr">
        <is>
          <t>SBA 25/536</t>
        </is>
      </c>
      <c r="C536" s="8" t="inlineStr">
        <is>
          <t>Prof. Dr. Deniz ÇAĞDAŞ AYVAZ</t>
        </is>
      </c>
      <c r="D536" s="7" t="inlineStr">
        <is>
          <t>“Griscelli Sendromu Tanısı Alan Hastaların Klinik ve Laboratuvar Özelliklerinin Değerelnedirilmesi”</t>
        </is>
      </c>
    </row>
    <row r="537" ht="47.25" customHeight="1" s="221">
      <c r="A537" s="5" t="inlineStr">
        <is>
          <t>466.</t>
        </is>
      </c>
      <c r="B537" s="6" t="inlineStr">
        <is>
          <t>SBA 25/537</t>
        </is>
      </c>
      <c r="C537" s="8" t="inlineStr">
        <is>
          <t>Prof. Dr. Bilge PEHLİVANOĞLU</t>
        </is>
      </c>
      <c r="D537" s="7" t="inlineStr">
        <is>
          <t>“Stres, Cinsiyet ve Menstrual Döngünün, Tıkınırcasına Yeme Bozukluğu ve Uyku Kalitesi ile İlişkisinin İncelenmesi”</t>
        </is>
      </c>
    </row>
    <row r="538" ht="47.25" customHeight="1" s="221">
      <c r="A538" s="5" t="inlineStr">
        <is>
          <t>467.</t>
        </is>
      </c>
      <c r="B538" s="6" t="inlineStr">
        <is>
          <t>SBA 25/538</t>
        </is>
      </c>
      <c r="C538" s="8" t="inlineStr">
        <is>
          <t>Doç. Dr. Kevser NALBANT</t>
        </is>
      </c>
      <c r="D538" s="7" t="inlineStr">
        <is>
          <t>“Otizm Tanılı Ergenlerin Ebeveynlerinin Tükenmişlik ve Damgalanma Algısının Bilinçli Farkındalık Aracılığıyla Ergenlerin Psikososyal İyilik Hali Üzerine Etkisi”</t>
        </is>
      </c>
    </row>
    <row r="539" ht="47.25" customHeight="1" s="221">
      <c r="A539" s="5" t="inlineStr">
        <is>
          <t>468.</t>
        </is>
      </c>
      <c r="B539" s="6" t="inlineStr">
        <is>
          <t>SBA 25/539</t>
        </is>
      </c>
      <c r="C539" s="8" t="inlineStr">
        <is>
          <t>Prof. Dr. Hakan Hıfzı TÜZ</t>
        </is>
      </c>
      <c r="D539" s="7" t="inlineStr">
        <is>
          <t>“LeFort I Cerrahisi Uygulanan Hastalarda Maksiller Sinüs Membran Kalınlığı ve Sinüs Sağlığının Değerlendirilmesi”</t>
        </is>
      </c>
    </row>
    <row r="540" ht="63" customHeight="1" s="221">
      <c r="A540" s="5" t="inlineStr">
        <is>
          <t>469.</t>
        </is>
      </c>
      <c r="B540" s="6" t="inlineStr">
        <is>
          <t>SBA 25/540</t>
        </is>
      </c>
      <c r="C540" s="8" t="inlineStr">
        <is>
          <t>Dr. Öğr. Üyesi Olcay KURTULAN</t>
        </is>
      </c>
      <c r="D540" s="7" t="inlineStr">
        <is>
          <t>"Tiroid İnce İğne Aspirasyon Sitolojisinde Dijital Sitopatoloji ile Konvansiyonel Işık Mikroskobu Değerlendirmesinin Karşılaştırmalı Analizi: Belirsiz Kategorilere Odaklanarak"</t>
        </is>
      </c>
    </row>
    <row r="541" ht="47.25" customHeight="1" s="221">
      <c r="A541" s="5" t="inlineStr">
        <is>
          <t>470.</t>
        </is>
      </c>
      <c r="B541" s="6" t="inlineStr">
        <is>
          <t>SBA 25/541</t>
        </is>
      </c>
      <c r="C541" s="8" t="inlineStr">
        <is>
          <t>Dr. Öğr. Gör. Esat Kıvanç KAYA</t>
        </is>
      </c>
      <c r="D541" s="7" t="inlineStr">
        <is>
          <t>"Yoğun Bakım Sonrası İzlem Polikliniğinde Takip Edilen Hastaların Demografik ve Klinik Özelliklerinin İncelenmesi "</t>
        </is>
      </c>
    </row>
    <row r="542" ht="31.5" customHeight="1" s="221">
      <c r="A542" s="5" t="inlineStr">
        <is>
          <t>471.</t>
        </is>
      </c>
      <c r="B542" s="6" t="inlineStr">
        <is>
          <t>SBA 25/542</t>
        </is>
      </c>
      <c r="C542" s="8" t="inlineStr">
        <is>
          <t>Doç. Dr. Utku AKGÖR</t>
        </is>
      </c>
      <c r="D542" s="7" t="inlineStr">
        <is>
          <t>“Benign Histerektomi Öncesi Video Bilgilendirmesinin Anksiyete Düzeyine Etkisi”</t>
        </is>
      </c>
    </row>
    <row r="543" ht="63" customHeight="1" s="221">
      <c r="A543" s="5" t="inlineStr">
        <is>
          <t>472.</t>
        </is>
      </c>
      <c r="B543" s="6" t="inlineStr">
        <is>
          <t>SBA 25/543</t>
        </is>
      </c>
      <c r="C543" s="8" t="inlineStr">
        <is>
          <t>Prof. Dr. Dilek ASLAN</t>
        </is>
      </c>
      <c r="D543" s="7" t="inlineStr">
        <is>
          <t>“Ankara, Türkiye'deki Sahra Altı Afrikalı Üniversite Öğrencileri Arasında Sağlık Durumu, Sağlık Hizmetlerine Erişim, Sağlık Okuryazarlığı Düzeyi ve İlişkili Faktörlerin Belirlenmesi Araştırması”</t>
        </is>
      </c>
    </row>
    <row r="544" ht="31.5" customHeight="1" s="221">
      <c r="A544" s="5" t="inlineStr">
        <is>
          <t>473.</t>
        </is>
      </c>
      <c r="B544" s="6" t="inlineStr">
        <is>
          <t>SBA 25/544</t>
        </is>
      </c>
      <c r="C544" s="8" t="inlineStr">
        <is>
          <t>Doç. Dr. Saliha ESENBOĞA</t>
        </is>
      </c>
      <c r="D544" s="7" t="inlineStr">
        <is>
          <t>“PIDCAP Skorlama Sisteminin Kronik Granülomatöz Hastalık Tanısı Olan Hastalarda Değerlendirilmesi”</t>
        </is>
      </c>
    </row>
    <row r="545" ht="47.25" customHeight="1" s="221">
      <c r="A545" s="5" t="inlineStr">
        <is>
          <t>474.</t>
        </is>
      </c>
      <c r="B545" s="6" t="inlineStr">
        <is>
          <t>SBA 25/545</t>
        </is>
      </c>
      <c r="C545" s="8" t="inlineStr">
        <is>
          <t>Doç. Dr. Seda Hanife OĞUZ BAYKAL</t>
        </is>
      </c>
      <c r="D545" s="7" t="inlineStr">
        <is>
          <t>“İmmünoterapilere Bağlı Endokrin Yan Etkiler ve Endokrinolojiye Yönlendirme Pratiklerinin Değerlendirilmesi”</t>
        </is>
      </c>
    </row>
    <row r="546" ht="47.25" customHeight="1" s="221">
      <c r="A546" s="5" t="inlineStr">
        <is>
          <t>475.</t>
        </is>
      </c>
      <c r="B546" s="6" t="inlineStr">
        <is>
          <t>SBA 25/546</t>
        </is>
      </c>
      <c r="C546" s="8" t="inlineStr">
        <is>
          <t>Prof. Dr. Sinem AKGÜL</t>
        </is>
      </c>
      <c r="D546" s="7" t="inlineStr">
        <is>
          <t>“Yeme Bozukluğu Olan Ergende Tütün, Alkol ve Madde Kullanım Sıklığı ile Hastalık Şiddeti Arasındaki İlişkinin İncelenmesi”</t>
        </is>
      </c>
    </row>
    <row r="547" ht="47.25" customHeight="1" s="221">
      <c r="A547" s="5" t="inlineStr">
        <is>
          <t>476.</t>
        </is>
      </c>
      <c r="B547" s="6" t="inlineStr">
        <is>
          <t>SBA 25/547</t>
        </is>
      </c>
      <c r="C547" s="8" t="inlineStr">
        <is>
          <t>Prof. Dr. Alp USUBÜTÜN</t>
        </is>
      </c>
      <c r="D547" s="7" t="inlineStr">
        <is>
          <t>“Uterin Serviksin İnvaziv Stratifiye Müsin Üreten Karsinomu: Klinikopatolojik Bulguların ve Prognostik Faktörlerin Değerlendirilmesi”</t>
        </is>
      </c>
    </row>
    <row r="548" ht="47.25" customHeight="1" s="221">
      <c r="A548" s="5" t="inlineStr">
        <is>
          <t>477.</t>
        </is>
      </c>
      <c r="B548" s="6" t="inlineStr">
        <is>
          <t>SBA 25/548</t>
        </is>
      </c>
      <c r="C548" s="8" t="inlineStr">
        <is>
          <t>Doç. Dr. Naşide MANGIR BOLAT</t>
        </is>
      </c>
      <c r="D548" s="7" t="inlineStr">
        <is>
          <t>“Uluslararası İnkontinans Konsültasyonu– Az Aktif Mesane Anketi’nin Türkçe Geçerlik ve Güvenirlik Çalışması”</t>
        </is>
      </c>
    </row>
    <row r="549" ht="47.25" customHeight="1" s="221">
      <c r="A549" s="5" t="inlineStr">
        <is>
          <t>478.</t>
        </is>
      </c>
      <c r="B549" s="6" t="inlineStr">
        <is>
          <t>SBA 25/549</t>
        </is>
      </c>
      <c r="C549" s="8" t="inlineStr">
        <is>
          <t>Dr. Öğr. Üyesi Meral ÜNER</t>
        </is>
      </c>
      <c r="D549" s="7" t="inlineStr">
        <is>
          <t>“Böbrek Biyopsilerinde Lupus Nefriti NIH Skorlamasının Dil Modeli ile Otomatikleştirilmesi ve Patolog Değerlendirmesi ile Karşılaştırılması”</t>
        </is>
      </c>
    </row>
    <row r="550" ht="63" customHeight="1" s="221">
      <c r="A550" s="5" t="inlineStr">
        <is>
          <t>479.</t>
        </is>
      </c>
      <c r="B550" s="6" t="inlineStr">
        <is>
          <t>SBA 25/550</t>
        </is>
      </c>
      <c r="C550" s="8" t="inlineStr">
        <is>
          <t>Doç. Dr. Ezgi ATİK</t>
        </is>
      </c>
      <c r="D550" s="7" t="inlineStr">
        <is>
          <t>“Şeffaf Plak Tedavilerinde Refinement Aşamasında Tekrarlayan Ataşman Debonding İşleminin Mine Yüzeyine Etkilerinin 3 Boyutlu Olarak İncelenmesi: In-Vitro Çalışma”</t>
        </is>
      </c>
    </row>
    <row r="551" ht="78.75" customHeight="1" s="221">
      <c r="A551" s="5" t="inlineStr">
        <is>
          <t>480.</t>
        </is>
      </c>
      <c r="B551" s="6" t="inlineStr">
        <is>
          <t>SBA 25/551</t>
        </is>
      </c>
      <c r="C551" s="8" t="inlineStr">
        <is>
          <t>Prof. Dr. Elmas Ebru YALÇIN</t>
        </is>
      </c>
      <c r="D551" s="7" t="inlineStr">
        <is>
          <t>“Kistik Fibrozis, Primer Siliyer Diskinezi ve Astım Tanılı Çocukların Solunum Fonksiyon Testlerinin; Spirometri, Akciğer Temizleme İndeksi ve İmpuls Osilometri ile Değerlendirilmesi ve Parametreler Arasındaki İlişkilerin İncelenmesi”</t>
        </is>
      </c>
    </row>
    <row r="552" ht="63" customHeight="1" s="221">
      <c r="A552" s="5" t="inlineStr">
        <is>
          <t>481.</t>
        </is>
      </c>
      <c r="B552" s="6" t="inlineStr">
        <is>
          <t>SBA 25/552</t>
        </is>
      </c>
      <c r="C552" s="8" t="inlineStr">
        <is>
          <t>Dr. Öğr. Üyesi Meral ÜNER</t>
        </is>
      </c>
      <c r="D552" s="7" t="inlineStr">
        <is>
          <t>“IgA Nefropatisi Oxford (MEST-C) Skorlamasında Dil Modeli Çıktılarının Patolog Değerlendirmeleriyle Karşılaştırılması ve Standardizasyona Yönelik Potansiyelinin Araştırılması”</t>
        </is>
      </c>
    </row>
    <row r="553" ht="47.25" customHeight="1" s="221">
      <c r="A553" s="5" t="inlineStr">
        <is>
          <t>482.</t>
        </is>
      </c>
      <c r="B553" s="6" t="inlineStr">
        <is>
          <t>SBA 25/553</t>
        </is>
      </c>
      <c r="C553" s="8" t="inlineStr">
        <is>
          <t>Doç. Dr. Oğuz KUŞCU</t>
        </is>
      </c>
      <c r="D553" s="7" t="inlineStr">
        <is>
          <t>“Üst Aerodigestif Sistem Mukozal Lezyonların Analizinde Dar Bant Görüntülemenin Yeri, Verilerin Histopatolojik İnceleme ile Karşılaştırılması”</t>
        </is>
      </c>
    </row>
    <row r="554" ht="47.25" customHeight="1" s="221">
      <c r="A554" s="5" t="inlineStr">
        <is>
          <t>483.</t>
        </is>
      </c>
      <c r="B554" s="6" t="inlineStr">
        <is>
          <t>SBA 25/554</t>
        </is>
      </c>
      <c r="C554" s="8" t="inlineStr">
        <is>
          <t>Doç. Dr. Erdem FADILOĞLU</t>
        </is>
      </c>
      <c r="D554" s="7" t="inlineStr">
        <is>
          <t>“Fetal Kardiyak Girişim Yapılan Fetuslarda Prenatal Dönemde Yapılan Ekstremite Dopplerlerinin Longitudinal İzlemi ve Perinatal Sonuçlarla İlişkisi”</t>
        </is>
      </c>
    </row>
    <row r="555" ht="63" customHeight="1" s="221">
      <c r="A555" s="5" t="inlineStr">
        <is>
          <t>484.</t>
        </is>
      </c>
      <c r="B555" s="6" t="inlineStr">
        <is>
          <t>SBA 25/555</t>
        </is>
      </c>
      <c r="C555" s="8" t="inlineStr">
        <is>
          <t>Prof. Dr. Deniz KÖKSAL</t>
        </is>
      </c>
      <c r="D555" s="7" t="inlineStr">
        <is>
          <t>“Anti-TNF Tedavi Sürecinde Çekilen Akciğer Grafilerinin Yapay Zeka Destekli Değerlendirmesinin, Klinisyen Değerlendirmesi ile Karşılaştırması ve Klinik Uygulamalara Entegrasyonunun İncelenmesi”</t>
        </is>
      </c>
    </row>
    <row r="556" ht="63" customHeight="1" s="221">
      <c r="A556" s="5" t="inlineStr">
        <is>
          <t>485.</t>
        </is>
      </c>
      <c r="B556" s="6" t="inlineStr">
        <is>
          <t>SBA 25/556</t>
        </is>
      </c>
      <c r="C556" s="8" t="inlineStr">
        <is>
          <t>Dr. Öğr. Üyesi Olcay KURTULAN</t>
        </is>
      </c>
      <c r="D556" s="7" t="inlineStr">
        <is>
          <t>“Küçük Hücreli Akciğer Karsinomunda Moleküler Alt Tiplerin ASCL1, NEUROD1, POU2F3 ve YAP1 İmmünohistokimyasal Ekspresyonuna Göre Sınıflandırılması ve Klinik Önemi”</t>
        </is>
      </c>
    </row>
    <row r="557" ht="63" customHeight="1" s="221">
      <c r="A557" s="5" t="inlineStr">
        <is>
          <t>486.</t>
        </is>
      </c>
      <c r="B557" s="6" t="inlineStr">
        <is>
          <t>SBA 25/557</t>
        </is>
      </c>
      <c r="C557" s="8" t="inlineStr">
        <is>
          <t>Prof. Dr. Meryem Aslı TUNCER</t>
        </is>
      </c>
      <c r="D557" s="7" t="inlineStr">
        <is>
          <t>“Multipl Sklerozda Telomer Uzunluğu, p16INK4a İfadesi ve İleri Beyin MR Görüntülemeleri ile Hastalık Progresyonu Arasındaki İlişkinin Prospektif İncelenmesi”</t>
        </is>
      </c>
    </row>
    <row r="558" ht="78.75" customHeight="1" s="221">
      <c r="A558" s="5" t="inlineStr">
        <is>
          <t>487.</t>
        </is>
      </c>
      <c r="B558" s="6" t="inlineStr">
        <is>
          <t>SBA 25/558</t>
        </is>
      </c>
      <c r="C558" s="8" t="inlineStr">
        <is>
          <t>Prof. Dr. Nagehan EMİRALİOĞLU ORDUKAYA</t>
        </is>
      </c>
      <c r="D558" s="7" t="inlineStr">
        <is>
          <t>“Türkiye’deki Çocukluk Çağı İnterstisiyel Akciğer Hastalığı Tanısıyla İzlenen Hastaların Demografik ve Klinik Özelliklerinin REDCap Veri Tabanına Kaydedilmesi (chILD Türkiye) ve Verilerin Değerlendirilmesi”</t>
        </is>
      </c>
    </row>
    <row r="559" ht="31.5" customHeight="1" s="221">
      <c r="A559" s="5" t="inlineStr">
        <is>
          <t>488.</t>
        </is>
      </c>
      <c r="B559" s="6" t="inlineStr">
        <is>
          <t>SBA 25/559</t>
        </is>
      </c>
      <c r="C559" s="8" t="inlineStr">
        <is>
          <t>Prof. Dr.Özgür UĞURLUOĞLU</t>
        </is>
      </c>
      <c r="D559" s="7" t="inlineStr">
        <is>
          <t>“Taburculuk Sonrası Bakım Geçiş Kalitesinin Değerlendirilmesi: Çok Boyutlu Bir Ölçüm Yaklaşımı”</t>
        </is>
      </c>
    </row>
    <row r="560" ht="47.25" customHeight="1" s="221">
      <c r="A560" s="5" t="inlineStr">
        <is>
          <t>489.</t>
        </is>
      </c>
      <c r="B560" s="6" t="inlineStr">
        <is>
          <t>SBA 25/560</t>
        </is>
      </c>
      <c r="C560" s="8" t="inlineStr">
        <is>
          <t>Doç. Dr. Erdem FADILOĞLU</t>
        </is>
      </c>
      <c r="D560" s="7" t="inlineStr">
        <is>
          <t>“Geç Preterm Gebeliklerde Antenatal Kortikosteroid Uygulamasının Neonatal Hipoglisemi ve Klinik Sonuçlara Etkisi”</t>
        </is>
      </c>
    </row>
    <row r="561" ht="31.5" customHeight="1" s="221">
      <c r="A561" s="5" t="inlineStr">
        <is>
          <t>490.</t>
        </is>
      </c>
      <c r="B561" s="6" t="inlineStr">
        <is>
          <t>SBA 25/561</t>
        </is>
      </c>
      <c r="C561" s="8" t="inlineStr">
        <is>
          <t>Dr. Öğr. Üyesi Selen ADİLOĞLU</t>
        </is>
      </c>
      <c r="D561" s="7" t="inlineStr">
        <is>
          <t>“Oral Biyopsi Uygulanan Hastalarda Anksiyete ve Ağrı Düzeylerinin Değerlendirilmesi”</t>
        </is>
      </c>
    </row>
    <row r="562" ht="47.25" customHeight="1" s="221">
      <c r="A562" s="5" t="inlineStr">
        <is>
          <t>491.</t>
        </is>
      </c>
      <c r="B562" s="6" t="inlineStr">
        <is>
          <t>SBA 25/562</t>
        </is>
      </c>
      <c r="C562" s="8" t="inlineStr">
        <is>
          <t>Prof. Dr. Mehmet Akif TOPÇUOĞLU</t>
        </is>
      </c>
      <c r="D562" s="7" t="inlineStr">
        <is>
          <t>“İdiopatik İzole Ekstrakraniyal İnternal Karotis Arter Vazospazmında Tedavi Seçenekleri ve Prognoza Etkileri”</t>
        </is>
      </c>
    </row>
    <row r="563" ht="31.5" customHeight="1" s="221">
      <c r="A563" s="5" t="inlineStr">
        <is>
          <t>492.</t>
        </is>
      </c>
      <c r="B563" s="6" t="inlineStr">
        <is>
          <t>SBA 25/563</t>
        </is>
      </c>
      <c r="C563" s="8" t="inlineStr">
        <is>
          <t>Dr.Öğr. Üyesi Yiğitcan KARANFİL</t>
        </is>
      </c>
      <c r="D563" s="7" t="inlineStr">
        <is>
          <t>“Yüzücülerde Ultrason ve Güç Ölçümleri ile Omuz Yaralanma Profili Çıkarılması”</t>
        </is>
      </c>
    </row>
    <row r="564" ht="31.5" customHeight="1" s="221">
      <c r="A564" s="5" t="inlineStr">
        <is>
          <t>493.</t>
        </is>
      </c>
      <c r="B564" s="6" t="inlineStr">
        <is>
          <t>SBA 25/564</t>
        </is>
      </c>
      <c r="C564" s="8" t="inlineStr">
        <is>
          <t>Prof. Dr. Meryem Aslı TUNCER</t>
        </is>
      </c>
      <c r="D564" s="7" t="inlineStr">
        <is>
          <t>“Seçilmiş Nöroloji Olgularının Klinik Seyir ve Tedavi-Prognozuna Yönelik Olgu Temelli Derlemesi”</t>
        </is>
      </c>
    </row>
    <row r="565" ht="31.5" customHeight="1" s="221">
      <c r="A565" s="5" t="inlineStr">
        <is>
          <t>494.</t>
        </is>
      </c>
      <c r="B565" s="6" t="inlineStr">
        <is>
          <t>SBA 25/565</t>
        </is>
      </c>
      <c r="C565" s="8" t="inlineStr">
        <is>
          <t>Doç. Dr. Başak YALICI ARMAĞAN</t>
        </is>
      </c>
      <c r="D565" s="7" t="inlineStr">
        <is>
          <t>“Büllöz Pemfigoid Tanılı Hastalarda Omalizumab Tedavisinin Yanıtlarının Değerlendirilmesi"</t>
        </is>
      </c>
    </row>
    <row r="566" ht="31.5" customHeight="1" s="221">
      <c r="A566" s="5" t="inlineStr">
        <is>
          <t>495.</t>
        </is>
      </c>
      <c r="B566" s="6" t="inlineStr">
        <is>
          <t>SBA 25/566</t>
        </is>
      </c>
      <c r="C566" s="8" t="inlineStr">
        <is>
          <t>Doç. Dr. Hilal SUSAM ŞEN</t>
        </is>
      </c>
      <c r="D566" s="7" t="inlineStr">
        <is>
          <t>"Çocukluk Çağında Matür T/NK Hücreli Lenfomalar : Hacettepe Deneyimi"</t>
        </is>
      </c>
    </row>
    <row r="567" ht="47.25" customHeight="1" s="221">
      <c r="A567" s="5" t="inlineStr">
        <is>
          <t>496.</t>
        </is>
      </c>
      <c r="B567" s="6" t="inlineStr">
        <is>
          <t>SBA 25/567</t>
        </is>
      </c>
      <c r="C567" s="8" t="inlineStr">
        <is>
          <t>Doç. Dr. Hacı Hasan YETER</t>
        </is>
      </c>
      <c r="D567" s="7" t="inlineStr">
        <is>
          <t>“Kronik Miyeloid Lösemi Hastalarında Tirozin Kinaz Kullanımı İlişkili Proteinüri Gelişimini Etkileyen Faktörlerin İncelenmesi”</t>
        </is>
      </c>
    </row>
    <row r="568" ht="31.5" customHeight="1" s="221">
      <c r="A568" s="5" t="inlineStr">
        <is>
          <t>497.</t>
        </is>
      </c>
      <c r="B568" s="6" t="inlineStr">
        <is>
          <t>SBA 25/568</t>
        </is>
      </c>
      <c r="C568" s="8" t="inlineStr">
        <is>
          <t>Dr. Öğr. Üyesi Selen ADİLOĞLU</t>
        </is>
      </c>
      <c r="D568" s="7" t="inlineStr">
        <is>
          <t>“Stajyer Diş Hekimlerinde Maket Üzerinde Sütur Eğitiminin Etkinliği ve Memnuniyetinin Değerlendirilmesi"</t>
        </is>
      </c>
    </row>
    <row r="569" ht="31.5" customHeight="1" s="221">
      <c r="A569" s="5" t="inlineStr">
        <is>
          <t>498.</t>
        </is>
      </c>
      <c r="B569" s="6" t="inlineStr">
        <is>
          <t>SBA 25/569</t>
        </is>
      </c>
      <c r="C569" s="8" t="inlineStr">
        <is>
          <t>Dr. Öğr. Üyesi Sevinç ASKERBEYLİ ÖRS</t>
        </is>
      </c>
      <c r="D569" s="7" t="inlineStr">
        <is>
          <t>“Preklinik Endodonti Eğitiminde 3D Baskılı Modeller: Öğrenci Perspektifinden Bir Değerlendirme”</t>
        </is>
      </c>
    </row>
    <row r="570" ht="47.25" customHeight="1" s="221">
      <c r="A570" s="5" t="inlineStr">
        <is>
          <t>499.</t>
        </is>
      </c>
      <c r="B570" s="6" t="inlineStr">
        <is>
          <t>SBA 25/570</t>
        </is>
      </c>
      <c r="C570" s="8" t="inlineStr">
        <is>
          <t>Öğr. Gör. Dr. Ergin EROĞLU</t>
        </is>
      </c>
      <c r="D570" s="7" t="inlineStr">
        <is>
          <t>“Koklear İmplant ile İlgili Tüm Soruların ChatGPT Yanıtlarının Kulak Burun Boğaz Uzmanları Tarafından Değerlendirilmesi”</t>
        </is>
      </c>
    </row>
    <row r="571" ht="47.25" customHeight="1" s="221">
      <c r="A571" s="5" t="inlineStr">
        <is>
          <t>500.</t>
        </is>
      </c>
      <c r="B571" s="6" t="inlineStr">
        <is>
          <t>SBA 25/571</t>
        </is>
      </c>
      <c r="C571" s="8" t="inlineStr">
        <is>
          <t>Prof. Dr. Bülent Enis ŞEKEREL</t>
        </is>
      </c>
      <c r="D571" s="7" t="inlineStr">
        <is>
          <t>“Susam Alerjisi Olan Çocuklarda Oral İmmünoterapinin Güvenliği ve Yaşam Kalitesi Üzerine Etkilerinin Değerlendirilmesi''</t>
        </is>
      </c>
    </row>
    <row r="572" ht="31.5" customHeight="1" s="221">
      <c r="A572" s="5" t="inlineStr">
        <is>
          <t>501.</t>
        </is>
      </c>
      <c r="B572" s="6" t="inlineStr">
        <is>
          <t>SBA 25/572</t>
        </is>
      </c>
      <c r="C572" s="8" t="inlineStr">
        <is>
          <t>Doç. Dr. Hilal SUSAM ŞEN</t>
        </is>
      </c>
      <c r="D572" s="7" t="inlineStr">
        <is>
          <t>“Çocukluk Çağı Over Kistadenomları: Hacettepe Deneyimi”</t>
        </is>
      </c>
    </row>
    <row r="573" ht="63" customHeight="1" s="221">
      <c r="A573" s="5" t="inlineStr">
        <is>
          <t>502.</t>
        </is>
      </c>
      <c r="B573" s="6" t="inlineStr">
        <is>
          <t>SBA 25/573</t>
        </is>
      </c>
      <c r="C573" s="8" t="inlineStr">
        <is>
          <t>Prof. Dr. Bilge PEHLİVANOĞLU</t>
        </is>
      </c>
      <c r="D573" s="7" t="inlineStr">
        <is>
          <t>“Sigara İçen Bireylerde Fonksiyonel Yakın Kızılötesi Spektroskopisi Kullanılarak Fonksiyonel Bağlantısallığın ve Kalp Hızı Değişkenliğinin İncelenmesi”</t>
        </is>
      </c>
    </row>
    <row r="574" ht="47.25" customHeight="1" s="221">
      <c r="A574" s="5" t="inlineStr">
        <is>
          <t>503.</t>
        </is>
      </c>
      <c r="B574" s="6" t="inlineStr">
        <is>
          <t>SBA 25/574</t>
        </is>
      </c>
      <c r="C574" s="8" t="inlineStr">
        <is>
          <t>Prof. Dr. Deniz ÇAĞDAŞ AYVAZ</t>
        </is>
      </c>
      <c r="D574" s="7" t="inlineStr">
        <is>
          <t>“Malignite Tanısı Alan Primer İmmün Yetmezlikli Hastaların Klinik ve Laboratuvar Özelliklerinin Değerlendirilmesi ”</t>
        </is>
      </c>
    </row>
    <row r="575" ht="47.25" customHeight="1" s="221">
      <c r="A575" s="5" t="inlineStr">
        <is>
          <t>504.</t>
        </is>
      </c>
      <c r="B575" s="6" t="inlineStr">
        <is>
          <t>SBA 25/575</t>
        </is>
      </c>
      <c r="C575" s="8" t="inlineStr">
        <is>
          <t>Dr. Öğr. Üyesi Onur KOÇ</t>
        </is>
      </c>
      <c r="D575" s="7" t="inlineStr">
        <is>
          <t>“Çene Bölgesi Patolojik Lezyonların CBCT Görüntülerinde Yapay Zeka Tabanlı Otomatik Tanısı: Derin Öğrenme Yaklaşımı”</t>
        </is>
      </c>
    </row>
    <row r="576" ht="63" customHeight="1" s="221">
      <c r="A576" s="5" t="inlineStr">
        <is>
          <t>505.</t>
        </is>
      </c>
      <c r="B576" s="6" t="inlineStr">
        <is>
          <t>SBA 25/576</t>
        </is>
      </c>
      <c r="C576" s="8" t="inlineStr">
        <is>
          <t>Prof. Dr. Serdar ÖZER</t>
        </is>
      </c>
      <c r="D576" s="7" t="inlineStr">
        <is>
          <t>“Endoskopik Endonazal ya da Transkonjonktival Yaklaşımla Optik Sinir Dekompresyonu ve/veya Optik Sinir Kılıf Fenestrasyonu Yapılan Olgularda Sonuçların Karşılaştırılması”</t>
        </is>
      </c>
    </row>
    <row r="577" ht="94.5" customHeight="1" s="221">
      <c r="A577" s="5" t="inlineStr">
        <is>
          <t>506.</t>
        </is>
      </c>
      <c r="B577" s="6" t="inlineStr">
        <is>
          <t>SBA 25/577</t>
        </is>
      </c>
      <c r="C577" s="8" t="inlineStr">
        <is>
          <t>Prof. Dr. Dilek ASLAN</t>
        </is>
      </c>
      <c r="D577" s="7" t="inlineStr">
        <is>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is>
      </c>
    </row>
    <row r="578" ht="110.25" customHeight="1" s="221">
      <c r="A578" s="5" t="inlineStr">
        <is>
          <t>507.</t>
        </is>
      </c>
      <c r="B578" s="6" t="inlineStr">
        <is>
          <t>SBA 25/578</t>
        </is>
      </c>
      <c r="C578" s="8" t="inlineStr">
        <is>
          <t>Prof. Dr. Deniz DOĞRU ERSÖZ</t>
        </is>
      </c>
      <c r="D578" s="7" t="inlineStr">
        <is>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is>
      </c>
    </row>
    <row r="579" ht="47.25" customHeight="1" s="221">
      <c r="A579" s="5" t="inlineStr">
        <is>
          <t>508.</t>
        </is>
      </c>
      <c r="B579" s="6" t="inlineStr">
        <is>
          <t>SBA 25/579</t>
        </is>
      </c>
      <c r="C579" s="8" t="inlineStr">
        <is>
          <t>Prof. Dr. Nermin TARHAN</t>
        </is>
      </c>
      <c r="D579" s="7" t="inlineStr">
        <is>
          <t>“Dijital Fotoğraf Tabanlı Renk Analizi ile Gingival İndeksin Belirlenmesi: Klinik Sağlık, Gingivitis ve Periodontitis Vakalarının Karşılaştırılması”</t>
        </is>
      </c>
    </row>
    <row r="580" ht="63" customHeight="1" s="221">
      <c r="A580" s="5" t="inlineStr">
        <is>
          <t>509.</t>
        </is>
      </c>
      <c r="B580" s="6" t="inlineStr">
        <is>
          <t>SBA 25/580</t>
        </is>
      </c>
      <c r="C580" s="8" t="inlineStr">
        <is>
          <t>Prof. Dr. Ethem Murat ARSAVA</t>
        </is>
      </c>
      <c r="D580" s="7" t="inlineStr">
        <is>
          <t>“İnme Hastalarında Kardiyak Risk Faktörleri: Sol Atriyum Morfolojisi, Koroner Kalsifikasyon Skoru ve Mitral Kazeöz Kalsifikasyonun Kardiyak Bilgisayarlı Tomografi ile Değerlendirilmesi”</t>
        </is>
      </c>
    </row>
    <row r="581" ht="31.5" customHeight="1" s="221">
      <c r="A581" s="5" t="inlineStr">
        <is>
          <t>510.</t>
        </is>
      </c>
      <c r="B581" s="6" t="inlineStr">
        <is>
          <t>SBA 25/581</t>
        </is>
      </c>
      <c r="C581" s="8" t="inlineStr">
        <is>
          <t>Prof. Dr. Bülent Enis ŞEKEREL</t>
        </is>
      </c>
      <c r="D581" s="7" t="inlineStr">
        <is>
          <t>“Pediatrik Popülasyonda Yaşla Değişen Alerjene Özgü Duyarlanma Dinamikleri</t>
        </is>
      </c>
    </row>
    <row r="582" ht="47.25" customHeight="1" s="221">
      <c r="A582" s="5" t="inlineStr">
        <is>
          <t>511.</t>
        </is>
      </c>
      <c r="B582" s="6" t="inlineStr">
        <is>
          <t>SBA 25/582</t>
        </is>
      </c>
      <c r="C582" s="8" t="inlineStr">
        <is>
          <t>Öğr. Gör. Dr. Pınar ÖZDEMİR YAŞAR</t>
        </is>
      </c>
      <c r="D582" s="7" t="inlineStr">
        <is>
          <t>“Minimal İnvaziv Kardiyak Cerrahide Anestezi Yönetimi Deneyimimiz Tek Merkezli Gözlemsel Çalışma-Bireysel Araştırma”</t>
        </is>
      </c>
    </row>
    <row r="583" ht="47.25" customHeight="1" s="221">
      <c r="A583" s="5" t="inlineStr">
        <is>
          <t>512.</t>
        </is>
      </c>
      <c r="B583" s="6" t="inlineStr">
        <is>
          <t>SBA 25/583</t>
        </is>
      </c>
      <c r="C583" s="8" t="inlineStr">
        <is>
          <t>Prof. Dr. Ömer Alper GÜRLEK</t>
        </is>
      </c>
      <c r="D583" s="7" t="inlineStr">
        <is>
          <t>“Primer Hiperparatiroidi Tanılı Hastaların Demografik, Klinik, Biyokimyasal ve Görüntüleme Bulgularının Değerlendirilmesi”</t>
        </is>
      </c>
    </row>
    <row r="584" ht="47.25" customHeight="1" s="221">
      <c r="A584" s="5" t="inlineStr">
        <is>
          <t>513.</t>
        </is>
      </c>
      <c r="B584" s="6" t="inlineStr">
        <is>
          <t>SBA 25/584</t>
        </is>
      </c>
      <c r="C584" s="8" t="inlineStr">
        <is>
          <t>Doç. Dr. Ahmet Erim PAMUK</t>
        </is>
      </c>
      <c r="D584" s="7" t="inlineStr">
        <is>
          <t>“.Yüksek Dereceli Majör Tükürük Bezleri Malignitelerinin Sonuçlarının Retrospektif İncelenmesi: Uluslararası Çok Merkezli Bir Çalışma”</t>
        </is>
      </c>
    </row>
    <row r="585" ht="47.25" customHeight="1" s="221">
      <c r="A585" s="5" t="inlineStr">
        <is>
          <t>514.</t>
        </is>
      </c>
      <c r="B585" s="6" t="inlineStr">
        <is>
          <t>SBA 25/585</t>
        </is>
      </c>
      <c r="C585" s="8" t="inlineStr">
        <is>
          <t>Prof. Dr. Meltem ÇAĞLAR TUNCALI</t>
        </is>
      </c>
      <c r="D585" s="7" t="inlineStr">
        <is>
          <t>“Prostat Kanserinde Sistemik Tedavi Yanıt Değerlendirilmesinde Ga-68 İşaretli PSMA PET-BT ile Biyokimyasal Belirteçlerin Rolü ve Prognostik Önemi”</t>
        </is>
      </c>
    </row>
    <row r="586" ht="63" customHeight="1" s="221">
      <c r="A586" s="5" t="inlineStr">
        <is>
          <t>515.</t>
        </is>
      </c>
      <c r="B586" s="6" t="inlineStr">
        <is>
          <t>SBA 25/586</t>
        </is>
      </c>
      <c r="C586" s="8" t="inlineStr">
        <is>
          <t>Prof. Dr. Murat TUNCEL</t>
        </is>
      </c>
      <c r="D586" s="7" t="inlineStr">
        <is>
          <t>“Metastatik Prostat Kanseri Olan Hastalarda Androjen Reseptör Yolak İnhibitörlerinin Etkinliğini Tahmin Etmede Klinik-Biyokimyasal ve Moleküler Görüntüleme Parametrelerinin Rolü”</t>
        </is>
      </c>
    </row>
    <row r="587" ht="31.5" customHeight="1" s="221">
      <c r="A587" s="5" t="inlineStr">
        <is>
          <t>516.</t>
        </is>
      </c>
      <c r="B587" s="6" t="inlineStr">
        <is>
          <t>SBA 25/587</t>
        </is>
      </c>
      <c r="C587" s="8" t="inlineStr">
        <is>
          <t>Prof. Dr. Can Ebru KURT</t>
        </is>
      </c>
      <c r="D587" s="7" t="inlineStr">
        <is>
          <t>“Nöromusküler Hastalıklarda Tüm Ekzom Dizileme Yöntemi ile Genetik Etyolojinin Belirlenmesi”</t>
        </is>
      </c>
    </row>
    <row r="588" ht="63" customHeight="1" s="221">
      <c r="A588" s="5" t="inlineStr">
        <is>
          <t>517.</t>
        </is>
      </c>
      <c r="B588" s="6" t="inlineStr">
        <is>
          <t>SBA 25/588</t>
        </is>
      </c>
      <c r="C588" s="8" t="inlineStr">
        <is>
          <t>Prof. Dr. Banu ÇAKIR</t>
        </is>
      </c>
      <c r="D588" s="7" t="inlineStr">
        <is>
          <t>“Örgün ve Mesleki Öğretimde Olmayan veya Çalışmayan (NEET) Gençlerin Ruh Sağlığının Sosyal Eşitsizlikler Açısından İncelenmesi: Nitel ve Nicel bir Derleme”</t>
        </is>
      </c>
    </row>
    <row r="589" ht="47.25" customHeight="1" s="221">
      <c r="A589" s="5" t="inlineStr">
        <is>
          <t>518.</t>
        </is>
      </c>
      <c r="B589" s="6" t="inlineStr">
        <is>
          <t>SBA 25/589</t>
        </is>
      </c>
      <c r="C589" s="8" t="inlineStr">
        <is>
          <t>Prof. Dr. Didem DAYANGAÇ ERDEN</t>
        </is>
      </c>
      <c r="D589" s="7" t="inlineStr">
        <is>
          <t>“Pseudo-Bartter Sendromu Olan Kistik Fibrozis Transmembran Regülatör-İlişkili Hastalık Tanılı Çocuklarda Epitel İyon Kanallarının İfade Analizi”</t>
        </is>
      </c>
    </row>
    <row r="590" ht="31.5" customHeight="1" s="221">
      <c r="A590" s="5" t="inlineStr">
        <is>
          <t>519.</t>
        </is>
      </c>
      <c r="B590" s="6" t="inlineStr">
        <is>
          <t>SBA 25/590</t>
        </is>
      </c>
      <c r="C590" s="8" t="inlineStr">
        <is>
          <t>Prof. Dr. Ayşe Tomris ERBAŞ</t>
        </is>
      </c>
      <c r="D590" s="7" t="inlineStr">
        <is>
          <t>“Anaplastik Tiroid Kanserli Olguların Tanı, Tedavi ve Takip Açısından Retrospektif Değerlendirilmesi”</t>
        </is>
      </c>
    </row>
    <row r="591" ht="47.25" customHeight="1" s="221">
      <c r="A591" s="5" t="inlineStr">
        <is>
          <t>520.</t>
        </is>
      </c>
      <c r="B591" s="6" t="inlineStr">
        <is>
          <t>SBA 25/591</t>
        </is>
      </c>
      <c r="C591" s="8" t="inlineStr">
        <is>
          <t>Prof. Dr. Zeliha YILMAZ</t>
        </is>
      </c>
      <c r="D591" s="7" t="inlineStr">
        <is>
          <t>“Yeni Bir İrrigasyon Solüsyonu Triton’un Epoksi Rezin ve Kalsiyum Silikat Esaslı Kök Kanal Dolgu Materyallerinin İtme Bağlanma Dayanımına Etkisi”</t>
        </is>
      </c>
    </row>
    <row r="592" ht="47.25" customHeight="1" s="221">
      <c r="A592" s="5" t="inlineStr">
        <is>
          <t>521.</t>
        </is>
      </c>
      <c r="B592" s="6" t="inlineStr">
        <is>
          <t>SBA 25/592</t>
        </is>
      </c>
      <c r="C592" s="8" t="inlineStr">
        <is>
          <t>Doç. Dr. Murat KARA</t>
        </is>
      </c>
      <c r="D592" s="7" t="inlineStr">
        <is>
          <t>“Pitoz Cerrahisinde Yeni Bir Teknik: Procerus Kas Transferi ile Üst Göz Kapağının Dinamik Reanimasyonu, Kadavra Çalışması”</t>
        </is>
      </c>
    </row>
    <row r="593" ht="47.25" customHeight="1" s="221">
      <c r="A593" s="5" t="inlineStr">
        <is>
          <t>522.</t>
        </is>
      </c>
      <c r="B593" s="6" t="inlineStr">
        <is>
          <t>SBA 25/593</t>
        </is>
      </c>
      <c r="C593" s="8" t="inlineStr">
        <is>
          <t>Prof. Dr. Göknur HALİLOĞLU</t>
        </is>
      </c>
      <c r="D593" s="7" t="inlineStr">
        <is>
          <t>“Türkiye'de Konjenital Miyastenik Sendromların Genetik Profili: Yeni Mutasyonlar ve Klinik Perspektifler”</t>
        </is>
      </c>
    </row>
    <row r="594" ht="47.25" customHeight="1" s="221">
      <c r="A594" s="5" t="inlineStr">
        <is>
          <t>523.</t>
        </is>
      </c>
      <c r="B594" s="6" t="inlineStr">
        <is>
          <t>SBA 25/594</t>
        </is>
      </c>
      <c r="C594" s="8" t="inlineStr">
        <is>
          <t>Prof. Dr. Yahya BÜYÜKAŞIK</t>
        </is>
      </c>
      <c r="D594" s="7" t="inlineStr">
        <is>
          <t>“Menstrüel Kanama Dışı Risk Faktörü Olmayan Genç Kadınlarda Demir Eksikliği ile Menstrüel Kanama Özellikleri Arasındaki İlişkinin Değerlendirilmesi”</t>
        </is>
      </c>
    </row>
    <row r="595" ht="31.5" customHeight="1" s="221">
      <c r="A595" s="5" t="inlineStr">
        <is>
          <t>524.</t>
        </is>
      </c>
      <c r="B595" s="6" t="inlineStr">
        <is>
          <t>SBA 25/595</t>
        </is>
      </c>
      <c r="C595" s="8" t="inlineStr">
        <is>
          <t>Prof. Dr. Şahinde Özlem ERDEN AKİ</t>
        </is>
      </c>
      <c r="D595" s="7" t="inlineStr">
        <is>
          <t>“Yakınını Kaybetmiş Yaşlılarda Uzamış Yas Belirtilerini Yordayan Faktörler”</t>
        </is>
      </c>
    </row>
    <row r="596" ht="63" customHeight="1" s="221">
      <c r="A596" s="5" t="inlineStr">
        <is>
          <t>525.</t>
        </is>
      </c>
      <c r="B596" s="6" t="inlineStr">
        <is>
          <t>SBA 25/596</t>
        </is>
      </c>
      <c r="C596" s="8" t="inlineStr">
        <is>
          <t>Doç. Dr. Derman BAŞARAN</t>
        </is>
      </c>
      <c r="D596" s="7" t="inlineStr">
        <is>
          <t>“Gonadotropin Salgılatıcı Hormon Analoglarının Endometriyal İntraepitelyal Neoplazi ve Erken Evre Endometrium Kanserinde Fertilite Koruyucu Tedaviye Etkisi”</t>
        </is>
      </c>
    </row>
    <row r="597" ht="31.5" customHeight="1" s="221">
      <c r="A597" s="5" t="inlineStr">
        <is>
          <t>526.</t>
        </is>
      </c>
      <c r="B597" s="6" t="inlineStr">
        <is>
          <t>SBA 25/597</t>
        </is>
      </c>
      <c r="C597" s="8" t="inlineStr">
        <is>
          <t>Prof. Dr. Gökhan METAN</t>
        </is>
      </c>
      <c r="D597" s="7" t="inlineStr">
        <is>
          <t>“Teikoplanin ile Tedavi Edilen Hastalarda Terapötik İlaç Düzey İzlemi: Retrospektif Bir Analiz”</t>
        </is>
      </c>
    </row>
    <row r="598" ht="63" customHeight="1" s="221">
      <c r="A598" s="5" t="inlineStr">
        <is>
          <t>527.</t>
        </is>
      </c>
      <c r="B598" s="6" t="inlineStr">
        <is>
          <t>SBA 25/598</t>
        </is>
      </c>
      <c r="C598" s="8" t="inlineStr">
        <is>
          <t>Prof. Dr. Gökhan METAN</t>
        </is>
      </c>
      <c r="D598" s="7" t="inlineStr">
        <is>
          <t>“Vorikonazol Serum Düzeyi İzlemi Yapılan Hastalarda Terapötik Aralığı Etkileyen Faktörlerin Retrospektif Değerlendirilmesi ve Klinik Bir Skorlama Modelinin Geliştirilmesi”</t>
        </is>
      </c>
    </row>
    <row r="599" ht="31.5" customHeight="1" s="221">
      <c r="A599" s="5" t="inlineStr">
        <is>
          <t>528.</t>
        </is>
      </c>
      <c r="B599" s="6" t="inlineStr">
        <is>
          <t>SBA 25/599</t>
        </is>
      </c>
      <c r="C599" s="8" t="inlineStr">
        <is>
          <t>Prof. Dr. Neşe DERİCİOĞLU</t>
        </is>
      </c>
      <c r="D599" s="7" t="inlineStr">
        <is>
          <t>“Periventriküler Nodüler Heterotopi İlişkili Epilepside Klinik Özellikler”</t>
        </is>
      </c>
    </row>
    <row r="600" ht="31.5" customHeight="1" s="221">
      <c r="A600" s="5" t="inlineStr">
        <is>
          <t>529.</t>
        </is>
      </c>
      <c r="B600" s="6" t="inlineStr">
        <is>
          <t>SBA 25/600</t>
        </is>
      </c>
      <c r="C600" s="8" t="inlineStr">
        <is>
          <t>Prof. Dr. Neşe DERİCİOĞLU</t>
        </is>
      </c>
      <c r="D600" s="7" t="inlineStr">
        <is>
          <t>“Polimikrogiri İlişkili Epilepsi Hastalarında Klinik ve Laboratuvar Bulgular: Tek Merkez Deneyimi”</t>
        </is>
      </c>
    </row>
    <row r="601" ht="47.25" customHeight="1" s="221">
      <c r="A601" s="5" t="inlineStr">
        <is>
          <t>530.</t>
        </is>
      </c>
      <c r="B601" s="6" t="inlineStr">
        <is>
          <t>SBA 25/601</t>
        </is>
      </c>
      <c r="C601" s="8" t="inlineStr">
        <is>
          <t>Doç. Dr. Cansu ÖZŞİN ÖZLER</t>
        </is>
      </c>
      <c r="D601" s="7" t="inlineStr">
        <is>
          <t>“Diş Hekimliği Fakültesine Başvuran Çocukların Ebeveynlerinin Ağız Sağlığı Okuryazarlık Durumlarının Değerlendirilmesi”</t>
        </is>
      </c>
    </row>
    <row r="602" ht="31.5" customHeight="1" s="221">
      <c r="A602" s="5" t="inlineStr">
        <is>
          <t>531.</t>
        </is>
      </c>
      <c r="B602" s="6" t="inlineStr">
        <is>
          <t>SBA 25/602</t>
        </is>
      </c>
      <c r="C602" s="8" t="inlineStr">
        <is>
          <t>Prof. Dr. Nagehan EMİRALİOĞLU ORDUKAYA</t>
        </is>
      </c>
      <c r="D602" s="7" t="inlineStr">
        <is>
          <t>“Bronkopulmoner Displazi Tanılı Hastaların İzleminde Akciğer Ultrasonografisinin Yeri”</t>
        </is>
      </c>
    </row>
    <row r="603" ht="31.5" customHeight="1" s="221">
      <c r="A603" s="5" t="inlineStr">
        <is>
          <t>532.</t>
        </is>
      </c>
      <c r="B603" s="6" t="inlineStr">
        <is>
          <t>SBA 25/603</t>
        </is>
      </c>
      <c r="C603" s="8" t="inlineStr">
        <is>
          <t>Prof. Dr. Deniz DOĞRU ERSÖZ</t>
        </is>
      </c>
      <c r="D603" s="7" t="inlineStr">
        <is>
          <t>“Ara Değer Ter Testi Olan Kistik Fibrozisli Çocukların Klinik Özellikleri”</t>
        </is>
      </c>
    </row>
    <row r="604" ht="31.5" customHeight="1" s="221">
      <c r="A604" s="5" t="inlineStr">
        <is>
          <t>533.</t>
        </is>
      </c>
      <c r="B604" s="6" t="inlineStr">
        <is>
          <t>SBA 25/604</t>
        </is>
      </c>
      <c r="C604" s="8" t="inlineStr">
        <is>
          <t>Prof. Dr. Müzeyyen Pınar ÖZGEN KIRATLI</t>
        </is>
      </c>
      <c r="D604" s="7" t="inlineStr">
        <is>
          <t>“Multipl Myelomda Fonksiyonel Görüntüleme: MRG ve PET-BT Yöntemlerinin Karşılaştırılması”</t>
        </is>
      </c>
    </row>
    <row r="605" ht="31.5" customHeight="1" s="221">
      <c r="A605" s="5" t="inlineStr">
        <is>
          <t>534.</t>
        </is>
      </c>
      <c r="B605" s="6" t="inlineStr">
        <is>
          <t>SBA 25/605</t>
        </is>
      </c>
      <c r="C605" s="8" t="inlineStr">
        <is>
          <t>Prof. Dr. Ayşe Tomris ERBAŞ</t>
        </is>
      </c>
      <c r="D605" s="7" t="inlineStr">
        <is>
          <t>“Wolfram Sendromlu ve Midline Anomalili Hastaların Klinik Özelliklerinin Retrospektif Değerlendirilmesi”</t>
        </is>
      </c>
    </row>
    <row r="606" ht="31.5" customHeight="1" s="221">
      <c r="A606" s="5" t="inlineStr">
        <is>
          <t>535.</t>
        </is>
      </c>
      <c r="B606" s="6" t="inlineStr">
        <is>
          <t>SBA 25/606</t>
        </is>
      </c>
      <c r="C606" s="8" t="inlineStr">
        <is>
          <t>Prof. Dr. Ayşe Tomris ERBAŞ</t>
        </is>
      </c>
      <c r="D606" s="7" t="inlineStr">
        <is>
          <t>“MEN1 ve MEN4 Sendromlu Hastaların Klinik Özelliklerinin Retrospektif Değerlendirilmesi”</t>
        </is>
      </c>
    </row>
    <row r="607" ht="47.25" customHeight="1" s="221">
      <c r="A607" s="5" t="inlineStr">
        <is>
          <t>536.</t>
        </is>
      </c>
      <c r="B607" s="6" t="inlineStr">
        <is>
          <t>SBA 25/607</t>
        </is>
      </c>
      <c r="C607" s="8" t="inlineStr">
        <is>
          <t>Prof. Dr. Ayda KARACA</t>
        </is>
      </c>
      <c r="D607" s="7" t="inlineStr">
        <is>
          <t>“Yetişkin Bireylerde Sedanter Davranışın Kesintiye Uğratma Sıklığı, Fiziksel Aktivite ve Sedanter Davranış Sürelerinin İncelenmesi”</t>
        </is>
      </c>
    </row>
    <row r="608" ht="31.5" customHeight="1" s="221">
      <c r="A608" s="5" t="inlineStr">
        <is>
          <t>537.</t>
        </is>
      </c>
      <c r="B608" s="6" t="inlineStr">
        <is>
          <t>SBA 25/608</t>
        </is>
      </c>
      <c r="C608" s="8" t="inlineStr">
        <is>
          <t>Öğr. Gör. Dr. Bahattin PASLI</t>
        </is>
      </c>
      <c r="D608" s="7" t="inlineStr">
        <is>
          <t>“Clavicula'nin Morfometrik Analizi ve Ortopedik İmplant Planlamasina Yönelik Katkıları”</t>
        </is>
      </c>
    </row>
    <row r="609" ht="47.25" customHeight="1" s="221">
      <c r="A609" s="5" t="inlineStr">
        <is>
          <t>538.</t>
        </is>
      </c>
      <c r="B609" s="6" t="inlineStr">
        <is>
          <t>SBA 25/609</t>
        </is>
      </c>
      <c r="C609" s="8" t="inlineStr">
        <is>
          <t>Doç. Dr. Ahmet Erim PAMUK</t>
        </is>
      </c>
      <c r="D609" s="7" t="inlineStr">
        <is>
          <t>“KBB Hastalarında Farklı Yapay Zekâ Modellerinin Tanı ve Tedavi Önerilerinin Değerlendirip Karşılaştırılması”</t>
        </is>
      </c>
    </row>
    <row r="610" ht="31.5" customHeight="1" s="221">
      <c r="A610" s="5" t="inlineStr">
        <is>
          <t>539.</t>
        </is>
      </c>
      <c r="B610" s="6" t="inlineStr">
        <is>
          <t>SBA 25/610</t>
        </is>
      </c>
      <c r="C610" s="8" t="inlineStr">
        <is>
          <t>Prof. Dr. Uğur ÜNLÜTÜRK</t>
        </is>
      </c>
      <c r="D610" s="7" t="inlineStr">
        <is>
          <t>“Papiller Tiroid Kanserinin Tükürükteki Moleküler Belirteçler ile Tanısı”</t>
        </is>
      </c>
    </row>
    <row r="611" ht="47.25" customHeight="1" s="221">
      <c r="A611" s="5" t="inlineStr">
        <is>
          <t>540.</t>
        </is>
      </c>
      <c r="B611" s="6" t="inlineStr">
        <is>
          <t>SBA 25/611</t>
        </is>
      </c>
      <c r="C611" s="8" t="inlineStr">
        <is>
          <t>Dr. Öğr. Üyesi Hatice BOYACIOĞLU ERDEN</t>
        </is>
      </c>
      <c r="D611" s="7" t="inlineStr">
        <is>
          <t>"Diş Hekimliği Fakültesine Konsülte Edilen Hastalarda Konik Işınlı Bilgisayarlı Tomografi Endikasyonları ve Saptanan Bulgular"</t>
        </is>
      </c>
    </row>
    <row r="612" ht="47.25" customHeight="1" s="221">
      <c r="A612" s="5" t="inlineStr">
        <is>
          <t>541.</t>
        </is>
      </c>
      <c r="B612" s="6" t="inlineStr">
        <is>
          <t>SBA 25/612</t>
        </is>
      </c>
      <c r="C612" s="8" t="inlineStr">
        <is>
          <t>Doç. Dr. Pınar ARPINAR AVŞAR</t>
        </is>
      </c>
      <c r="D612" s="7" t="inlineStr">
        <is>
          <t>"Kadınlarda Spor Türü ve Yaşın Alt Ekstremite de Mekanik Sertlik Üzerine Etkisi: İki Farklı Sıçrama Türü için Karşılaştırmalı Bir Analiz"</t>
        </is>
      </c>
    </row>
    <row r="613" ht="47.25" customHeight="1" s="221">
      <c r="A613" s="5" t="inlineStr">
        <is>
          <t>542.</t>
        </is>
      </c>
      <c r="B613" s="6" t="inlineStr">
        <is>
          <t>SBA 25/613</t>
        </is>
      </c>
      <c r="C613" s="8" t="inlineStr">
        <is>
          <t>Prof. Dr. Ebru DAMADOĞLU</t>
        </is>
      </c>
      <c r="D613" s="7" t="inlineStr">
        <is>
          <t>"Serum Triptaz Düzeyinin Mast Hücre İlişkili Hastalıklardaki Rolünün Retrospektif Olarak Değerlendirilmesi"</t>
        </is>
      </c>
    </row>
    <row r="614" ht="31.5" customHeight="1" s="221">
      <c r="A614" s="5" t="inlineStr">
        <is>
          <t>543.</t>
        </is>
      </c>
      <c r="B614" s="6" t="inlineStr">
        <is>
          <t>SBA 25/614</t>
        </is>
      </c>
      <c r="C614" s="8" t="inlineStr">
        <is>
          <t>Arş. Gör. Dr. Tayfun Hilmi AKBABA</t>
        </is>
      </c>
      <c r="D614" s="7" t="inlineStr">
        <is>
          <t>“Behçet Hastalarının Serum Nörofilaman Seviyelerinin Belirlenmesi”</t>
        </is>
      </c>
    </row>
    <row r="615" ht="31.5" customHeight="1" s="221">
      <c r="A615" s="5" t="inlineStr">
        <is>
          <t>544.</t>
        </is>
      </c>
      <c r="B615" s="6" t="inlineStr">
        <is>
          <t>SBA 25/615</t>
        </is>
      </c>
      <c r="C615" s="8" t="inlineStr">
        <is>
          <t>Prof. Dr. Erem BİLENSOY</t>
        </is>
      </c>
      <c r="D615" s="7" t="inlineStr">
        <is>
          <t>“Topikal Ürünlerde Mikroyapı Benzerliğini Aydınlatmaya Yönelik In Vitro Permeasyon Çalışması”</t>
        </is>
      </c>
    </row>
    <row r="616" ht="47.25" customHeight="1" s="221">
      <c r="A616" s="5" t="inlineStr">
        <is>
          <t>545.</t>
        </is>
      </c>
      <c r="B616" s="6" t="inlineStr">
        <is>
          <t>SBA 25/616</t>
        </is>
      </c>
      <c r="C616" s="8" t="inlineStr">
        <is>
          <t>Prof. Dr. Nagehan EMİRALİOĞLU ORDUKAYA</t>
        </is>
      </c>
      <c r="D616" s="7" t="inlineStr">
        <is>
          <t>“Bronkopulmoner Displazili Çocuklarda Solunum Fonksiyonlarının Değerlendirilmesinde İmpuls Osilometri ve Spirometrinin Karşılaştırılması”</t>
        </is>
      </c>
    </row>
    <row r="617" ht="31.5" customHeight="1" s="221">
      <c r="A617" s="5" t="inlineStr">
        <is>
          <t>546.</t>
        </is>
      </c>
      <c r="B617" s="6" t="inlineStr">
        <is>
          <t>SBA 25/617</t>
        </is>
      </c>
      <c r="C617" s="8" t="inlineStr">
        <is>
          <t>Doç. Dr. Yılmaz YILDIZ</t>
        </is>
      </c>
      <c r="D617" s="7" t="inlineStr">
        <is>
          <t>“Metilmalonik Asidemi ve Propiyonik Asidemide Akut Metabolik Dekompanzasyonun Acil Tanı ve Tedavisi”</t>
        </is>
      </c>
    </row>
    <row r="618" ht="31.5" customHeight="1" s="221">
      <c r="A618" s="5" t="inlineStr">
        <is>
          <t>547.</t>
        </is>
      </c>
      <c r="B618" s="6" t="inlineStr">
        <is>
          <t>SBA 25/618</t>
        </is>
      </c>
      <c r="C618" s="8" t="inlineStr">
        <is>
          <t>Dr. Öğr. Üyesi Gökhan AYIK</t>
        </is>
      </c>
      <c r="D618" s="7" t="inlineStr">
        <is>
          <t>“Pediatrik Proksimal Humerus Kırıklarında Konservatif ve Cerrahi Tedavinin Uzun Dönem Sonuçları”</t>
        </is>
      </c>
    </row>
    <row r="619" ht="78.75" customHeight="1" s="221">
      <c r="A619" s="5" t="inlineStr">
        <is>
          <t>548.</t>
        </is>
      </c>
      <c r="B619" s="6" t="inlineStr">
        <is>
          <t>SBA 25/619</t>
        </is>
      </c>
      <c r="C619" s="8" t="inlineStr">
        <is>
          <t>Prof. Dr. Hatice Yasemin BALABAN</t>
        </is>
      </c>
      <c r="D619" s="7" t="inlineStr">
        <is>
          <t>“Yeni Terapötiklerin ve Biyobelirteçlerin Keşfi İçin Metabolik Fonksiyon Bozukluğu ile İlişkili Steatotik Karaciğer Hastalığının (MASLD) Patobiyolojisinin Açığa Çıkarılması(UNMASK- EP PerMed Horizon 2020 Projesi)”</t>
        </is>
      </c>
    </row>
    <row r="620" ht="47.25" customHeight="1" s="221">
      <c r="A620" s="5" t="inlineStr">
        <is>
          <t>549.</t>
        </is>
      </c>
      <c r="B620" s="6" t="inlineStr">
        <is>
          <t>SBA 25/620</t>
        </is>
      </c>
      <c r="C620" s="8" t="inlineStr">
        <is>
          <t>Prof. Dr. Güney YILMAZ</t>
        </is>
      </c>
      <c r="D620" s="7" t="inlineStr">
        <is>
          <t>“Adölesan Nöromüsküler Kalça Displazisi için Asetabuloplasti ile Kombine Üçlü Pelvik Osteotominin Güvenliği ve Uygulanabilirliği"</t>
        </is>
      </c>
    </row>
    <row r="621" ht="47.25" customHeight="1" s="221">
      <c r="A621" s="5" t="inlineStr">
        <is>
          <t>550.</t>
        </is>
      </c>
      <c r="B621" s="6" t="inlineStr">
        <is>
          <t>SBA 25/621</t>
        </is>
      </c>
      <c r="C621" s="8" t="inlineStr">
        <is>
          <t>Doç. Dr. Hacı Hasan YETER</t>
        </is>
      </c>
      <c r="D621" s="7" t="inlineStr">
        <is>
          <t>“Polikistik Böbrek Hastalığı Olan Renal Transplant Alıcılarında Postoperatif Sağkalım ve Komplikasyonların Değerlendirilmesi''</t>
        </is>
      </c>
    </row>
    <row r="622" ht="31.5" customHeight="1" s="221">
      <c r="A622" s="5" t="inlineStr">
        <is>
          <t>551.</t>
        </is>
      </c>
      <c r="B622" s="6" t="inlineStr">
        <is>
          <t>SBA 25/622</t>
        </is>
      </c>
      <c r="C622" s="8" t="inlineStr">
        <is>
          <t>Prof. Dr. Seza ÖZEN</t>
        </is>
      </c>
      <c r="D622" s="7" t="inlineStr">
        <is>
          <t>“Jüvenil Sistemik Skleroz için Uluslararası Başlangıç Kohortu”</t>
        </is>
      </c>
    </row>
    <row r="623" ht="63" customHeight="1" s="221">
      <c r="A623" s="5" t="inlineStr">
        <is>
          <t>552.</t>
        </is>
      </c>
      <c r="B623" s="6" t="inlineStr">
        <is>
          <t>SBA 25/623</t>
        </is>
      </c>
      <c r="C623" s="53" t="inlineStr">
        <is>
          <t>Prof. Dr. Uğur ÜNLÜTÜRK
Dr. Öğr. Üyesi Nasire ULUÇ</t>
        </is>
      </c>
      <c r="D623" s="7" t="inlineStr">
        <is>
          <t>“Tiroid Kanserinde Metabolik Çeşitliliğin Açığa Çıkarılması: Fiber Tabanlı, İşaretsiz Orta Dalgaboylu Kızılötesi Optoakustik Prob Teknolojisinin Geliştirilmesi”</t>
        </is>
      </c>
    </row>
    <row r="624" ht="47.25" customHeight="1" s="221">
      <c r="A624" s="5" t="inlineStr">
        <is>
          <t>553.</t>
        </is>
      </c>
      <c r="B624" s="6" t="inlineStr">
        <is>
          <t>SBA 25/624</t>
        </is>
      </c>
      <c r="C624" s="8" t="inlineStr">
        <is>
          <t>Doç. Dr. Hayrettin Hakan AYKAN</t>
        </is>
      </c>
      <c r="D624" s="7" t="inlineStr">
        <is>
          <t>“Çocuk Kardiyoloji ÜnitesiTransvenöz Lead Çıkarılması Deneyimlerinin Retrospektif Değerlendirilmesi”</t>
        </is>
      </c>
    </row>
    <row r="625" ht="47.25" customHeight="1" s="221">
      <c r="A625" s="5" t="inlineStr">
        <is>
          <t>554.</t>
        </is>
      </c>
      <c r="B625" s="6" t="inlineStr">
        <is>
          <t>SBA 25/625</t>
        </is>
      </c>
      <c r="C625" s="8" t="inlineStr">
        <is>
          <t>Doç. Dr. Leman AKCAN YILDIZ</t>
        </is>
      </c>
      <c r="D625" s="7" t="inlineStr">
        <is>
          <t>“Çocuk Acile Başvuran Kritik HastalardaHiperglisemi Sıklığı, Hastalıklara Göre Dağılımı ve Hasta Sonuçlarına Etkisi”</t>
        </is>
      </c>
    </row>
    <row r="626" ht="47.25" customHeight="1" s="221">
      <c r="A626" s="5" t="inlineStr">
        <is>
          <t>555.</t>
        </is>
      </c>
      <c r="B626" s="6" t="inlineStr">
        <is>
          <t>SBA 25/626</t>
        </is>
      </c>
      <c r="C626" s="8" t="inlineStr">
        <is>
          <t>Dr. Öğr. Üyesi Yasemin GÜZEL</t>
        </is>
      </c>
      <c r="D626" s="7" t="inlineStr">
        <is>
          <t>“Farklı Branşlardaki Erkek Sporcularda DXA ile Değerlendirilen Vücut Kompozisyonu İndekslerinin Karşılaştırılması”</t>
        </is>
      </c>
    </row>
    <row r="627" ht="31.5" customHeight="1" s="221">
      <c r="A627" s="5" t="inlineStr">
        <is>
          <t>556.</t>
        </is>
      </c>
      <c r="B627" s="6" t="inlineStr">
        <is>
          <t>SBA 25/627</t>
        </is>
      </c>
      <c r="C627" s="8" t="inlineStr">
        <is>
          <t>Doç. Dr. Başak YALICI ARMAĞAN</t>
        </is>
      </c>
      <c r="D627" s="7" t="inlineStr">
        <is>
          <t>“Melazma Hastalarında Vasküler Endotelyal Büyüme Faktörü Polimorfizminin Değerlendirilmesi”</t>
        </is>
      </c>
    </row>
    <row r="628" ht="31.5" customHeight="1" s="221">
      <c r="A628" s="5" t="inlineStr">
        <is>
          <t>557.</t>
        </is>
      </c>
      <c r="B628" s="6" t="inlineStr">
        <is>
          <t>SBA 25/628</t>
        </is>
      </c>
      <c r="C628" s="8" t="inlineStr">
        <is>
          <t>Doç. Dr. Murat KARA</t>
        </is>
      </c>
      <c r="D628" s="7" t="inlineStr">
        <is>
          <t>“Platisma KasTranspozisyonunun Fonksiyonel ve Rekonstrüktif Kullanımı: Kadavra Çalışması”</t>
        </is>
      </c>
    </row>
    <row r="629" ht="47.25" customHeight="1" s="221">
      <c r="A629" s="5" t="inlineStr">
        <is>
          <t>558.</t>
        </is>
      </c>
      <c r="B629" s="6" t="inlineStr">
        <is>
          <t>SBA 25/629</t>
        </is>
      </c>
      <c r="C629" s="8" t="inlineStr">
        <is>
          <t>Doç. Dr. Akın ÜZÜMCÜGİL</t>
        </is>
      </c>
      <c r="D629" s="7" t="inlineStr">
        <is>
          <t>“Doğumsal Brakiyal Pleksus Yaralanmalarında Önkol Cerrahi Sonrası Fonksiyonel Başarıyı Etkileyen Radyolojik Parametreler: Radius Anatomisinin Rolü”</t>
        </is>
      </c>
    </row>
    <row r="630" ht="47.25" customHeight="1" s="221">
      <c r="A630" s="5" t="inlineStr">
        <is>
          <t>559.</t>
        </is>
      </c>
      <c r="B630" s="6" t="inlineStr">
        <is>
          <t>SBA 25/630</t>
        </is>
      </c>
      <c r="C630" s="8" t="inlineStr">
        <is>
          <t>Prof. Dr. Sedat KİRAZ</t>
        </is>
      </c>
      <c r="D630" s="7" t="inlineStr">
        <is>
          <t>“Gerçek Yaşam Verileriyle Romatoid Artritli Hastalarda Hedefe Yönelik Tedavi Zamanlaması ve Diz-Kalça Protez Cerrahisi İlişkisi”</t>
        </is>
      </c>
    </row>
    <row r="631" ht="63" customHeight="1" s="221">
      <c r="A631" s="5" t="inlineStr">
        <is>
          <t>560.</t>
        </is>
      </c>
      <c r="B631" s="6" t="inlineStr">
        <is>
          <t>SBA 25/631</t>
        </is>
      </c>
      <c r="C631" s="8" t="inlineStr">
        <is>
          <t>Prof. Dr. Mustafa ARICI</t>
        </is>
      </c>
      <c r="D631" s="7" t="inlineStr">
        <is>
          <t>“Kronik Böbrek Hastalığı İlişkili Bilişsel Bozukluk Patofizyolojisinin Radyolojik, Biyokimyasal ve Metabolomik Biyobelirteçler Işığında Karşılaştırmalı Bir Sistem Biyolojisi Analizi”</t>
        </is>
      </c>
    </row>
    <row r="632" ht="47.25" customHeight="1" s="221">
      <c r="A632" s="5" t="inlineStr">
        <is>
          <t>561.</t>
        </is>
      </c>
      <c r="B632" s="6" t="inlineStr">
        <is>
          <t>SBA 25/632</t>
        </is>
      </c>
      <c r="C632" s="8" t="inlineStr">
        <is>
          <t>Doç. Dr. Hande GÖRÜCÜ COŞKUNER</t>
        </is>
      </c>
      <c r="D632" s="7" t="inlineStr">
        <is>
          <t>“Şeffaf Plak Tedavilerinde Kullanılan Ataşmanların Bağlanma ve Uzaklaştırılma Yöntemlerinin Diş Rengi Üzerine Etkileri”</t>
        </is>
      </c>
    </row>
    <row r="633" ht="47.25" customHeight="1" s="221">
      <c r="A633" s="5" t="inlineStr">
        <is>
          <t>562.</t>
        </is>
      </c>
      <c r="B633" s="6" t="inlineStr">
        <is>
          <t>SBA 25/633</t>
        </is>
      </c>
      <c r="C633" s="8" t="inlineStr">
        <is>
          <t>Doç. Dr. Gülşen TAŞDELEN</t>
        </is>
      </c>
      <c r="D633" s="7" t="inlineStr">
        <is>
          <t>“Ottawa Kriz Kaynak Yönetimi Küresel Değerlendirme Ölçeği ve Ottawa Kriz Kaynak Yönetimi Becerileri Kontrol Listesinin Türkçeye Uyarlanması”</t>
        </is>
      </c>
    </row>
    <row r="634" ht="31.5" customHeight="1" s="221">
      <c r="A634" s="5" t="inlineStr">
        <is>
          <t>563.</t>
        </is>
      </c>
      <c r="B634" s="6" t="inlineStr">
        <is>
          <t>SBA 25/634</t>
        </is>
      </c>
      <c r="C634" s="8" t="inlineStr">
        <is>
          <t>Prof. Dr. Gökhan METAN</t>
        </is>
      </c>
      <c r="D634" s="7" t="inlineStr">
        <is>
          <t>“Polimiksin Nefrotoksisitesi için Makine Öğrenme Tabanlı Prediktif Skor Geliştirilmesi”</t>
        </is>
      </c>
    </row>
    <row r="635" ht="31.5" customHeight="1" s="221">
      <c r="A635" s="5" t="inlineStr">
        <is>
          <t>564.</t>
        </is>
      </c>
      <c r="B635" s="6" t="inlineStr">
        <is>
          <t>SBA 25/635</t>
        </is>
      </c>
      <c r="C635" s="8" t="inlineStr">
        <is>
          <t>Prof. Dr. Tahir HAZIR</t>
        </is>
      </c>
      <c r="D635" s="7" t="inlineStr">
        <is>
          <t>“Antrenman Maskesi ile Uygulanan Dar Alan Oyunlarına Verilen İç ve Dış Yük Yanıtlar"</t>
        </is>
      </c>
    </row>
    <row r="636" ht="31.5" customHeight="1" s="221">
      <c r="A636" s="5" t="inlineStr">
        <is>
          <t>565.</t>
        </is>
      </c>
      <c r="B636" s="6" t="inlineStr">
        <is>
          <t>SBA 25/636</t>
        </is>
      </c>
      <c r="C636" s="8" t="inlineStr">
        <is>
          <t>Prof. Dr. Tahir HAZIR</t>
        </is>
      </c>
      <c r="D636" s="7" t="inlineStr">
        <is>
          <t>“Yorgunluğun Farklı Açısal Hızlarda Alt Ekstremite İzokinetik Kas Kuvvet Çıktıları Üzerine Etkisi”</t>
        </is>
      </c>
    </row>
    <row r="637" ht="63" customHeight="1" s="221">
      <c r="A637" s="5" t="inlineStr">
        <is>
          <t>566.</t>
        </is>
      </c>
      <c r="B637" s="6" t="inlineStr">
        <is>
          <t>SBA 25/637</t>
        </is>
      </c>
      <c r="C637" s="8" t="inlineStr">
        <is>
          <t>Doç. Dr. Oğuz Abdullah UYAROĞLU</t>
        </is>
      </c>
      <c r="D637" s="7" t="inlineStr">
        <is>
          <t>“İç Hastalıkları Servislerinde Yatan ve Eksizyonel Lenf Nodu Biyopsisi Yapılan Hastaların Klinik, Laboratuvar ve Radyolojik Görüntülemelerinin Tanı Süreci ile İlişkili Analizi ve Prediktörlerin Belirlenmesi”</t>
        </is>
      </c>
    </row>
    <row r="638" ht="31.5" customHeight="1" s="221">
      <c r="A638" s="5" t="inlineStr">
        <is>
          <t>567.</t>
        </is>
      </c>
      <c r="B638" s="6" t="inlineStr">
        <is>
          <t>SBA 25/638</t>
        </is>
      </c>
      <c r="C638" s="8" t="inlineStr">
        <is>
          <t>Öğr. Gör. Dr. Bahattin PASLI</t>
        </is>
      </c>
      <c r="D638" s="7" t="inlineStr">
        <is>
          <t>“Os Parietale Kalınlığının Bölgesel Değişkenliğinin Analizi ve Klinik Önemi”</t>
        </is>
      </c>
    </row>
    <row r="639" ht="47.25" customHeight="1" s="221">
      <c r="A639" s="5" t="inlineStr">
        <is>
          <t>568.</t>
        </is>
      </c>
      <c r="B639" s="6" t="inlineStr">
        <is>
          <t>SBA 25/639</t>
        </is>
      </c>
      <c r="C639" s="8" t="inlineStr">
        <is>
          <t>Dr. Öğr. Üyesi Burak Yasin AKTAŞ</t>
        </is>
      </c>
      <c r="D639" s="7" t="inlineStr">
        <is>
          <t>“Hacettepe Üniversitesi Hastanesinde Solid Tümörlü Kanser Hastalarının Tedaviye Ulaşmak İçin Geçirdikleri Sürenin ve Zaman Toksisitesinin Değerlendirilmesi”</t>
        </is>
      </c>
    </row>
    <row r="640" ht="47.25" customHeight="1" s="221">
      <c r="A640" s="5" t="inlineStr">
        <is>
          <t>569.</t>
        </is>
      </c>
      <c r="B640" s="6" t="inlineStr">
        <is>
          <t>SBA 25/640</t>
        </is>
      </c>
      <c r="C640" s="8" t="inlineStr">
        <is>
          <t>Prof. Dr. Aysun BALSEVEN ODABAŞI</t>
        </is>
      </c>
      <c r="D640" s="7" t="inlineStr">
        <is>
          <t>“İntihar Davranışı Ayrımı: Ası Vakalarında Proteomik Analiz ve İmmünflöresan İnceleme ile Nörobiyolojik Belirteç Belirlenmesi”</t>
        </is>
      </c>
    </row>
    <row r="641" ht="47.25" customHeight="1" s="221">
      <c r="A641" s="5" t="inlineStr">
        <is>
          <t>570.</t>
        </is>
      </c>
      <c r="B641" s="6" t="inlineStr">
        <is>
          <t>SBA 25/641</t>
        </is>
      </c>
      <c r="C641" s="8" t="inlineStr">
        <is>
          <t>Prof. Dr. Menemşe GÜMÜŞDERELİOĞLU</t>
        </is>
      </c>
      <c r="D641" s="7" t="inlineStr">
        <is>
          <t>“Hücresizleştirilmiş İnsan Amniyotik Membran Temelli Küçük Çaplı Vasküler Greft Geliştirilmesi ve Cerrahi Anastomoz Uygulamalarında Değerlendirilmesi”</t>
        </is>
      </c>
    </row>
    <row r="642" ht="47.25" customHeight="1" s="221">
      <c r="A642" s="5" t="inlineStr">
        <is>
          <t>571.</t>
        </is>
      </c>
      <c r="B642" s="6" t="inlineStr">
        <is>
          <t>SBA 25/642</t>
        </is>
      </c>
      <c r="C642" s="8" t="inlineStr">
        <is>
          <t>Prof. Dr. Hakan Hıfzı TÜZ</t>
        </is>
      </c>
      <c r="D642" s="7" t="inlineStr">
        <is>
          <t>“Farklı Elektrikli Testere Sistemlerinin Cerrahi Verimlilik, Termal Etki ve Kullanıcı Deneyimi Açısından Kemik Modelinde Karşılaştırılması”</t>
        </is>
      </c>
    </row>
    <row r="643" ht="47.25" customHeight="1" s="221">
      <c r="A643" s="5" t="inlineStr">
        <is>
          <t>572.</t>
        </is>
      </c>
      <c r="B643" s="6" t="inlineStr">
        <is>
          <t>SBA 25/643</t>
        </is>
      </c>
      <c r="C643" s="8" t="inlineStr">
        <is>
          <t>Prof. Dr. Fadime İrsel TEZER FİLİK</t>
        </is>
      </c>
      <c r="D643" s="7" t="inlineStr">
        <is>
          <t>“İlaca Dirençli Ekstratemporal Lob Epilepsisi Cerrahisi Geçiren Hastalarda Cerrahi Sonuçlar ve Prognozu Etkileyen Faktörlerin Retrospektif Analizi”</t>
        </is>
      </c>
    </row>
    <row r="644" ht="63" customHeight="1" s="221">
      <c r="A644" s="5" t="inlineStr">
        <is>
          <t>573.</t>
        </is>
      </c>
      <c r="B644" s="6" t="inlineStr">
        <is>
          <t>SBA 25/644</t>
        </is>
      </c>
      <c r="C644" s="8" t="inlineStr">
        <is>
          <t>Prof. Dr. Gıyasettin DEMİRHAN</t>
        </is>
      </c>
      <c r="D644" s="7" t="inlineStr">
        <is>
          <t>“Matematik ve Türkçe Derslerinde Kullanılan Fiziksel Aktivite Tabanlı Aktif ve Pasif Zihin Molalarının Akademik Başarı, Bilişsel İşlevler, Fiziksel Aktivite Düzeyi ve Sınıf İçi Davranışlar Üzerindeki Etkisi”</t>
        </is>
      </c>
    </row>
    <row r="645" ht="94.5" customHeight="1" s="221">
      <c r="A645" s="5" t="inlineStr">
        <is>
          <t>574.</t>
        </is>
      </c>
      <c r="B645" s="6" t="inlineStr">
        <is>
          <t>SBA 25/645</t>
        </is>
      </c>
      <c r="C645" s="8" t="inlineStr">
        <is>
          <t>Prof. Dr. Sevinç SARINÇ</t>
        </is>
      </c>
      <c r="D645" s="7" t="inlineStr">
        <is>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is>
      </c>
    </row>
    <row r="646" ht="47.25" customHeight="1" s="221">
      <c r="A646" s="5" t="inlineStr">
        <is>
          <t>575.</t>
        </is>
      </c>
      <c r="B646" s="6" t="inlineStr">
        <is>
          <t>SBA 25/646</t>
        </is>
      </c>
      <c r="C646" s="8" t="inlineStr">
        <is>
          <t>Prof. Dr. Halil Gökhan DEMİRKIRAN</t>
        </is>
      </c>
      <c r="D646" s="7" t="inlineStr">
        <is>
          <t>“Komplikasyonların Azaltılmasında Distraksiyon Tabanlı Büyüme Dostu Teknikler İçin Uygun Cerrahi Yaş”</t>
        </is>
      </c>
    </row>
    <row r="647" ht="63" customHeight="1" s="221">
      <c r="A647" s="5" t="inlineStr">
        <is>
          <t>576.</t>
        </is>
      </c>
      <c r="B647" s="6" t="inlineStr">
        <is>
          <t>SBA 25/647</t>
        </is>
      </c>
      <c r="C647" s="8" t="inlineStr">
        <is>
          <t>Prof. Dr. Halil Gökhan DEMİRKIRAN</t>
        </is>
      </c>
      <c r="D647" s="7" t="inlineStr">
        <is>
          <t>“Meningomiyesel ve Diğer Nöromusküler Erken Başlangıçlı Skolyozlarda Büyüyen Rod Tedavisini Tekiben Uygulanan Definitif Cerrahinin Klinik ve Radyolojik Sonuçlarının Karşılaştırılması”</t>
        </is>
      </c>
    </row>
    <row r="648">
      <c r="A648" s="5" t="inlineStr">
        <is>
          <t>577.</t>
        </is>
      </c>
      <c r="B648" s="6" t="inlineStr">
        <is>
          <t>SBA 25/648</t>
        </is>
      </c>
      <c r="C648" s="8" t="inlineStr">
        <is>
          <t>Doç. Dr. Utku AKGÖR</t>
        </is>
      </c>
      <c r="D648" s="7" t="inlineStr">
        <is>
          <t>“Vulva Kanseri ve HER-2 İlişkisi”</t>
        </is>
      </c>
    </row>
    <row r="649" ht="47.25" customHeight="1" s="221">
      <c r="A649" s="5" t="inlineStr">
        <is>
          <t>578.</t>
        </is>
      </c>
      <c r="B649" s="6" t="inlineStr">
        <is>
          <t>SBA 25/649</t>
        </is>
      </c>
      <c r="C649" s="8" t="inlineStr">
        <is>
          <t>Prof. Dr. Gökhan METAN</t>
        </is>
      </c>
      <c r="D649" s="7" t="inlineStr">
        <is>
          <t>“Artan Renal Klirensi Olan Hastalarda Meropenem Kan Düzeylerinin Retrospektif Olarak Değerlendirilmesi”</t>
        </is>
      </c>
    </row>
    <row r="650" ht="47.25" customHeight="1" s="221">
      <c r="A650" s="5" t="inlineStr">
        <is>
          <t>579.</t>
        </is>
      </c>
      <c r="B650" s="6" t="inlineStr">
        <is>
          <t>SBA 25/650</t>
        </is>
      </c>
      <c r="C650" s="8" t="inlineStr">
        <is>
          <t>Prof. Dr. Sercan AKSOY</t>
        </is>
      </c>
      <c r="D650" s="7" t="inlineStr">
        <is>
          <t>“Kanserli Hastalarda Serum Albumin-Kreatin Oranının Sağkalım ve Progresyonsu Sağkalım ile İlişkisinin Araştırılması”</t>
        </is>
      </c>
    </row>
    <row r="651" ht="47.25" customHeight="1" s="221">
      <c r="A651" s="5" t="inlineStr">
        <is>
          <t>580.</t>
        </is>
      </c>
      <c r="B651" s="6" t="inlineStr">
        <is>
          <t>SBA 25/651</t>
        </is>
      </c>
      <c r="C651" s="8" t="inlineStr">
        <is>
          <t>Doç. Dr. İrem KOÇ</t>
        </is>
      </c>
      <c r="D651" s="7" t="inlineStr">
        <is>
          <t>“Biyopsi ile Tanımlanmış Lakrimal Bez Patolojilerine Sahip Hastaların Demografik ve Klinik Özelliklerinin Belirlenmesi”</t>
        </is>
      </c>
    </row>
    <row r="652" ht="63" customHeight="1" s="221">
      <c r="A652" s="5" t="inlineStr">
        <is>
          <t>581.</t>
        </is>
      </c>
      <c r="B652" s="6" t="inlineStr">
        <is>
          <t>SBA 25/652</t>
        </is>
      </c>
      <c r="C652" s="8" t="inlineStr">
        <is>
          <t>Prof. Dr. Fadime İrsel TEZER FİLİK</t>
        </is>
      </c>
      <c r="D652" s="7" t="inlineStr">
        <is>
          <t>“REM Uyku Davranış Bozukluğunun Prodromal, İdiopatik ve Sekonder Alt Tiplerinde Klinik, Polisomnografik Özellikler ve Tedavi Yanıtlarının Karşılaştırılması”</t>
        </is>
      </c>
    </row>
    <row r="653" ht="63" customHeight="1" s="221">
      <c r="A653" s="5" t="inlineStr">
        <is>
          <t>582.</t>
        </is>
      </c>
      <c r="B653" s="6" t="inlineStr">
        <is>
          <t>SBA 25/653</t>
        </is>
      </c>
      <c r="C653" s="8" t="inlineStr">
        <is>
          <t>Prof. Dr. Fadime İrsel TEZER FİLİK</t>
        </is>
      </c>
      <c r="D653" s="7" t="inlineStr">
        <is>
          <t>“Hipokampal Sklerozlu Mezial Temporal Lob Epilepsisinde Skalp EEG’de İktal Yayılım Özelliklerinin Cerrahi Sonrası Prognozu Öngörmede Rolü: Retrospektif Bir Analiz”</t>
        </is>
      </c>
    </row>
    <row r="654" ht="47.25" customHeight="1" s="221">
      <c r="A654" s="5" t="inlineStr">
        <is>
          <t>583.</t>
        </is>
      </c>
      <c r="B654" s="6" t="inlineStr">
        <is>
          <t>SBA 25/654</t>
        </is>
      </c>
      <c r="C654" s="8" t="inlineStr">
        <is>
          <t>Prof. Dr. Elmas Ebru YALÇIN</t>
        </is>
      </c>
      <c r="D654" s="7" t="inlineStr">
        <is>
          <t>“Kronik Çok İlaca Dirençli Pseudomonas Aeruginosa Enfeksiyonu Olan Kistik Fibrozisli Çocuk Hastalarımızın Retrospektif Değerlendirilmesi</t>
        </is>
      </c>
    </row>
    <row r="655" ht="47.25" customHeight="1" s="221">
      <c r="A655" s="5" t="inlineStr">
        <is>
          <t>584.</t>
        </is>
      </c>
      <c r="B655" s="6" t="inlineStr">
        <is>
          <t>SBA 25/655</t>
        </is>
      </c>
      <c r="C655" s="8" t="inlineStr">
        <is>
          <t>Prof. Dr. Elmas Ebru YALÇIN</t>
        </is>
      </c>
      <c r="D655" s="7" t="inlineStr">
        <is>
          <t>“Hemoptizi Sebebiyle Fleksible Fiberoptik Bronkoskopi Yaptiğimiz Çocuk Hastalarımızın Retrospektif Değerlendirilmesi”</t>
        </is>
      </c>
    </row>
    <row r="656" ht="31.5" customHeight="1" s="221">
      <c r="A656" s="5" t="inlineStr">
        <is>
          <t>585.</t>
        </is>
      </c>
      <c r="B656" s="6" t="inlineStr">
        <is>
          <t>SBA 25/656</t>
        </is>
      </c>
      <c r="C656" s="8" t="inlineStr">
        <is>
          <t>Doç. Dr. Elif Günay BULUT</t>
        </is>
      </c>
      <c r="D656" s="7" t="inlineStr">
        <is>
          <t>“Pediyatrik Orbital Rabdomyosarkomun Görüntüleme Bulguları”</t>
        </is>
      </c>
    </row>
    <row r="657" ht="47.25" customHeight="1" s="221">
      <c r="A657" s="5" t="inlineStr">
        <is>
          <t>586.</t>
        </is>
      </c>
      <c r="B657" s="6" t="inlineStr">
        <is>
          <t>SBA 25/657</t>
        </is>
      </c>
      <c r="C657" s="8" t="inlineStr">
        <is>
          <t>Prof. Dr. Hakan Hıfzı TÜZ</t>
        </is>
      </c>
      <c r="D657" s="7" t="inlineStr">
        <is>
          <t>“Sanal Cerrahi Planlamanın Kişiye Özel Plak ve Geleneksel Miniplak Fiksasyonu Yapılmış Hastalardaki Doğruluğunun İncelenmesi”</t>
        </is>
      </c>
    </row>
    <row r="658" ht="63" customHeight="1" s="221">
      <c r="A658" s="5" t="inlineStr">
        <is>
          <t>587.</t>
        </is>
      </c>
      <c r="B658" s="6" t="inlineStr">
        <is>
          <t>SBA 25/658</t>
        </is>
      </c>
      <c r="C658" s="8" t="inlineStr">
        <is>
          <t>Doç. Dr. Ece MERAL</t>
        </is>
      </c>
      <c r="D658" s="7" t="inlineStr">
        <is>
          <t>“.Huzurevinde Yaşayan Yaşlı Bireylerin Ağız Sağlığı Durumu ile Bakımevi Personelinin Ağız Sağlığına Yönelik Bilgi Düzeyi Arasındaki İlişkinin Değerlendirilmesi.”</t>
        </is>
      </c>
    </row>
    <row r="659" ht="47.25" customHeight="1" s="221">
      <c r="A659" s="5" t="inlineStr">
        <is>
          <t>588.</t>
        </is>
      </c>
      <c r="B659" s="6" t="inlineStr">
        <is>
          <t>SBA 25/659</t>
        </is>
      </c>
      <c r="C659" s="8" t="inlineStr">
        <is>
          <t>Prof. Dr. Neşe DERİCİOĞLU</t>
        </is>
      </c>
      <c r="D659" s="7" t="inlineStr">
        <is>
          <t>“İdiyopatik Jeneralize Epilepside Klinik ve Tanısal Özelliklerin Saptanması ve Tedavi Sonuçlarıyla İlişkisinin Retrospektif Olarak Değerlendirilmesi”</t>
        </is>
      </c>
    </row>
    <row r="660" ht="31.5" customHeight="1" s="221">
      <c r="A660" s="5" t="inlineStr">
        <is>
          <t>589.</t>
        </is>
      </c>
      <c r="B660" s="6" t="inlineStr">
        <is>
          <t>SBA 25/660</t>
        </is>
      </c>
      <c r="C660" s="8" t="inlineStr">
        <is>
          <t>Prof. Dr. Fahriye Duygu ÇETİNKAYA</t>
        </is>
      </c>
      <c r="D660" s="7" t="inlineStr">
        <is>
          <t>“Çevresel Sensör Reseptör Uyarımı ile Koşullandırılmış İnflamasyon Baskılayıcı”</t>
        </is>
      </c>
    </row>
    <row r="661" ht="47.25" customHeight="1" s="221">
      <c r="A661" s="5" t="inlineStr">
        <is>
          <t>590.</t>
        </is>
      </c>
      <c r="B661" s="6" t="inlineStr">
        <is>
          <t>SBA 25/661</t>
        </is>
      </c>
      <c r="C661" s="8" t="inlineStr">
        <is>
          <t>Prof. Dr. Nüket PAKSOY ERBAYDAR</t>
        </is>
      </c>
      <c r="D661" s="7" t="inlineStr">
        <is>
          <t>“Evre 3 ve 4 Kronik Böbrek Hastalarında Hastalık Farkındalık Ölçeği Geliştirilmesi: Ekolojik Model Temelli Bir Yaklaşım”</t>
        </is>
      </c>
    </row>
    <row r="662" ht="31.5" customHeight="1" s="221">
      <c r="A662" s="5" t="inlineStr">
        <is>
          <t>591.</t>
        </is>
      </c>
      <c r="B662" s="6" t="inlineStr">
        <is>
          <t>SBA 25/662</t>
        </is>
      </c>
      <c r="C662" s="8" t="inlineStr">
        <is>
          <t>Prof. Dr. Şuayip YALÇIN</t>
        </is>
      </c>
      <c r="D662" s="7" t="inlineStr">
        <is>
          <t>“Kolorektal Kanserli Hastaların Klinopatolojik Özellikleri”</t>
        </is>
      </c>
    </row>
    <row r="663" ht="31.5" customHeight="1" s="221">
      <c r="A663" s="5" t="inlineStr">
        <is>
          <t>592.</t>
        </is>
      </c>
      <c r="B663" s="6" t="inlineStr">
        <is>
          <t>SBA 25/663</t>
        </is>
      </c>
      <c r="C663" s="8" t="inlineStr">
        <is>
          <t>Prof. Dr. Deniz DOĞRU ERSÖZ</t>
        </is>
      </c>
      <c r="D663" s="7" t="inlineStr">
        <is>
          <t>“Kronik Granülomatoz Hastalık Tanılı Çocukların Akciğer Bulgularının Değerlendirilmesi”</t>
        </is>
      </c>
    </row>
    <row r="664" ht="47.25" customHeight="1" s="221">
      <c r="A664" s="5" t="inlineStr">
        <is>
          <t>593.</t>
        </is>
      </c>
      <c r="B664" s="6" t="inlineStr">
        <is>
          <t>SBA 25/664</t>
        </is>
      </c>
      <c r="C664" s="8" t="inlineStr">
        <is>
          <t>Doç. Dr. Duygu AYHAN BAŞER</t>
        </is>
      </c>
      <c r="D664" s="7" t="inlineStr">
        <is>
          <t>“Diyabet Tarama Test İstemlerinin Kanıta Dayalı Eğitim Müdahaleleri ile Rasyonel Kullanımının Arttırılması: Kalite Geliştirme Çalışması”</t>
        </is>
      </c>
    </row>
    <row r="665" ht="31.5" customHeight="1" s="221">
      <c r="A665" s="5" t="inlineStr">
        <is>
          <t>594.</t>
        </is>
      </c>
      <c r="B665" s="6" t="inlineStr">
        <is>
          <t>SBA 25/665</t>
        </is>
      </c>
      <c r="C665" s="8" t="inlineStr">
        <is>
          <t>Prof. Dr. Salih Kutay DEMİRKAN</t>
        </is>
      </c>
      <c r="D665" s="7" t="inlineStr">
        <is>
          <t>“Eczacılıkta Uzmanlık Sınavı Başarısı Açısından Yapay Zeka Tabanlı Büyük Dil Modellerinin Karşılaştırması”</t>
        </is>
      </c>
    </row>
    <row r="666" ht="47.25" customHeight="1" s="221">
      <c r="A666" s="5" t="inlineStr">
        <is>
          <t>595.</t>
        </is>
      </c>
      <c r="B666" s="6" t="inlineStr">
        <is>
          <t>SBA 25/666</t>
        </is>
      </c>
      <c r="C666" s="8" t="inlineStr">
        <is>
          <t>Prof. Dr. Burçin ŞENER</t>
        </is>
      </c>
      <c r="D666" s="7" t="inlineStr">
        <is>
          <t>“HIV ile Yaşayan Kişilerde HIV Viral Yükün ve İmmünolojik Parametrelerin Quantiferon-TB Gold Plus Testi Sonucuna Etkisi”</t>
        </is>
      </c>
    </row>
    <row r="667" ht="47.25" customHeight="1" s="221">
      <c r="A667" s="5" t="inlineStr">
        <is>
          <t>596.</t>
        </is>
      </c>
      <c r="B667" s="6" t="inlineStr">
        <is>
          <t>SBA 25/667</t>
        </is>
      </c>
      <c r="C667" s="8" t="inlineStr">
        <is>
          <t>Dr. Öğr. Üyesi Hatice Yağmur ZENGİN</t>
        </is>
      </c>
      <c r="D667" s="7" t="inlineStr">
        <is>
          <t>“40 Yaş ve Üstü HIV Pozitif Bireylerde Kırılganlık Riskinin Tahmini ve Dijital Risk Değerlendirmede Web R Shiny Uygulaması”</t>
        </is>
      </c>
    </row>
    <row r="668" ht="63" customHeight="1" s="221">
      <c r="A668" s="5" t="inlineStr">
        <is>
          <t>597.</t>
        </is>
      </c>
      <c r="B668" s="6" t="inlineStr">
        <is>
          <t>SBA 25/668</t>
        </is>
      </c>
      <c r="C668" s="8" t="inlineStr">
        <is>
          <t>Prof. Dr. Özge UYSAL SOYER</t>
        </is>
      </c>
      <c r="D668" s="7" t="inlineStr">
        <is>
          <t>“İmmunoglobulin-E Aracılı Besin Alerjisi Tanılı Hastalarda Besin Yükleme Testinde Pozitif Reaksiyon Gelişen Eşik Değeri Öngörmek Amacıyla Kullanılabilecek Faktörlerin Belirlenmesi”</t>
        </is>
      </c>
    </row>
    <row r="669" ht="31.5" customHeight="1" s="221">
      <c r="A669" s="5" t="inlineStr">
        <is>
          <t>598.</t>
        </is>
      </c>
      <c r="B669" s="6" t="inlineStr">
        <is>
          <t>SBA 25/669</t>
        </is>
      </c>
      <c r="C669" s="8" t="inlineStr">
        <is>
          <t>Prof. Dr. Özge UYSAL SOYER</t>
        </is>
      </c>
      <c r="D669" s="7" t="inlineStr">
        <is>
          <t>“Balık İlişkili Besin Proteininin İndüklediği Enterokolit Sendromunda İlk Provakasyon Zamanının Belirlenmesi”</t>
        </is>
      </c>
    </row>
    <row r="670" ht="31.5" customHeight="1" s="221">
      <c r="A670" s="5" t="inlineStr">
        <is>
          <t>599.</t>
        </is>
      </c>
      <c r="B670" s="6" t="inlineStr">
        <is>
          <t>SBA 25/670</t>
        </is>
      </c>
      <c r="C670" s="8" t="inlineStr">
        <is>
          <t>Öğr. Gör. Dr. Ahmet Onur DAŞTAN</t>
        </is>
      </c>
      <c r="D670" s="7" t="inlineStr">
        <is>
          <t>“L-Sitrülin Malat Takviyesinin Dövüş Sporcularında Aerobik Egzersiz Performansı Üzerine Etkisi”</t>
        </is>
      </c>
    </row>
    <row r="671" ht="31.5" customHeight="1" s="221">
      <c r="A671" s="5" t="inlineStr">
        <is>
          <t>600.</t>
        </is>
      </c>
      <c r="B671" s="6" t="inlineStr">
        <is>
          <t>SBA 25/671</t>
        </is>
      </c>
      <c r="C671" s="8" t="inlineStr">
        <is>
          <t>Dr. Öğr. Üyesi Gizem ÜREL DEMİR</t>
        </is>
      </c>
      <c r="D671" s="7" t="inlineStr">
        <is>
          <t>“Fibrodisplazi Ossifikans Progressiva Tanılı Hastaların Klinik ve Moleküler Özelliklerinin Gözden Geçirilmesi”</t>
        </is>
      </c>
    </row>
    <row r="672" ht="63" customHeight="1" s="221">
      <c r="A672" s="5" t="inlineStr">
        <is>
          <t>601.</t>
        </is>
      </c>
      <c r="B672" s="6" t="inlineStr">
        <is>
          <t>SBA 25/672</t>
        </is>
      </c>
      <c r="C672" s="8" t="inlineStr">
        <is>
          <t>Prof. Dr. Aygin EKİNCİOĞLU</t>
        </is>
      </c>
      <c r="D672" s="7" t="inlineStr">
        <is>
          <t>“İmmün Kontrol Noktası İnhibitörü Alan Kanser Hastalarında Vücut Kompozisyonu, Psikososyal Faktörler ve İlaç İlişkili Sorunların Klinik Seyirle İlişkisinin Değerlendirilmesi”</t>
        </is>
      </c>
    </row>
    <row r="673" ht="47.25" customHeight="1" s="221">
      <c r="A673" s="5" t="inlineStr">
        <is>
          <t>602.</t>
        </is>
      </c>
      <c r="B673" s="6" t="inlineStr">
        <is>
          <t>SBA 25/673</t>
        </is>
      </c>
      <c r="C673" s="8" t="inlineStr">
        <is>
          <t>Prof. Dr. Fahriye Duygu ÇETİNKAYA</t>
        </is>
      </c>
      <c r="D673" s="7" t="inlineStr">
        <is>
          <t>“Oral Bakteri Kaynaklı Ekstraselüler Veziküllerin İnsan Mikroçevre Hücreleri Üzerindeki Etkilerinin Araştırılması”</t>
        </is>
      </c>
    </row>
    <row r="674" ht="63" customHeight="1" s="221">
      <c r="A674" s="5" t="inlineStr">
        <is>
          <t>603.</t>
        </is>
      </c>
      <c r="B674" s="6" t="inlineStr">
        <is>
          <t>SBA 25/674</t>
        </is>
      </c>
      <c r="C674" s="8" t="inlineStr">
        <is>
          <t>Prof. Dr. Fatma Gökçem YILDIZ SARIKAYA</t>
        </is>
      </c>
      <c r="D674" s="7" t="inlineStr">
        <is>
          <t>“Amyotrofik Lateral Skleroz Hastalarında trapez Kasına Uygulanan Repetetif Sinir Stimülasyonunun Tanısal Değerlendirilmesi: Kontrollü Prospektif Bir Çalışma”</t>
        </is>
      </c>
    </row>
    <row r="675" ht="63" customHeight="1" s="221">
      <c r="A675" s="5" t="inlineStr">
        <is>
          <t>604.</t>
        </is>
      </c>
      <c r="B675" s="6" t="inlineStr">
        <is>
          <t>SBA 25/675</t>
        </is>
      </c>
      <c r="C675" s="8" t="inlineStr">
        <is>
          <t>Prof. Dr. Fatma Gökçem YILDIZ SARIKAYA</t>
        </is>
      </c>
      <c r="D675" s="7" t="inlineStr">
        <is>
          <t>“SOD1 Mutasyonu Taşıyan Amyotrofik Lateral Skleroz Hastalarında Kalp Hızı Değişkenliği ve Sempatik Deri Yanıtı ile Otonomik Disfonksiyonun Değerlendirilmesi”</t>
        </is>
      </c>
    </row>
    <row r="676" ht="47.25" customHeight="1" s="221">
      <c r="A676" s="5" t="inlineStr">
        <is>
          <t>605.</t>
        </is>
      </c>
      <c r="B676" s="6" t="inlineStr">
        <is>
          <t>SBA 25/676</t>
        </is>
      </c>
      <c r="C676" s="8" t="inlineStr">
        <is>
          <t>Prof. Dr. Bülent Enis ŞEKEREL</t>
        </is>
      </c>
      <c r="D676" s="7" t="inlineStr">
        <is>
          <t>“Susam Alerjisi Olan Çocuklarda Oral İmmünoterapi ve Besinden Kaçınma Yaklaşımlarının Yaşam Kalitesi Üzerine Etkileri”</t>
        </is>
      </c>
    </row>
    <row r="677" ht="31.5" customHeight="1" s="221">
      <c r="A677" s="5" t="inlineStr">
        <is>
          <t>606.</t>
        </is>
      </c>
      <c r="B677" s="6" t="inlineStr">
        <is>
          <t>SBA 25/677</t>
        </is>
      </c>
      <c r="C677" s="8" t="inlineStr">
        <is>
          <t>Doç. Dr. Naşide MANGIR BOLAT</t>
        </is>
      </c>
      <c r="D677" s="7" t="inlineStr">
        <is>
          <t>“İdrar Kaçıran Kadınlarda Yapay Zeka Yardımlı Görüntüleme Analizi ile Tanı Süreçlerinin Geliştirilmesi”</t>
        </is>
      </c>
    </row>
    <row r="678" ht="31.5" customHeight="1" s="221">
      <c r="A678" s="5" t="inlineStr">
        <is>
          <t>607.</t>
        </is>
      </c>
      <c r="B678" s="6" t="inlineStr">
        <is>
          <t>SBA 25/678</t>
        </is>
      </c>
      <c r="C678" s="8" t="inlineStr">
        <is>
          <t>Prof. Dr. Özge UYSAL SOYER</t>
        </is>
      </c>
      <c r="D678" s="7" t="inlineStr">
        <is>
          <t>“Astım Tanılı Çocuklarda Tedavi Edilebilir Özelliklerin İncelenmesi”</t>
        </is>
      </c>
    </row>
    <row r="679" ht="47.25" customHeight="1" s="221">
      <c r="A679" s="5" t="inlineStr">
        <is>
          <t>608.</t>
        </is>
      </c>
      <c r="B679" s="6" t="inlineStr">
        <is>
          <t>SBA 25/679</t>
        </is>
      </c>
      <c r="C679" s="8" t="inlineStr">
        <is>
          <t>Prof. Dr. Şükran Nazan KOŞAR</t>
        </is>
      </c>
      <c r="D679" s="7" t="inlineStr">
        <is>
          <t>“Sedanter Davranışın Farklı Şiddette Egzersizlerle Kesintiye Uğratılmasının Postprandiyal Kardiyometabolik Etkileri”</t>
        </is>
      </c>
    </row>
    <row r="680" ht="31.5" customHeight="1" s="221">
      <c r="A680" s="5" t="inlineStr">
        <is>
          <t>609.</t>
        </is>
      </c>
      <c r="B680" s="6" t="inlineStr">
        <is>
          <t>SBA 25/680</t>
        </is>
      </c>
      <c r="C680" s="8" t="inlineStr">
        <is>
          <t>Prof. Dr. Okan Bülent YILDIZ</t>
        </is>
      </c>
      <c r="D680" s="7" t="inlineStr">
        <is>
          <t>“Polikistik Over Sendromu Tanılı Hastaların Endokrinolojik İzlemi ve Veri Tabanı Oluşturulması”</t>
        </is>
      </c>
    </row>
    <row r="681" ht="47.25" customHeight="1" s="221">
      <c r="A681" s="5" t="inlineStr">
        <is>
          <t>610.</t>
        </is>
      </c>
      <c r="B681" s="6" t="inlineStr">
        <is>
          <t>SBA 25/681</t>
        </is>
      </c>
      <c r="C681" s="8" t="inlineStr">
        <is>
          <t>Doç. Dr. Hilal SUSAM ŞEN</t>
        </is>
      </c>
      <c r="D681" s="7" t="inlineStr">
        <is>
          <t>"Nörofibromatozis Tip1 İlişkili Pleksiform Nörofibromlarda Selümetinib Kullanımı: Hacettepe Deneyimi”</t>
        </is>
      </c>
    </row>
    <row r="682" ht="31.5" customHeight="1" s="221">
      <c r="A682" s="5" t="inlineStr">
        <is>
          <t>611.</t>
        </is>
      </c>
      <c r="B682" s="6" t="inlineStr">
        <is>
          <t>SBA 25/682</t>
        </is>
      </c>
      <c r="C682" s="8" t="inlineStr">
        <is>
          <t>Dr. Öğr. Üyesi Gökhan AYIK</t>
        </is>
      </c>
      <c r="D682" s="7" t="inlineStr">
        <is>
          <t>“Proksimal Tibia İntraartiküler Kırıklarının Retrospektif Analizi ve Tedavi Sonuçları”</t>
        </is>
      </c>
    </row>
    <row r="683" ht="31.5" customHeight="1" s="221">
      <c r="A683" s="5" t="inlineStr">
        <is>
          <t>612.</t>
        </is>
      </c>
      <c r="B683" s="6" t="inlineStr">
        <is>
          <t>SBA 25/683</t>
        </is>
      </c>
      <c r="C683" s="8" t="inlineStr">
        <is>
          <t>Prof. Dr. Ömer Alper GÜRLEK</t>
        </is>
      </c>
      <c r="D683" s="7" t="inlineStr">
        <is>
          <t>“Graves Hastalarında Beslenme Alışkanlıkları ve Vücut Kompozisyonunun İncelenmesi”</t>
        </is>
      </c>
    </row>
    <row r="684" ht="31.5" customHeight="1" s="221">
      <c r="A684" s="5" t="inlineStr">
        <is>
          <t>613.</t>
        </is>
      </c>
      <c r="B684" s="6" t="inlineStr">
        <is>
          <t>SBA 25/684</t>
        </is>
      </c>
      <c r="C684" s="8" t="inlineStr">
        <is>
          <t>Doç. Dr. Saliha ESENBOĞA</t>
        </is>
      </c>
      <c r="D684" s="7" t="inlineStr">
        <is>
          <t>“Sekonder İmmün Yetmezlik İçin Farkındalığın Değerlendirilmesi: Pediatri ve İmmünoloji Perspektifi”</t>
        </is>
      </c>
    </row>
    <row r="685" ht="31.5" customHeight="1" s="221">
      <c r="A685" s="5" t="inlineStr">
        <is>
          <t>614.</t>
        </is>
      </c>
      <c r="B685" s="6" t="inlineStr">
        <is>
          <t>SBA 25/685</t>
        </is>
      </c>
      <c r="C685" s="8" t="inlineStr">
        <is>
          <t>Doç. Dr. Hayrettin Hakan AYKAN</t>
        </is>
      </c>
      <c r="D685" s="7" t="inlineStr">
        <is>
          <t>“ALPACA Tanısı İle İzlenen Hastaların Değerlendirilmesi”</t>
        </is>
      </c>
    </row>
    <row r="686" ht="31.5" customHeight="1" s="221">
      <c r="A686" s="5" t="inlineStr">
        <is>
          <t>615.</t>
        </is>
      </c>
      <c r="B686" s="6" t="inlineStr">
        <is>
          <t>SBA 25/686</t>
        </is>
      </c>
      <c r="C686" s="8" t="inlineStr">
        <is>
          <t>Doç. Dr. Hande GÖRÜCÜ COŞKUNER</t>
        </is>
      </c>
      <c r="D686" s="7" t="inlineStr">
        <is>
          <t>“Şeffaf Plak Kompozit Ataşmanlarının Renk Stabilitesi ve Diş Rengi Üzerine Etkileri”</t>
        </is>
      </c>
    </row>
    <row r="687" ht="47.25" customHeight="1" s="221">
      <c r="A687" s="5" t="inlineStr">
        <is>
          <t>616.</t>
        </is>
      </c>
      <c r="B687" s="6" t="inlineStr">
        <is>
          <t>SBA 25/687</t>
        </is>
      </c>
      <c r="C687" s="8" t="inlineStr">
        <is>
          <t>Dr. Öğr. Üyesi Yiğitcan KARANFİL</t>
        </is>
      </c>
      <c r="D687" s="7" t="inlineStr">
        <is>
          <t>“Hacettepe Üniversitesi Hastanesi Ameliyathanesinde Çalışan Cerrahlarda Kas İskelet Sistemi Problemlerinin Tespiti"</t>
        </is>
      </c>
    </row>
    <row r="688" ht="47.25" customHeight="1" s="221">
      <c r="A688" s="5" t="inlineStr">
        <is>
          <t>617.</t>
        </is>
      </c>
      <c r="B688" s="6" t="inlineStr">
        <is>
          <t>SBA 25/688</t>
        </is>
      </c>
      <c r="C688" s="8" t="inlineStr">
        <is>
          <t>Prof. Dr. Deniz ÇAĞDAŞ AYVAZ</t>
        </is>
      </c>
      <c r="D688" s="7" t="inlineStr">
        <is>
          <t>“Eozinofilik Gastrointestinal Hastalık Tanısı Alan Primer İmmün Yetmezlikli Hastaların Klinik ve Laboratuvar Özelliklerinin Değerlendirilmesi”</t>
        </is>
      </c>
    </row>
    <row r="689" ht="47.25" customHeight="1" s="221">
      <c r="A689" s="5" t="inlineStr">
        <is>
          <t>618.</t>
        </is>
      </c>
      <c r="B689" s="6" t="inlineStr">
        <is>
          <t>SBA 25/689</t>
        </is>
      </c>
      <c r="C689" s="8" t="inlineStr">
        <is>
          <t>Uzm. Dt. Tülin TAŞDEMİR</t>
        </is>
      </c>
      <c r="D689" s="7" t="inlineStr">
        <is>
          <t>“Süt Azı Dişlerinde Fizyolojik ve Patolojik Rezorpsiyonun Derin Öğrenme ile Otomatik Sınıflandırılması”</t>
        </is>
      </c>
    </row>
    <row r="690" ht="63" customHeight="1" s="221">
      <c r="A690" s="5" t="inlineStr">
        <is>
          <t>619.</t>
        </is>
      </c>
      <c r="B690" s="6" t="inlineStr">
        <is>
          <t>SBA 25/690</t>
        </is>
      </c>
      <c r="C690" s="8" t="inlineStr">
        <is>
          <t>Prof. Dr. Özgür UĞURLUOĞLU</t>
        </is>
      </c>
      <c r="D690" s="7" t="inlineStr">
        <is>
          <t>“Tip 2 Diyabet Hastalarında Karar Verme Çatışması, Kronik Hastalık Bakım Değerlendirmesi, Diyabet Distresi ve Tedaviye Uyum Arasındaki İlişkilerin Değrlendirilmesi”</t>
        </is>
      </c>
    </row>
    <row r="691" ht="47.25" customHeight="1" s="221">
      <c r="A691" s="5" t="inlineStr">
        <is>
          <t>620.</t>
        </is>
      </c>
      <c r="B691" s="6" t="inlineStr">
        <is>
          <t>SBA 25/691</t>
        </is>
      </c>
      <c r="C691" s="8" t="inlineStr">
        <is>
          <t>Dr. Öğr. Üyesi Onur KOÇ</t>
        </is>
      </c>
      <c r="D691" s="7" t="inlineStr">
        <is>
          <t>“LeFort 1 Cerrahisinde Maksillaya Yaptırılan Çeşitli Hareketlerin Dudak ve Burun Estetik Bölgelerindeki Etkilerinin İncelenmesi”</t>
        </is>
      </c>
    </row>
    <row r="692" ht="47.25" customHeight="1" s="221">
      <c r="A692" s="5" t="inlineStr">
        <is>
          <t>621.</t>
        </is>
      </c>
      <c r="B692" s="6" t="inlineStr">
        <is>
          <t>SBA 25/692</t>
        </is>
      </c>
      <c r="C692" s="8" t="inlineStr">
        <is>
          <t>Prof. Dr. Deniz ÇAĞDAŞ AYVAZ</t>
        </is>
      </c>
      <c r="D692" s="7" t="inlineStr">
        <is>
          <t>“Primer İmmün Yetmezlik Tanısı ile İzlenen Hastalarda Karaciğerde Gelişebilen Fokal Nodüler Hiperplazi Lezyonlarmin Değerlendirilmesi ”</t>
        </is>
      </c>
    </row>
    <row r="693" ht="63" customHeight="1" s="221">
      <c r="A693" s="5" t="inlineStr">
        <is>
          <t>622.</t>
        </is>
      </c>
      <c r="B693" s="6" t="inlineStr">
        <is>
          <t>SBA 25/693</t>
        </is>
      </c>
      <c r="C693" s="8" t="inlineStr">
        <is>
          <t>Prof. Dr. Müzeyyen Pınar ÖZGEN KIRATLI</t>
        </is>
      </c>
      <c r="D693" s="7" t="inlineStr">
        <is>
          <t>“Kronik Tromboembolik Pulmoner Hipertansiyonun Tanisonda ve Tedavi Yanıtı Değerlendirmesinde Akciğer Ventilasyon/Perfüzyon Sintigrafisinin Prognostik Gücü”</t>
        </is>
      </c>
    </row>
    <row r="694" ht="47.25" customHeight="1" s="221">
      <c r="A694" s="5" t="inlineStr">
        <is>
          <t>623.</t>
        </is>
      </c>
      <c r="B694" s="6" t="inlineStr">
        <is>
          <t>SBA 25/694</t>
        </is>
      </c>
      <c r="C694" s="8" t="inlineStr">
        <is>
          <t>Prof. Dr. Levent SENNAROĞLU</t>
        </is>
      </c>
      <c r="D694" s="7" t="inlineStr">
        <is>
          <t>“Axial ve Koronal Düzlemde Koklear Apertür Ölçümlerinin İnternal Akustik Kanal ve Koklear Sinir ile İlişkisi”</t>
        </is>
      </c>
    </row>
    <row r="695" ht="47.25" customHeight="1" s="221">
      <c r="A695" s="5" t="inlineStr">
        <is>
          <t>624.</t>
        </is>
      </c>
      <c r="B695" s="6" t="inlineStr">
        <is>
          <t>SBA 25/695</t>
        </is>
      </c>
      <c r="C695" s="8" t="inlineStr">
        <is>
          <t>Doç. Dr. Duygu AYHAN BAŞER</t>
        </is>
      </c>
      <c r="D695" s="7" t="inlineStr">
        <is>
          <t>“Sigara Kullanan Erişkinlerin Sigaraya Ayırdıkları Bütçeye Dair Farkındalıklarının Sigara Bırakma Motivasyonlarıyla İlişkisi”</t>
        </is>
      </c>
    </row>
    <row r="696" ht="63" customHeight="1" s="221">
      <c r="A696" s="5" t="inlineStr">
        <is>
          <t>625.</t>
        </is>
      </c>
      <c r="B696" s="6" t="inlineStr">
        <is>
          <t>SBA 25/696</t>
        </is>
      </c>
      <c r="C696" s="8" t="inlineStr">
        <is>
          <t>Dr. Öğr. Üyesi Hatice BOYACIOĞLU ERDEN</t>
        </is>
      </c>
      <c r="D696" s="7" t="inlineStr">
        <is>
          <t>“Çene Kemiklerinde Multipl Miyeloma Bağlı Mikroyapısal Bozulmaların Kantitatif Analizi: Fraktal, Lakünerite ve Entropi Parametrelerinin Karşılaştırmalı İncelemesi”</t>
        </is>
      </c>
    </row>
    <row r="697" ht="63" customHeight="1" s="221">
      <c r="A697" s="5" t="inlineStr">
        <is>
          <t>626.</t>
        </is>
      </c>
      <c r="B697" s="6" t="inlineStr">
        <is>
          <t>SBA 25/697</t>
        </is>
      </c>
      <c r="C697" s="8" t="inlineStr">
        <is>
          <t>Doç. Dr. Erdal SAĞ</t>
        </is>
      </c>
      <c r="D697" s="7" t="inlineStr">
        <is>
          <t>"Ailesel Akdeniz Ateşi’nde MEFV Genotipine Göre Klinik Özelliklerin Karşılaştırılması: Homozigot, Heterozigot ve Klinik Önemi Bilinmeyen Varyant Taşıyıcıları"</t>
        </is>
      </c>
    </row>
    <row r="698" ht="47.25" customHeight="1" s="221">
      <c r="A698" s="5" t="inlineStr">
        <is>
          <t>627.</t>
        </is>
      </c>
      <c r="B698" s="6" t="inlineStr">
        <is>
          <t>SBA 25/698</t>
        </is>
      </c>
      <c r="C698" s="8" t="inlineStr">
        <is>
          <t>Doç. Dr. Erdal SAĞ</t>
        </is>
      </c>
      <c r="D698" s="7" t="inlineStr">
        <is>
          <t>"Çocukluk Çağı Kronik Non-Bakteriyel Osteomiyelit Hastalarında Tedaviye Yanıtlar ve Relapsı Öngören Faktörler"</t>
        </is>
      </c>
    </row>
    <row r="699" ht="47.25" customHeight="1" s="221">
      <c r="A699" s="5" t="inlineStr">
        <is>
          <t>628.</t>
        </is>
      </c>
      <c r="B699" s="6" t="inlineStr">
        <is>
          <t>SBA 25/699</t>
        </is>
      </c>
      <c r="C699" s="8" t="inlineStr">
        <is>
          <t>Prof. Dr. Uğur BAYSAL</t>
        </is>
      </c>
      <c r="D699" s="7" t="inlineStr">
        <is>
          <t>“Tablet Tabanlı Mikroperimetri ile Yaşa Bağlı Makula Dejenerasyonunda Görme Keskinliği Değişiminin Ev Ortamında Saptanması”</t>
        </is>
      </c>
    </row>
    <row r="700" ht="31.5" customHeight="1" s="221">
      <c r="A700" s="5" t="inlineStr">
        <is>
          <t>629.</t>
        </is>
      </c>
      <c r="B700" s="6" t="inlineStr">
        <is>
          <t>SBA 25/700</t>
        </is>
      </c>
      <c r="C700" s="8" t="inlineStr">
        <is>
          <t>Dr. Öğr. Üyesi Gökhan AYIK</t>
        </is>
      </c>
      <c r="D700" s="7" t="inlineStr">
        <is>
          <t>“Humerus Şaft Kırıklarının Retrospektif Analizi ve Tedavi Sonuçları”</t>
        </is>
      </c>
    </row>
    <row r="701" ht="47.25" customHeight="1" s="221">
      <c r="A701" s="5" t="inlineStr">
        <is>
          <t>630.</t>
        </is>
      </c>
      <c r="B701" s="6" t="inlineStr">
        <is>
          <t>SBA 25/701</t>
        </is>
      </c>
      <c r="C701" s="8" t="inlineStr">
        <is>
          <t>Prof. Dr. Ali DURSUN</t>
        </is>
      </c>
      <c r="D701" s="7" t="inlineStr">
        <is>
          <t>“Mitokondriyal Hastalık Tanılı Hastaların Semptom ve Bulgularının Mitokondriyal Hastalık Tanı Kriterleri ile Değerlendirilmesi”</t>
        </is>
      </c>
    </row>
    <row r="702" ht="63" customHeight="1" s="221">
      <c r="A702" s="5" t="inlineStr">
        <is>
          <t>631.</t>
        </is>
      </c>
      <c r="B702" s="6" t="inlineStr">
        <is>
          <t>SBA 25/702</t>
        </is>
      </c>
      <c r="C702" s="8" t="inlineStr">
        <is>
          <t>Doç. Dr. Kübra AYKAÇ</t>
        </is>
      </c>
      <c r="D702" s="7" t="inlineStr">
        <is>
          <t>“Kırım-Kongo Kanamalı Ateşinin Moleküler İmzalarının Ortaya Konması: mRNA, lncRNA, sRNA ve circRNA Profilleri Üzerine Transkriptomik ve Biyoinformatik Yaklaşım”</t>
        </is>
      </c>
    </row>
    <row r="703" ht="31.5" customHeight="1" s="221">
      <c r="A703" s="5" t="inlineStr">
        <is>
          <t>632.</t>
        </is>
      </c>
      <c r="B703" s="6" t="inlineStr">
        <is>
          <t>SBA 25/703</t>
        </is>
      </c>
      <c r="C703" s="8" t="inlineStr">
        <is>
          <t>Dr. Öğr. Üyesi İrem İYİGÜN</t>
        </is>
      </c>
      <c r="D703" s="7" t="inlineStr">
        <is>
          <t>“Konjenital Kalp Hastalığı Nedeniyle Opere Edilen Yenidoğanlarda Mortaliteyi Etkileyen Klinik Faktörler”</t>
        </is>
      </c>
    </row>
    <row r="704" ht="31.5" customHeight="1" s="221">
      <c r="A704" s="5" t="inlineStr">
        <is>
          <t>633.</t>
        </is>
      </c>
      <c r="B704" s="6" t="inlineStr">
        <is>
          <t>SBA 25/704</t>
        </is>
      </c>
      <c r="C704" s="8" t="inlineStr">
        <is>
          <t>Prof. Dr. Filiz ÜZÜMCÜGİL</t>
        </is>
      </c>
      <c r="D704" s="7" t="inlineStr">
        <is>
          <t>“Pediatrik Cerrahi Hastalarında Postoperatif Ağrı Yönetimi Başarısının Değerlendirilmesi”</t>
        </is>
      </c>
    </row>
    <row r="705" ht="63" customHeight="1" s="221">
      <c r="A705" s="5" t="inlineStr">
        <is>
          <t>634.</t>
        </is>
      </c>
      <c r="B705" s="6" t="inlineStr">
        <is>
          <t>SBA 25/705</t>
        </is>
      </c>
      <c r="C705" s="8" t="inlineStr">
        <is>
          <t>Dr. Öğr. Üyesi Onur KOÇ</t>
        </is>
      </c>
      <c r="D705" s="7" t="inlineStr">
        <is>
          <t>“Bilateral Sagital Split Ramus Osteotomisi ve Genioplasti ile Mandibulaya Yaptırılan Çeşitli Hareketlerin Dudak, Çene Ucu ve Angulus Estetik Bölgelerindeki Etkilerinin İncelenmesi”</t>
        </is>
      </c>
    </row>
    <row r="706" ht="31.5" customHeight="1" s="221">
      <c r="A706" s="5" t="inlineStr">
        <is>
          <t>635.</t>
        </is>
      </c>
      <c r="B706" s="6" t="inlineStr">
        <is>
          <t>SBA 25/706</t>
        </is>
      </c>
      <c r="C706" s="8" t="inlineStr">
        <is>
          <t>Doç. Dr. Pınar ARPINAR AVŞAR</t>
        </is>
      </c>
      <c r="D706" s="7" t="inlineStr">
        <is>
          <t>“Üst Ekstremitede Ön Kondisyonlanma ile “Aktivasyon Sonrası Performans Artışı” mümkün mü?”</t>
        </is>
      </c>
    </row>
    <row r="707" ht="63" customHeight="1" s="221">
      <c r="A707" s="5" t="inlineStr">
        <is>
          <t>636.</t>
        </is>
      </c>
      <c r="B707" s="6" t="inlineStr">
        <is>
          <t>SBA 25/707</t>
        </is>
      </c>
      <c r="C707" s="8" t="inlineStr">
        <is>
          <t>Prof. Dr. Gökhan ÖZYİĞİT</t>
        </is>
      </c>
      <c r="D707" s="7" t="inlineStr">
        <is>
          <t>“Tüm Beyin Radyoterapisi Sırasında Hipokampüsün Dentat Girus ve Cornu Ammonis Bölgelerinin Korunduğu Hastalarda Nörokognitif Fonksiyon Durumunun Değerlendirilmesi”</t>
        </is>
      </c>
    </row>
    <row r="708" ht="47.25" customHeight="1" s="221">
      <c r="A708" s="5" t="inlineStr">
        <is>
          <t>637.</t>
        </is>
      </c>
      <c r="B708" s="6" t="inlineStr">
        <is>
          <t>SBA 25/708</t>
        </is>
      </c>
      <c r="C708" s="8" t="inlineStr">
        <is>
          <t>Dr. Öğr. Üyesi Irmak OCAK</t>
        </is>
      </c>
      <c r="D708" s="7" t="inlineStr">
        <is>
          <t>“Tek Taraflı Dudak-Damak Yarıklı Dental Modellerde Farklı Ağız İçi Tarayıcıların Karşılaştırılması: İn-vitro Çalışma”</t>
        </is>
      </c>
    </row>
    <row r="709" ht="31.5" customHeight="1" s="221">
      <c r="A709" s="5" t="inlineStr">
        <is>
          <t>638.</t>
        </is>
      </c>
      <c r="B709" s="6" t="inlineStr">
        <is>
          <t>SBA 25/709</t>
        </is>
      </c>
      <c r="C709" s="8" t="inlineStr">
        <is>
          <t>Prof. Dr. A. Elif ERSON BENSAN</t>
        </is>
      </c>
      <c r="D709" s="7" t="inlineStr">
        <is>
          <t>“Luminal A Meme Kanseri: Genç Yaşa Özgü Kötü Prognozun Moleküler Temelleri”</t>
        </is>
      </c>
    </row>
    <row r="710" ht="63" customHeight="1" s="221">
      <c r="A710" s="5" t="inlineStr">
        <is>
          <t>639.</t>
        </is>
      </c>
      <c r="B710" s="6" t="inlineStr">
        <is>
          <t>SBA 25/710</t>
        </is>
      </c>
      <c r="C710" s="8" t="inlineStr">
        <is>
          <t>Prof. Dr. Uğur CANPOLAT</t>
        </is>
      </c>
      <c r="D710" s="7" t="inlineStr">
        <is>
          <t>“Sol Dal Alan Uyarım Metodu ile İmplante Edilen Kardiyak Cihazların Hastalar Üzerideki Takip Verilerinin İncelenmesi ve Konvansiyonel Metodoloji ile Karşılaştırılması”</t>
        </is>
      </c>
    </row>
    <row r="711" ht="47.25" customHeight="1" s="221">
      <c r="A711" s="5" t="inlineStr">
        <is>
          <t>640.</t>
        </is>
      </c>
      <c r="B711" s="6" t="inlineStr">
        <is>
          <t>SBA 25/711</t>
        </is>
      </c>
      <c r="C711" s="8" t="inlineStr">
        <is>
          <t>Dr. Öğr. Üyesi Gözde ÖZER</t>
        </is>
      </c>
      <c r="D711" s="7" t="inlineStr">
        <is>
          <t>“Periferik Fasiyal Paralizili Hastalarda Kulak MRG Bulguları ve 3D-FLAIR Sekansın Tanıya Katkısının Araştırılması”</t>
        </is>
      </c>
    </row>
    <row r="712" ht="31.5" customHeight="1" s="221">
      <c r="A712" s="5" t="inlineStr">
        <is>
          <t>641.</t>
        </is>
      </c>
      <c r="B712" s="6" t="inlineStr">
        <is>
          <t>SBA 25/712</t>
        </is>
      </c>
      <c r="C712" s="8" t="inlineStr">
        <is>
          <t>Dr. Öğr. Üyesi Hanife Merva PARLAK</t>
        </is>
      </c>
      <c r="D712" s="7" t="inlineStr">
        <is>
          <t>“İleri Derecede Kemik Kaybı Olan Lezyonlarda Oral Protozoa Varlığının Değerlendirilmesi”</t>
        </is>
      </c>
    </row>
    <row r="713" ht="47.25" customHeight="1" s="221">
      <c r="A713" s="5" t="inlineStr">
        <is>
          <t>642.</t>
        </is>
      </c>
      <c r="B713" s="6" t="inlineStr">
        <is>
          <t>SBA 25/713</t>
        </is>
      </c>
      <c r="C713" s="8" t="inlineStr">
        <is>
          <t>Doç. Dr. Duygu GÜLSEREN</t>
        </is>
      </c>
      <c r="D713" s="7" t="inlineStr">
        <is>
          <t>“Pemfigus Vulgaris Hastalarında Rituksimab Tedavisinden Sonrası Relaps İle İlişkili Laboratuar ve Klinik Parametrelerin Araştırılması”</t>
        </is>
      </c>
    </row>
    <row r="714" ht="31.5" customHeight="1" s="221">
      <c r="A714" s="5" t="inlineStr">
        <is>
          <t>643.</t>
        </is>
      </c>
      <c r="B714" s="6" t="inlineStr">
        <is>
          <t>SBA 25/714</t>
        </is>
      </c>
      <c r="C714" s="8" t="inlineStr">
        <is>
          <t>Doç. Dr. Fatima AERTS KAYA</t>
        </is>
      </c>
      <c r="D714" s="7" t="inlineStr">
        <is>
          <t>“PAX1 Gen Mutasyonunun Timus Gelişimi ve Fonksiyonu Üzerinde Etkilerinin Araştırılması”</t>
        </is>
      </c>
    </row>
    <row r="715" ht="78.75" customHeight="1" s="221">
      <c r="A715" s="5" t="inlineStr">
        <is>
          <t>644.</t>
        </is>
      </c>
      <c r="B715" s="6" t="inlineStr">
        <is>
          <t>SBA 25/715</t>
        </is>
      </c>
      <c r="C715" s="8" t="inlineStr">
        <is>
          <t>Dr. Öğr. Üyesi Özay GÖKÖZ</t>
        </is>
      </c>
      <c r="D715" s="7" t="inlineStr">
        <is>
          <t>“Mikozis Fungoides ve Ayırıcı Tanısına Giren Lezyonlarda TRPS1, RBC1, TOX ve PDCD1 Ekspresyonlarının Karşılaştırmalı Değerlendirilmesi: Tanısal Algoritma Geliştirmeye Yönelik Klinikopatolojik Yaklaşım”</t>
        </is>
      </c>
    </row>
    <row r="716" ht="31.5" customHeight="1" s="221">
      <c r="A716" s="5" t="inlineStr">
        <is>
          <t>645.</t>
        </is>
      </c>
      <c r="B716" s="6" t="inlineStr">
        <is>
          <t>SBA 25/716</t>
        </is>
      </c>
      <c r="C716" s="8" t="inlineStr">
        <is>
          <t>Prof. Dr. Sibel DOĞAN GÜNAYDIN</t>
        </is>
      </c>
      <c r="D716" s="7" t="inlineStr">
        <is>
          <t>“Başlangıç Yaşına Göre Atopik Dermatit Olgularının Klinik ve Laboratuvar Parametrelerinin Karşılaştırılması”</t>
        </is>
      </c>
    </row>
    <row r="717" ht="31.5" customHeight="1" s="221">
      <c r="A717" s="5" t="inlineStr">
        <is>
          <t>646.</t>
        </is>
      </c>
      <c r="B717" s="6" t="inlineStr">
        <is>
          <t>SBA 25/717</t>
        </is>
      </c>
      <c r="C717" s="8" t="inlineStr">
        <is>
          <t>Doç. Dr. Hacı Hasan YETER</t>
        </is>
      </c>
      <c r="D717" s="7" t="inlineStr">
        <is>
          <t>“Metastatik Kolorektal, Over ve Serviks Hastalarında Renal Sonlanımların Değerlendirilmesi”</t>
        </is>
      </c>
    </row>
    <row r="718" ht="31.5" customHeight="1" s="221">
      <c r="A718" s="5" t="inlineStr">
        <is>
          <t>647.</t>
        </is>
      </c>
      <c r="B718" s="6" t="inlineStr">
        <is>
          <t>SBA 25/718</t>
        </is>
      </c>
      <c r="C718" s="8" t="inlineStr">
        <is>
          <t>Prof. Dr. Müzeyyen Pınar ÖZGEN KIRATLI</t>
        </is>
      </c>
      <c r="D718" s="7" t="inlineStr">
        <is>
          <t>“Pediyatrik Sarkomlarda Metabolik ve Radyomik Parametreler ile Prognostik Modelleme”</t>
        </is>
      </c>
    </row>
    <row r="719" ht="31.5" customHeight="1" s="221">
      <c r="A719" s="5" t="inlineStr">
        <is>
          <t>648.</t>
        </is>
      </c>
      <c r="B719" s="6" t="inlineStr">
        <is>
          <t>SBA 25/719</t>
        </is>
      </c>
      <c r="C719" s="8" t="inlineStr">
        <is>
          <t>Dr. Öğr. Üyesi Ali Can GÜNEŞ</t>
        </is>
      </c>
      <c r="D719" s="7" t="inlineStr">
        <is>
          <t>“Paraservikal Blok Uygulamasının Histeroskopi Sonrası Postoperatif Ağrı Üzerine Etkisi: Anket Çalışması”</t>
        </is>
      </c>
    </row>
    <row r="720" ht="63" customHeight="1" s="221">
      <c r="A720" s="5" t="inlineStr">
        <is>
          <t>649.</t>
        </is>
      </c>
      <c r="B720" s="6" t="inlineStr">
        <is>
          <t>SBA 25/720</t>
        </is>
      </c>
      <c r="C720" s="8" t="inlineStr">
        <is>
          <t>Doç. Dr. Utku AKGÖR</t>
        </is>
      </c>
      <c r="D720" s="7" t="inlineStr">
        <is>
          <t>“Jinekolojik Onkoloji Konsey Kararlarının Yapay Zekâ Destekli Kararlarla Karşılaştırılması: Over, Endometrium ve Serviks Kanseri Üzerine Retrospektif Bir Analiz”</t>
        </is>
      </c>
    </row>
    <row r="721" ht="47.25" customHeight="1" s="221">
      <c r="A721" s="5" t="inlineStr">
        <is>
          <t>650.</t>
        </is>
      </c>
      <c r="B721" s="6" t="inlineStr">
        <is>
          <t>SBA 25/721</t>
        </is>
      </c>
      <c r="C721" s="8" t="inlineStr">
        <is>
          <t>Prof. Dr. Serdar ÖZER</t>
        </is>
      </c>
      <c r="D721" s="7" t="inlineStr">
        <is>
          <t>“Nazal Dermoid Kistlere Multidisipliner Yaklaşım: Konjenital Vakaların Klinik, Görüntüleme ve Cerrahi Bulguları Üzerine Tek Merkezli Bir Analiz ”</t>
        </is>
      </c>
    </row>
    <row r="722" ht="47.25" customHeight="1" s="221">
      <c r="A722" s="5" t="inlineStr">
        <is>
          <t>651.</t>
        </is>
      </c>
      <c r="B722" s="6" t="inlineStr">
        <is>
          <t>SBA 25/722</t>
        </is>
      </c>
      <c r="C722" s="8" t="inlineStr">
        <is>
          <t>Prof. Dr. Bülent Enis ŞEKEREL</t>
        </is>
      </c>
      <c r="D722" s="7" t="inlineStr">
        <is>
          <t>''Besin Alerjili Çocuklarda Kazara Alerjen Maruziyeti: Sıklığı, Risk Faktörleri ve Yaşam Kalitesi Üzerindeki Etkileri''</t>
        </is>
      </c>
    </row>
    <row r="723" ht="47.25" customHeight="1" s="221">
      <c r="A723" s="5" t="inlineStr">
        <is>
          <t>652.</t>
        </is>
      </c>
      <c r="B723" s="6" t="inlineStr">
        <is>
          <t>SBA 25/723</t>
        </is>
      </c>
      <c r="C723" s="8" t="inlineStr">
        <is>
          <t>Doç. Dr. Muhammed Bahaddin DURAK</t>
        </is>
      </c>
      <c r="D723" s="7" t="inlineStr">
        <is>
          <t>“Manyetik Rezonans Görüntüleme ile Belirlenen Pankreas Yağlanmasının ERCP Sonrası Komplikasyonlarla İlişkisinin Değerlendirilmesi”</t>
        </is>
      </c>
    </row>
    <row r="724" ht="47.25" customHeight="1" s="221">
      <c r="A724" s="5" t="inlineStr">
        <is>
          <t>653.</t>
        </is>
      </c>
      <c r="B724" s="6" t="inlineStr">
        <is>
          <t>SBA 25/724</t>
        </is>
      </c>
      <c r="C724" s="8" t="inlineStr">
        <is>
          <t>Prof. Dr. Uğur CANPOLAT</t>
        </is>
      </c>
      <c r="D724" s="7" t="inlineStr">
        <is>
          <t>“Triküspid Kapak Cerrahisi Uygulanmış Hastalarda Bradikardi Tedavisinde Kalıcı Kalp Pilinin Koroner Sinüs Yoluyla Uygulanması”</t>
        </is>
      </c>
    </row>
    <row r="725" ht="47.25" customHeight="1" s="221">
      <c r="A725" s="5" t="inlineStr">
        <is>
          <t>654.</t>
        </is>
      </c>
      <c r="B725" s="6" t="inlineStr">
        <is>
          <t>SBA 25/725</t>
        </is>
      </c>
      <c r="C725" s="8" t="inlineStr">
        <is>
          <t>Prof. Dr. Tuncay HAZIROLAN</t>
        </is>
      </c>
      <c r="D725" s="7" t="inlineStr">
        <is>
          <t>“Kardiyak Bilgisayarlı Tomografi Anjiyografi Bulguları ile Koroner Arter Hastalığının Seyri ve Stent İçi Restenoz Arasındaki İlişkinin Degerlendirilmesi”</t>
        </is>
      </c>
    </row>
    <row r="726" ht="63" customHeight="1" s="221">
      <c r="A726" s="5" t="inlineStr">
        <is>
          <t>655.</t>
        </is>
      </c>
      <c r="B726" s="6" t="inlineStr">
        <is>
          <t>SBA 25/726</t>
        </is>
      </c>
      <c r="C726" s="8" t="inlineStr">
        <is>
          <t>Doç. Dr. İzzet FİDANCI</t>
        </is>
      </c>
      <c r="D726" s="7" t="inlineStr">
        <is>
          <t>“Türkiye’de 2022–2024 Yılları Arasında Gerçekleştirilen Aile Hekimliği Uyum Eğitimlerinin Etkililiğinin Değerlendirilmesi: Ön Test ve Son Test Sonuçları Üzerinden Bir Analiz”</t>
        </is>
      </c>
    </row>
    <row r="727" ht="31.5" customHeight="1" s="221">
      <c r="A727" s="5" t="inlineStr">
        <is>
          <t>656.</t>
        </is>
      </c>
      <c r="B727" s="6" t="inlineStr">
        <is>
          <t>SBA 25/727</t>
        </is>
      </c>
      <c r="C727" s="8" t="inlineStr">
        <is>
          <t>Prof. Dr. Ali Rıza TÜMER</t>
        </is>
      </c>
      <c r="D727" s="7" t="inlineStr">
        <is>
          <t>“Yüksek Enerjili Patlayıcılara Bağlı Gelişen İşitme Kayıplarının Adli Tıbbi Değerlendirilmesi”</t>
        </is>
      </c>
    </row>
    <row r="728" ht="31.5" customHeight="1" s="221">
      <c r="A728" s="5" t="inlineStr">
        <is>
          <t>657.</t>
        </is>
      </c>
      <c r="B728" s="6" t="inlineStr">
        <is>
          <t>SBA 25/728</t>
        </is>
      </c>
      <c r="C728" s="8" t="inlineStr">
        <is>
          <t>Prof. Dr. Ali Rıza TÜMER</t>
        </is>
      </c>
      <c r="D728" s="7" t="inlineStr">
        <is>
          <t>“Travma İlişkili Venöz Tromboembolizm Olgularının Medikolegal Açıdan İncelenmesi”</t>
        </is>
      </c>
    </row>
    <row r="729" ht="31.5" customHeight="1" s="221">
      <c r="A729" s="5" t="inlineStr">
        <is>
          <t>658.</t>
        </is>
      </c>
      <c r="B729" s="6" t="inlineStr">
        <is>
          <t>SBA 25/729</t>
        </is>
      </c>
      <c r="C729" s="8" t="inlineStr">
        <is>
          <t>Prof. Dr. Meryem Aslı TUNCER</t>
        </is>
      </c>
      <c r="D729" s="7" t="inlineStr">
        <is>
          <t>“Santral Sinir Sistemi Lenfomalarında Sentinel Lezyonların Görüntüleme Bulguları ve Tanısal Önemi”</t>
        </is>
      </c>
    </row>
    <row r="730" ht="47.25" customHeight="1" s="221">
      <c r="A730" s="5" t="inlineStr">
        <is>
          <t>659.</t>
        </is>
      </c>
      <c r="B730" s="6" t="inlineStr">
        <is>
          <t>SBA 25/730</t>
        </is>
      </c>
      <c r="C730" s="8" t="inlineStr">
        <is>
          <t>Öğr. Gör. Dt. İrem SÖZEN YANIK</t>
        </is>
      </c>
      <c r="D730" s="7" t="inlineStr">
        <is>
          <t>"Diş Hekimliği Lisans Eğitiminde Total Protez Konulu Açık Uçlu Sınav Sorularının Büyük Dil Modelleri ve Uzman Puanlamaları ile Karşılaştırılması.”</t>
        </is>
      </c>
    </row>
    <row r="731" ht="31.5" customHeight="1" s="221">
      <c r="A731" s="5" t="inlineStr">
        <is>
          <t>660.</t>
        </is>
      </c>
      <c r="B731" s="6" t="inlineStr">
        <is>
          <t>SBA 25/731</t>
        </is>
      </c>
      <c r="C731" s="8" t="inlineStr">
        <is>
          <t>Dr. Öğr. Üyesi Burak TAŞTEKİN</t>
        </is>
      </c>
      <c r="D731" s="7" t="inlineStr">
        <is>
          <t>“Gastrointestinal Sistem İlişkili Ani Beklenmedik Ölümler: Retrospektif Otopsi Çalışması”</t>
        </is>
      </c>
    </row>
    <row r="732" ht="31.5" customHeight="1" s="221">
      <c r="A732" s="5" t="inlineStr">
        <is>
          <t>661.</t>
        </is>
      </c>
      <c r="B732" s="6" t="inlineStr">
        <is>
          <t>SBA 25/732</t>
        </is>
      </c>
      <c r="C732" s="8" t="inlineStr">
        <is>
          <t>Dr. Öğr. Üyesi Burak TAŞTEKİN</t>
        </is>
      </c>
      <c r="D732" s="7" t="inlineStr">
        <is>
          <t>“Çocukluk ve Ergenlik Döneminde Gerçekleşen Doğal Olmayan Ölüm Olgularının Değerlendirilmesi”</t>
        </is>
      </c>
    </row>
    <row r="733" ht="47.25" customHeight="1" s="221">
      <c r="A733" s="5" t="inlineStr">
        <is>
          <t>662.</t>
        </is>
      </c>
      <c r="B733" s="6" t="inlineStr">
        <is>
          <t>SBA 25/733</t>
        </is>
      </c>
      <c r="C733" s="8" t="inlineStr">
        <is>
          <t>Doç. Dr. Fatma Gonca ELDEM</t>
        </is>
      </c>
      <c r="D733" s="7" t="inlineStr">
        <is>
          <t>“El Osteoartriti ve İnflamatuar Artritlerde Transarteriyel Periartiküler Embolizasyon: Teknik Uygulanabilirlik ve Klinik Sonuçları”</t>
        </is>
      </c>
    </row>
    <row r="734" ht="31.5" customHeight="1" s="221">
      <c r="A734" s="5" t="inlineStr">
        <is>
          <t>663.</t>
        </is>
      </c>
      <c r="B734" s="6" t="inlineStr">
        <is>
          <t>SBA 25/734</t>
        </is>
      </c>
      <c r="C734" s="8" t="inlineStr">
        <is>
          <t>Dr. Öğr. Üyesi Yağmur ÜNSAL</t>
        </is>
      </c>
      <c r="D734" s="7" t="inlineStr">
        <is>
          <t>“Fankoni Anemisinde Büyüme Hormonu Eksikliği Olan Olguların Özelliklerinin İncelenmesi”</t>
        </is>
      </c>
    </row>
    <row r="735" ht="31.5" customHeight="1" s="221">
      <c r="A735" s="5" t="inlineStr">
        <is>
          <t>664.</t>
        </is>
      </c>
      <c r="B735" s="6" t="inlineStr">
        <is>
          <t>SBA 25/735</t>
        </is>
      </c>
      <c r="C735" s="8" t="inlineStr">
        <is>
          <t>Dr. Öğr. Üyesi Hilal AKDEMİR AKTAŞ</t>
        </is>
      </c>
      <c r="D735" s="7" t="inlineStr">
        <is>
          <t>“Humerus'un Proksimal Kısmının Morfometrik Özelliklerinin Değerlendirilmesi ve Klinik Önemi"</t>
        </is>
      </c>
    </row>
    <row r="736" ht="31.5" customHeight="1" s="221">
      <c r="A736" s="5" t="inlineStr">
        <is>
          <t>665.</t>
        </is>
      </c>
      <c r="B736" s="6" t="inlineStr">
        <is>
          <t>SBA 25/736</t>
        </is>
      </c>
      <c r="C736" s="8" t="inlineStr">
        <is>
          <t>Öğr. Gör. Dr. Ece ÖZOĞUL</t>
        </is>
      </c>
      <c r="D736" s="7" t="inlineStr">
        <is>
          <t>“Matür T Hücreli Lenfomalarda INI-1 (SMARCB1) Ekspresyon Kaybının Değerlendirilmesi”</t>
        </is>
      </c>
    </row>
    <row r="737" ht="31.5" customHeight="1" s="221">
      <c r="A737" s="5" t="inlineStr">
        <is>
          <t>666.</t>
        </is>
      </c>
      <c r="B737" s="6" t="inlineStr">
        <is>
          <t>SBA 25/737</t>
        </is>
      </c>
      <c r="C737" s="8" t="inlineStr">
        <is>
          <t>Psk. Dr. Buse ŞENCAN KARAKUŞ</t>
        </is>
      </c>
      <c r="D737" s="7" t="inlineStr">
        <is>
          <t>“Tip-1 Diyabeti Olan Çocuklarda Sağlıkta Baba Katılımı ve İlişkili Faktörler"</t>
        </is>
      </c>
    </row>
    <row r="738" ht="47.25" customHeight="1" s="221">
      <c r="A738" s="5" t="inlineStr">
        <is>
          <t>667.</t>
        </is>
      </c>
      <c r="B738" s="6" t="inlineStr">
        <is>
          <t>SBA 25/738</t>
        </is>
      </c>
      <c r="C738" s="8" t="inlineStr">
        <is>
          <t>Doç. Dr. Ferdi ÇAY</t>
        </is>
      </c>
      <c r="D738" s="7" t="inlineStr">
        <is>
          <t>“Kronik Oklüzif İliofemoral Hastalıkta Rekanalizasyon: Endovasküler Tedavi Sonuçları ve Venöz Giriş Akımının Asendan Venografi ile Değerlendirilmesi”</t>
        </is>
      </c>
    </row>
    <row r="739" ht="31.5" customHeight="1" s="221">
      <c r="A739" s="5" t="inlineStr">
        <is>
          <t>668.</t>
        </is>
      </c>
      <c r="B739" s="6" t="inlineStr">
        <is>
          <t>SBA 25/739</t>
        </is>
      </c>
      <c r="C739" s="8" t="inlineStr">
        <is>
          <t>Arş. Gör. Dt. Tülin TAŞDEMİR</t>
        </is>
      </c>
      <c r="D739" s="7" t="inlineStr">
        <is>
          <t>“Down Sendromu Tanısı Almış Çocuk Hastaların Mandibula Kemik Yapısının Fraktal Analizi”</t>
        </is>
      </c>
    </row>
    <row r="740" ht="31.5" customHeight="1" s="221">
      <c r="A740" s="5" t="inlineStr">
        <is>
          <t>669.</t>
        </is>
      </c>
      <c r="B740" s="6" t="inlineStr">
        <is>
          <t>SBA 25/740</t>
        </is>
      </c>
      <c r="C740" s="8" t="inlineStr">
        <is>
          <t>Arş. Gör. Dt. Tülin TAŞDEMİR</t>
        </is>
      </c>
      <c r="D740" s="7" t="inlineStr">
        <is>
          <t>“DiGeorge Sendromu Tanısı Almış Çocuk Hastaların Mandibula Kemik Yapısının Fraktal Analizi”</t>
        </is>
      </c>
    </row>
    <row r="741" ht="31.5" customHeight="1" s="221">
      <c r="A741" s="5" t="inlineStr">
        <is>
          <t>670.</t>
        </is>
      </c>
      <c r="B741" s="6" t="inlineStr">
        <is>
          <t>SBA 25/741</t>
        </is>
      </c>
      <c r="C741" s="8" t="inlineStr">
        <is>
          <t>Prof. Dr. Taner YILMAZ</t>
        </is>
      </c>
      <c r="D741" s="7" t="inlineStr">
        <is>
          <t>“Disfonili Hastalarda Multidisipliner Ses Konseyi Kararları ile ChatGPT Yanıtlarının Karşılaştırılması”</t>
        </is>
      </c>
    </row>
    <row r="742" ht="47.25" customHeight="1" s="221">
      <c r="A742" s="5" t="inlineStr">
        <is>
          <t>671.</t>
        </is>
      </c>
      <c r="B742" s="6" t="inlineStr">
        <is>
          <t>SBA 25/742</t>
        </is>
      </c>
      <c r="C742" s="8" t="inlineStr">
        <is>
          <t>Prof. Dr. Emre HURİ</t>
        </is>
      </c>
      <c r="D742" s="7" t="inlineStr">
        <is>
          <t>“3D Modelleme ile Cerrahi Planlama'nın Sakral Nöromodülasyon Cerrahisine ve Başarıya Olan Katkısının Değerlendirilmesi”</t>
        </is>
      </c>
    </row>
    <row r="743" ht="31.5" customHeight="1" s="221">
      <c r="A743" s="5" t="inlineStr">
        <is>
          <t>672.</t>
        </is>
      </c>
      <c r="B743" s="6" t="inlineStr">
        <is>
          <t>SBA 25/743</t>
        </is>
      </c>
      <c r="C743" s="8" t="inlineStr">
        <is>
          <t>Dr. Öğr. Üyesi Deniz Can GÜVEN</t>
        </is>
      </c>
      <c r="D743" s="7" t="inlineStr">
        <is>
          <t>"İmmünoterapi Alan Hastalarda Serum Vitamin D Düzeylerinin Prognostik Önemi "</t>
        </is>
      </c>
    </row>
    <row r="744" ht="63" customHeight="1" s="221">
      <c r="A744" s="5" t="inlineStr">
        <is>
          <t>673.</t>
        </is>
      </c>
      <c r="B744" s="6" t="inlineStr">
        <is>
          <t>SBA 25/744</t>
        </is>
      </c>
      <c r="C744" s="8" t="inlineStr">
        <is>
          <t>Dr. Öğr. Üyesi Murat ÇAĞAN</t>
        </is>
      </c>
      <c r="D744" s="7" t="inlineStr">
        <is>
          <t>“Ektopik Gebelik Tanısı Alan Hastalarda Metotreksat Tedavisinin mg/m2 veya mg/kg Dozuna Göre Uygulanıp Etkinliğin Değerlendirilmesi ve Cerrahi Müdahale Gerektiren Vakaları Retrospektif Olarak Belirlenmesi”</t>
        </is>
      </c>
    </row>
    <row r="745" ht="31.5" customHeight="1" s="221">
      <c r="A745" s="5" t="inlineStr">
        <is>
          <t>674.</t>
        </is>
      </c>
      <c r="B745" s="6" t="inlineStr">
        <is>
          <t>SBA 25/745</t>
        </is>
      </c>
      <c r="C745" s="8" t="inlineStr">
        <is>
          <t>Doç. Dr. İdil Rana USER KILIÇ</t>
        </is>
      </c>
      <c r="D745" s="7" t="inlineStr">
        <is>
          <t>“Pediatrik Pankreas Cerrahisinde Postoperatif Komplikasyonlar: On Yılda Ne Öğrendik?”</t>
        </is>
      </c>
    </row>
    <row r="746" ht="63" customHeight="1" s="221">
      <c r="A746" s="5" t="inlineStr">
        <is>
          <t>675.</t>
        </is>
      </c>
      <c r="B746" s="6" t="inlineStr">
        <is>
          <t>SBA 25/746</t>
        </is>
      </c>
      <c r="C746" s="8" t="inlineStr">
        <is>
          <t>Doç. Dr. Ahmet Hakan ATEŞ</t>
        </is>
      </c>
      <c r="D746" s="7" t="inlineStr">
        <is>
          <t>“Transkateter Aort Kapak İmplantasyonu Yapılan Hastalarda Kapak Fonksiyonlarının, Kalıcı Pil İhtiyacı Prediktörlerinin, Periprosedürel Komplikasyonların ve Takip Verilerinin Retrospektif Değerlendirilmesi”</t>
        </is>
      </c>
    </row>
    <row r="747" ht="31.5" customHeight="1" s="221">
      <c r="A747" s="5" t="inlineStr">
        <is>
          <t>676.</t>
        </is>
      </c>
      <c r="B747" s="6" t="inlineStr">
        <is>
          <t>SBA 25/747</t>
        </is>
      </c>
      <c r="C747" s="8" t="inlineStr">
        <is>
          <t>Doç. Dr. Cem ÇÖTELİ</t>
        </is>
      </c>
      <c r="D747" s="7" t="inlineStr">
        <is>
          <t>“Hipertrofik Kardiyomiyopati Tanılı Hastalarda Atriyal Fibrilasyon Ablasyonu Sonrası Klinik Sonlanımlar”</t>
        </is>
      </c>
    </row>
    <row r="748" ht="31.5" customHeight="1" s="221">
      <c r="A748" s="5" t="inlineStr">
        <is>
          <t>677.</t>
        </is>
      </c>
      <c r="B748" s="6" t="inlineStr">
        <is>
          <t>SBA 25/748</t>
        </is>
      </c>
      <c r="C748" s="8" t="inlineStr">
        <is>
          <t>Prof. Dr. Bülent Enis ŞEKEREL</t>
        </is>
      </c>
      <c r="D748" s="7" t="inlineStr">
        <is>
          <t>“Tropomiyozin ve Arjinin Kinaz Duyarlılıkları Arasındaki İlişkilerin İncelenmesi”</t>
        </is>
      </c>
    </row>
    <row r="749" ht="47.25" customHeight="1" s="221">
      <c r="A749" s="5" t="inlineStr">
        <is>
          <t>678.</t>
        </is>
      </c>
      <c r="B749" s="6" t="inlineStr">
        <is>
          <t>SBA 25/749</t>
        </is>
      </c>
      <c r="C749" s="8" t="inlineStr">
        <is>
          <t>Prof. Dr. Sercan AKSOY</t>
        </is>
      </c>
      <c r="D749" s="7" t="inlineStr">
        <is>
          <t>“CDK 4/6 İnhibitörü Kullanan Metastik Meme Kanseri Hastalarında Sağkalıma Etki Eden Faktörlerin Yapay Zeka Aracılığıy Belirlenmesi”</t>
        </is>
      </c>
    </row>
    <row r="750" ht="47.25" customHeight="1" s="221">
      <c r="A750" s="5" t="inlineStr">
        <is>
          <t>679.</t>
        </is>
      </c>
      <c r="B750" s="6" t="inlineStr">
        <is>
          <t>SBA 25/750</t>
        </is>
      </c>
      <c r="C750" s="8" t="inlineStr">
        <is>
          <t>Prof. Dr. Meltem Gülhan HALİL</t>
        </is>
      </c>
      <c r="D750" s="7" t="inlineStr">
        <is>
          <t>“Kas Ultrasonografisi ile Yapılan Kas Kütlesi Ölçümleri ile Geriatri Populasyonda Referans Kas Kütlesi Değerlerinin Belirlenmesi”</t>
        </is>
      </c>
    </row>
    <row r="751" ht="47.25" customHeight="1" s="221">
      <c r="A751" s="5" t="inlineStr">
        <is>
          <t>680.</t>
        </is>
      </c>
      <c r="B751" s="6" t="inlineStr">
        <is>
          <t>SBA 25/751</t>
        </is>
      </c>
      <c r="C751" s="8" t="inlineStr">
        <is>
          <t>Prof. Dr. Sevinç SARINÇ</t>
        </is>
      </c>
      <c r="D751" s="7" t="inlineStr">
        <is>
          <t>“Küçük Hücreli Dışı Akciğer Kanseri Tanılı Hastalarda Venöz Tromboembolizm Riskini Öngören Tahmin Modelinin Geliştirilmesi”</t>
        </is>
      </c>
    </row>
    <row r="752" ht="31.5" customHeight="1" s="221">
      <c r="A752" s="5" t="inlineStr">
        <is>
          <t>681.</t>
        </is>
      </c>
      <c r="B752" s="6" t="inlineStr">
        <is>
          <t>SBA 25/752</t>
        </is>
      </c>
      <c r="C752" s="8" t="inlineStr">
        <is>
          <t>Doç. Dr. Zihni Ekim TAŞKIRAN</t>
        </is>
      </c>
      <c r="D752" s="7" t="inlineStr">
        <is>
          <t>“Sistemik Otoinflamatuvar Hastalıklarda Üçüncü Nesil Dizileme ile Genetik Etiyolojinin Belirlenmesi”</t>
        </is>
      </c>
    </row>
    <row r="753" ht="47.25" customHeight="1" s="221">
      <c r="A753" s="5" t="inlineStr">
        <is>
          <t>682.</t>
        </is>
      </c>
      <c r="B753" s="6" t="inlineStr">
        <is>
          <t>SBA 25/753</t>
        </is>
      </c>
      <c r="C753" s="8" t="inlineStr">
        <is>
          <t>Prof. Dr. Emel UZUNOĞLU ÖZYÜREK</t>
        </is>
      </c>
      <c r="D753" s="7" t="inlineStr">
        <is>
          <t>“Yapay Zekanın Odontojenik Olmayan Ağrı Tanısındaki Başarısının Diş Hekimleri ile Karşılaştırılması: Senaryo Temelli Bir Veri Analizi”</t>
        </is>
      </c>
    </row>
    <row r="754" ht="31.5" customHeight="1" s="221">
      <c r="A754" s="5" t="inlineStr">
        <is>
          <t>683.</t>
        </is>
      </c>
      <c r="B754" s="6" t="inlineStr">
        <is>
          <t>SBA 25/754</t>
        </is>
      </c>
      <c r="C754" s="8" t="inlineStr">
        <is>
          <t>Doç. Dr. Göksel GÜVEN</t>
        </is>
      </c>
      <c r="D754" s="7" t="inlineStr">
        <is>
          <t>“Şok Hastalarında Mikrodolaşım ve Makrodolaşımın Eş Zamanlı Değerlendirilmesi”</t>
        </is>
      </c>
    </row>
    <row r="755" ht="31.5" customHeight="1" s="221">
      <c r="A755" s="5" t="inlineStr">
        <is>
          <t>684.</t>
        </is>
      </c>
      <c r="B755" s="6" t="inlineStr">
        <is>
          <t>SBA 25/755</t>
        </is>
      </c>
      <c r="C755" s="8" t="inlineStr">
        <is>
          <t>Prof. Dr. Ramazan AKÇAN</t>
        </is>
      </c>
      <c r="D755" s="7" t="inlineStr">
        <is>
          <t>“Non-Metrik Kraniyal Özelliklerin Cinsiyet Ayrımında Makine Öğrenmesi ve Uzman Değerlendirmeleri”</t>
        </is>
      </c>
    </row>
    <row r="756" ht="47.25" customHeight="1" s="221">
      <c r="A756" s="5" t="inlineStr">
        <is>
          <t>685.</t>
        </is>
      </c>
      <c r="B756" s="6" t="inlineStr">
        <is>
          <t>SBA 25/756</t>
        </is>
      </c>
      <c r="C756" s="8" t="inlineStr">
        <is>
          <t>Prof. Dr. Elif Nursel ÖZMERT</t>
        </is>
      </c>
      <c r="D756" s="7" t="inlineStr">
        <is>
          <t>"Anne ve Babaların Olumsuz Çocukluk Çağı Deneyimlerinin Erken Doğum Öyküsü Olan Çocukların Gelişimlerine Etkileri"</t>
        </is>
      </c>
    </row>
    <row r="757" ht="31.5" customHeight="1" s="221">
      <c r="A757" s="5" t="inlineStr">
        <is>
          <t>686.</t>
        </is>
      </c>
      <c r="B757" s="6" t="inlineStr">
        <is>
          <t>SBA 25/757</t>
        </is>
      </c>
      <c r="C757" s="8" t="inlineStr">
        <is>
          <t>Öğr. Gör. Dr. Helin YÜCEDAĞ GÜNDOĞDU</t>
        </is>
      </c>
      <c r="D757" s="7" t="inlineStr">
        <is>
          <t>“Os Naviculare Cerrahi Fiksasyonu İçin İmplant Boyutlarının Optimizasyonu: Morfometrik Çalışma”</t>
        </is>
      </c>
    </row>
    <row r="758" ht="63" customHeight="1" s="221">
      <c r="A758" s="5" t="inlineStr">
        <is>
          <t>687.</t>
        </is>
      </c>
      <c r="B758" s="6" t="inlineStr">
        <is>
          <t>SBA 25/758</t>
        </is>
      </c>
      <c r="C758" s="8" t="inlineStr">
        <is>
          <t>Dr. Öğr. Üyesi Selen ADİLOĞLU</t>
        </is>
      </c>
      <c r="D758" s="7" t="inlineStr">
        <is>
          <t>“Ağız Diş Ve Çene Cerrahisi Kliniğine Başvuran Hastaların Yapay Zeka Farkındalik Düzeyi İle Ağız Sağlığı ile İliskili Yaşam Kalitesi Arasındaki Korelasyonun Değerlendirilmesi”</t>
        </is>
      </c>
    </row>
    <row r="759" ht="47.25" customHeight="1" s="221">
      <c r="A759" s="5" t="inlineStr">
        <is>
          <t>688.</t>
        </is>
      </c>
      <c r="B759" s="6" t="inlineStr">
        <is>
          <t>SBA 25/759</t>
        </is>
      </c>
      <c r="C759" s="8" t="inlineStr">
        <is>
          <t>Öğr. Gör. Dr. Aslı ALKAN</t>
        </is>
      </c>
      <c r="D759" s="7" t="inlineStr">
        <is>
          <t>“Kronik Obstrüktif Akciğer Hastalığı Tanılı İleri Yaş Hastalarda Anksiyete ve Depresyonun İnhaler Uyumuyla İlişkisinin İncelenmesi”</t>
        </is>
      </c>
    </row>
    <row r="760" ht="47.25" customHeight="1" s="221">
      <c r="A760" s="5" t="inlineStr">
        <is>
          <t>689.</t>
        </is>
      </c>
      <c r="B760" s="6" t="inlineStr">
        <is>
          <t>SBA 25/760</t>
        </is>
      </c>
      <c r="C760" s="8" t="inlineStr">
        <is>
          <t>Dr. Öğr. Üyesi Oğuz KARCIOĞLU</t>
        </is>
      </c>
      <c r="D760" s="7" t="inlineStr">
        <is>
          <t>“Erişkin Kistik Fibrozis Hastalarında Modülatör Tedaviye Erişim Sürecinin Psikososyal ve Ekonomik Etkilerinin Değerlendirilmesi”</t>
        </is>
      </c>
    </row>
    <row r="761" ht="47.25" customHeight="1" s="221">
      <c r="A761" s="5" t="inlineStr">
        <is>
          <t>690.</t>
        </is>
      </c>
      <c r="B761" s="6" t="inlineStr">
        <is>
          <t>SBA 25/761</t>
        </is>
      </c>
      <c r="C761" s="8" t="inlineStr">
        <is>
          <t>Dr. Öğr. Üyesi Sehend DEBBAĞ</t>
        </is>
      </c>
      <c r="D761" s="7" t="inlineStr">
        <is>
          <t>“Spinal Musküler Atrofi (SMA) Tip 1 ve 2 Hastalarında İntratekal Nusinersenin Ultrasonografi Eşliğinde Uygulanmasının Değerlendirilmesi”</t>
        </is>
      </c>
    </row>
    <row r="762" ht="31.5" customHeight="1" s="221">
      <c r="A762" s="5" t="inlineStr">
        <is>
          <t>691.</t>
        </is>
      </c>
      <c r="B762" s="6" t="inlineStr">
        <is>
          <t>SBA 25/762</t>
        </is>
      </c>
      <c r="C762" s="8" t="inlineStr">
        <is>
          <t>Dr. Öğr. Üyesi Gizem ÜREL DEMİR</t>
        </is>
      </c>
      <c r="D762" s="7" t="inlineStr">
        <is>
          <t>“Metafizyel Displazi Olgularında Klinik Spektrumun ve Genetik Etiyolojinin İncelenmesi”</t>
        </is>
      </c>
    </row>
    <row r="763" ht="47.25" customHeight="1" s="221">
      <c r="A763" s="5" t="inlineStr">
        <is>
          <t>692.</t>
        </is>
      </c>
      <c r="B763" s="6" t="inlineStr">
        <is>
          <t>SBA 25/763</t>
        </is>
      </c>
      <c r="C763" s="8" t="inlineStr">
        <is>
          <t>Doç. Dr. Galip Gencay ÜSTÜN</t>
        </is>
      </c>
      <c r="D763" s="7" t="inlineStr">
        <is>
          <t>“Cerrahi Zorluğu Ölçmenin Yeni Yolu: VESPA skoru ile DIEP Fleplerde Anatomik Karmaşıklığın Sayısallaştırılması”</t>
        </is>
      </c>
    </row>
    <row r="764" ht="31.5" customHeight="1" s="221">
      <c r="A764" s="5" t="inlineStr">
        <is>
          <t>693.</t>
        </is>
      </c>
      <c r="B764" s="6" t="inlineStr">
        <is>
          <t>SBA 25/764</t>
        </is>
      </c>
      <c r="C764" s="8" t="inlineStr">
        <is>
          <t>Prof. Dr. Bahar DOĞAN</t>
        </is>
      </c>
      <c r="D764" s="7" t="inlineStr">
        <is>
          <t>“Karaciğer Hastalıkları ile İlgili Stigmatizasyon Ölçeği Geliştirme Çalışması: Metodolojik Araştırma”</t>
        </is>
      </c>
    </row>
    <row r="765" ht="31.5" customHeight="1" s="221">
      <c r="A765" s="5" t="inlineStr">
        <is>
          <t>694.</t>
        </is>
      </c>
      <c r="B765" s="6" t="inlineStr">
        <is>
          <t>SBA 25/765</t>
        </is>
      </c>
      <c r="C765" s="8" t="inlineStr">
        <is>
          <t>Prof. Dr. Deniz ÇAĞDAŞ AYVAZ</t>
        </is>
      </c>
      <c r="D765" s="7" t="inlineStr">
        <is>
          <t>“SLC2943 Gen Defekti Olan Hastalarda Otofajinin İncelenmesi”</t>
        </is>
      </c>
    </row>
    <row r="766" ht="47.25" customHeight="1" s="221">
      <c r="A766" s="5" t="inlineStr">
        <is>
          <t>695.</t>
        </is>
      </c>
      <c r="B766" s="6" t="inlineStr">
        <is>
          <t>SBA 25/766</t>
        </is>
      </c>
      <c r="C766" s="8" t="inlineStr">
        <is>
          <t>Doç. Dr. Cem ÇÖTELİ</t>
        </is>
      </c>
      <c r="D766" s="7" t="inlineStr">
        <is>
          <t>“Cerrahi veya Perkütan Yolla Atriyal Septal Defekt Kapatılan Hastalarda Atriyal Taşikardinin Kateter Ablasyonunun Sonlanım Noktalarının İncelenmesi”</t>
        </is>
      </c>
    </row>
    <row r="767" ht="31.5" customHeight="1" s="221">
      <c r="A767" s="5" t="inlineStr">
        <is>
          <t>696.</t>
        </is>
      </c>
      <c r="B767" s="6" t="inlineStr">
        <is>
          <t>SBA 25/767</t>
        </is>
      </c>
      <c r="C767" s="8" t="inlineStr">
        <is>
          <t>Prof. Dr. Oğuz IŞIK</t>
        </is>
      </c>
      <c r="D767" s="7" t="inlineStr">
        <is>
          <t>“Bir Kamu Hastanesinin Acil Servisinde Yalın Yönetim Uygulaması”</t>
        </is>
      </c>
    </row>
    <row r="768" ht="47.25" customHeight="1" s="221">
      <c r="A768" s="5" t="inlineStr">
        <is>
          <t>697.</t>
        </is>
      </c>
      <c r="B768" s="6" t="inlineStr">
        <is>
          <t>SBA 25/768</t>
        </is>
      </c>
      <c r="C768" s="8" t="inlineStr">
        <is>
          <t>Prof. Dr. Cavit IŞIK</t>
        </is>
      </c>
      <c r="D768" s="7" t="inlineStr">
        <is>
          <t>“Ankara’da Bir İlçe Belediyesi Ana Hizmet Binasında Görev Yapan Belediye Çalışanlarının İklim Değişikliği Risk Algısının Değerlendirilmesi”</t>
        </is>
      </c>
    </row>
    <row r="769" ht="47.25" customHeight="1" s="221">
      <c r="A769" s="5" t="inlineStr">
        <is>
          <t>698.</t>
        </is>
      </c>
      <c r="B769" s="6" t="inlineStr">
        <is>
          <t>SBA 25/769</t>
        </is>
      </c>
      <c r="C769" s="8" t="inlineStr">
        <is>
          <t>Prof. Dr. Sıddıka Songül YALÇIN</t>
        </is>
      </c>
      <c r="D769" s="7" t="inlineStr">
        <is>
          <t>“Kalp Hastalığı Olan Çocukların Sağlık Durumları ile Ebeveynlerinin Yaşantılarının Uyum ve Mücadele Dinamiklerinin Nitel Analizi”</t>
        </is>
      </c>
    </row>
    <row r="770" ht="31.5" customHeight="1" s="221">
      <c r="A770" s="5" t="inlineStr">
        <is>
          <t>699.</t>
        </is>
      </c>
      <c r="B770" s="6" t="inlineStr">
        <is>
          <t>SBA 25/770</t>
        </is>
      </c>
      <c r="C770" s="8" t="inlineStr">
        <is>
          <t>Dr. Öğr. Üyesi Büşra KAPLAN</t>
        </is>
      </c>
      <c r="D770" s="7" t="inlineStr">
        <is>
          <t>"Diferansiye Tiroid Kanserlerinde Tedavi Öncesi Kan Sonuçlarının Prognostik Değerlendirmesi"</t>
        </is>
      </c>
    </row>
    <row r="771" ht="63" customHeight="1" s="221">
      <c r="A771" s="5" t="inlineStr">
        <is>
          <t>700.</t>
        </is>
      </c>
      <c r="B771" s="6" t="inlineStr">
        <is>
          <t>SBA 25/771</t>
        </is>
      </c>
      <c r="C771" s="8" t="inlineStr">
        <is>
          <t>Prof. Dr. Gülay SAİN GÜVEN</t>
        </is>
      </c>
      <c r="D771" s="7" t="inlineStr">
        <is>
          <t>“Hacettepe Üniversitesi Genel Dahiliye Polikliniğine Başvuran 40-65 Yaş Arası Bireylerde Kardiyovasküler Riskin Değerlendirilmesi ve Risk Farkındalığının İncelenmesi”</t>
        </is>
      </c>
    </row>
    <row r="772" ht="47.25" customHeight="1" s="221">
      <c r="A772" s="5" t="inlineStr">
        <is>
          <t>701.</t>
        </is>
      </c>
      <c r="B772" s="6" t="inlineStr">
        <is>
          <t>SBA 25/772</t>
        </is>
      </c>
      <c r="C772" s="8" t="inlineStr">
        <is>
          <t>Prof. Dr. Bülent Enis ŞEKEREL</t>
        </is>
      </c>
      <c r="D772" s="7" t="inlineStr">
        <is>
          <t>“Susam veya Kabuklu Ağaç Yemişi Alerjisi Olan Hastalarda Deri Prick Testi, Besin Spesifik IgE ve Dudak Teması Testine Dayalı Risk Skorlaması”</t>
        </is>
      </c>
    </row>
    <row r="773" ht="31.5" customHeight="1" s="221">
      <c r="A773" s="5" t="inlineStr">
        <is>
          <t>702.</t>
        </is>
      </c>
      <c r="B773" s="6" t="inlineStr">
        <is>
          <t>SBA 25/773</t>
        </is>
      </c>
      <c r="C773" s="8" t="inlineStr">
        <is>
          <t>Doç. Dr. Melis PEHLİVANTÜRK KIZILKAN</t>
        </is>
      </c>
      <c r="D773" s="7" t="inlineStr">
        <is>
          <t>“Çocuk Acile Başvuran İdrar Toksikolojisi Gönderilen Ergenlerin Ergen Sağlığı İzlemi”</t>
        </is>
      </c>
    </row>
    <row r="774" ht="47.25" customHeight="1" s="221">
      <c r="A774" s="5" t="inlineStr">
        <is>
          <t>703.</t>
        </is>
      </c>
      <c r="B774" s="6" t="inlineStr">
        <is>
          <t>SBA 25/774</t>
        </is>
      </c>
      <c r="C774" s="8" t="inlineStr">
        <is>
          <t>Prof. Dr. Emel UZUNOĞLU ÖZYÜREK</t>
        </is>
      </c>
      <c r="D774" s="7" t="inlineStr">
        <is>
          <t>“Farklı Kök Kanal Dolgu Materyallerinin Devital Beyazlatma Sonrası Renk Stabilitesi ve Fraktür Direnci Üzerine Etkileri: Laboratuvar Çalışması”</t>
        </is>
      </c>
    </row>
    <row r="775" ht="47.25" customHeight="1" s="221">
      <c r="A775" s="5" t="inlineStr">
        <is>
          <t>704.</t>
        </is>
      </c>
      <c r="B775" s="6" t="inlineStr">
        <is>
          <t>SBA 25/775</t>
        </is>
      </c>
      <c r="C775" s="8" t="inlineStr">
        <is>
          <t>Doç. Dr. Nadir YALÇIN</t>
        </is>
      </c>
      <c r="D775" s="7" t="inlineStr">
        <is>
          <t>“Bronkopulmoner Displazinin Erken Tanı ve Tedavi Sürecinin İzleminde Yapay Zeka Destekli Metabolomik Yaklaşımlar”</t>
        </is>
      </c>
    </row>
    <row r="776" ht="47.25" customHeight="1" s="221">
      <c r="A776" s="5" t="inlineStr">
        <is>
          <t>705.</t>
        </is>
      </c>
      <c r="B776" s="6" t="inlineStr">
        <is>
          <t>SBA 25/776</t>
        </is>
      </c>
      <c r="C776" s="8" t="inlineStr">
        <is>
          <t>Prof. Dr. Emel UZUNOĞLU ÖZYÜREK</t>
        </is>
      </c>
      <c r="D776" s="7" t="inlineStr">
        <is>
          <t>“Kök Kanal Dolgu Materyalleri ve İntraorifis Bariyer Materyali Etkileşiminin İntrakoronal Beyazlatma ve Kırılma Dayanımı Üzerindeki Etkisi: İn Vitro Çalışma”</t>
        </is>
      </c>
    </row>
    <row r="777" ht="63" customHeight="1" s="221">
      <c r="A777" s="5" t="inlineStr">
        <is>
          <t>706.</t>
        </is>
      </c>
      <c r="B777" s="6" t="inlineStr">
        <is>
          <t>SBA 25/777</t>
        </is>
      </c>
      <c r="C777" s="8" t="inlineStr">
        <is>
          <t>Prof. Dr. Dursun ALEHAN</t>
        </is>
      </c>
      <c r="D777" s="7" t="inlineStr">
        <is>
          <t>“Atriyal Septal Defekt Tanısı Olan Pediatrik Hastalarda Demografik, Klinik ve Ekokardiyografik Bulguların Değerlendirilmesi ile İzlem Sürecinde Bu Parametrelerdeki Değişikliklerin Araştırılması”</t>
        </is>
      </c>
    </row>
    <row r="778" ht="63" customHeight="1" s="221">
      <c r="A778" s="5" t="inlineStr">
        <is>
          <t>707.</t>
        </is>
      </c>
      <c r="B778" s="6" t="inlineStr">
        <is>
          <t>SBA 25/778</t>
        </is>
      </c>
      <c r="C778" s="8" t="inlineStr">
        <is>
          <t>Dr. Öğr. Üyesi Efecan ÇEKİÇ</t>
        </is>
      </c>
      <c r="D778" s="7" t="inlineStr">
        <is>
          <t>“Glioblastoma Multiforme Hastalarında Venöz Tromboembolizm ve Hidrosefali Risk Faktörlerinin Anlaşılması ve Rekürren Cerrahi Sonrası Komplikasyonların Belirlenmesi”</t>
        </is>
      </c>
    </row>
    <row r="779" ht="31.5" customHeight="1" s="221">
      <c r="A779" s="5" t="inlineStr">
        <is>
          <t>708.</t>
        </is>
      </c>
      <c r="B779" s="6" t="inlineStr">
        <is>
          <t>SBA 25/779</t>
        </is>
      </c>
      <c r="C779" s="8" t="inlineStr">
        <is>
          <t>Prof. Dr. Selçuk DAĞDELEN</t>
        </is>
      </c>
      <c r="D779" s="7" t="inlineStr">
        <is>
          <t>“Çocukluk Başlangıçlı Monogenik Sendromik Obezitenin Erişkin Dönem Klinik Seyri”</t>
        </is>
      </c>
    </row>
    <row r="780" ht="31.5" customHeight="1" s="221">
      <c r="A780" s="5" t="inlineStr">
        <is>
          <t>709.</t>
        </is>
      </c>
      <c r="B780" s="6" t="inlineStr">
        <is>
          <t>SBA 25/780</t>
        </is>
      </c>
      <c r="C780" s="8" t="inlineStr">
        <is>
          <t>Prof. Dr. Deniz ÇAĞDAŞ AYVAZ</t>
        </is>
      </c>
      <c r="D780" s="7" t="inlineStr">
        <is>
          <t>“Rasgrp1 Mutasyonu Olan Hastaların Klinik ve Laboratuvar Özelliklerinin Değerlendirilmesi ”</t>
        </is>
      </c>
    </row>
    <row r="781" ht="47.25" customHeight="1" s="221">
      <c r="A781" s="5" t="inlineStr">
        <is>
          <t>710.</t>
        </is>
      </c>
      <c r="B781" s="6" t="inlineStr">
        <is>
          <t>SBA 25/781</t>
        </is>
      </c>
      <c r="C781" s="8" t="inlineStr">
        <is>
          <t>Doç. Dr. Muhammed Bahaddin DURAK</t>
        </is>
      </c>
      <c r="D781" s="7" t="inlineStr">
        <is>
          <t>“İnflamatuar Barsak Hastalıklarında Komplikasyon ve Tedavi Direncinin Retrospektif Veriler Üzerinden Büyük Dil Modeli (LLM) ile Değerlendirilmesi”</t>
        </is>
      </c>
    </row>
    <row r="782" ht="47.25" customHeight="1" s="221">
      <c r="A782" s="5" t="inlineStr">
        <is>
          <t>711.</t>
        </is>
      </c>
      <c r="B782" s="6" t="inlineStr">
        <is>
          <t>SBA 25/782</t>
        </is>
      </c>
      <c r="C782" s="8" t="inlineStr">
        <is>
          <t>Doç. Dr. Neyran KERTMEN</t>
        </is>
      </c>
      <c r="D782" s="7" t="inlineStr">
        <is>
          <t>“IDH Mutant Düşük Gradeli Gliomların Cerrahi Tedavisi Sonrasıda Kullanılan Adjuvan Tedavi Modalitelirinin Karşılaştırılması”</t>
        </is>
      </c>
    </row>
    <row r="783" ht="31.5" customHeight="1" s="221">
      <c r="A783" s="5" t="inlineStr">
        <is>
          <t>712.</t>
        </is>
      </c>
      <c r="B783" s="6" t="inlineStr">
        <is>
          <t>SBA 25/783</t>
        </is>
      </c>
      <c r="C783" s="8" t="inlineStr">
        <is>
          <t>Prof. Dr. Meryem UZAMIŞ TEKÇİÇEK</t>
        </is>
      </c>
      <c r="D783" s="7" t="inlineStr">
        <is>
          <t>“İskelet Siliyopatisi Hastalarında Ağız Sağlığı Durumu Değerlendirilmesi”</t>
        </is>
      </c>
    </row>
    <row r="784" ht="47.25" customHeight="1" s="221">
      <c r="A784" s="5" t="inlineStr">
        <is>
          <t>713.</t>
        </is>
      </c>
      <c r="B784" s="6" t="inlineStr">
        <is>
          <t>SBA 25/784</t>
        </is>
      </c>
      <c r="C784" s="8" t="inlineStr">
        <is>
          <t>Doç. Dr. Ayşegül FIRAT</t>
        </is>
      </c>
      <c r="D784" s="7" t="inlineStr">
        <is>
          <t>“Os Hyoideum Anatomik Değerlendirmesi: Şekil, Füzyon, Gövde Genişliği ve Bunların Birbirleriyle Olan İlişkileri, Basit Bir Sınıflandırma Önerisiyle”</t>
        </is>
      </c>
    </row>
    <row r="785" ht="31.5" customHeight="1" s="221">
      <c r="A785" s="5" t="inlineStr">
        <is>
          <t>714.</t>
        </is>
      </c>
      <c r="B785" s="6" t="inlineStr">
        <is>
          <t>SBA 25/785</t>
        </is>
      </c>
      <c r="C785" s="8" t="inlineStr">
        <is>
          <t>Dr. Öğr. Üyesi Gizem ÜREL DEMİR</t>
        </is>
      </c>
      <c r="D785" s="7" t="inlineStr">
        <is>
          <t>“Klinefelter Sendromlu Hastalarda Klinik, Gelişimsel, Genetik ve Reprodüktif Özelliklerin Değerlendirilmesi”</t>
        </is>
      </c>
    </row>
    <row r="786" ht="47.25" customHeight="1" s="221">
      <c r="A786" s="5" t="inlineStr">
        <is>
          <t>715.</t>
        </is>
      </c>
      <c r="B786" s="6" t="inlineStr">
        <is>
          <t>SBA 25/786</t>
        </is>
      </c>
      <c r="C786" s="8" t="inlineStr">
        <is>
          <t>Prof. Dr. Salih Kutay DEMİRKAN</t>
        </is>
      </c>
      <c r="D786" s="7" t="inlineStr">
        <is>
          <t>“Geriatri Hekimlerinin Reçeteleme Kaskadı Hakkında Farkındalığı ve Yönetim Yaklaşımlarının Değerlendirilmesi: Ulusal Düzeyde Bir Çalışma”</t>
        </is>
      </c>
    </row>
    <row r="787" ht="47.25" customHeight="1" s="221">
      <c r="A787" s="5" t="inlineStr">
        <is>
          <t>716.</t>
        </is>
      </c>
      <c r="B787" s="6" t="inlineStr">
        <is>
          <t>SBA 25/787</t>
        </is>
      </c>
      <c r="C787" s="8" t="inlineStr">
        <is>
          <t>Prof. Dr. Yelda BİLGİNER</t>
        </is>
      </c>
      <c r="D787" s="7" t="inlineStr">
        <is>
          <t>“Çocuk Romatoloji Hastalarında Tümör Nekroz Faktör Alfa Blokör Tedavisinin Tiroid Fonksiyonu Üzerine Etkisinin Değerlendirilmesi”</t>
        </is>
      </c>
    </row>
    <row r="788" ht="47.25" customHeight="1" s="221">
      <c r="A788" s="5" t="inlineStr">
        <is>
          <t>717.</t>
        </is>
      </c>
      <c r="B788" s="6" t="inlineStr">
        <is>
          <t>SBA 25/788</t>
        </is>
      </c>
      <c r="C788" s="8" t="inlineStr">
        <is>
          <t>Öğr. Gör. Dr. Pınar ÖZDEMİR YAŞAR</t>
        </is>
      </c>
      <c r="D788" s="7" t="inlineStr">
        <is>
          <t>Minimal İnvaziv Kardiyak Cerrahi Uygulanan Pediatrik Hastalarda Anestezi Yönetimi: Tek Merkezli Olgu Serisi-Bireysel Araştırma”</t>
        </is>
      </c>
    </row>
    <row r="789" ht="31.5" customHeight="1" s="221">
      <c r="A789" s="5" t="inlineStr">
        <is>
          <t>718.</t>
        </is>
      </c>
      <c r="B789" s="6" t="inlineStr">
        <is>
          <t>SBA 25/789</t>
        </is>
      </c>
      <c r="C789" s="8" t="inlineStr">
        <is>
          <t>Dr. Öğr. Üyesi Mehmet YILDIRIM</t>
        </is>
      </c>
      <c r="D789" s="7" t="inlineStr">
        <is>
          <t>“Kritik Hastalarda Enteral Beslenme Hedeflerine Ulaşma Durumu ve Klinik Sonuçlarla İlişkisi”</t>
        </is>
      </c>
    </row>
    <row r="790" ht="47.25" customHeight="1" s="221">
      <c r="A790" s="5" t="inlineStr">
        <is>
          <t>719.</t>
        </is>
      </c>
      <c r="B790" s="6" t="inlineStr">
        <is>
          <t>SBA 25/790</t>
        </is>
      </c>
      <c r="C790" s="8" t="inlineStr">
        <is>
          <t>Prof. Dr. Cengiz KILIÇ</t>
        </is>
      </c>
      <c r="D790" s="7" t="inlineStr">
        <is>
          <t>“Mizofoninin Klinik Alt Türleri: Demografik Özellikler, Ruhsal ve Bedensel Ek Tanıların İki Aşamalı İncelenmesi”</t>
        </is>
      </c>
    </row>
    <row r="791" ht="31.5" customHeight="1" s="221">
      <c r="A791" s="5" t="inlineStr">
        <is>
          <t>720.</t>
        </is>
      </c>
      <c r="B791" s="6" t="inlineStr">
        <is>
          <t>SBA 25/791</t>
        </is>
      </c>
      <c r="C791" s="8" t="inlineStr">
        <is>
          <t>Prof. Dr. Hüseyin Hüsrev TURNAGÖL</t>
        </is>
      </c>
      <c r="D791" s="7" t="inlineStr">
        <is>
          <t>“Bireysel Sodyum Sitrat Tüketiminin Kadın Futbolcularda Tekrarlı Sprint Performansına Etkisi”</t>
        </is>
      </c>
    </row>
    <row r="792" ht="47.25" customHeight="1" s="221">
      <c r="A792" s="5" t="inlineStr">
        <is>
          <t>721.</t>
        </is>
      </c>
      <c r="B792" s="6" t="inlineStr">
        <is>
          <t>SBA 25/792</t>
        </is>
      </c>
      <c r="C792" s="8" t="inlineStr">
        <is>
          <t>Doç. Dr. Mesut ALTAN</t>
        </is>
      </c>
      <c r="D792" s="7" t="inlineStr">
        <is>
          <t>“Radikal Prostatektomiye Bağlı Erektil Disfonksiyon ve Preoperatif Hasta Bilgilendirme Düzeyinin Değerlendirilmesi”</t>
        </is>
      </c>
    </row>
    <row r="793" ht="47.25" customHeight="1" s="221">
      <c r="A793" s="5" t="inlineStr">
        <is>
          <t>722.</t>
        </is>
      </c>
      <c r="B793" s="6" t="inlineStr">
        <is>
          <t>SBA 25/793</t>
        </is>
      </c>
      <c r="C793" s="8" t="inlineStr">
        <is>
          <t>Doç. Dr. Selman KESİCİ</t>
        </is>
      </c>
      <c r="D793" s="7" t="inlineStr">
        <is>
          <t>“Konjenital Kalp Hastalıkları Ameliyatlarından Sonra Gelişen Akut Böbrek Hasarına Etki Eden Faktörlerin İncelenmesi”</t>
        </is>
      </c>
    </row>
    <row r="794" ht="63" customHeight="1" s="221">
      <c r="A794" s="5" t="inlineStr">
        <is>
          <t>723.</t>
        </is>
      </c>
      <c r="B794" s="6" t="inlineStr">
        <is>
          <t>SBA 25/794</t>
        </is>
      </c>
      <c r="C794" s="8" t="inlineStr">
        <is>
          <t>Doç. Dr. Duygu AYHAN BAŞER</t>
        </is>
      </c>
      <c r="D794" s="7" t="inlineStr">
        <is>
          <t>“Sanal Mentorluğun Dinamiklerini Keşfetmek: WONCA Araştırma Çalışma Grubu Programındaki Engeller, Kolaylaştırıcılar ve Mentor ve Danışanların Beklentileri Üzerine Betimleyici Bir Çalışma”</t>
        </is>
      </c>
    </row>
    <row r="795" ht="63" customHeight="1" s="221">
      <c r="A795" s="5" t="inlineStr">
        <is>
          <t>724.</t>
        </is>
      </c>
      <c r="B795" s="6" t="inlineStr">
        <is>
          <t>SBA 25/795</t>
        </is>
      </c>
      <c r="C795" s="8" t="inlineStr">
        <is>
          <t>Prof. Dr. Ayşe Tomris ERBAŞ</t>
        </is>
      </c>
      <c r="D795" s="7" t="inlineStr">
        <is>
          <t>“Akromegali ve Prolaktinoma Hastalarında Hepsidin, Eritroferron, Eritropoietin, Soluble Transferrin Reseptör ve Fibroblast Growth Faktör-23 Düzeyleri İle Hematolojik Parametrelerin İlişkisi”</t>
        </is>
      </c>
    </row>
    <row r="796" ht="47.25" customHeight="1" s="221">
      <c r="A796" s="5" t="inlineStr">
        <is>
          <t>725.</t>
        </is>
      </c>
      <c r="B796" s="6" t="inlineStr">
        <is>
          <t>SBA 25/796</t>
        </is>
      </c>
      <c r="C796" s="8" t="inlineStr">
        <is>
          <t>Dr. Öğr. Üyesi Irmak OCAK</t>
        </is>
      </c>
      <c r="D796" s="7" t="inlineStr">
        <is>
          <t>“Şeffaf Plak Ataşmanlarında Kullanılan Kompozit Rezinin Renklendirme Ajanı Uygulanması Sonrası Dayanıklılık ve Yüzey Özelliklerinin Karşılaştırılması”</t>
        </is>
      </c>
    </row>
    <row r="797" ht="78.75" customHeight="1" s="221">
      <c r="A797" s="5" t="inlineStr">
        <is>
          <t>726.</t>
        </is>
      </c>
      <c r="B797" s="6" t="inlineStr">
        <is>
          <t>SBA 25/797</t>
        </is>
      </c>
      <c r="C797" s="8" t="inlineStr">
        <is>
          <t>Doç. Dr. Naşide MANGIR BOLAT</t>
        </is>
      </c>
      <c r="D797" s="7" t="inlineStr">
        <is>
          <t>“Multipl Skleroz (MS) Tanılı Hastalarda MS Mesane Kontrol Aracı Kullanılarak Alt Üriner Sistem Semptomlarının Ön Değerlendirmesi ve Fonksiyonel Üroloji Polikliniğine Yönlendirme Kriterlerinin Belirlenmesi”</t>
        </is>
      </c>
    </row>
    <row r="798" ht="63" customHeight="1" s="221">
      <c r="A798" s="5" t="inlineStr">
        <is>
          <t>727.</t>
        </is>
      </c>
      <c r="B798" s="6" t="inlineStr">
        <is>
          <t>SBA 25/798</t>
        </is>
      </c>
      <c r="C798" s="8" t="inlineStr">
        <is>
          <t>Doç. Dr. Erdem FADILOĞLU</t>
        </is>
      </c>
      <c r="D798" s="7" t="inlineStr">
        <is>
          <t>“Antenatal Kortikosteroid Uygulanan Fetüslerde Fetal Pulmoner Ven Dopplerinin Longitudinal İzlemi ve Perinatal Sonuçlarla İlişkisi: Prospektif Kohort Çalışması”</t>
        </is>
      </c>
    </row>
    <row r="799" ht="31.5" customHeight="1" s="221">
      <c r="A799" s="5" t="inlineStr">
        <is>
          <t>728.</t>
        </is>
      </c>
      <c r="B799" s="6" t="inlineStr">
        <is>
          <t>SBA 25/799</t>
        </is>
      </c>
      <c r="C799" s="8" t="inlineStr">
        <is>
          <t>Doç. Dr. Erdal SAĞ</t>
        </is>
      </c>
      <c r="D799" s="7" t="inlineStr">
        <is>
          <t>“Tip 1 Interferonopati Tanılı Pediatrik Hastalarda Klinik ve Laboratuvar Bulguların Degerlendirilmesi”</t>
        </is>
      </c>
    </row>
    <row r="800" ht="31.5" customHeight="1" s="221">
      <c r="A800" s="5" t="inlineStr">
        <is>
          <t>729.</t>
        </is>
      </c>
      <c r="B800" s="6" t="inlineStr">
        <is>
          <t>SBA 25/800</t>
        </is>
      </c>
      <c r="C800" s="8" t="inlineStr">
        <is>
          <t>Doç. Dr. Galip Gencay ÜSTÜN</t>
        </is>
      </c>
      <c r="D800" s="7" t="inlineStr">
        <is>
          <t>“Türkiye'de Dudak ve Damak Yarıklarının Epidemiyoloji”</t>
        </is>
      </c>
    </row>
    <row r="801" ht="47.25" customHeight="1" s="221">
      <c r="A801" s="5" t="inlineStr">
        <is>
          <t>730.</t>
        </is>
      </c>
      <c r="B801" s="6" t="inlineStr">
        <is>
          <t>SBA 25/801</t>
        </is>
      </c>
      <c r="C801" s="8" t="inlineStr">
        <is>
          <t>Doç. Dr. Utku AKGÖR</t>
        </is>
      </c>
      <c r="D801" s="7" t="inlineStr">
        <is>
          <t>“Nadir Bir Over Tümörü: Ovaryen Fibrosarkom ve Mitotik Aktif Fibrom Olgularının Klinikopatolojik İncelemesi”</t>
        </is>
      </c>
    </row>
    <row r="802" ht="31.5" customHeight="1" s="221">
      <c r="A802" s="5" t="inlineStr">
        <is>
          <t>731.</t>
        </is>
      </c>
      <c r="B802" s="6" t="inlineStr">
        <is>
          <t>SBA 25/802</t>
        </is>
      </c>
      <c r="C802" s="8" t="inlineStr">
        <is>
          <t>Doç. Dr. Derman BAŞARAN</t>
        </is>
      </c>
      <c r="D802" s="7" t="inlineStr">
        <is>
          <t>“Adneksiyel Torsiyon Tanısında Manyetik Rezonans Görüntülemenin Yeri”</t>
        </is>
      </c>
    </row>
    <row r="803" ht="47.25" customHeight="1" s="221">
      <c r="A803" s="5" t="inlineStr">
        <is>
          <t>732.</t>
        </is>
      </c>
      <c r="B803" s="6" t="inlineStr">
        <is>
          <t>SBA 25/803</t>
        </is>
      </c>
      <c r="C803" s="8" t="inlineStr">
        <is>
          <t>Doç. Dr. Duygu AYHAN BAŞER</t>
        </is>
      </c>
      <c r="D803" s="7" t="inlineStr">
        <is>
          <t>“Patient Enablement Instrument (PEI)” Hasta Yetkilendirme Ölçeğinin Türkçe Geçerlilik ve Güvenilirlik Çalışması”</t>
        </is>
      </c>
    </row>
    <row r="804" ht="47.25" customHeight="1" s="221">
      <c r="A804" s="5" t="inlineStr">
        <is>
          <t>733.</t>
        </is>
      </c>
      <c r="B804" s="6" t="inlineStr">
        <is>
          <t>SBA 25/804</t>
        </is>
      </c>
      <c r="C804" s="8" t="inlineStr">
        <is>
          <t>Doç. Dr. Baran ERMAN</t>
        </is>
      </c>
      <c r="D804" s="7" t="inlineStr">
        <is>
          <t>“Primer Atopik Hastalıklarda Yardımcı T Hücre 2 Yanıtının Multiomik Yaklaşımla Ayrıntılı Olarak Değerlendirilmesi”</t>
        </is>
      </c>
    </row>
    <row r="805" ht="47.25" customHeight="1" s="221">
      <c r="A805" s="5" t="inlineStr">
        <is>
          <t>734.</t>
        </is>
      </c>
      <c r="B805" s="6" t="inlineStr">
        <is>
          <t>SBA 25/805</t>
        </is>
      </c>
      <c r="C805" s="8" t="inlineStr">
        <is>
          <t>Dr. Öğr. Üyesi Yağmur ÜNSAL</t>
        </is>
      </c>
      <c r="D805" s="7" t="inlineStr">
        <is>
          <t>“Monogenik Obezite ile İlişkili Varyant Saptanmış Erken Başlangıçlı Ciddi Obezitesi Olan Çocuklarda Klinik Ayırıcı Özelliklerin Belirlenmesi”</t>
        </is>
      </c>
    </row>
    <row r="806" ht="47.25" customHeight="1" s="221">
      <c r="A806" s="5" t="inlineStr">
        <is>
          <t>735.</t>
        </is>
      </c>
      <c r="B806" s="6" t="inlineStr">
        <is>
          <t>SBA 25/806</t>
        </is>
      </c>
      <c r="C806" s="8" t="inlineStr">
        <is>
          <t>Prof. Dr. Dilek ASLAN</t>
        </is>
      </c>
      <c r="D806" s="7" t="inlineStr">
        <is>
          <t>“Sağır ve İşitme Yetersizliği Olan Bireylerin Sağlıkla İlgili Bilgi Gereksinimlerini Karşılamaya Yönelik Görsel ve İşitsel Medya İçeriklerinin Geliştirilmesi Projesi”</t>
        </is>
      </c>
    </row>
    <row r="807" ht="63" customHeight="1" s="221">
      <c r="A807" s="5" t="inlineStr">
        <is>
          <t>736.</t>
        </is>
      </c>
      <c r="B807" s="6" t="inlineStr">
        <is>
          <t>SBA 25/807</t>
        </is>
      </c>
      <c r="C807" s="8" t="inlineStr">
        <is>
          <t>Doç. Dr. Naşide MANGIR BOLAT</t>
        </is>
      </c>
      <c r="D807" s="7" t="inlineStr">
        <is>
          <t>“Üroloji Aalnında Çalışan Erkek Sağlık Profesyonellerinde Oturarak ve Ayakta İşeme Pozisyonlarının Üroflovmetrik Parametrelere Etkisinin Değerlendirilmesi”</t>
        </is>
      </c>
    </row>
    <row r="808" ht="47.25" customHeight="1" s="221">
      <c r="A808" s="5" t="inlineStr">
        <is>
          <t>737.</t>
        </is>
      </c>
      <c r="B808" s="6" t="inlineStr">
        <is>
          <t>SBA 25/808</t>
        </is>
      </c>
      <c r="C808" s="8" t="inlineStr">
        <is>
          <t>Prof. Dr. Ali Bülent ÇANKAYA</t>
        </is>
      </c>
      <c r="D808" s="7" t="inlineStr">
        <is>
          <t>“Kronik Obstrüktif Akciğer Hastalığının Oküler Mikrovasküler ParametrelerÜzerine Etkilerinin Değerlendirilmesi”</t>
        </is>
      </c>
    </row>
    <row r="809" ht="47.25" customHeight="1" s="221">
      <c r="A809" s="5" t="inlineStr">
        <is>
          <t>738.</t>
        </is>
      </c>
      <c r="B809" s="6" t="inlineStr">
        <is>
          <t>SBA 25/809</t>
        </is>
      </c>
      <c r="C809" s="8" t="inlineStr">
        <is>
          <t>Prof. Dr. Onur KESKİN</t>
        </is>
      </c>
      <c r="D809" s="7" t="inlineStr">
        <is>
          <t>“Hepatosellüler Karsinom Tanılı Hastalarda Küratif Tedavi Al(a)mamasına Rağmen Uzun Süre Sağkalım Sağlanabilmiş Hastaların Klinik Özellikleri”</t>
        </is>
      </c>
    </row>
    <row r="810" ht="47.25" customHeight="1" s="221">
      <c r="A810" s="5" t="inlineStr">
        <is>
          <t>739.</t>
        </is>
      </c>
      <c r="B810" s="6" t="inlineStr">
        <is>
          <t>SBA 25/810</t>
        </is>
      </c>
      <c r="C810" s="8" t="inlineStr">
        <is>
          <t>Dr. Öğr. Üyesi Yağmur ÜNSAL</t>
        </is>
      </c>
      <c r="D810" s="7" t="inlineStr">
        <is>
          <t>“Çocukluk Çağında Tanı Alan Adrenokortikal Tümörlerde Mitotan Kullanımının Endokrin Yan Etkilerinin İncelenmesi”</t>
        </is>
      </c>
    </row>
    <row r="811" ht="47.25" customHeight="1" s="221">
      <c r="A811" s="5" t="inlineStr">
        <is>
          <t>740.</t>
        </is>
      </c>
      <c r="B811" s="6" t="inlineStr">
        <is>
          <t>SBA 25/811</t>
        </is>
      </c>
      <c r="C811" s="8" t="inlineStr">
        <is>
          <t>Prof. Dr. Meltem Gülhan HALİL</t>
        </is>
      </c>
      <c r="D811" s="7" t="inlineStr">
        <is>
          <t>“Hastanede Yatan ve Nütrisyon Tedavisi alan Hastalarda Aspirasyon Pnömonisi ile İlişkili Faktörler: Retrospektif Kohort Çalışması”</t>
        </is>
      </c>
    </row>
    <row r="812" ht="47.25" customHeight="1" s="221">
      <c r="A812" s="5" t="inlineStr">
        <is>
          <t>741.</t>
        </is>
      </c>
      <c r="B812" s="6" t="inlineStr">
        <is>
          <t>SBA 25/812</t>
        </is>
      </c>
      <c r="C812" s="8" t="inlineStr">
        <is>
          <t>Prof. Dr. Bilgehan YALÇIN</t>
        </is>
      </c>
      <c r="D812" s="7" t="inlineStr">
        <is>
          <t>“Pediatrik AdrenokortikalTümörler İçin Avrupa-Çapında Araştırma İnisiyatifi-Hastalığı Kavrama ve Tedavi Sonuçlarını Geliştirme”</t>
        </is>
      </c>
    </row>
    <row r="813" ht="63" customHeight="1" s="221">
      <c r="A813" s="5" t="inlineStr">
        <is>
          <t>742.</t>
        </is>
      </c>
      <c r="B813" s="6" t="inlineStr">
        <is>
          <t>SBA 25/813</t>
        </is>
      </c>
      <c r="C813" s="8" t="inlineStr">
        <is>
          <t>Doç. Dr. Seda Hanife OĞUZ BAYKAL</t>
        </is>
      </c>
      <c r="D813" s="7" t="inlineStr">
        <is>
          <t>“Nükleer Tıp Görüntüleme Yöntemleri ile Saptanan İnsidental Papiller Tiroid Mikrokarsinomlarının Klinikopatolojik Özelliklerinin Diğer Saptanma Yöntemleriyle Karşılaştırıması”</t>
        </is>
      </c>
    </row>
    <row r="814" ht="31.5" customHeight="1" s="221">
      <c r="A814" s="5" t="inlineStr">
        <is>
          <t>743.</t>
        </is>
      </c>
      <c r="B814" s="6" t="inlineStr">
        <is>
          <t>SBA 25/814</t>
        </is>
      </c>
      <c r="C814" s="8" t="inlineStr">
        <is>
          <t>Prof. Dr. Bülent Enis ŞEKEREL</t>
        </is>
      </c>
      <c r="D814" s="7" t="inlineStr">
        <is>
          <t>“Alerjik Çocuklarda Bileşene Dayalı Moleküler Test ile Alerjene Özgü IgE Duyarlılık Profilinin İncelenmesi”</t>
        </is>
      </c>
    </row>
    <row r="815" ht="78.75" customHeight="1" s="221">
      <c r="A815" s="5" t="inlineStr">
        <is>
          <t>744.</t>
        </is>
      </c>
      <c r="B815" s="6" t="inlineStr">
        <is>
          <t>SBA 25/815</t>
        </is>
      </c>
      <c r="C815" s="8" t="inlineStr">
        <is>
          <t>Prof. Dr. Meltem AKKAŞ</t>
        </is>
      </c>
      <c r="D815" s="7" t="inlineStr">
        <is>
          <t>“Sonografik Sol Ventrikül Çıkış Yolu Hız Zaman İntegrali Değerlendirmesi ile Hesaplanan Kalp Debisinin Akut Kalp Yetmezliği Tedavisinde Diüretik Direnci Göstergesi Olan Spot İdrar Sodyumu Ölçümü ile İlişkisinin İncelenmesi”</t>
        </is>
      </c>
    </row>
    <row r="816" ht="63" customHeight="1" s="221">
      <c r="A816" s="5" t="inlineStr">
        <is>
          <t>745.</t>
        </is>
      </c>
      <c r="B816" s="6" t="inlineStr">
        <is>
          <t>SBA 25/816</t>
        </is>
      </c>
      <c r="C816" s="8" t="inlineStr">
        <is>
          <t>Prof. Dr. Mehmet Akif TOPÇUOĞLU</t>
        </is>
      </c>
      <c r="D816" s="7" t="inlineStr">
        <is>
          <t>“Akut İskemik İnme Hastalarında “Genel Obezite”, “Santral Obezite” ve “Adipozite” İndekslerinin İnme Fenotipi, Aterosklerotik Arter Hastalıkları ve Prognoza Etkisi: Prospektif Çalışma”</t>
        </is>
      </c>
    </row>
    <row r="817" ht="78.75" customHeight="1" s="221">
      <c r="A817" s="5" t="inlineStr">
        <is>
          <t>746.</t>
        </is>
      </c>
      <c r="B817" s="6" t="inlineStr">
        <is>
          <t>SBA 25/817</t>
        </is>
      </c>
      <c r="C817" s="8" t="inlineStr">
        <is>
          <t>Dr. Öğr. Üyesi Gonca ÖZTEN DERE</t>
        </is>
      </c>
      <c r="D817" s="7" t="inlineStr">
        <is>
          <t>“1 Ocak 2016 - 31 Temmuz 2024 Yılları Arasında Doğum Yapmış Çoğul Gebeliği Olan Hastalarda; Gebeliklerinin Spontan ve Yardımcı Üreme Teknikleri Sonrası Gelişmesi Durumuna Göre Prenatal ve Postnatal Sonuçlarının Değerlendirilmesi”</t>
        </is>
      </c>
    </row>
    <row r="818" ht="31.5" customHeight="1" s="221">
      <c r="A818" s="5" t="inlineStr">
        <is>
          <t>747.</t>
        </is>
      </c>
      <c r="B818" s="6" t="inlineStr">
        <is>
          <t>SBA 25/818</t>
        </is>
      </c>
      <c r="C818" s="8" t="inlineStr">
        <is>
          <t>Prof. Dr. Nilgün KURUCU</t>
        </is>
      </c>
      <c r="D818" s="7" t="inlineStr">
        <is>
          <t>“Çocukluk Çağı Malign Karaciğer Tümörlü Hastalarının Retrospektif Analizi”</t>
        </is>
      </c>
    </row>
    <row r="819" ht="31.5" customHeight="1" s="221">
      <c r="A819" s="5" t="inlineStr">
        <is>
          <t>748.</t>
        </is>
      </c>
      <c r="B819" s="6" t="inlineStr">
        <is>
          <t>SBA 25/819</t>
        </is>
      </c>
      <c r="C819" s="8" t="inlineStr">
        <is>
          <t>Prof. Dr. Bülent Enis ŞEKEREL</t>
        </is>
      </c>
      <c r="D819" s="7" t="inlineStr">
        <is>
          <t>“IgE Aracılı Kabak Çekirdeği Alerjisinin Moleküler Karakterizasyonu”</t>
        </is>
      </c>
    </row>
    <row r="820" ht="47.25" customHeight="1" s="221">
      <c r="A820" s="5" t="inlineStr">
        <is>
          <t>749.</t>
        </is>
      </c>
      <c r="B820" s="6" t="inlineStr">
        <is>
          <t>SBA 25/820</t>
        </is>
      </c>
      <c r="C820" s="8" t="inlineStr">
        <is>
          <t>Doç. Dr. Cem ÇÖTELİ</t>
        </is>
      </c>
      <c r="D820" s="7" t="inlineStr">
        <is>
          <t>“Atriyal Fibrilasyon Ablasyonu Planlanan Hastalarda Sol Atriyal Apendikste Trombüs Oluşumunun Öngorülmesi”</t>
        </is>
      </c>
    </row>
    <row r="821" ht="63" customHeight="1" s="221">
      <c r="A821" s="5" t="inlineStr">
        <is>
          <t>750.</t>
        </is>
      </c>
      <c r="B821" s="6" t="inlineStr">
        <is>
          <t>SBA 25/821</t>
        </is>
      </c>
      <c r="C821" s="8" t="inlineStr">
        <is>
          <t>Prof. Dr. Sertaç AK</t>
        </is>
      </c>
      <c r="D821" s="7" t="inlineStr">
        <is>
          <t>“Madde Kullanım Bozukluğu Hastalarında Yaygın Tek Nükleotid Polimorfizmlerinin Sıklığının Belirlenmesi ve Bunların Madde Kullanımını Yordayan Alt Özelliklerle İlişkileri”</t>
        </is>
      </c>
    </row>
    <row r="822" ht="31.5" customHeight="1" s="221">
      <c r="A822" s="5" t="inlineStr">
        <is>
          <t>751.</t>
        </is>
      </c>
      <c r="B822" s="6" t="inlineStr">
        <is>
          <t>SBA 25/822</t>
        </is>
      </c>
      <c r="C822" s="8" t="inlineStr">
        <is>
          <t>Öğr. Gör. Dr. Ergin EROĞLU</t>
        </is>
      </c>
      <c r="D822" s="7" t="inlineStr">
        <is>
          <t>“Koklear Hipoplazili Hastalarda Fasiyal Sinir Seyrinin Değerlendirilmesi”</t>
        </is>
      </c>
    </row>
    <row r="823" ht="31.5" customHeight="1" s="221">
      <c r="A823" s="5" t="inlineStr">
        <is>
          <t>752.</t>
        </is>
      </c>
      <c r="B823" s="6" t="inlineStr">
        <is>
          <t>SBA 25/823</t>
        </is>
      </c>
      <c r="C823" s="8" t="inlineStr">
        <is>
          <t>Prof. Dr. Bülent Enis ŞEKEREL</t>
        </is>
      </c>
      <c r="D823" s="7" t="inlineStr">
        <is>
          <t>“Çocuklarda Mantar Duyarlılık Profili ve Klinik ile İlişkisi”</t>
        </is>
      </c>
    </row>
    <row r="824">
      <c r="A824" s="5" t="inlineStr">
        <is>
          <t>753.</t>
        </is>
      </c>
      <c r="B824" s="6" t="inlineStr">
        <is>
          <t>SBA 25/824</t>
        </is>
      </c>
      <c r="C824" s="8" t="inlineStr">
        <is>
          <t>Doç. Dr. Kısmet ÇIKI</t>
        </is>
      </c>
      <c r="D824" s="7" t="inlineStr">
        <is>
          <t>“Molibden Kofaktor Eksikligi-Tek Merkez Deneyimi”</t>
        </is>
      </c>
    </row>
    <row r="825" ht="31.5" customHeight="1" s="221">
      <c r="A825" s="5" t="inlineStr">
        <is>
          <t>754.</t>
        </is>
      </c>
      <c r="B825" s="6" t="inlineStr">
        <is>
          <t>SBA 25/825</t>
        </is>
      </c>
      <c r="C825" s="8" t="inlineStr">
        <is>
          <t>Öğr. Gör. Dr. Ergin EROĞLU</t>
        </is>
      </c>
      <c r="D825" s="7" t="inlineStr">
        <is>
          <t>“CHARGE Sendromlu Hastalarda Kokleanın Yerleşiminin Değerlendirilmesi”</t>
        </is>
      </c>
    </row>
    <row r="826" ht="63" customHeight="1" s="221">
      <c r="A826" s="5" t="inlineStr">
        <is>
          <t>755.</t>
        </is>
      </c>
      <c r="B826" s="6" t="inlineStr">
        <is>
          <t>SBA 25/826</t>
        </is>
      </c>
      <c r="C826" s="8" t="inlineStr">
        <is>
          <t>Doç. Dr. Burcu ERSÖZ ALAN</t>
        </is>
      </c>
      <c r="D826" s="7" t="inlineStr">
        <is>
          <t>“Major Depresif Bozukluğu Olan Ergenlerde Kendine Zarar Verme Davranışı ile Ebeveynlerinin Duygu Düzenleme Becerileri ve Aile İşlevselliği Arasındaki İlişki”</t>
        </is>
      </c>
    </row>
    <row r="827" ht="78.75" customHeight="1" s="221">
      <c r="A827" s="5" t="inlineStr">
        <is>
          <t>756.</t>
        </is>
      </c>
      <c r="B827" s="6" t="inlineStr">
        <is>
          <t>SBA 25/827</t>
        </is>
      </c>
      <c r="C827" s="8" t="inlineStr">
        <is>
          <t>Prof. Dr. Ali Bülent ÇANKAYA</t>
        </is>
      </c>
      <c r="D827" s="7" t="inlineStr">
        <is>
          <t>“Katarakt Cerrahisinde Preoperatif Chord mu ve Chord alpha Referansı ile Yerleştirilen İntraoküler Göz İçi Mercek Santralizasyonunun Postoperatif Mikroperimetrik İki Değişkenli Eliptik Kontur Alan Sapma Açısı ile Değerlendirilmesi”</t>
        </is>
      </c>
    </row>
    <row r="828" ht="47.25" customHeight="1" s="221">
      <c r="A828" s="5" t="inlineStr">
        <is>
          <t>757.</t>
        </is>
      </c>
      <c r="B828" s="6" t="inlineStr">
        <is>
          <t>SBA 25/828</t>
        </is>
      </c>
      <c r="C828" s="8" t="inlineStr">
        <is>
          <t>Dr. Öğr. Üyesi Cenk Ahmet AKCAN</t>
        </is>
      </c>
      <c r="D828" s="7" t="inlineStr">
        <is>
          <t>“Sınıf 3 Uzun Yüz Tipine Sahip Hastalarda Cerrahi Planlamanın Barcelona Çizgisi ve Gerçek Dikey Çizgi Açısından Karşılaştırmalı Değerlendirilmesi”</t>
        </is>
      </c>
    </row>
    <row r="829" ht="31.5" customHeight="1" s="221">
      <c r="A829" s="5" t="inlineStr">
        <is>
          <t>758.</t>
        </is>
      </c>
      <c r="B829" s="6" t="inlineStr">
        <is>
          <t>SBA 25/829</t>
        </is>
      </c>
      <c r="C829" s="8" t="inlineStr">
        <is>
          <t>Prof. Dr. Hayriye Uğur ÖZÇELİK</t>
        </is>
      </c>
      <c r="D829" s="7" t="inlineStr">
        <is>
          <t>“Abdominal Tüberküloz Tanısı ile İzlenen Çocukların Klinik ve Laboratuar Özelliklerinin Değerlendirilmesi”</t>
        </is>
      </c>
    </row>
    <row r="830" ht="63" customHeight="1" s="221">
      <c r="A830" s="5" t="inlineStr">
        <is>
          <t>759.</t>
        </is>
      </c>
      <c r="B830" s="6" t="inlineStr">
        <is>
          <t>SBA 25/830</t>
        </is>
      </c>
      <c r="C830" s="8" t="inlineStr">
        <is>
          <t>Prof. Dr. Devrim AKDEMİR</t>
        </is>
      </c>
      <c r="D830" s="7" t="inlineStr">
        <is>
          <t>“Dikkat Eksikliği Hiperaktivite Bozukluğu Olan Ergenlerde Duyusal İşlemleme Özellikleri, Zihin Kuramı Becerileri ve Bilinçli Farkındalık Düzeylerinin Akran Zorbalığı İle İlişkisi”</t>
        </is>
      </c>
    </row>
    <row r="831" ht="47.25" customHeight="1" s="221">
      <c r="A831" s="5" t="inlineStr">
        <is>
          <t>760.</t>
        </is>
      </c>
      <c r="B831" s="6" t="inlineStr">
        <is>
          <t>SBA 25/831</t>
        </is>
      </c>
      <c r="C831" s="8" t="inlineStr">
        <is>
          <t>Prof. Dr. Hayriye Uğur ÖZÇELİK</t>
        </is>
      </c>
      <c r="D831" s="7" t="inlineStr">
        <is>
          <t>“Covid-19 Pandemisinin Toplumdan Kazanılmış Pnömoni Etkenlerinin Epidemiyolojisine Etkisi: Retrospektif Bir Gözlemsel Çalışma”</t>
        </is>
      </c>
    </row>
    <row r="832" ht="63" customHeight="1" s="221">
      <c r="A832" s="5" t="inlineStr">
        <is>
          <t>761.</t>
        </is>
      </c>
      <c r="B832" s="6" t="inlineStr">
        <is>
          <t>SBA 25/832</t>
        </is>
      </c>
      <c r="C832" s="8" t="inlineStr">
        <is>
          <t>Doç. Dr. Utku AKGÖR</t>
        </is>
      </c>
      <c r="D832" s="7" t="inlineStr">
        <is>
          <t>“Malign Potansiyeli Belirsiz Uterus Düz Kas Tümörleri ile Erken Evre Leiomyosarkomda Rekürrensi ve Prognozu Öngörmede Klinik ve Histopatolojik Prediktörler”</t>
        </is>
      </c>
    </row>
    <row r="833" ht="31.5" customHeight="1" s="221">
      <c r="A833" s="5" t="inlineStr">
        <is>
          <t>762.</t>
        </is>
      </c>
      <c r="B833" s="6" t="inlineStr">
        <is>
          <t>SBA 25/833</t>
        </is>
      </c>
      <c r="C833" s="8" t="inlineStr">
        <is>
          <t>Prof. Dr. Murat GÜLTEKİN</t>
        </is>
      </c>
      <c r="D833" s="7" t="inlineStr">
        <is>
          <t>“Papivir Kullanımının HPV Pozitif Kadınlarda Viral Klirense Etkisi”</t>
        </is>
      </c>
    </row>
    <row r="834" ht="31.5" customHeight="1" s="221">
      <c r="A834" s="5" t="inlineStr">
        <is>
          <t>763.</t>
        </is>
      </c>
      <c r="B834" s="6" t="inlineStr">
        <is>
          <t>SBA 25/834</t>
        </is>
      </c>
      <c r="C834" s="8" t="inlineStr">
        <is>
          <t>Doç. Dr. Zuhal AKÇÖREN</t>
        </is>
      </c>
      <c r="D834" s="7" t="inlineStr">
        <is>
          <t>“Pediatri Günübirlik Tedavi Servisinde İzlenen Tıbbi Olarak Karmaşık Çocukların Değerlendirilmesi”</t>
        </is>
      </c>
    </row>
    <row r="835" ht="47.25" customHeight="1" s="221">
      <c r="A835" s="5" t="inlineStr">
        <is>
          <t>764.</t>
        </is>
      </c>
      <c r="B835" s="6" t="inlineStr">
        <is>
          <t>SBA 25/835</t>
        </is>
      </c>
      <c r="C835" s="8" t="inlineStr">
        <is>
          <t>Prof. Dr. Orhan ODABAŞI</t>
        </is>
      </c>
      <c r="D835" s="7" t="inlineStr">
        <is>
          <t>“Tıp Fakültesi Öğrencilerinde İleri Kardiyak Yaşam Desteği Eğitiminde Oyun Kartları ile Öğrenmenin Değerlendirilmesi”</t>
        </is>
      </c>
    </row>
    <row r="836" ht="47.25" customHeight="1" s="221">
      <c r="A836" s="5" t="inlineStr">
        <is>
          <t>765.</t>
        </is>
      </c>
      <c r="B836" s="6" t="inlineStr">
        <is>
          <t>SBA 25/836</t>
        </is>
      </c>
      <c r="C836" s="8" t="inlineStr">
        <is>
          <t>Prof. Dr. Hayriye Uğur ÖZÇELİK</t>
        </is>
      </c>
      <c r="D836" s="7" t="inlineStr">
        <is>
          <t>“Kistik Fibroziste Kistik Fibrozis Transmembran Regülator Modülatör Tedavinin Etkili Olmama Nedenlerinin İncelenmesi”</t>
        </is>
      </c>
    </row>
    <row r="837" ht="63" customHeight="1" s="221">
      <c r="A837" s="5" t="inlineStr">
        <is>
          <t>766.</t>
        </is>
      </c>
      <c r="B837" s="6" t="inlineStr">
        <is>
          <t>SBA 25/837</t>
        </is>
      </c>
      <c r="C837" s="8" t="inlineStr">
        <is>
          <t>Doç. Dr. Ebru UÇAKTÜRK</t>
        </is>
      </c>
      <c r="D837" s="7" t="inlineStr">
        <is>
          <t>“Büyüme Hormonu Salgılama Hormonu ve Analoglarının İdrarda Nano Sıvı Kromatografisi Kuadrupol/Orbitrap Kütle Spektrometrisi Kullanılarak Analizi”</t>
        </is>
      </c>
    </row>
    <row r="838" ht="31.5" customHeight="1" s="221">
      <c r="A838" s="5" t="inlineStr">
        <is>
          <t>767.</t>
        </is>
      </c>
      <c r="B838" s="6" t="inlineStr">
        <is>
          <t>SBA 25/838</t>
        </is>
      </c>
      <c r="C838" s="8" t="inlineStr">
        <is>
          <t>Doç. Dr. Ayşegül FIRAT</t>
        </is>
      </c>
      <c r="D838" s="7" t="inlineStr">
        <is>
          <t>“Arteria Hepatica Sınıflamasının Radyolojik Olarak İncelenmesi”</t>
        </is>
      </c>
    </row>
    <row r="839" ht="47.25" customHeight="1" s="221">
      <c r="A839" s="5" t="inlineStr">
        <is>
          <t>768.</t>
        </is>
      </c>
      <c r="B839" s="6" t="inlineStr">
        <is>
          <t>SBA 25/839</t>
        </is>
      </c>
      <c r="C839" s="8" t="inlineStr">
        <is>
          <t>Doç. Dr. Emre ÜNAL</t>
        </is>
      </c>
      <c r="D839" s="7" t="inlineStr">
        <is>
          <t>“Malign Kemik Lezyonlarının Tedavisinde Perkütan Osteosentez ve Sementoplastinin Rolü ve Tedavi Sonuçlarının Değerlendirilmesi”</t>
        </is>
      </c>
    </row>
    <row r="840" ht="31.5" customHeight="1" s="221">
      <c r="A840" s="5" t="inlineStr">
        <is>
          <t>769.</t>
        </is>
      </c>
      <c r="B840" s="6" t="inlineStr">
        <is>
          <t>SBA 25/840</t>
        </is>
      </c>
      <c r="C840" s="8" t="inlineStr">
        <is>
          <t>Prof. Dr. İlkan TATAR</t>
        </is>
      </c>
      <c r="D840" s="7" t="inlineStr">
        <is>
          <t>“Ligamentum Falciforme Hepatis Radyolojik Anatomisi: Morfometri ve Yağ Dokusu İlişkisi”</t>
        </is>
      </c>
    </row>
    <row r="841" ht="63" customHeight="1" s="221">
      <c r="A841" s="5" t="inlineStr">
        <is>
          <t>770.</t>
        </is>
      </c>
      <c r="B841" s="6" t="inlineStr">
        <is>
          <t>SBA 25/841</t>
        </is>
      </c>
      <c r="C841" s="8" t="inlineStr">
        <is>
          <t>Dr. Öğr. Üyesi Oğuzhan KATAR</t>
        </is>
      </c>
      <c r="D841" s="7" t="inlineStr">
        <is>
          <t>“Kulak Burun Boğaz Hastalarının Cerrahi Müdahaleler Hakkında Sık Sordukları Sorulara Büyük Dil Modelleri ve Uzmanlarının Verdiği Cevapların Hasta Bakış Açısından Karşılaştırılması”</t>
        </is>
      </c>
    </row>
    <row r="842" ht="47.25" customHeight="1" s="221">
      <c r="A842" s="5" t="inlineStr">
        <is>
          <t>771.</t>
        </is>
      </c>
      <c r="B842" s="6" t="inlineStr">
        <is>
          <t>SBA 25/842</t>
        </is>
      </c>
      <c r="C842" s="8" t="inlineStr">
        <is>
          <t>Dr. Öğr. Üyesi Oğuzhan KATAR</t>
        </is>
      </c>
      <c r="D842" s="7" t="inlineStr">
        <is>
          <t>“Farklı Büyük Dil Modellerinin Benign Larinks Patolojileri Hakkındaki Sorulara Verdiği Cevapların Doğruluklarının Araştırılması”</t>
        </is>
      </c>
    </row>
    <row r="843" ht="47.25" customHeight="1" s="221">
      <c r="A843" s="5" t="inlineStr">
        <is>
          <t>772.</t>
        </is>
      </c>
      <c r="B843" s="6" t="inlineStr">
        <is>
          <t>SBA 25/843</t>
        </is>
      </c>
      <c r="C843" s="8" t="inlineStr">
        <is>
          <t>Prof. Dr Deniz DOĞRU ERSÖZ</t>
        </is>
      </c>
      <c r="D843" s="7" t="inlineStr">
        <is>
          <t>“Plöroparenkimal Fibroelastozis Tanılı Pediatrik Olguların Klinik, Radyolojik ve Tanı Süreçlerinin Değerlendirilmesi: Üç Olguluk Retrospektif Vaka Serisi”</t>
        </is>
      </c>
    </row>
    <row r="844" ht="31.5" customHeight="1" s="221">
      <c r="A844" s="5" t="inlineStr">
        <is>
          <t>773.</t>
        </is>
      </c>
      <c r="B844" s="6" t="inlineStr">
        <is>
          <t>SBA 25/844</t>
        </is>
      </c>
      <c r="C844" s="8" t="inlineStr">
        <is>
          <t>Prof. Dr. Fadime İrsel TEZER FİLİK</t>
        </is>
      </c>
      <c r="D844" s="7" t="inlineStr">
        <is>
          <t>“İlaca Dirençli Epilepsisi Olan Erişkin Hastalarda Korpus Kallozotominin Uzun Dönem Sonuçları”</t>
        </is>
      </c>
    </row>
    <row r="845" ht="31.5" customFormat="1" customHeight="1" s="2">
      <c r="A845" s="5" t="inlineStr">
        <is>
          <t>774.</t>
        </is>
      </c>
      <c r="B845" s="6" t="inlineStr">
        <is>
          <t>SBA 25/845</t>
        </is>
      </c>
      <c r="C845" s="8" t="inlineStr">
        <is>
          <t>Doç. Dr. Mehmet ÇELEĞEN</t>
        </is>
      </c>
      <c r="D845" s="7" t="inlineStr">
        <is>
          <t>“Çocuk Yoğun Bakım Hastalarında Ferritin Yüksekliği Tespit Edilen Olguların İncelenmesi”</t>
        </is>
      </c>
      <c r="E845" s="218" t="n"/>
    </row>
    <row r="846" ht="63" customFormat="1" customHeight="1" s="2">
      <c r="A846" s="5" t="inlineStr">
        <is>
          <t>775.</t>
        </is>
      </c>
      <c r="B846" s="6" t="inlineStr">
        <is>
          <t>SBA 25/846</t>
        </is>
      </c>
      <c r="C846" s="8" t="inlineStr">
        <is>
          <t>Doç. Dr. Oğuz Abdullah UYAROĞLU</t>
        </is>
      </c>
      <c r="D846" s="7" t="inlineStr">
        <is>
          <t>“Hacettepe Üniversitesi Tıp Fakültesi Genel Dahiliye Bilim Dalı Polikliniklerine Başvuran Diyabet, Hipertansiyon ve Hiperlipidemi Hastalarında İlaç Uyumunun Değerlendirilmesi”</t>
        </is>
      </c>
      <c r="E846" s="218" t="n"/>
    </row>
    <row r="847" ht="31.5" customFormat="1" customHeight="1" s="2">
      <c r="A847" s="5" t="inlineStr">
        <is>
          <t>776.</t>
        </is>
      </c>
      <c r="B847" s="6" t="inlineStr">
        <is>
          <t>SBA 25/847</t>
        </is>
      </c>
      <c r="C847" s="8" t="inlineStr">
        <is>
          <t>Prof. Dr. Deniz DOĞRU ERSÖZ</t>
        </is>
      </c>
      <c r="D847" s="7" t="inlineStr">
        <is>
          <t>“Ev Tipi İnvaziv Mekanik Ventilatör ile İzlenen Hastaların Değerlendirilmesi”</t>
        </is>
      </c>
      <c r="E847" s="218" t="n"/>
    </row>
    <row r="848" ht="47.25" customFormat="1" customHeight="1" s="2">
      <c r="A848" s="5" t="inlineStr">
        <is>
          <t>777.</t>
        </is>
      </c>
      <c r="B848" s="6" t="inlineStr">
        <is>
          <t>SBA 25/848</t>
        </is>
      </c>
      <c r="C848" s="8" t="inlineStr">
        <is>
          <t>Prof. Dr. Yelda BİLGİNER</t>
        </is>
      </c>
      <c r="D848" s="7" t="inlineStr">
        <is>
          <t>“Çocukluk Çağı Romatolojik Hastalıkları Nedeniyle Biyolojik Ajan Kullanan Hastalarda Pnömokok ve Meningokok Taşıyıcılığı”</t>
        </is>
      </c>
      <c r="E848" s="218" t="n"/>
    </row>
    <row r="849" ht="31.5" customFormat="1" customHeight="1" s="2">
      <c r="A849" s="5" t="inlineStr">
        <is>
          <t>778.</t>
        </is>
      </c>
      <c r="B849" s="6" t="inlineStr">
        <is>
          <t>SBA 25/849</t>
        </is>
      </c>
      <c r="C849" s="8" t="inlineStr">
        <is>
          <t>Doç. Dr. Mehmet ÇELEĞEN</t>
        </is>
      </c>
      <c r="D849" s="7" t="inlineStr">
        <is>
          <t>“ECMO Uygulanan Hastalarda Akut Böbrek Hasarı Açısından Risk Faktörlerinin Değerlendirilmesi”</t>
        </is>
      </c>
      <c r="E849" s="218" t="n"/>
    </row>
    <row r="850" ht="31.5" customFormat="1" customHeight="1" s="2">
      <c r="A850" s="5" t="inlineStr">
        <is>
          <t>779.</t>
        </is>
      </c>
      <c r="B850" s="6" t="inlineStr">
        <is>
          <t>SBA 25/850</t>
        </is>
      </c>
      <c r="C850" s="8" t="inlineStr">
        <is>
          <t>Doç. Dr. Mehmet Ali KARACA</t>
        </is>
      </c>
      <c r="D850" s="7" t="inlineStr">
        <is>
          <t>“Travma Olgularının Endovasküler Tedavilerle Yönetimi; Neredeyiz?”</t>
        </is>
      </c>
      <c r="E850" s="218" t="n"/>
    </row>
    <row r="851" ht="47.25" customFormat="1" customHeight="1" s="2">
      <c r="A851" s="5" t="inlineStr">
        <is>
          <t>780.</t>
        </is>
      </c>
      <c r="B851" s="6" t="inlineStr">
        <is>
          <t>SBA 25/851</t>
        </is>
      </c>
      <c r="C851" s="8" t="inlineStr">
        <is>
          <t>Prof. Dr. Emel UZUNOĞLU ÖZYÜREK</t>
        </is>
      </c>
      <c r="D851" s="7" t="inlineStr">
        <is>
          <t>“Kanal Tedavili Dişlerin Fraktür Direncinde Servikal Bariyer ve Kroniçi Ağartma Materyallerinin Rolü: Laboratuvar Çalışması”</t>
        </is>
      </c>
      <c r="E851" s="218" t="n"/>
    </row>
    <row r="852" ht="31.5" customFormat="1" customHeight="1" s="2">
      <c r="A852" s="5" t="inlineStr">
        <is>
          <t>781.</t>
        </is>
      </c>
      <c r="B852" s="6" t="inlineStr">
        <is>
          <t>SBA 25/852</t>
        </is>
      </c>
      <c r="C852" s="8" t="inlineStr">
        <is>
          <t>Doç. Dr. Yılmaz YILDIZ</t>
        </is>
      </c>
      <c r="D852" s="7" t="inlineStr">
        <is>
          <t>“Akçaağaç Şurubu İdrar Hastalığında Nöropsikiyatrik Özellikler”</t>
        </is>
      </c>
      <c r="E852" s="218" t="n"/>
    </row>
    <row r="853" ht="63" customFormat="1" customHeight="1" s="2">
      <c r="A853" s="5" t="inlineStr">
        <is>
          <t>782.</t>
        </is>
      </c>
      <c r="B853" s="6" t="inlineStr">
        <is>
          <t>SBA 25/853</t>
        </is>
      </c>
      <c r="C853" s="8" t="inlineStr">
        <is>
          <t>Doç. Dr. Ulaş KUMBASAR</t>
        </is>
      </c>
      <c r="D853" s="7" t="inlineStr">
        <is>
          <t>“Küçük Hücreli Dışı Akciğer Kanseri Hastalannda Pulmoner Rezeksiyonu Takiben Göğüs Tüpünün Erken Dönemde Çıkanlmasının Güvenlik ve Uygulama Yönünden Değerlendirilmesi”</t>
        </is>
      </c>
      <c r="E853" s="218" t="n"/>
    </row>
    <row r="854" ht="31.5" customFormat="1" customHeight="1" s="2">
      <c r="A854" s="5" t="inlineStr">
        <is>
          <t>783.</t>
        </is>
      </c>
      <c r="B854" s="6" t="inlineStr">
        <is>
          <t>SBA 25/854</t>
        </is>
      </c>
      <c r="C854" s="8" t="inlineStr">
        <is>
          <t>Doç. Dr. Hayriye HIZARCIOĞLU GÜLŞEN</t>
        </is>
      </c>
      <c r="D854" s="7" t="inlineStr">
        <is>
          <t>“Portal Hipertansiyon Tanılı Çocuk Hastaların Uzun Süreli Klinik İzlem Sonuçları”</t>
        </is>
      </c>
      <c r="E854" s="218" t="n"/>
    </row>
    <row r="855" ht="31.5" customFormat="1" customHeight="1" s="2">
      <c r="A855" s="5" t="inlineStr">
        <is>
          <t>784.</t>
        </is>
      </c>
      <c r="B855" s="6" t="inlineStr">
        <is>
          <t>SBA 25/855</t>
        </is>
      </c>
      <c r="C855" s="8" t="inlineStr">
        <is>
          <t>Dr. Öğr. Üyesi Burcu KELLECİ ÇAKIR</t>
        </is>
      </c>
      <c r="D855" s="7" t="inlineStr">
        <is>
          <t>“Klinik Eczacıların Geriatrik Sendromlar Konusundaki Yaklaşımlarının Değerlendirilmesi”</t>
        </is>
      </c>
      <c r="E855" s="218" t="n"/>
    </row>
    <row r="856" ht="47.25" customFormat="1" customHeight="1" s="2">
      <c r="A856" s="5" t="inlineStr">
        <is>
          <t>785.</t>
        </is>
      </c>
      <c r="B856" s="6" t="inlineStr">
        <is>
          <t>SBA 25/856</t>
        </is>
      </c>
      <c r="C856" s="8" t="inlineStr">
        <is>
          <t>Prof. Dr. Hayriye Uğur ÖZÇELİK</t>
        </is>
      </c>
      <c r="D856" s="7" t="inlineStr">
        <is>
          <t>“Primer Siliyer Diskinezi Hastalarında Beslenme Durumu ve Solunum Parametreleri İlişkisi: Kesitesel ve Takip Çalışması”</t>
        </is>
      </c>
      <c r="E856" s="218" t="n"/>
    </row>
    <row r="857" ht="63" customFormat="1" customHeight="1" s="2">
      <c r="A857" s="5" t="inlineStr">
        <is>
          <t>786.</t>
        </is>
      </c>
      <c r="B857" s="6" t="inlineStr">
        <is>
          <t>SBA 25/857</t>
        </is>
      </c>
      <c r="C857" s="8" t="inlineStr">
        <is>
          <t>Prof. Dr. Nüket PAKSOY ERBAYDAR</t>
        </is>
      </c>
      <c r="D857" s="7" t="inlineStr">
        <is>
          <t>“2012 Revize Atlanta Sınıflamasına Göre Şiddetli Akut Pankreatitin Öngörülmesinde Ranson, BISAP ve APACHE-II Skorlarının Karşılaştırmalı Prognostik Doğruluğu: Sistematik Derleme ve Meta-Analiz”</t>
        </is>
      </c>
      <c r="E857" s="218" t="n"/>
    </row>
    <row r="858" ht="31.5" customFormat="1" customHeight="1" s="2">
      <c r="A858" s="5" t="inlineStr">
        <is>
          <t>787.</t>
        </is>
      </c>
      <c r="B858" s="6" t="inlineStr">
        <is>
          <t>SBA 25/858</t>
        </is>
      </c>
      <c r="C858" s="8" t="inlineStr">
        <is>
          <t>Prof. Dr. Salih Kutay DEMİRKAN</t>
        </is>
      </c>
      <c r="D858" s="7" t="inlineStr">
        <is>
          <t>“Eczacıların Farmakogenetik Testlere Yaklaşımı: Bilgi, Farkındalık ve Tutum Analizi”</t>
        </is>
      </c>
      <c r="E858" s="218" t="n"/>
    </row>
    <row r="859" ht="47.25" customHeight="1" s="221">
      <c r="A859" s="5" t="inlineStr">
        <is>
          <t>788.</t>
        </is>
      </c>
      <c r="B859" s="6" t="inlineStr">
        <is>
          <t>SBA 25/859</t>
        </is>
      </c>
      <c r="C859" s="8" t="inlineStr">
        <is>
          <t>Prof. Dr. Taylan KAV</t>
        </is>
      </c>
      <c r="D859" s="7" t="inlineStr">
        <is>
          <t>“Belirsiz Gastrointestinal Kanaması Olan Hastalarda Kapsül Endoskopisinin Tanısal Sensitivitesi-Kapsamlı Tek Merkez Veri Analizi”</t>
        </is>
      </c>
    </row>
    <row r="860" ht="47.25" customHeight="1" s="221">
      <c r="A860" s="5" t="inlineStr">
        <is>
          <t>789.</t>
        </is>
      </c>
      <c r="B860" s="6" t="inlineStr">
        <is>
          <t>SBA 25/860</t>
        </is>
      </c>
      <c r="C860" s="8" t="inlineStr">
        <is>
          <t>Doç. Dr. Ulaş KUMBASAR</t>
        </is>
      </c>
      <c r="D860" s="7" t="inlineStr">
        <is>
          <t>“Küçük Hücreli Dışı Akciğer Kanseri Tanılı Hastalarda Cerrahi Kapsam ve Tekniğin Postoperatif Akciğer Fonksiyonları Üzerine Etkisi”</t>
        </is>
      </c>
    </row>
    <row r="861" ht="31.5" customHeight="1" s="221">
      <c r="A861" s="5" t="inlineStr">
        <is>
          <t>790.</t>
        </is>
      </c>
      <c r="B861" s="6" t="inlineStr">
        <is>
          <t>SBA 25/861</t>
        </is>
      </c>
      <c r="C861" s="8" t="inlineStr">
        <is>
          <t>Dr. Öğr. Üyesi Talat DEMİRSÖZ</t>
        </is>
      </c>
      <c r="D861" s="7" t="inlineStr">
        <is>
          <t>“Mahrum Edilmiş Yas: Kürtaj Sonrası Kayıp Sürecinin Anlamlandırılması”</t>
        </is>
      </c>
    </row>
    <row r="862" ht="47.25" customHeight="1" s="221">
      <c r="A862" s="5" t="inlineStr">
        <is>
          <t>791.</t>
        </is>
      </c>
      <c r="B862" s="6" t="inlineStr">
        <is>
          <t>SBA 25/862</t>
        </is>
      </c>
      <c r="C862" s="8" t="inlineStr">
        <is>
          <t>Doç. Dr. Koray BAŞAR</t>
        </is>
      </c>
      <c r="D862" s="7" t="inlineStr">
        <is>
          <t>“Cinsiyet Uyuşmazlığı Nedeniyle Başvuran Kişilerin Sosyodemografik ve Klinik Özelliklerinin Zaman İçerisindeki Değişiminin İncelenmesi”</t>
        </is>
      </c>
    </row>
    <row r="863" ht="47.25" customHeight="1" s="221">
      <c r="A863" s="5" t="inlineStr">
        <is>
          <t>792.</t>
        </is>
      </c>
      <c r="B863" s="6" t="inlineStr">
        <is>
          <t>SBA 25/863</t>
        </is>
      </c>
      <c r="C863" s="8" t="inlineStr">
        <is>
          <t>Prof. Dr. Elmas Ebru YALÇIN</t>
        </is>
      </c>
      <c r="D863" s="7" t="inlineStr">
        <is>
          <t>“Kistik Fibrozis Hastalarında CFTR Modülatör Tedavilerine Bağlı Yan Etkilerin Değerlendirilmesi: Üçüncü Basamak Bir Merkezden Deneyimler”</t>
        </is>
      </c>
    </row>
    <row r="864" ht="31.5" customHeight="1" s="221">
      <c r="A864" s="5" t="inlineStr">
        <is>
          <t>793.</t>
        </is>
      </c>
      <c r="B864" s="6" t="inlineStr">
        <is>
          <t>SBA 25/864</t>
        </is>
      </c>
      <c r="C864" s="8" t="inlineStr">
        <is>
          <t>Öğr. Gör. Dr. Ergin EROĞLU</t>
        </is>
      </c>
      <c r="D864" s="7" t="inlineStr">
        <is>
          <t>“Koklear İmplant Cerrahisi Sonrası Revizyon Geçirmiş Olgularda Revizyon Nedenlerinin İncelenmesi”</t>
        </is>
      </c>
    </row>
    <row r="865" ht="31.5" customHeight="1" s="221">
      <c r="A865" s="5" t="inlineStr">
        <is>
          <t>794.</t>
        </is>
      </c>
      <c r="B865" s="6" t="inlineStr">
        <is>
          <t>SBA 25/865</t>
        </is>
      </c>
      <c r="C865" s="8" t="inlineStr">
        <is>
          <t>Prof. Dr. Ayşe Tomris ERBAŞ</t>
        </is>
      </c>
      <c r="D865" s="7" t="inlineStr">
        <is>
          <t>“Agresif ve Metastatik Pituiter Nöroendokrin Tümör Tanısı Alan Olguların Retrospektif İncelenmesi”</t>
        </is>
      </c>
    </row>
    <row r="866" ht="47.25" customHeight="1" s="221">
      <c r="A866" s="5" t="inlineStr">
        <is>
          <t>795.</t>
        </is>
      </c>
      <c r="B866" s="6" t="inlineStr">
        <is>
          <t>SBA 25/866</t>
        </is>
      </c>
      <c r="C866" s="8" t="inlineStr">
        <is>
          <t>Prof. Dr. Elmas Ebru YALÇIN</t>
        </is>
      </c>
      <c r="D866" s="7" t="inlineStr">
        <is>
          <t>“Kistik Fibrozisli Cocuklarda Balgam Kolonizasyonu ile Ailelerin Enfeksiyon Kontrol Bilgi Düzeyi ve Sosyoekonomik Durumu Arasindaki İlişki”</t>
        </is>
      </c>
    </row>
    <row r="867" ht="47.25" customHeight="1" s="221">
      <c r="A867" s="5" t="inlineStr">
        <is>
          <t>796.</t>
        </is>
      </c>
      <c r="B867" s="6" t="inlineStr">
        <is>
          <t>SBA 25/867</t>
        </is>
      </c>
      <c r="C867" s="8" t="inlineStr">
        <is>
          <t>Dr. Öğr. Üyesi Figen BEZCİ AYGÜN</t>
        </is>
      </c>
      <c r="D867" s="7" t="inlineStr">
        <is>
          <t>“Coğrafik Atrofi Tanılı Hastalarda Derin Öğrenme Tabanlı Bilgisayarlı Görü Yöntemleriyle Bölütlenmesi ve 5 Yıllık Progresyonun Kestiriminin Değerlendirilmesi”</t>
        </is>
      </c>
    </row>
    <row r="868" ht="63" customHeight="1" s="221">
      <c r="A868" s="5" t="inlineStr">
        <is>
          <t>797.</t>
        </is>
      </c>
      <c r="B868" s="6" t="inlineStr">
        <is>
          <t>SBA 25/868</t>
        </is>
      </c>
      <c r="C868" s="8" t="inlineStr">
        <is>
          <t>Doç. Dr. Oğuz KARCIOĞLU</t>
        </is>
      </c>
      <c r="D868" s="7" t="inlineStr">
        <is>
          <t>“Erişkin Kistik Fibrozis ve Primer Siliyer Diskinezi Olgularında Solunum Yolu Örneklerinden Nadir Küf Türlerinin İzolasyon Sıklığının ve Klinik Yansımalarının Değerlendirilmesi ”</t>
        </is>
      </c>
    </row>
    <row r="869" ht="47.25" customHeight="1" s="221">
      <c r="A869" s="5" t="inlineStr">
        <is>
          <t>798.</t>
        </is>
      </c>
      <c r="B869" s="6" t="inlineStr">
        <is>
          <t>SBA 25/869</t>
        </is>
      </c>
      <c r="C869" s="8" t="inlineStr">
        <is>
          <t>Dr. Öğr. Üyesi Oğuzhan KATAR</t>
        </is>
      </c>
      <c r="D869" s="7" t="inlineStr">
        <is>
          <t>“Trakeotomi Dekanülasyonu Yapılan Hastalarda Havayolu Basınçlarındaki ve Solunum İş Yükündeki Değişimin Bilgisayar Simülasyonu ile Değerlendirilmesi”</t>
        </is>
      </c>
    </row>
    <row r="870" ht="31.5" customHeight="1" s="221">
      <c r="A870" s="5" t="inlineStr">
        <is>
          <t>799.</t>
        </is>
      </c>
      <c r="B870" s="6" t="inlineStr">
        <is>
          <t>SBA 25/870</t>
        </is>
      </c>
      <c r="C870" s="8" t="inlineStr">
        <is>
          <t>Dr. Öğr. Üyesi Oğuzhan KATAR</t>
        </is>
      </c>
      <c r="D870" s="7" t="inlineStr">
        <is>
          <t>“Ani İdiyopatik İşitme Kaybı ile Koklear Ossifikasyonun İlişkisinin İncelenmesi”</t>
        </is>
      </c>
    </row>
    <row r="871" ht="31.5" customHeight="1" s="221">
      <c r="A871" s="5" t="inlineStr">
        <is>
          <t>800.</t>
        </is>
      </c>
      <c r="B871" s="6" t="inlineStr">
        <is>
          <t>SBA 25/871</t>
        </is>
      </c>
      <c r="C871" s="8" t="inlineStr">
        <is>
          <t>Dr. Öğr. Üyesi Oğuzhan KATAR</t>
        </is>
      </c>
      <c r="D871" s="7" t="inlineStr">
        <is>
          <t>“65 Yaş Üzeri Hastalarda Gereksiz Betahistin Kullanımının Araştırılması”</t>
        </is>
      </c>
    </row>
    <row r="872" ht="31.5" customHeight="1" s="221">
      <c r="A872" s="5" t="inlineStr">
        <is>
          <t>801.</t>
        </is>
      </c>
      <c r="B872" s="6" t="inlineStr">
        <is>
          <t>SBA 25/872</t>
        </is>
      </c>
      <c r="C872" s="8" t="inlineStr">
        <is>
          <t>Dr. Öğr. Üyesi Oğuzhan KATAR</t>
        </is>
      </c>
      <c r="D872" s="7" t="inlineStr">
        <is>
          <t>“Kafa Tabanı Osteomyeliti Hastalığının Tedavisinin Finansal Analizi”</t>
        </is>
      </c>
    </row>
    <row r="873" ht="31.5" customHeight="1" s="221">
      <c r="A873" s="5" t="inlineStr">
        <is>
          <t>802.</t>
        </is>
      </c>
      <c r="B873" s="6" t="inlineStr">
        <is>
          <t>SBA 25/873</t>
        </is>
      </c>
      <c r="C873" s="8" t="inlineStr">
        <is>
          <t>Prof. Dr. Meltem Gülhan HALİL</t>
        </is>
      </c>
      <c r="D873" s="7" t="inlineStr">
        <is>
          <t>“65 Yaş ve Üzeri Hastalarda Kısa Nütrisyonel İndekslerinin Tüm Nedenlere Bağlı Mortalite ile İlişkisi”</t>
        </is>
      </c>
    </row>
    <row r="874" ht="47.25" customHeight="1" s="221">
      <c r="A874" s="5" t="inlineStr">
        <is>
          <t>803.</t>
        </is>
      </c>
      <c r="B874" s="6" t="inlineStr">
        <is>
          <t>SBA 25/874</t>
        </is>
      </c>
      <c r="C874" s="8" t="inlineStr">
        <is>
          <t>Prof. Dr. Meltem Gülhan HALİL</t>
        </is>
      </c>
      <c r="D874" s="7" t="inlineStr">
        <is>
          <t>“Geriatri Polikliniği Hastalarında Farklı Kırılganlık İndekslerinin Tüm Nedenlere Bağlı Mortaliteyi Öngörme Etkilerinin Karşılaştırılması”</t>
        </is>
      </c>
    </row>
    <row r="875" ht="31.5" customHeight="1" s="221">
      <c r="A875" s="5" t="inlineStr">
        <is>
          <t>804.</t>
        </is>
      </c>
      <c r="B875" s="6" t="inlineStr">
        <is>
          <t>SBA 25/875</t>
        </is>
      </c>
      <c r="C875" s="8" t="inlineStr">
        <is>
          <t>Prof. Dr. Mehmet Akif TOPÇUOĞLU</t>
        </is>
      </c>
      <c r="D875" s="7" t="inlineStr">
        <is>
          <t>“Migrende Fonksiyonel Transkranial Doppler ultrasonografi”</t>
        </is>
      </c>
    </row>
    <row r="876" ht="47.25" customHeight="1" s="221">
      <c r="A876" s="5" t="inlineStr">
        <is>
          <t>805.</t>
        </is>
      </c>
      <c r="B876" s="6" t="inlineStr">
        <is>
          <t>SBA 25/876</t>
        </is>
      </c>
      <c r="C876" s="8" t="inlineStr">
        <is>
          <t>Prof. Dr. Özlem TEKŞAM</t>
        </is>
      </c>
      <c r="D876" s="7" t="inlineStr">
        <is>
          <t>“Avrupa Uyuşturucu Madde Acilleri İletişim Ağı Projesi - ‘European Drug Emergencies Network Plus (Euro-DEN Plus) Proiect’”</t>
        </is>
      </c>
    </row>
    <row r="877" ht="31.5" customHeight="1" s="221">
      <c r="A877" s="5" t="inlineStr">
        <is>
          <t>806.</t>
        </is>
      </c>
      <c r="B877" s="6" t="inlineStr">
        <is>
          <t>SBA 25/877</t>
        </is>
      </c>
      <c r="C877" s="8" t="inlineStr">
        <is>
          <t>Prof. Dr. Elmas Ebru YALÇIN</t>
        </is>
      </c>
      <c r="D877" s="7" t="inlineStr">
        <is>
          <t>“D110H Mutasyonu Varhginda; Klinik Seyir Nasil Sekilleniyor?”</t>
        </is>
      </c>
    </row>
    <row r="878" ht="47.25" customHeight="1" s="221">
      <c r="A878" s="5" t="inlineStr">
        <is>
          <t>807.</t>
        </is>
      </c>
      <c r="B878" s="6" t="inlineStr">
        <is>
          <t>SBA 25/878</t>
        </is>
      </c>
      <c r="C878" s="8" t="inlineStr">
        <is>
          <t>Doç. Dr. Duygu GÜLSEREN</t>
        </is>
      </c>
      <c r="D878" s="7" t="inlineStr">
        <is>
          <t>"Jak İnhibitörlerinin Labaratuvar Parametreleri Üzerindeki Etkilerinin Zaman İçindeki Değişimi: 0., 3. ve 6. Ay Değerlendirmeleri"</t>
        </is>
      </c>
    </row>
    <row r="879" ht="63" customHeight="1" s="221">
      <c r="A879" s="5" t="inlineStr">
        <is>
          <t>808.</t>
        </is>
      </c>
      <c r="B879" s="6" t="inlineStr">
        <is>
          <t>SBA 25/879</t>
        </is>
      </c>
      <c r="C879" s="8" t="inlineStr">
        <is>
          <t>Doç. Dr. Erdem FADILOĞLU</t>
        </is>
      </c>
      <c r="D879" s="7" t="inlineStr">
        <is>
          <t>“Gebelikte Boğmaca Aşısının Uygulanma Haftası ile Doğumda Kord Kanında Anti-PT ve Anti-FHA IgG Düzeylerinin Karşılaştırılması: Prospektif Gözlemsel Çalışma”</t>
        </is>
      </c>
    </row>
    <row r="880" ht="63" customHeight="1" s="221">
      <c r="A880" s="5" t="inlineStr">
        <is>
          <t>809.</t>
        </is>
      </c>
      <c r="B880" s="6" t="inlineStr">
        <is>
          <t>SBA 25/880</t>
        </is>
      </c>
      <c r="C880" s="8" t="inlineStr">
        <is>
          <t>Dr. Öğr. Üyesi Figen BEZCİ AYGÜN</t>
        </is>
      </c>
      <c r="D880" s="7" t="inlineStr">
        <is>
          <t>“Neovasküler Yaşa Bağlı Makula Dejenerasyonunda Fibrotik Skar Özellikleri ve Tedavi Parametrelerinin Görme Keskinliği Üzerine Etkileri: Retrospektif Gözlemsel Bir Çalışma”</t>
        </is>
      </c>
    </row>
    <row r="881" ht="63" customHeight="1" s="221">
      <c r="A881" s="5" t="inlineStr">
        <is>
          <t>810.</t>
        </is>
      </c>
      <c r="B881" s="6" t="inlineStr">
        <is>
          <t>SBA 25/881</t>
        </is>
      </c>
      <c r="C881" s="8" t="inlineStr">
        <is>
          <t>Prof. Dr. Güliz Fatma YAVAŞ</t>
        </is>
      </c>
      <c r="D881" s="7" t="inlineStr">
        <is>
          <t>“Otoimmün Demiyelinizan Hastalıklar (MS, NMO, MOGAD)'a Bağlı Optik Nörit Geçiren Olgularda Mikroperimetri ve Patern Elektroretinografi ile Optik Sinir ile Makula Fonksiyonunun Değerlendirilmesi</t>
        </is>
      </c>
    </row>
    <row r="882" ht="63" customHeight="1" s="221">
      <c r="A882" s="5" t="inlineStr">
        <is>
          <t>811.</t>
        </is>
      </c>
      <c r="B882" s="6" t="inlineStr">
        <is>
          <t>SBA 25/882</t>
        </is>
      </c>
      <c r="C882" s="8" t="inlineStr">
        <is>
          <t>Prof. Dr. Deniz ÇAĞDAŞ AYVAZ</t>
        </is>
      </c>
      <c r="D882" s="7" t="inlineStr">
        <is>
          <t>“Doğal İmmünite Defektleri, Kombine İmmün Yetmezlikler ve İmmün Disregülasyonla Giden Primer İmmün Yetmezliklerin Genetik ve İleri İmmünolojik Yöntemlerle Araştırılması”</t>
        </is>
      </c>
    </row>
    <row r="883" ht="63" customHeight="1" s="221">
      <c r="A883" s="5" t="inlineStr">
        <is>
          <t>812.</t>
        </is>
      </c>
      <c r="B883" s="6" t="inlineStr">
        <is>
          <t>SBA 25/883</t>
        </is>
      </c>
      <c r="C883" s="8" t="inlineStr">
        <is>
          <t>Dr. Öğr. Üyesi Cihan ASLAN</t>
        </is>
      </c>
      <c r="D883" s="7" t="inlineStr">
        <is>
          <t>“Otizm Spektrum Bozukluğu ve Dikkat Eksikliği Hiperaktivite Bozukluğu Tanılı Çocuklarda İnflamasyon Hipotezinin Tam Kan Sayımı Parametreleri ile İncelenmesi”</t>
        </is>
      </c>
    </row>
    <row r="884" ht="47.25" customHeight="1" s="221">
      <c r="A884" s="5" t="inlineStr">
        <is>
          <t>813.</t>
        </is>
      </c>
      <c r="B884" s="6" t="inlineStr">
        <is>
          <t>SBA 25/884</t>
        </is>
      </c>
      <c r="C884" s="8" t="inlineStr">
        <is>
          <t>Prof. Dr. Ali DURSUN</t>
        </is>
      </c>
      <c r="D884" s="7" t="inlineStr">
        <is>
          <t>“Kalıtsal Metabolik Hastalıklarda 1,5 Anhidroglusitol (1,5-AG) ve 1,5-Anhidroglusitol-fosfat (1,5-AG6P) Düzeylerinin Araştırılması''</t>
        </is>
      </c>
    </row>
    <row r="885" ht="47.25" customHeight="1" s="221">
      <c r="A885" s="5" t="inlineStr">
        <is>
          <t>814.</t>
        </is>
      </c>
      <c r="B885" s="6" t="inlineStr">
        <is>
          <t>SBA 25/885</t>
        </is>
      </c>
      <c r="C885" s="8" t="inlineStr">
        <is>
          <t>Doç. Dr. İlker ERTUĞRUL</t>
        </is>
      </c>
      <c r="D885" s="7" t="inlineStr">
        <is>
          <t>“AVNRT Tanısı ile Ablasyon Uygulanan Çocuklarda Transozefagial Elektrofizyolojik Çalışmanin Nüksü Belirlemedeki Rolü''</t>
        </is>
      </c>
    </row>
    <row r="886" ht="47.25" customHeight="1" s="221">
      <c r="A886" s="5" t="inlineStr">
        <is>
          <t>815.</t>
        </is>
      </c>
      <c r="B886" s="6" t="inlineStr">
        <is>
          <t>SBA 25/886</t>
        </is>
      </c>
      <c r="C886" s="8" t="inlineStr">
        <is>
          <t>Doç. Dr. İlker ERTUĞRUL</t>
        </is>
      </c>
      <c r="D886" s="7" t="inlineStr">
        <is>
          <t>“Çocuk Kardiyoloji Ünitesinde Uygulanan Farmakolojik Provakasyon Testlerinin Tanı Sürecindeki Rolü"</t>
        </is>
      </c>
    </row>
    <row r="887" ht="31.5" customHeight="1" s="221">
      <c r="A887" s="5" t="inlineStr">
        <is>
          <t>816.</t>
        </is>
      </c>
      <c r="B887" s="6" t="inlineStr">
        <is>
          <t>SBA 25/887</t>
        </is>
      </c>
      <c r="C887" s="8" t="inlineStr">
        <is>
          <t>Arş. Gör. Dr. Eymen YILMAZ</t>
        </is>
      </c>
      <c r="D887" s="7" t="inlineStr">
        <is>
          <t>“Çocuk Acil Polikliniğine Başvuran Skuter Kazalarının Retrospektif Değerlendirilmesi”</t>
        </is>
      </c>
    </row>
    <row r="888" ht="31.5" customHeight="1" s="221">
      <c r="A888" s="5" t="inlineStr">
        <is>
          <t>817.</t>
        </is>
      </c>
      <c r="B888" s="6" t="inlineStr">
        <is>
          <t>SBA 25/888</t>
        </is>
      </c>
      <c r="C888" s="8" t="inlineStr">
        <is>
          <t>Dr. Öğr. Üyesi Burak TAŞTEKİN</t>
        </is>
      </c>
      <c r="D888" s="7" t="inlineStr">
        <is>
          <t>“Ankara Grup Başkanlığında Doğal Olmayan Yabancı Uyruklu Ölümlerin Değerlendirilmesi”</t>
        </is>
      </c>
    </row>
    <row r="889" ht="31.5" customHeight="1" s="221">
      <c r="A889" s="5" t="inlineStr">
        <is>
          <t>818.</t>
        </is>
      </c>
      <c r="B889" s="6" t="inlineStr">
        <is>
          <t>SBA 25/889</t>
        </is>
      </c>
      <c r="C889" s="8" t="inlineStr">
        <is>
          <t>Dr. Öğr. Üyesi Burak TAŞTEKİN</t>
        </is>
      </c>
      <c r="D889" s="7" t="inlineStr">
        <is>
          <t>“Tıbbi Uygulama Hatası İddiası Bulunan Otopsi Vakalarının Medikolegal Açıdan Değerlendirilmesi”</t>
        </is>
      </c>
    </row>
    <row r="890" ht="31.5" customHeight="1" s="221">
      <c r="A890" s="5" t="inlineStr">
        <is>
          <t>819.</t>
        </is>
      </c>
      <c r="B890" s="6" t="inlineStr">
        <is>
          <t>SBA 25/890</t>
        </is>
      </c>
      <c r="C890" s="8" t="inlineStr">
        <is>
          <t>Dr. Öğr. Üyesi Burak TAŞTEKİN</t>
        </is>
      </c>
      <c r="D890" s="7" t="inlineStr">
        <is>
          <t>“Aort Diseksiyonu ve Anevrizma Rüptürüne Bağlı Ölümler: Otopsi Çalışması”</t>
        </is>
      </c>
    </row>
    <row r="891" ht="31.5" customHeight="1" s="221">
      <c r="A891" s="5" t="inlineStr">
        <is>
          <t>820.</t>
        </is>
      </c>
      <c r="B891" s="6" t="inlineStr">
        <is>
          <t>SBA 25/891</t>
        </is>
      </c>
      <c r="C891" s="8" t="inlineStr">
        <is>
          <t>Prof. Dr. Ramazan AKÇAN</t>
        </is>
      </c>
      <c r="D891" s="7" t="inlineStr">
        <is>
          <t>“Asıya Bağlı Ölüm Olgularında Retina Kanamalarının İndirekt Fundoskopi ile Değerlendirilmesi”</t>
        </is>
      </c>
    </row>
    <row r="892" ht="47.25" customHeight="1" s="221">
      <c r="A892" s="5" t="inlineStr">
        <is>
          <t>821.</t>
        </is>
      </c>
      <c r="B892" s="6" t="inlineStr">
        <is>
          <t>SBA 25/892</t>
        </is>
      </c>
      <c r="C892" s="8" t="inlineStr">
        <is>
          <t>Dr. Öğr. Üyesi Oğuzhan KATAR</t>
        </is>
      </c>
      <c r="D892" s="7" t="inlineStr">
        <is>
          <t>“Boyun Diseksiyonu Yapılan Hastalarda En-Bloc Rezeksiyon Yöntemi ile Juguler Ven Split Rezeksiyon Yönteminin Karşılaştırılması”</t>
        </is>
      </c>
    </row>
    <row r="893" ht="47.25" customHeight="1" s="221">
      <c r="A893" s="5" t="inlineStr">
        <is>
          <t>822.</t>
        </is>
      </c>
      <c r="B893" s="6" t="inlineStr">
        <is>
          <t>SBA 25/893</t>
        </is>
      </c>
      <c r="C893" s="8" t="inlineStr">
        <is>
          <t>Prof. Dr. Murat GÜLTEKİN</t>
        </is>
      </c>
      <c r="D893" s="7" t="inlineStr">
        <is>
          <t>“Human Papilloma Virus Aşısı Uygulanan Kadınlarda Serum Anti-Müllerian Hormon Düzeylerindeki Değişimin Değerlendirilmesi”</t>
        </is>
      </c>
    </row>
    <row r="894" ht="31.5" customHeight="1" s="221">
      <c r="A894" s="5" t="inlineStr">
        <is>
          <t>823.</t>
        </is>
      </c>
      <c r="B894" s="6" t="inlineStr">
        <is>
          <t>SBA 25/894</t>
        </is>
      </c>
      <c r="C894" s="53" t="inlineStr">
        <is>
          <t>Prof. Dr. Meryem Aslı TUNCER
Dr. Öğr. Üyesi Nazire Pınar ACAR ÖZEN</t>
        </is>
      </c>
      <c r="D894" s="7" t="inlineStr">
        <is>
          <t>“Santral Sinir Sistemi Hastalıklarında Kappa Serbest Hafif Zincir İndeksinin Tanısal Değeri”</t>
        </is>
      </c>
    </row>
    <row r="895" ht="63" customHeight="1" s="221">
      <c r="A895" s="5" t="inlineStr">
        <is>
          <t>824.</t>
        </is>
      </c>
      <c r="B895" s="6" t="inlineStr">
        <is>
          <t>SBA 25/895</t>
        </is>
      </c>
      <c r="C895" s="8" t="inlineStr">
        <is>
          <t>Prof. Dr. Bülent ATİLLA</t>
        </is>
      </c>
      <c r="D895" s="7" t="inlineStr">
        <is>
          <t>“Rotasyon Profilli Bilgisayarlı Tomografi Kullanılarak Oluşturulan Parametreler ile Radyografide Proksimal Femur Rotasyonunun Değerlendirilmesi ve Yapay Zekâ ile Analizi”</t>
        </is>
      </c>
    </row>
    <row r="896" ht="47.25" customHeight="1" s="221">
      <c r="A896" s="5" t="inlineStr">
        <is>
          <t>825.</t>
        </is>
      </c>
      <c r="B896" s="6" t="inlineStr">
        <is>
          <t>SBA 25/896</t>
        </is>
      </c>
      <c r="C896" s="8" t="inlineStr">
        <is>
          <t>Doç. Dr. Hilal AKSOY</t>
        </is>
      </c>
      <c r="D896" s="7" t="inlineStr">
        <is>
          <t>“Üniversite Öğrencilerinde Akıllı Telefon Bağımlılığı ile Dijital Sağlık Okuryazarlığı Arasındaki İlişkinin İncelenmesi: Tanımlayıcı Araştırma”</t>
        </is>
      </c>
    </row>
    <row r="897" ht="47.25" customHeight="1" s="221">
      <c r="A897" s="5" t="inlineStr">
        <is>
          <t>826.</t>
        </is>
      </c>
      <c r="B897" s="6" t="inlineStr">
        <is>
          <t>SBA 25/897</t>
        </is>
      </c>
      <c r="C897" s="8" t="inlineStr">
        <is>
          <t>Dr. Öğr. Üyesi Emre MUTLU</t>
        </is>
      </c>
      <c r="D897" s="7" t="inlineStr">
        <is>
          <t>“Psikotik Bozukluklarda Tedaviye Direnç ve Klozapine Dirençle İlişkili Doğal Dil İşleme Değişkenlerinin ve Düşünce Süreci Bozukluklarının Değerlendirilmesi”</t>
        </is>
      </c>
    </row>
    <row r="898" ht="63" customHeight="1" s="221">
      <c r="A898" s="5" t="inlineStr">
        <is>
          <t>827.</t>
        </is>
      </c>
      <c r="B898" s="6" t="inlineStr">
        <is>
          <t>SBA 25/898</t>
        </is>
      </c>
      <c r="C898" s="8" t="inlineStr">
        <is>
          <t>Doç. Dr. Bengisu AKARSU GÜVEN</t>
        </is>
      </c>
      <c r="D898" s="7" t="inlineStr">
        <is>
          <t>“Tek Taraflı Dudak ve Damak Yarığına Sahip Hastalarda Maksiller Ekspansiyon ve Yüz Maskesi Sonrası Oklüzyonun Değerlendirilmesinde İki Farklı İndeksin Karşılaştırılması”</t>
        </is>
      </c>
    </row>
    <row r="899" ht="47.25" customHeight="1" s="221">
      <c r="A899" s="5" t="inlineStr">
        <is>
          <t>828.</t>
        </is>
      </c>
      <c r="B899" s="6" t="inlineStr">
        <is>
          <t>SBA 25/899</t>
        </is>
      </c>
      <c r="C899" s="8" t="inlineStr">
        <is>
          <t>Dr. Öğr. Üyesi Ezgi YETİM ARSAVA</t>
        </is>
      </c>
      <c r="D899" s="7" t="inlineStr">
        <is>
          <t>“Relapsing Remitting Multipl Skleroz Tanılı Hastalarda Yaş Gruplarına Göre Kognitif Profil ve Görüntüleme Bulgularının Karşılaştırılması”</t>
        </is>
      </c>
    </row>
    <row r="900" ht="47.25" customHeight="1" s="221">
      <c r="A900" s="5" t="inlineStr">
        <is>
          <t>829.</t>
        </is>
      </c>
      <c r="B900" s="6" t="inlineStr">
        <is>
          <t>SBA 25/900</t>
        </is>
      </c>
      <c r="C900" s="8" t="inlineStr">
        <is>
          <t>Dr. Öğr. Üyesi Selen ADİLOĞLU</t>
        </is>
      </c>
      <c r="D900" s="7" t="inlineStr">
        <is>
          <t>“Odontojenik Kist ve Tümörlerde Kortikal Perforasyon, Kemik Dolumu ve Rekürrens Oranlarının Volümetrik ve Kantitatif Değerlendirilmesi”</t>
        </is>
      </c>
    </row>
    <row r="901" ht="31.5" customHeight="1" s="221">
      <c r="A901" s="5" t="inlineStr">
        <is>
          <t>830.</t>
        </is>
      </c>
      <c r="B901" s="6" t="inlineStr">
        <is>
          <t>SBA 25/901</t>
        </is>
      </c>
      <c r="C901" s="8" t="inlineStr">
        <is>
          <t>Prof. Dr. Ömrüm UZUN</t>
        </is>
      </c>
      <c r="D901" s="7" t="inlineStr">
        <is>
          <t>“Antimikrobiyal Dirençteki Değişimler: Bir Üçüncü Basamak Hastanesindeki 11 Yıllık Deneyim”</t>
        </is>
      </c>
    </row>
    <row r="902" ht="63" customHeight="1" s="221">
      <c r="A902" s="5" t="inlineStr">
        <is>
          <t>831.</t>
        </is>
      </c>
      <c r="B902" s="6" t="inlineStr">
        <is>
          <t>SBA 25/902</t>
        </is>
      </c>
      <c r="C902" s="8" t="inlineStr">
        <is>
          <t>Doç. Dr. Derman BAŞARAN</t>
        </is>
      </c>
      <c r="D902" s="7" t="inlineStr">
        <is>
          <t>“Fertilite Koruyucu Tedavi Sonrası In Vitro Fertilizasyon Başarısını Etkileyen Faktörler: Endometrium Kanseri ve Endometrial Intraepitelyal Neoplazi Hastalarına Ait Retrospektif Veri Analizi”</t>
        </is>
      </c>
    </row>
    <row r="903" ht="47.25" customHeight="1" s="221">
      <c r="A903" s="5" t="inlineStr">
        <is>
          <t>832.</t>
        </is>
      </c>
      <c r="B903" s="6" t="inlineStr">
        <is>
          <t>SBA 25/903</t>
        </is>
      </c>
      <c r="C903" s="8" t="inlineStr">
        <is>
          <t>Prof. Dr. Hakan Hıfzı TÜZ</t>
        </is>
      </c>
      <c r="D903" s="7" t="inlineStr">
        <is>
          <t>“Temporomandibular Eklem Hipermobilitesinde Dekstroz Proloterapisinin Uzun Dönem Klinik Sonuçlarının Retrospektif Değerlendirilmesi”</t>
        </is>
      </c>
    </row>
    <row r="904" ht="47.25" customHeight="1" s="221">
      <c r="A904" s="5" t="inlineStr">
        <is>
          <t>833.</t>
        </is>
      </c>
      <c r="B904" s="6" t="inlineStr">
        <is>
          <t>SBA 25/904</t>
        </is>
      </c>
      <c r="C904" s="8" t="inlineStr">
        <is>
          <t>Prof. Dr. Hayriye Uğur ÖZÇELİK</t>
        </is>
      </c>
      <c r="D904" s="7" t="inlineStr">
        <is>
          <t>“Duchenne Musküler Distrofi Tanısı ile Pediatrik Yaş Grubunda İzlenen Hastaların Solunum Bulgularının Retrospektif Olarak Değerlendirilmesi”</t>
        </is>
      </c>
    </row>
    <row r="905" ht="47.25" customHeight="1" s="221">
      <c r="A905" s="5" t="inlineStr">
        <is>
          <t>834.</t>
        </is>
      </c>
      <c r="B905" s="6" t="inlineStr">
        <is>
          <t>SBA 25/905</t>
        </is>
      </c>
      <c r="C905" s="8" t="inlineStr">
        <is>
          <t>Doç. Dr. Zeynep TÜZÜN GÜN</t>
        </is>
      </c>
      <c r="D905" s="7" t="inlineStr">
        <is>
          <t>“Ergenlik Döneminde Yeme Bozukluğu Tanısı Almış Yetişkinlerde Ruhsal Hastalık Kimliği ve İyileşme: Nitel Bir Çalışma”</t>
        </is>
      </c>
    </row>
    <row r="906" ht="31.5" customHeight="1" s="221">
      <c r="A906" s="5" t="inlineStr">
        <is>
          <t>835.</t>
        </is>
      </c>
      <c r="B906" s="6" t="inlineStr">
        <is>
          <t>SBA 25/906</t>
        </is>
      </c>
      <c r="C906" s="8" t="inlineStr">
        <is>
          <t>Dr. Öğr. Üyesi Gizem ÜREL DEMİR</t>
        </is>
      </c>
      <c r="D906" s="7" t="inlineStr">
        <is>
          <t>“Triple X Sendromlu Hastalarda Demografik, Fenotipik ve Gelişimsel Özelliklerin Değerlendirilmesi”</t>
        </is>
      </c>
    </row>
    <row r="907" ht="31.5" customHeight="1" s="221">
      <c r="A907" s="5" t="inlineStr">
        <is>
          <t>836.</t>
        </is>
      </c>
      <c r="B907" s="6" t="inlineStr">
        <is>
          <t>SBA 25/907</t>
        </is>
      </c>
      <c r="C907" s="8" t="inlineStr">
        <is>
          <t>Prof. Dr. Burcu Balam DOĞU</t>
        </is>
      </c>
      <c r="D907" s="7" t="inlineStr">
        <is>
          <t>“Yaşlı Yetişkinlerde İnflamasyon Belirteçleri ile Bilişsel İşlevler Arasındaki İlişki”</t>
        </is>
      </c>
    </row>
    <row r="908" ht="47.25" customHeight="1" s="221">
      <c r="A908" s="5" t="inlineStr">
        <is>
          <t>837.</t>
        </is>
      </c>
      <c r="B908" s="6" t="inlineStr">
        <is>
          <t>SBA 25/908</t>
        </is>
      </c>
      <c r="C908" s="8" t="inlineStr">
        <is>
          <t>Doç. Dr. Duygu AYHAN BAŞER</t>
        </is>
      </c>
      <c r="D908" s="7" t="inlineStr">
        <is>
          <t>“Erişkinlerde HPV Aşısına Yönelik Tutum, Okuryazarlık ve Ulusal Programa Dahil Edilmesine İlişkin Görüşler”</t>
        </is>
      </c>
    </row>
    <row r="909" ht="78.75" customHeight="1" s="221">
      <c r="A909" s="5" t="inlineStr">
        <is>
          <t>838.</t>
        </is>
      </c>
      <c r="B909" s="6" t="inlineStr">
        <is>
          <t>SBA 25/909</t>
        </is>
      </c>
      <c r="C909" s="8" t="inlineStr">
        <is>
          <t>Prof. Dr. Murat AKOVA</t>
        </is>
      </c>
      <c r="D909" s="7" t="inlineStr">
        <is>
          <t>“.Hacettepe Üniversitesi Erişkin ve Onkoloji Hastanelerinde 2017-2025 Yılları Arasında Karbapenem Dirençli Enterobacteriacea Kolonizasyonu ve Takiben İnfeksiyonu Gelişen Hastaların Analizi”</t>
        </is>
      </c>
    </row>
    <row r="910" ht="31.5" customHeight="1" s="221">
      <c r="A910" s="5" t="inlineStr">
        <is>
          <t>839.</t>
        </is>
      </c>
      <c r="B910" s="6" t="inlineStr">
        <is>
          <t>SBA 25/910</t>
        </is>
      </c>
      <c r="C910" s="8" t="inlineStr">
        <is>
          <t>Dr. Öğr. Üyesi Oğuzhan KATAR</t>
        </is>
      </c>
      <c r="D910" s="7" t="inlineStr">
        <is>
          <t>"Senil Presbiakuzi ve Sarkopeni Arasındaki İlişkinin İncelenmesi”</t>
        </is>
      </c>
    </row>
    <row r="911" ht="47.25" customHeight="1" s="221">
      <c r="A911" s="5" t="inlineStr">
        <is>
          <t>840.</t>
        </is>
      </c>
      <c r="B911" s="6" t="inlineStr">
        <is>
          <t>SBA 25/911</t>
        </is>
      </c>
      <c r="C911" s="8" t="inlineStr">
        <is>
          <t>Doç. Dr. Hayrettin Hakan AYKAN</t>
        </is>
      </c>
      <c r="D911" s="7" t="inlineStr">
        <is>
          <t>“Fallot Tetralojisi Hastalarında Kardiyolojik Özellikler ve Uzun Dönem Sonuçlarının Retrospektif Değerlendirilmesi”</t>
        </is>
      </c>
    </row>
    <row r="912" ht="31.5" customHeight="1" s="221">
      <c r="A912" s="5" t="inlineStr">
        <is>
          <t>841.</t>
        </is>
      </c>
      <c r="B912" s="6" t="inlineStr">
        <is>
          <t>SBA 25/912</t>
        </is>
      </c>
      <c r="C912" s="8" t="inlineStr">
        <is>
          <t>Doç. Dr. Hayrettin Hakan AYKAN</t>
        </is>
      </c>
      <c r="D912" s="7" t="inlineStr">
        <is>
          <t>“Propionik Asidemi Tanılı Hastaların Kardiyak Özelliklerinin Retrospektif Değerlendirilmesi”</t>
        </is>
      </c>
    </row>
    <row r="913" ht="31.5" customHeight="1" s="221">
      <c r="A913" s="5" t="inlineStr">
        <is>
          <t>842.</t>
        </is>
      </c>
      <c r="B913" s="6" t="inlineStr">
        <is>
          <t>SBA 25/913</t>
        </is>
      </c>
      <c r="C913" s="8" t="inlineStr">
        <is>
          <t>Doç. Dr. Hayrettin Hakan AYKAN</t>
        </is>
      </c>
      <c r="D913" s="7" t="inlineStr">
        <is>
          <t>“Pulmoner Arter Agenezisi ve/veya Hipoplazisi Olan Hastaların Retrospektif Değerlendirilmesi”</t>
        </is>
      </c>
    </row>
    <row r="914" ht="31.5" customHeight="1" s="221">
      <c r="A914" s="5" t="inlineStr">
        <is>
          <t>843.</t>
        </is>
      </c>
      <c r="B914" s="6" t="inlineStr">
        <is>
          <t>SBA 25/914</t>
        </is>
      </c>
      <c r="C914" s="8" t="inlineStr">
        <is>
          <t>Doç. Dr. Hayrettin Hakan AYKAN</t>
        </is>
      </c>
      <c r="D914" s="7" t="inlineStr">
        <is>
          <t>“Sistemik Venöz Dönüş Anomalisi Olan Hastaların Retrospektif Değerlendirilmesi”</t>
        </is>
      </c>
    </row>
    <row r="915" ht="47.25" customHeight="1" s="221">
      <c r="A915" s="5" t="inlineStr">
        <is>
          <t>844.</t>
        </is>
      </c>
      <c r="B915" s="6" t="inlineStr">
        <is>
          <t>SBA 25/915</t>
        </is>
      </c>
      <c r="C915" s="8" t="inlineStr">
        <is>
          <t>Doç. Dr. Hayrettin Hakan AYKAN</t>
        </is>
      </c>
      <c r="D915" s="7" t="inlineStr">
        <is>
          <t>“Transkateter Pulmoner Kapak İmplantasyonunun Kardiyopulmoner Egzersiz Kapasitesi Üzerine Etkisinin Retrospektif Analizi''</t>
        </is>
      </c>
    </row>
    <row r="916" ht="31.5" customHeight="1" s="221">
      <c r="A916" s="5" t="inlineStr">
        <is>
          <t>845.</t>
        </is>
      </c>
      <c r="B916" s="6" t="inlineStr">
        <is>
          <t>SBA 25/916</t>
        </is>
      </c>
      <c r="C916" s="8" t="inlineStr">
        <is>
          <t>Doç. Dr. Cafer BALCI</t>
        </is>
      </c>
      <c r="D916" s="7" t="inlineStr">
        <is>
          <t>“Kardiyovasküler-Renal-Metabolik Sendromda Malnütrisyon ve Sarkopeni”</t>
        </is>
      </c>
    </row>
    <row r="917" ht="31.5" customHeight="1" s="221">
      <c r="A917" s="5" t="inlineStr">
        <is>
          <t>846.</t>
        </is>
      </c>
      <c r="B917" s="6" t="inlineStr">
        <is>
          <t>SBA 25/917</t>
        </is>
      </c>
      <c r="C917" s="8" t="inlineStr">
        <is>
          <t>Prof. Dr. Ebru DAMADOĞLU</t>
        </is>
      </c>
      <c r="D917" s="7" t="inlineStr">
        <is>
          <t>"Platin Bazlı Kemoterapi Ajanları ile Hızlı İlaç Desensitizasyonuna İlişkin Tek Merkez Deneyimimiz "</t>
        </is>
      </c>
    </row>
    <row r="918" ht="47.25" customHeight="1" s="221">
      <c r="A918" s="5" t="inlineStr">
        <is>
          <t>847.</t>
        </is>
      </c>
      <c r="B918" s="6" t="inlineStr">
        <is>
          <t>SBA 25/918</t>
        </is>
      </c>
      <c r="C918" s="8" t="inlineStr">
        <is>
          <t>Prof. Dr. Taner YILMAZ</t>
        </is>
      </c>
      <c r="D918" s="7" t="inlineStr">
        <is>
          <t>“Bilateral Vokal Kord Paralizisi Nedeniyle Parsiyel veya Total Aritenoidektomi Yapılan Hastalarda Vücut Kitle Endeksinin Dispne Üzerine Etkisi”</t>
        </is>
      </c>
    </row>
    <row r="919" ht="31.5" customHeight="1" s="221">
      <c r="A919" s="5" t="inlineStr">
        <is>
          <t>848.</t>
        </is>
      </c>
      <c r="B919" s="6" t="inlineStr">
        <is>
          <t>SBA 25/919</t>
        </is>
      </c>
      <c r="C919" s="8" t="inlineStr">
        <is>
          <t>Prof. Dr. Sibel KADAYIFÇILAR</t>
        </is>
      </c>
      <c r="D919" s="7" t="inlineStr">
        <is>
          <t>“Patolojik Miyopi Hastalarının Retina Bulgularının Uzun Dönem Takip Sonuçları”</t>
        </is>
      </c>
    </row>
    <row r="920" ht="31.5" customHeight="1" s="221">
      <c r="A920" s="5" t="inlineStr">
        <is>
          <t>849.</t>
        </is>
      </c>
      <c r="B920" s="6" t="inlineStr">
        <is>
          <t>SBA 25/920</t>
        </is>
      </c>
      <c r="C920" s="8" t="inlineStr">
        <is>
          <t>Prof. Dr. Aytekin AKYOL</t>
        </is>
      </c>
      <c r="D920" s="7" t="inlineStr">
        <is>
          <t>“Kolorektal Karsinogenezde THY1 İfadesinin Patoloji Arşiv Materyallerinde Değerlendirilmesi”</t>
        </is>
      </c>
    </row>
    <row r="921" ht="31.5" customHeight="1" s="221">
      <c r="A921" s="5" t="inlineStr">
        <is>
          <t>850.</t>
        </is>
      </c>
      <c r="B921" s="6" t="inlineStr">
        <is>
          <t>SBA 25/921</t>
        </is>
      </c>
      <c r="C921" s="8" t="inlineStr">
        <is>
          <t>Prof. Dr. Hülya DEMİR</t>
        </is>
      </c>
      <c r="D921" s="7" t="inlineStr">
        <is>
          <t>“Çocuklarda Budd-Chiari Sendromu: Tek Merkez Deneyimi”</t>
        </is>
      </c>
    </row>
    <row r="922" ht="63" customHeight="1" s="221">
      <c r="A922" s="5" t="inlineStr">
        <is>
          <t>851.</t>
        </is>
      </c>
      <c r="B922" s="6" t="inlineStr">
        <is>
          <t>SBA 25/922</t>
        </is>
      </c>
      <c r="C922" s="8" t="inlineStr">
        <is>
          <t>Prof. Dr. Mustafa CANKURTARAN</t>
        </is>
      </c>
      <c r="D922" s="7" t="inlineStr">
        <is>
          <t>“İç Hastalıkları Servislerinde Yatan 65 Yaş ve Üstü Hastaların Yatış anında Kullandığı İlaçlar ve Taburculuk Reçetelerinin Beers (2023), Stopp/Start V3, TIME (2020) Kriterlerine Göre İncelenmesi”</t>
        </is>
      </c>
    </row>
    <row r="923" ht="63" customHeight="1" s="221">
      <c r="A923" s="5" t="inlineStr">
        <is>
          <t>852.</t>
        </is>
      </c>
      <c r="B923" s="6" t="inlineStr">
        <is>
          <t>SBA 25/923</t>
        </is>
      </c>
      <c r="C923" s="8" t="inlineStr">
        <is>
          <t>Doç. Dr. Şükran Gülin EVİNÇ</t>
        </is>
      </c>
      <c r="D923" s="7" t="inlineStr">
        <is>
          <t>“Motor Beceri Zorlukları Özgül Öğrenme Bozukluğu İçin Fenotipik Bir Belirteç Olabilir mi? Motor Performansın Postürografik Analizi ve Bilişsel Becerilerle İlişkisi”</t>
        </is>
      </c>
    </row>
    <row r="924" ht="47.25" customHeight="1" s="221">
      <c r="A924" s="5" t="inlineStr">
        <is>
          <t>853.</t>
        </is>
      </c>
      <c r="B924" s="6" t="inlineStr">
        <is>
          <t>SBA 25/924</t>
        </is>
      </c>
      <c r="C924" s="8" t="inlineStr">
        <is>
          <t>Prof. Dr. Bayram ŞAHİN</t>
        </is>
      </c>
      <c r="D924" s="7" t="inlineStr">
        <is>
          <t>“Kanser Hastalarının Cepten Sağlık Harcamalarının Finansal Yükü ve Sağlık Hizmeti Kullanımı ve Sağlık Sonuçlarıyla İlişkisi”</t>
        </is>
      </c>
    </row>
    <row r="925" ht="47.25" customHeight="1" s="221">
      <c r="A925" s="5" t="inlineStr">
        <is>
          <t>854.</t>
        </is>
      </c>
      <c r="B925" s="6" t="inlineStr">
        <is>
          <t>SBA 25/925</t>
        </is>
      </c>
      <c r="C925" s="8" t="inlineStr">
        <is>
          <t>Doç. Dr. Erdal SAĞ</t>
        </is>
      </c>
      <c r="D925" s="7" t="inlineStr">
        <is>
          <t>“Çocukluk Çağı Vaskülitlerinde Serum/Plazma Metabolomik Profilinin İncelenmesi: Tanısal ve Klinik İlişkilerin Değerlendirilmesi”</t>
        </is>
      </c>
    </row>
    <row r="926" ht="47.25" customHeight="1" s="221">
      <c r="A926" s="5" t="inlineStr">
        <is>
          <t>855.</t>
        </is>
      </c>
      <c r="B926" s="6" t="inlineStr">
        <is>
          <t>SBA 25/926</t>
        </is>
      </c>
      <c r="C926" s="8" t="inlineStr">
        <is>
          <t>Doç. Dr. Dilek ÜNAL</t>
        </is>
      </c>
      <c r="D926" s="7" t="inlineStr">
        <is>
          <t>“Dikkat Eksikliği ve Hiperaktivite Bozukluğu Tanılı Ergenlerde Çocukluk Çağı Olumsuz Yaşantılarının Klinik Görünüm ve İnflamatuar Biyobelirteçlerle İlişkisi”</t>
        </is>
      </c>
    </row>
    <row r="927" ht="47.25" customHeight="1" s="221">
      <c r="A927" s="5" t="inlineStr">
        <is>
          <t>856.</t>
        </is>
      </c>
      <c r="B927" s="6" t="inlineStr">
        <is>
          <t>SBA 25/927</t>
        </is>
      </c>
      <c r="C927" s="8" t="inlineStr">
        <is>
          <t>Prof. Dr. Bülent ATİLLA</t>
        </is>
      </c>
      <c r="D927" s="7" t="inlineStr">
        <is>
          <t>“Primer Diz Artroplastisi Yapılan Hastaların VKİ Oranlarının Uzun Dönem Klinik ve Fonksiyonel Sonuçlara Etkisi”</t>
        </is>
      </c>
    </row>
    <row r="928" ht="31.5" customHeight="1" s="221">
      <c r="A928" s="5" t="inlineStr">
        <is>
          <t>857.</t>
        </is>
      </c>
      <c r="B928" s="6" t="inlineStr">
        <is>
          <t>SBA 25/928</t>
        </is>
      </c>
      <c r="C928" s="8" t="inlineStr">
        <is>
          <t>Prof. Dr. Bülent ATİLLA</t>
        </is>
      </c>
      <c r="D928" s="7" t="inlineStr">
        <is>
          <t>“Total Diz Artroplastisinde Posterior Tibial Eğim ve Posterior Kondiler Ofset: Gerçekten Önemli Mi?”</t>
        </is>
      </c>
    </row>
    <row r="929" ht="63" customHeight="1" s="221">
      <c r="A929" s="5" t="inlineStr">
        <is>
          <t>858.</t>
        </is>
      </c>
      <c r="B929" s="6" t="inlineStr">
        <is>
          <t>SBA 25/929</t>
        </is>
      </c>
      <c r="C929" s="8" t="inlineStr">
        <is>
          <t>Doç. Dr. Kevser NALBANT</t>
        </is>
      </c>
      <c r="D929" s="7" t="inlineStr">
        <is>
          <t>“Ergenlerde Sağlık Alanında Yapay Zekâ Kullanım Ölçeği’ ve ‘Ebeveynin Çocuğunun Sağlığı ile İlgili Yapay Zekâ Kullanım Ölçeği’nin Geliştirilmesi ve Değerlendirilmesi”</t>
        </is>
      </c>
    </row>
    <row r="930" ht="47.25" customHeight="1" s="221">
      <c r="A930" s="5" t="inlineStr">
        <is>
          <t>859.</t>
        </is>
      </c>
      <c r="B930" s="6" t="inlineStr">
        <is>
          <t>SBA 25/930</t>
        </is>
      </c>
      <c r="C930" s="8" t="inlineStr">
        <is>
          <t>Prof. Dr. Ayşe Tomris ERBAŞ</t>
        </is>
      </c>
      <c r="D930" s="7" t="inlineStr">
        <is>
          <t>“Hipopitüitarizmli Erişkin Hastalarda Morbidite ve Mortaliteyi Etkileyen Faktörler: Retrospektif Değerlendirme”</t>
        </is>
      </c>
    </row>
    <row r="931" ht="31.5" customHeight="1" s="221">
      <c r="A931" s="5" t="inlineStr">
        <is>
          <t>860.</t>
        </is>
      </c>
      <c r="B931" s="6" t="inlineStr">
        <is>
          <t>SBA 25/931</t>
        </is>
      </c>
      <c r="C931" s="8" t="inlineStr">
        <is>
          <t>Doç. Dr. Seda Hanife OĞUZ BAYKAL</t>
        </is>
      </c>
      <c r="D931" s="7" t="inlineStr">
        <is>
          <t>“Primer Hipofizit (Otoimmün ve IgG4 İlişkili) Olgularının Uzun Dönem Klinik Seyri”</t>
        </is>
      </c>
    </row>
    <row r="932" ht="31.5" customHeight="1" s="221">
      <c r="A932" s="5" t="inlineStr">
        <is>
          <t>861.</t>
        </is>
      </c>
      <c r="B932" s="6" t="inlineStr">
        <is>
          <t>SBA 25/932</t>
        </is>
      </c>
      <c r="C932" s="8" t="inlineStr">
        <is>
          <t>Prof. Dr. Turgut Emrah BOZKURT</t>
        </is>
      </c>
      <c r="D932" s="7" t="inlineStr">
        <is>
          <t>“İdiopatik Pulmoner Fibrozisin Akut Alevlenmeleri için Hidrojen Sülfür Tedavisinin Etkilerinin Değerlendirilmesi"</t>
        </is>
      </c>
    </row>
    <row r="933" ht="31.5" customHeight="1" s="221">
      <c r="A933" s="5" t="inlineStr">
        <is>
          <t>862.</t>
        </is>
      </c>
      <c r="B933" s="6" t="inlineStr">
        <is>
          <t>SBA 25/933</t>
        </is>
      </c>
      <c r="C933" s="8" t="inlineStr">
        <is>
          <t>Doç. Dr. Erdal SAĞ</t>
        </is>
      </c>
      <c r="D933" s="7" t="inlineStr">
        <is>
          <t>“Çocukluk Çağı Poliarteritis Nodosa Hastalarının Değerlendirilmesi”</t>
        </is>
      </c>
    </row>
    <row r="934" ht="47.25" customHeight="1" s="221">
      <c r="A934" s="5" t="inlineStr">
        <is>
          <t>863.</t>
        </is>
      </c>
      <c r="B934" s="6" t="inlineStr">
        <is>
          <t>SBA 25/934</t>
        </is>
      </c>
      <c r="C934" s="8" t="inlineStr">
        <is>
          <t>Prof. Dr. Hayyam KIRATLI</t>
        </is>
      </c>
      <c r="D934" s="7" t="inlineStr">
        <is>
          <t>“Konjonktival Melanomlarda ATRX, PDL-1 ve p16 İmmünohistokimyasal Ekspresyonlarının Klinikopatolojik Parametrelerle Korelasyonu”</t>
        </is>
      </c>
    </row>
    <row r="935" ht="47.25" customHeight="1" s="221">
      <c r="A935" s="5" t="inlineStr">
        <is>
          <t>864.</t>
        </is>
      </c>
      <c r="B935" s="6" t="inlineStr">
        <is>
          <t>SBA 25/935</t>
        </is>
      </c>
      <c r="C935" s="8" t="inlineStr">
        <is>
          <t>Doç. Dr. Mert EŞME</t>
        </is>
      </c>
      <c r="D935" s="7" t="inlineStr">
        <is>
          <t>“Geriatri Popülasyonda eGFR Tahmin Denklemleri Arasındaki Uyumun ve Tahmin Hatalarına Etki Eden Faktörlerin Değerlendirilmesi”</t>
        </is>
      </c>
    </row>
    <row r="936" ht="31.5" customHeight="1" s="221">
      <c r="A936" s="5" t="inlineStr">
        <is>
          <t>865.</t>
        </is>
      </c>
      <c r="B936" s="6" t="inlineStr">
        <is>
          <t>SBA 25/936</t>
        </is>
      </c>
      <c r="C936" s="8" t="inlineStr">
        <is>
          <t>Prof. Dr. Burcu Balam DOĞU</t>
        </is>
      </c>
      <c r="D936" s="7" t="inlineStr">
        <is>
          <t>“Geriatrik Hastalarda Telefon Bağımlılığının Geriatrik Sendromlarla İlişkisi”</t>
        </is>
      </c>
    </row>
    <row r="937" ht="47.25" customHeight="1" s="221">
      <c r="A937" s="5" t="inlineStr">
        <is>
          <t>866.</t>
        </is>
      </c>
      <c r="B937" s="6" t="inlineStr">
        <is>
          <t>SBA 25/937</t>
        </is>
      </c>
      <c r="C937" s="8" t="inlineStr">
        <is>
          <t>Doç. Dr. Göksel GÜVEN</t>
        </is>
      </c>
      <c r="D937" s="7" t="inlineStr">
        <is>
          <t>“Mekanik Ventilatörden Ayırmada T-tüp Denemesi Uygulanan Hastalarda Hemodinami Parametrelerinin Değişimlerinin Gözlenmesi”</t>
        </is>
      </c>
    </row>
    <row r="938" ht="47.25" customHeight="1" s="221">
      <c r="A938" s="5" t="inlineStr">
        <is>
          <t>867.</t>
        </is>
      </c>
      <c r="B938" s="6" t="inlineStr">
        <is>
          <t>SBA 25/938</t>
        </is>
      </c>
      <c r="C938" s="8" t="inlineStr">
        <is>
          <t>Doç. Dr. Mesut ALTAN</t>
        </is>
      </c>
      <c r="D938" s="7" t="inlineStr">
        <is>
          <t>“Bilateral Testis Germ Hücreli Tümörler: Hacettepe Üniversitesi Üroloji Anabilim Dalı'nın 40 Yıllık Deneyimi”</t>
        </is>
      </c>
    </row>
    <row r="939" ht="31.5" customHeight="1" s="221">
      <c r="A939" s="5" t="inlineStr">
        <is>
          <t>868.</t>
        </is>
      </c>
      <c r="B939" s="6" t="inlineStr">
        <is>
          <t>SBA 25/939</t>
        </is>
      </c>
      <c r="C939" s="8" t="inlineStr">
        <is>
          <t>Doç. Dr. İlker ERTUĞRUL</t>
        </is>
      </c>
      <c r="D939" s="7" t="inlineStr">
        <is>
          <t>“Çocuklarda Fasiküler Ventriküler Aritmi ve Transkateter Ablasyon Uygulaması Deneyimlerimiz”</t>
        </is>
      </c>
    </row>
    <row r="940" ht="31.5" customHeight="1" s="221">
      <c r="A940" s="5" t="inlineStr">
        <is>
          <t>869.</t>
        </is>
      </c>
      <c r="B940" s="6" t="inlineStr">
        <is>
          <t>SBA 25/940</t>
        </is>
      </c>
      <c r="C940" s="8" t="inlineStr">
        <is>
          <t>Doç. Dr. İlker ERTUĞRUL</t>
        </is>
      </c>
      <c r="D940" s="7" t="inlineStr">
        <is>
          <t>“Ventriküler Erken Vuru Olan Çocuk Hastalarda Transkateter Ablasyon Sonuçlarımız”</t>
        </is>
      </c>
    </row>
    <row r="941" ht="63" customHeight="1" s="221">
      <c r="A941" s="5" t="inlineStr">
        <is>
          <t>870.</t>
        </is>
      </c>
      <c r="B941" s="6" t="inlineStr">
        <is>
          <t>SBA 25/941</t>
        </is>
      </c>
      <c r="C941" s="8" t="inlineStr">
        <is>
          <t>Doç. Dr. Melike OCAK</t>
        </is>
      </c>
      <c r="D941" s="7" t="inlineStr">
        <is>
          <t>''Buğday Alerjisi Olan Çocuklarda Oral İmmünoterapi ve Besinden Kaçınma Yaklaşımlarının Beslenme Durumu ve Yaşam Kalitesi Üzerine Etkilerinin Karşılaştırılması''</t>
        </is>
      </c>
    </row>
    <row r="942" ht="47.25" customHeight="1" s="221">
      <c r="A942" s="5" t="inlineStr">
        <is>
          <t>871.</t>
        </is>
      </c>
      <c r="B942" s="6" t="inlineStr">
        <is>
          <t>SBA 25/942</t>
        </is>
      </c>
      <c r="C942" s="8" t="inlineStr">
        <is>
          <t>Doç. Dr. Cafer BALCI</t>
        </is>
      </c>
      <c r="D942" s="7" t="inlineStr">
        <is>
          <t>“Seksen Beş Yaş ve Üzeri Geriatrik Hastalarda İntrinsik Kapasite Değişimi, İyileşme Paternleri ve Klinik Sonuçları; Retrospektif Kohort Çalışması”</t>
        </is>
      </c>
    </row>
    <row r="943" ht="31.5" customHeight="1" s="221">
      <c r="A943" s="5" t="inlineStr">
        <is>
          <t>872.</t>
        </is>
      </c>
      <c r="B943" s="6" t="inlineStr">
        <is>
          <t>SBA 25/943</t>
        </is>
      </c>
      <c r="C943" s="8" t="inlineStr">
        <is>
          <t>Prof. Dr. Emel UZUNOĞLU ÖZYÜREK</t>
        </is>
      </c>
      <c r="D943" s="7" t="inlineStr">
        <is>
          <t>“Kanal Tedavisi Yenileme İşlemine Maruz Kalan Dişlerin Kırılma Dayanımında Ağartmanın Etkisi”</t>
        </is>
      </c>
    </row>
    <row r="944" ht="47.25" customHeight="1" s="221">
      <c r="A944" s="5" t="inlineStr">
        <is>
          <t>873.</t>
        </is>
      </c>
      <c r="B944" s="6" t="inlineStr">
        <is>
          <t>SBA 25/944</t>
        </is>
      </c>
      <c r="C944" s="8" t="inlineStr">
        <is>
          <t>Doç. Dr. Burcu ERSÖZ ALAN</t>
        </is>
      </c>
      <c r="D944" s="7" t="inlineStr">
        <is>
          <t>“DEHB Tanılı Çocuklarda KOKGB Eşlik Etme Durumuna Göre İrritabilite ve Ödül Sisteminin Fonksiyonel MRG ile İncelenmesi”</t>
        </is>
      </c>
    </row>
    <row r="945" ht="47.25" customHeight="1" s="221">
      <c r="A945" s="5" t="inlineStr">
        <is>
          <t>874.</t>
        </is>
      </c>
      <c r="B945" s="6" t="inlineStr">
        <is>
          <t>SBA 25/945</t>
        </is>
      </c>
      <c r="C945" s="8" t="inlineStr">
        <is>
          <t>Öğr. Gör. Dr. Özge ÖZEN</t>
        </is>
      </c>
      <c r="D945" s="7" t="inlineStr">
        <is>
          <t>“Diş Hekimliği Son Sınıf Öğrencilerinin Acil Tıbbi Durumlar Bağlamında Algılanan Güven ve Bilgi Düzeylerinin Değerlendirilmesi”</t>
        </is>
      </c>
    </row>
    <row r="946" ht="63" customHeight="1" s="221">
      <c r="A946" s="5" t="inlineStr">
        <is>
          <t>875.</t>
        </is>
      </c>
      <c r="B946" s="6" t="inlineStr">
        <is>
          <t>SBA 25/946</t>
        </is>
      </c>
      <c r="C946" s="8" t="inlineStr">
        <is>
          <t>Prof. Dr. Sibel ERSOY EVANS</t>
        </is>
      </c>
      <c r="D946" s="7" t="inlineStr">
        <is>
          <t>“Melanom Hastalarında Kiraz Anjiyom Sıklığının ve Kiraz Anjiyomların Gelişiminde VEGF ile VEGF Reseptörlerinin Doku ve Serum Düzeyinde Değerlendirilmesi”</t>
        </is>
      </c>
    </row>
    <row r="947" ht="31.5" customHeight="1" s="221">
      <c r="A947" s="5" t="inlineStr">
        <is>
          <t>876.</t>
        </is>
      </c>
      <c r="B947" s="6" t="inlineStr">
        <is>
          <t>SBA 25/947</t>
        </is>
      </c>
      <c r="C947" s="8" t="inlineStr">
        <is>
          <t>Dr. Öğr. Üyesi Figen BEZCİ AYGÜN</t>
        </is>
      </c>
      <c r="D947" s="7" t="inlineStr">
        <is>
          <t>“Takayasu Arteriti Hastalığında Oftalmolojik Bulguların Değerlendirilmesi”</t>
        </is>
      </c>
    </row>
    <row r="948" ht="31.5" customHeight="1" s="221">
      <c r="A948" s="5" t="inlineStr">
        <is>
          <t>877.</t>
        </is>
      </c>
      <c r="B948" s="6" t="inlineStr">
        <is>
          <t>SBA 25/948</t>
        </is>
      </c>
      <c r="C948" s="8" t="inlineStr">
        <is>
          <t>Doç. Dr. Cafer BALCI</t>
        </is>
      </c>
      <c r="D948" s="7" t="inlineStr">
        <is>
          <t>“Hacettepe Üniversitesi Tıp Fakültesi Öğrencilerinin Geriatri Eğitim ve İlgi Düzeylerinin Değerlendirilmesi”</t>
        </is>
      </c>
    </row>
    <row r="949" ht="47.25" customHeight="1" s="221">
      <c r="A949" s="5" t="inlineStr">
        <is>
          <t>878.</t>
        </is>
      </c>
      <c r="B949" s="6" t="inlineStr">
        <is>
          <t>SBA 25/949</t>
        </is>
      </c>
      <c r="C949" s="8" t="inlineStr">
        <is>
          <t>Doç. Dr. Ali BATUR</t>
        </is>
      </c>
      <c r="D949" s="7" t="inlineStr">
        <is>
          <t>“Acil Serviste İntrakraniyal Merkezi Sinir Sistemi Enfeksiyonu Tanısı Konulan Hastalarda Hipokampüs Hacimlerinin Klinik Seyir Tahminindeki Rolü”</t>
        </is>
      </c>
    </row>
    <row r="950" ht="31.5" customHeight="1" s="221">
      <c r="A950" s="5" t="inlineStr">
        <is>
          <t>879.</t>
        </is>
      </c>
      <c r="B950" s="6" t="inlineStr">
        <is>
          <t>SBA 25/950</t>
        </is>
      </c>
      <c r="C950" s="8" t="inlineStr">
        <is>
          <t>Prof. Dr. Ömer KARADAĞ</t>
        </is>
      </c>
      <c r="D950" s="7" t="inlineStr">
        <is>
          <t>“TRVaS Türkiye Vaskülit Çalışma Grubu Prospektif, Gözlemsel Veritabanı Devam Çalışması”</t>
        </is>
      </c>
    </row>
    <row r="951" ht="47.25" customHeight="1" s="221">
      <c r="A951" s="5" t="inlineStr">
        <is>
          <t>880.</t>
        </is>
      </c>
      <c r="B951" s="6" t="inlineStr">
        <is>
          <t>SBA 25/951</t>
        </is>
      </c>
      <c r="C951" s="8" t="inlineStr">
        <is>
          <t>Doç. Dr. Koray BAŞAR</t>
        </is>
      </c>
      <c r="D951" s="7" t="inlineStr">
        <is>
          <t>“Cinsiyet Uyuşmazlığı Tanısı Konulan Kişilerde Otizm Spektrumu Özelliklerinin Klinik Gereksinimler ve Psikososyal İyilik Hali ile İlişkisi”</t>
        </is>
      </c>
    </row>
    <row r="952" ht="47.25" customHeight="1" s="221">
      <c r="A952" s="5" t="inlineStr">
        <is>
          <t>881.</t>
        </is>
      </c>
      <c r="B952" s="6" t="inlineStr">
        <is>
          <t>SBA 25/952</t>
        </is>
      </c>
      <c r="C952" s="8" t="inlineStr">
        <is>
          <t>Doç. Dr. Hacı Hasan YETER</t>
        </is>
      </c>
      <c r="D952" s="7" t="inlineStr">
        <is>
          <t>“Hemodiyaliz Sırasında Gelişen İntradialitik Hipotansiyonun Klinik ve Hemodinamik Belirteçlerle İlişkisinin Retrospektif İncelenmesi”</t>
        </is>
      </c>
    </row>
    <row r="953" ht="78.75" customHeight="1" s="221">
      <c r="A953" s="5" t="inlineStr">
        <is>
          <t>882.</t>
        </is>
      </c>
      <c r="B953" s="6" t="inlineStr">
        <is>
          <t>SBA 25/953</t>
        </is>
      </c>
      <c r="C953" s="8" t="inlineStr">
        <is>
          <t>Prof. Dr. Murat GÜLTEKİN</t>
        </is>
      </c>
      <c r="D953" s="7" t="inlineStr">
        <is>
          <t>“Hyalüronik Asit, ß-Glukan, Centella Asiatica, Coriolus Versicolor, Neem, BioEcolia®, Aloe Vera İçeren Doğal İçerikli Vajinal Jel Papilocare® Kullanımının HPV Pozitif Kadınlarda Viral Klirense Etkisinin Retrospektif Olarak Araştırılması”</t>
        </is>
      </c>
    </row>
    <row r="954" ht="31.5" customHeight="1" s="221">
      <c r="A954" s="5" t="inlineStr">
        <is>
          <t>883.</t>
        </is>
      </c>
      <c r="B954" s="6" t="inlineStr">
        <is>
          <t>SBA 25/954</t>
        </is>
      </c>
      <c r="C954" s="8" t="inlineStr">
        <is>
          <t>Prof. Dr. Sibel DOĞAN GÜNAYDIN</t>
        </is>
      </c>
      <c r="D954" s="7" t="inlineStr">
        <is>
          <t>“İşitme Kaybı Olan Hastalarda Hipopigmentasyon Bozukluklarının İncelenmesi”</t>
        </is>
      </c>
    </row>
    <row r="955" ht="31.5" customHeight="1" s="221">
      <c r="A955" s="5" t="inlineStr">
        <is>
          <t>884.</t>
        </is>
      </c>
      <c r="B955" s="6" t="inlineStr">
        <is>
          <t>SBA 25/955</t>
        </is>
      </c>
      <c r="C955" s="8" t="inlineStr">
        <is>
          <t>Doç. Dr. Ayşegül FIRAT</t>
        </is>
      </c>
      <c r="D955" s="7" t="inlineStr">
        <is>
          <t>“Ramus Intermedius Arteriae Hepaticae Sınıflamasının Radyolojik Olarak İncelenmesi”</t>
        </is>
      </c>
    </row>
    <row r="956" ht="63" customHeight="1" s="221">
      <c r="A956" s="5" t="inlineStr">
        <is>
          <t>885.</t>
        </is>
      </c>
      <c r="B956" s="6" t="inlineStr">
        <is>
          <t>SBA 25/956</t>
        </is>
      </c>
      <c r="C956" s="8" t="inlineStr">
        <is>
          <t>Doç. Dr. Elifcan ALADAĞ KARAKULAK</t>
        </is>
      </c>
      <c r="D956" s="7" t="inlineStr">
        <is>
          <t>“Saçlı Hücreli Lösemi Hastalarının Tanı Anındaki Klinik, Laboratuvar Parametrelerinin Prognostik, Sağ Kalım ve Tedaviye Yanıt Durumları Açısından Değerlendirilmesi”</t>
        </is>
      </c>
    </row>
    <row r="957" ht="31.5" customHeight="1" s="221">
      <c r="A957" s="5" t="inlineStr">
        <is>
          <t>886.</t>
        </is>
      </c>
      <c r="B957" s="6" t="inlineStr">
        <is>
          <t>SBA 25/957</t>
        </is>
      </c>
      <c r="C957" s="8" t="inlineStr">
        <is>
          <t>Doç. Dr. Melis PEHLİVANTÜRK KIZILKAN</t>
        </is>
      </c>
      <c r="D957" s="7" t="inlineStr">
        <is>
          <t>“Hastane Yatışının Adolesanlarda Ekran Kullanımı Üzerine Etkisi”</t>
        </is>
      </c>
    </row>
    <row r="958" ht="31.5" customHeight="1" s="221">
      <c r="A958" s="5" t="inlineStr">
        <is>
          <t>887.</t>
        </is>
      </c>
      <c r="B958" s="6" t="inlineStr">
        <is>
          <t>SBA 25/958</t>
        </is>
      </c>
      <c r="C958" s="8" t="inlineStr">
        <is>
          <t>Prof. Dr. Fatma Gökçem YILDIZ SARIKAYA</t>
        </is>
      </c>
      <c r="D958" s="7" t="inlineStr">
        <is>
          <t>“Amiyotrofik Lateral Skleroz Hastalarında İpsilateral Transkraniyal Manyetik Uyarım Ölçütleri”</t>
        </is>
      </c>
    </row>
    <row r="959" ht="31.5" customHeight="1" s="221">
      <c r="A959" s="5" t="inlineStr">
        <is>
          <t>888.</t>
        </is>
      </c>
      <c r="B959" s="6" t="inlineStr">
        <is>
          <t>SBA 25/959</t>
        </is>
      </c>
      <c r="C959" s="8" t="inlineStr">
        <is>
          <t>Prof. Dr. Gökhan METAN</t>
        </is>
      </c>
      <c r="D959" s="7" t="inlineStr">
        <is>
          <t>“Obez Hastalarda Antimikrobiyal Tedavide Terapötik İlaç Düzeyi İzlemi: Prospektif Gözlemsel Bir Çalışma”</t>
        </is>
      </c>
    </row>
    <row r="960" ht="47.25" customHeight="1" s="221">
      <c r="A960" s="5" t="inlineStr">
        <is>
          <t>889.</t>
        </is>
      </c>
      <c r="B960" s="6" t="inlineStr">
        <is>
          <t>SBA 25/960</t>
        </is>
      </c>
      <c r="C960" s="8" t="inlineStr">
        <is>
          <t>Dr. Öğr. Üyesi Gökçen AKÇİÇEK</t>
        </is>
      </c>
      <c r="D960" s="7" t="inlineStr">
        <is>
          <t>“Kadınların Gebelikte Uygulanan Dental ve Radyolojik İşlemler ile Ağız Sağlığına Dair Farkındalık ve Algısı: Anket Temelli Kesitsel Bir Çalışma”</t>
        </is>
      </c>
    </row>
    <row r="961" ht="47.25" customHeight="1" s="221">
      <c r="A961" s="5" t="inlineStr">
        <is>
          <t>890.</t>
        </is>
      </c>
      <c r="B961" s="6" t="inlineStr">
        <is>
          <t>SBA 25/961</t>
        </is>
      </c>
      <c r="C961" s="8" t="inlineStr">
        <is>
          <t>Doç. Dr. Gökhan SERT</t>
        </is>
      </c>
      <c r="D961" s="7" t="inlineStr">
        <is>
          <t>“Yeni Nesil Girişimsiz Kapiller Anjiyografi Sisteminin Tasarım Doğrulama Numunesinin Geliştirilmesi ve Sistemin İşlevsellik Değerlendirmesi”</t>
        </is>
      </c>
    </row>
    <row r="962" ht="31.5" customHeight="1" s="221">
      <c r="A962" s="5" t="inlineStr">
        <is>
          <t>891.</t>
        </is>
      </c>
      <c r="B962" s="6" t="inlineStr">
        <is>
          <t>SBA 25/962</t>
        </is>
      </c>
      <c r="C962" s="8" t="inlineStr">
        <is>
          <t>Prof. Dr. Bayram ŞAHİN</t>
        </is>
      </c>
      <c r="D962" s="7" t="inlineStr">
        <is>
          <t>"Kronik Böbrek Hastalığının Teşhisi: Bir Makine Öğrenmesi Uygulaması"</t>
        </is>
      </c>
    </row>
    <row r="963" ht="63" customHeight="1" s="221">
      <c r="A963" s="5" t="inlineStr">
        <is>
          <t>892.</t>
        </is>
      </c>
      <c r="B963" s="6" t="inlineStr">
        <is>
          <t>SBA 25/963</t>
        </is>
      </c>
      <c r="C963" s="8" t="inlineStr">
        <is>
          <t>Doç. Dr. Neslihan AKDOĞAN</t>
        </is>
      </c>
      <c r="D963" s="7" t="inlineStr">
        <is>
          <t>“Orta-Şiddetli Kronik Plak Tipi Psöriazis Nedeniyle TNF-α İnhibitörü, IL-17 İnhibitörü veya IL-23 İnhibitörü Tedavisi Kullanan Hastalarda, Aynı Grup İçindeki Biyolojik Ajan Değişiminin Değerlendirilmesi”</t>
        </is>
      </c>
    </row>
    <row r="964" ht="47.25" customHeight="1" s="221">
      <c r="A964" s="5" t="inlineStr">
        <is>
          <t>893.</t>
        </is>
      </c>
      <c r="B964" s="6" t="inlineStr">
        <is>
          <t>SBA 25/964</t>
        </is>
      </c>
      <c r="C964" s="8" t="inlineStr">
        <is>
          <t>Dr. Öğr. Üyesi Yiğitcan KARANFİL</t>
        </is>
      </c>
      <c r="D964" s="7" t="inlineStr">
        <is>
          <t>“Üniversiteler Arası Ragbi Turnuvasında Yaralanma ve Semptomların Retrospektif Analizi: Meteorolojik Veriler ile Karşılaştırmalı Değerlendirme”</t>
        </is>
      </c>
    </row>
    <row r="965" ht="47.25" customHeight="1" s="221">
      <c r="A965" s="5" t="inlineStr">
        <is>
          <t>894.</t>
        </is>
      </c>
      <c r="B965" s="6" t="inlineStr">
        <is>
          <t>SBA 25/965</t>
        </is>
      </c>
      <c r="C965" s="8" t="inlineStr">
        <is>
          <t>Doç. Dr. İzzet FİDANCI</t>
        </is>
      </c>
      <c r="D965" s="7" t="inlineStr">
        <is>
          <t>“Hipertansiyon Tedavisine İlişkin YouTube Videolarının DISCERN Kriterleriyle Değerlendirilmesinde Manuel ve Yapay Zekâ Değerlendiricileri Arasındaki Uyum”</t>
        </is>
      </c>
    </row>
    <row r="966" ht="63" customHeight="1" s="221">
      <c r="A966" s="5" t="inlineStr">
        <is>
          <t>895.</t>
        </is>
      </c>
      <c r="B966" s="6" t="inlineStr">
        <is>
          <t>SBA 25/966</t>
        </is>
      </c>
      <c r="C966" s="8" t="inlineStr">
        <is>
          <t>Prof. Dr. Salih Kutay DEMİRKAN</t>
        </is>
      </c>
      <c r="D966" s="7" t="inlineStr">
        <is>
          <t>“Mesleki Kurşun İntoksikasyonu için Etilendiamintetraasetik Asit (EDTA) Şelasyon Tedavisi Alan Hastalarda Eser Element Düzeylerinin Retrospektif Değerlendirilmesi”</t>
        </is>
      </c>
    </row>
    <row r="967" ht="47.25" customHeight="1" s="221">
      <c r="A967" s="5" t="inlineStr">
        <is>
          <t>896.</t>
        </is>
      </c>
      <c r="B967" s="6" t="inlineStr">
        <is>
          <t>SBA 25/967</t>
        </is>
      </c>
      <c r="C967" s="8" t="inlineStr">
        <is>
          <t>Doç. Dr. Cafer BALCI</t>
        </is>
      </c>
      <c r="D967" s="7" t="inlineStr">
        <is>
          <t>“Denosumab Alan Geriatrik Hastaların İlaç Uyumunun Değerlendirilmesi ve ilaç Uyum Sonuçlarının Osteoporoz Üzerine Olan Etkisi”</t>
        </is>
      </c>
    </row>
    <row r="968" ht="31.5" customHeight="1" s="221">
      <c r="A968" s="5" t="inlineStr">
        <is>
          <t>897.</t>
        </is>
      </c>
      <c r="B968" s="6" t="inlineStr">
        <is>
          <t>SBA 25/968</t>
        </is>
      </c>
      <c r="C968" s="8" t="inlineStr">
        <is>
          <t>Dr. Öğr. Üyesi Burçin HALAÇLI</t>
        </is>
      </c>
      <c r="D968" s="7" t="inlineStr">
        <is>
          <t>“İç Hastalıkları Yoğun Bakım Ünitesinde İzlenen Hastaların Retrospektif Değerlendirilmesi”</t>
        </is>
      </c>
    </row>
    <row r="969" ht="63" customHeight="1" s="221">
      <c r="A969" s="5" t="inlineStr">
        <is>
          <t>898.</t>
        </is>
      </c>
      <c r="B969" s="6" t="inlineStr">
        <is>
          <t>SBA 25/969</t>
        </is>
      </c>
      <c r="C969" s="8" t="inlineStr">
        <is>
          <t>Prof. Dr. Murat GÜLTEKİN</t>
        </is>
      </c>
      <c r="D969" s="7" t="inlineStr">
        <is>
          <t>“Borderline Over Tümörlerinde Fertilite Koruyucu Cerrahi Yaklaşımlar, İntraoperatif Frozen İncelemenin Nihai Patoloji ile Uyumluluğu ve Sağ Kalım Verilerinin Tek Merkez Çok Yönlü Retrospektif İncelenmesi”</t>
        </is>
      </c>
    </row>
    <row r="970" ht="47.25" customHeight="1" s="221">
      <c r="A970" s="5" t="inlineStr">
        <is>
          <t>899.</t>
        </is>
      </c>
      <c r="B970" s="6" t="inlineStr">
        <is>
          <t>SBA 25/970</t>
        </is>
      </c>
      <c r="C970" s="8" t="inlineStr">
        <is>
          <t>Prof. Dr. Murat GÜLTEKİN</t>
        </is>
      </c>
      <c r="D970" s="7" t="inlineStr">
        <is>
          <t>“Over Kanseri Hastalarında Uygulanan Tedavi Stratejilerinin, Tedavi Yanıtı Öngörücü Parametrelerin, Sağ Kalım ve Nüks Paternlerinin Çok Yönlü Analizi”</t>
        </is>
      </c>
    </row>
    <row r="971" ht="63" customHeight="1" s="221">
      <c r="A971" s="5" t="inlineStr">
        <is>
          <t>900.</t>
        </is>
      </c>
      <c r="B971" s="6" t="inlineStr">
        <is>
          <t>SBA 25/971</t>
        </is>
      </c>
      <c r="C971" s="8" t="inlineStr">
        <is>
          <t>Doç. Dr. Ahmet Erim PAMUL</t>
        </is>
      </c>
      <c r="D971" s="7" t="inlineStr">
        <is>
          <t>“MuItidisipliner KBB-Onkoloji Konseyinde Tartışılan Larinks Kanserli Hastalarda Klasifikasyon ve Sağkalım Değerlendirmede Yapay Zeka Temelli Tahmin Modeli Oluşturmak”</t>
        </is>
      </c>
    </row>
    <row r="972" ht="47.25" customHeight="1" s="221">
      <c r="A972" s="5" t="inlineStr">
        <is>
          <t>901.</t>
        </is>
      </c>
      <c r="B972" s="6" t="inlineStr">
        <is>
          <t>SBA 25/972</t>
        </is>
      </c>
      <c r="C972" s="8" t="inlineStr">
        <is>
          <t>Prof. Dr. Fadime İrsel TEZER FİLİK</t>
        </is>
      </c>
      <c r="D972" s="7" t="inlineStr">
        <is>
          <t>“Video-EEG Monitorizasyonunda İzlenen Status Epileptikus ve Küme Tip Nöbetlerin Elektrokli̇ni̇k Özellikleri”</t>
        </is>
      </c>
    </row>
    <row r="973" ht="31.5" customHeight="1" s="221">
      <c r="A973" s="5" t="inlineStr">
        <is>
          <t>902.</t>
        </is>
      </c>
      <c r="B973" s="6" t="inlineStr">
        <is>
          <t>SBA 25/973</t>
        </is>
      </c>
      <c r="C973" s="8" t="inlineStr">
        <is>
          <t>Doç. Dr. Hilal AKSOY</t>
        </is>
      </c>
      <c r="D973" s="7" t="inlineStr">
        <is>
          <t>“Sağlıkta Kalite Standartları Değerlendiricilerinin Sağlık Teknolojilerini Değerlendirme Konusundaki Tutumları”</t>
        </is>
      </c>
    </row>
    <row r="974" ht="47.25" customHeight="1" s="221">
      <c r="A974" s="5" t="inlineStr">
        <is>
          <t>903.</t>
        </is>
      </c>
      <c r="B974" s="6" t="inlineStr">
        <is>
          <t>SBA 25/974</t>
        </is>
      </c>
      <c r="C974" s="8" t="inlineStr">
        <is>
          <t>Prof. Dr. Serdar ÖZER</t>
        </is>
      </c>
      <c r="D974" s="7" t="inlineStr">
        <is>
          <t>“Nasal Septal Perforasyonlu Hastalarda NOSE-Perf Ölçeğinin Türkçe Uyarlamasının Geçerlilik ve Güvenilirlik Analizi”</t>
        </is>
      </c>
    </row>
    <row r="975" ht="31.5" customHeight="1" s="221">
      <c r="A975" s="5" t="inlineStr">
        <is>
          <t>904.</t>
        </is>
      </c>
      <c r="B975" s="6" t="inlineStr">
        <is>
          <t>SBA 25/975</t>
        </is>
      </c>
      <c r="C975" s="8" t="inlineStr">
        <is>
          <t>Prof. Dr. İlkay Sedakat İDİLMAN</t>
        </is>
      </c>
      <c r="D975" s="7" t="inlineStr">
        <is>
          <t>“Sanal Karaciğer Biyopsisi- Metabolik Hastalık İlişkili Yağlı Karaciğer Hastalığında Prognoz ve İzlem”</t>
        </is>
      </c>
    </row>
    <row r="976" ht="63" customHeight="1" s="221">
      <c r="A976" s="5" t="inlineStr">
        <is>
          <t>905.</t>
        </is>
      </c>
      <c r="B976" s="6" t="inlineStr">
        <is>
          <t>SBA 25/976</t>
        </is>
      </c>
      <c r="C976" s="8" t="inlineStr">
        <is>
          <t>Prof. Dr. İlkay Sedakat İDİLMAN</t>
        </is>
      </c>
      <c r="D976" s="7" t="inlineStr">
        <is>
          <t>“Yağlı Karaciğer Hastalığında Karaciğer Yağlanması ve Karaciğer Sertliğinin Değerlendirilmesinde Multiparametrik Ultrasonografi ve Manyetik Rezonans Elastografinin Karşılaştırılması”</t>
        </is>
      </c>
    </row>
    <row r="977" ht="47.25" customHeight="1" s="221">
      <c r="A977" s="5" t="inlineStr">
        <is>
          <t>906.</t>
        </is>
      </c>
      <c r="B977" s="6" t="inlineStr">
        <is>
          <t>SBA 25/977</t>
        </is>
      </c>
      <c r="C977" s="8" t="inlineStr">
        <is>
          <t>Prof. Dr. Benan BAYRAKCİ</t>
        </is>
      </c>
      <c r="D977" s="7" t="inlineStr">
        <is>
          <t>“Hemşirelerin Bütünsel Sağlık, Duygusal Emek, Şefkat Yorgunluğu ve İş Doyumu Arasındaki İlişkiler: Yol Analizi”</t>
        </is>
      </c>
    </row>
    <row r="978" ht="31.5" customHeight="1" s="221">
      <c r="A978" s="5" t="inlineStr">
        <is>
          <t>907.</t>
        </is>
      </c>
      <c r="B978" s="6" t="inlineStr">
        <is>
          <t>SBA 25/978</t>
        </is>
      </c>
      <c r="C978" s="8" t="inlineStr">
        <is>
          <t>Prof. Dr. Fatma YURT</t>
        </is>
      </c>
      <c r="D978" s="7" t="inlineStr">
        <is>
          <t>“Radyoloji Tetkiklerinde Hastalar İçin Tahmini Fetal Doz Hesaplamaları”</t>
        </is>
      </c>
    </row>
    <row r="979" ht="47.25" customHeight="1" s="221">
      <c r="A979" s="5" t="inlineStr">
        <is>
          <t>908.</t>
        </is>
      </c>
      <c r="B979" s="6" t="inlineStr">
        <is>
          <t>SBA 25/979</t>
        </is>
      </c>
      <c r="C979" s="8" t="inlineStr">
        <is>
          <t>Prof. Dr. Aysun BALSEVEN ODABAŞI</t>
        </is>
      </c>
      <c r="D979" s="7" t="inlineStr">
        <is>
          <t>“Tıbbi Uygulama Hatası Olgularının Değerlendirilmesinde Büyük Dil Modelleri ve Adli Tıp Uzman Görüşlerinin Karşılaştırmalı Analizi”</t>
        </is>
      </c>
    </row>
    <row r="980" ht="31.5" customHeight="1" s="221">
      <c r="A980" s="5" t="inlineStr">
        <is>
          <t>909.</t>
        </is>
      </c>
      <c r="B980" s="6" t="inlineStr">
        <is>
          <t>SBA 25/980</t>
        </is>
      </c>
      <c r="C980" s="8" t="inlineStr">
        <is>
          <t>Doç. Dr. Gülşen TAŞDELEN TEKER</t>
        </is>
      </c>
      <c r="D980" s="7" t="inlineStr">
        <is>
          <t>“Mohs Cerrahisinde Artırılmış Gerçeklik Entegrasyonlu Simülasyon Çalışması”</t>
        </is>
      </c>
    </row>
    <row r="981" ht="47.25" customHeight="1" s="221">
      <c r="A981" s="5" t="inlineStr">
        <is>
          <t>910.</t>
        </is>
      </c>
      <c r="B981" s="6" t="inlineStr">
        <is>
          <t>SBA 25/981</t>
        </is>
      </c>
      <c r="C981" s="8" t="inlineStr">
        <is>
          <t>Prof. Dr. Müzeyyen Pınar ÖZGEN KIRATLI</t>
        </is>
      </c>
      <c r="D981" s="7" t="inlineStr">
        <is>
          <t>“Pediatrik Non-Hodgkin Lenfoma Tanılı Hastalarda PET-BT'den Elde Edilen Semikantitatif Parametrelerin Değerlendirilmesi”</t>
        </is>
      </c>
    </row>
    <row r="982" ht="47.25" customHeight="1" s="221">
      <c r="A982" s="5" t="inlineStr">
        <is>
          <t>911.</t>
        </is>
      </c>
      <c r="B982" s="6" t="inlineStr">
        <is>
          <t>SBA 25/982</t>
        </is>
      </c>
      <c r="C982" s="8" t="inlineStr">
        <is>
          <t>Prof. Dr. Çağrı Mesut TEMUÇİN</t>
        </is>
      </c>
      <c r="D982" s="7" t="inlineStr">
        <is>
          <t>“Parkinson Hastalığında Levodopa-Karbidopa İntestinal Jel Kullanan Hastalarda Periferik Nörolojik Tutulum: Elektrofizyolojik Çalışma”</t>
        </is>
      </c>
    </row>
    <row r="983" ht="63" customHeight="1" s="221">
      <c r="A983" s="5" t="inlineStr">
        <is>
          <t>912.</t>
        </is>
      </c>
      <c r="B983" s="6" t="inlineStr">
        <is>
          <t>SBA 25/983</t>
        </is>
      </c>
      <c r="C983" s="8" t="inlineStr">
        <is>
          <t>Dr. Öğr. Gör. Buket KILIÇ</t>
        </is>
      </c>
      <c r="D983" s="7" t="inlineStr">
        <is>
          <t>“Özgül Öğrenme Bozukluğu Tanılı Ergenlerde Benlik Saygısı, Yeterlik Algısı ve Baskın Savunma Mekanizmalarının Annelerdeki Psikolojik Farkındalık ve Empati Düzeyi ile İlişkisi”</t>
        </is>
      </c>
    </row>
    <row r="984" ht="47.25" customHeight="1" s="221">
      <c r="A984" s="5" t="inlineStr">
        <is>
          <t>913.</t>
        </is>
      </c>
      <c r="B984" s="6" t="inlineStr">
        <is>
          <t>SBA 25/984</t>
        </is>
      </c>
      <c r="C984" s="8" t="inlineStr">
        <is>
          <t>Doç. Dr. Erdem FADILOĞLU</t>
        </is>
      </c>
      <c r="D984" s="7" t="inlineStr">
        <is>
          <t>“Normal Gebeliklerde Fetal Farinks Büyüme Paternlerinin Üç Boyutlu Ultrasonografi ile Değerlendirilmesi”</t>
        </is>
      </c>
    </row>
    <row r="985" ht="78.75" customHeight="1" s="221">
      <c r="A985" s="5" t="inlineStr">
        <is>
          <t>914.</t>
        </is>
      </c>
      <c r="B985" s="6" t="inlineStr">
        <is>
          <t>SBA 25/985</t>
        </is>
      </c>
      <c r="C985" s="8" t="inlineStr">
        <is>
          <t>Doç. Dr. Naşide MANGIR BOLAT</t>
        </is>
      </c>
      <c r="D985" s="7" t="inlineStr">
        <is>
          <t>“Multiple Skleroz (MS) Tanılı Hastalarda MS Mesane Kontrol Aracı Kullanılarak Alt Üriner Sistem Semptomlarının Ön Değerlendirilmesi ve Fonksiyonel Üroloji Polikliniğine Yönlendirme Kriterlerinin Belirlenmesi”</t>
        </is>
      </c>
    </row>
    <row r="986" ht="31.5" customHeight="1" s="221">
      <c r="A986" s="5" t="inlineStr">
        <is>
          <t>915.</t>
        </is>
      </c>
      <c r="B986" s="6" t="inlineStr">
        <is>
          <t>SBA 25/986</t>
        </is>
      </c>
      <c r="C986" s="8" t="inlineStr">
        <is>
          <t>Prof. Dr. Burcu Balam DOĞU</t>
        </is>
      </c>
      <c r="D986" s="7" t="inlineStr">
        <is>
          <t>“Sirotik Hastalarda Sarkopeni ve Kognisyon Değerlendirilmesi”</t>
        </is>
      </c>
    </row>
    <row r="987" ht="47.25" customHeight="1" s="221">
      <c r="A987" s="5" t="inlineStr">
        <is>
          <t>916.</t>
        </is>
      </c>
      <c r="B987" s="6" t="inlineStr">
        <is>
          <t>SBA 25/987</t>
        </is>
      </c>
      <c r="C987" s="8" t="inlineStr">
        <is>
          <t>Dr. Öğr. Üyesi Selin ARDALI DÜZEGÜN</t>
        </is>
      </c>
      <c r="D987" s="7" t="inlineStr">
        <is>
          <t>“Erişkinlerde Timus Boyutlarının BT ile Değerlendirilmesi, Farklı Yaş Gruplan, Cinsiyet ve Sigara Kullanımıyla İlişkisi”</t>
        </is>
      </c>
    </row>
    <row r="988" ht="47.25" customHeight="1" s="221">
      <c r="A988" s="5" t="inlineStr">
        <is>
          <t>917.</t>
        </is>
      </c>
      <c r="B988" s="6" t="inlineStr">
        <is>
          <t>SBA 25/988</t>
        </is>
      </c>
      <c r="C988" s="8" t="inlineStr">
        <is>
          <t>Doç. Dr. Duygu GÜLSEREN</t>
        </is>
      </c>
      <c r="D988" s="7" t="inlineStr">
        <is>
          <t>“Onikomikoz Teşhisinde Yapay Zeka Algoritmalarının Dermatolog ve Aile Hekimleri ile Karşılatırmalı Olarak Değerlendirilmesi”</t>
        </is>
      </c>
    </row>
    <row r="989" ht="31.5" customHeight="1" s="221">
      <c r="A989" s="5" t="inlineStr">
        <is>
          <t>918.</t>
        </is>
      </c>
      <c r="B989" s="6" t="inlineStr">
        <is>
          <t>SBA 25/989</t>
        </is>
      </c>
      <c r="C989" s="8" t="inlineStr">
        <is>
          <t>Prof. Dr. Ümit Murat ŞAHİNER</t>
        </is>
      </c>
      <c r="D989" s="7" t="inlineStr">
        <is>
          <t>“Çocukluk Çağı Astımında Uzun Süreli İzlem ve Remisyon”</t>
        </is>
      </c>
    </row>
    <row r="990" ht="47.25" customHeight="1" s="221">
      <c r="A990" s="5" t="inlineStr">
        <is>
          <t>919.</t>
        </is>
      </c>
      <c r="B990" s="6" t="inlineStr">
        <is>
          <t>SBA 25/990</t>
        </is>
      </c>
      <c r="C990" s="8" t="inlineStr">
        <is>
          <t>Arş. Gör. Dr. Evrim AKSU MENGEŞ</t>
        </is>
      </c>
      <c r="D990" s="7" t="inlineStr">
        <is>
          <t>“DJ-1 Mutasyonuna Bağlı Mitokondriyal Hasarın ve Organeller Arası Etkileşimlerin Hasta Hücrelerinde İncelenmesi”</t>
        </is>
      </c>
    </row>
    <row r="991" ht="47.25" customHeight="1" s="221">
      <c r="A991" s="5" t="inlineStr">
        <is>
          <t>920.</t>
        </is>
      </c>
      <c r="B991" s="6" t="inlineStr">
        <is>
          <t>SBA 25/991</t>
        </is>
      </c>
      <c r="C991" s="8" t="inlineStr">
        <is>
          <t>Dr. Öğr. Üyesi Burçin HALAÇLI</t>
        </is>
      </c>
      <c r="D991" s="7" t="inlineStr">
        <is>
          <t>“Lenfoma Hastalarında Warburg Etkisine Bağlı Tip B Laktik Asidoz ve Hipoglisemi: İki Olgu Sunumu ve Literatür Derlemesi”</t>
        </is>
      </c>
    </row>
    <row r="992" ht="47.25" customHeight="1" s="221">
      <c r="A992" s="5" t="inlineStr">
        <is>
          <t>921.</t>
        </is>
      </c>
      <c r="B992" s="6" t="inlineStr">
        <is>
          <t>SBA 25/992</t>
        </is>
      </c>
      <c r="C992" s="53" t="inlineStr">
        <is>
          <t>Prof. Dr. Ömer KARADAĞ
Doç. Dr. Mesut ALTAN</t>
        </is>
      </c>
      <c r="D992" s="7" t="inlineStr">
        <is>
          <t>“Vaskülit Hastalarında Erektil Disfonksiyonun Yaygınlığı ve Ürolojik Değerlendirme Sıklığı: Kesitsel Bir Anket Çalışması”</t>
        </is>
      </c>
    </row>
    <row r="993" ht="63" customHeight="1" s="221">
      <c r="A993" s="5" t="inlineStr">
        <is>
          <t>922.</t>
        </is>
      </c>
      <c r="B993" s="6" t="inlineStr">
        <is>
          <t>SBA 25/993</t>
        </is>
      </c>
      <c r="C993" s="8" t="inlineStr">
        <is>
          <t>Dr. Öğr. Üyesi Gonca ÖZTEN DERE</t>
        </is>
      </c>
      <c r="D993" s="7" t="inlineStr">
        <is>
          <t>“İntra Uterin İnseminasyon Tedavisi Öncesi Elastoscan (Shear Wave Elastografi) ile Uterusun Prospektif Olarak Değerlendirmesi ve Gebelik Sonuçları ile İlişkisinin İncelenmesi”</t>
        </is>
      </c>
    </row>
    <row r="994" ht="63" customHeight="1" s="221">
      <c r="A994" s="5" t="inlineStr">
        <is>
          <t>923.</t>
        </is>
      </c>
      <c r="B994" s="6" t="inlineStr">
        <is>
          <t>SBA 25/994</t>
        </is>
      </c>
      <c r="C994" s="8" t="inlineStr">
        <is>
          <t>Dr. Öğr. Üyesi Gonca ÖZTEN DERE</t>
        </is>
      </c>
      <c r="D994" s="7" t="inlineStr">
        <is>
          <t>“İn Vitro Fertilizasyon Tedavisi Öncesi Elastoscan (Shear Wave Elastografi) ile Uterusun Prospektif Olarak Değerlendirmesi ve Gebelik Sonuçları ile İlişkisinin İncelenmesi”</t>
        </is>
      </c>
    </row>
    <row r="995" ht="47.25" customHeight="1" s="221">
      <c r="A995" s="5" t="inlineStr">
        <is>
          <t>924.</t>
        </is>
      </c>
      <c r="B995" s="6" t="inlineStr">
        <is>
          <t>SBA 25/995</t>
        </is>
      </c>
      <c r="C995" s="8" t="inlineStr">
        <is>
          <t>Dr. Öğr. Üyesi Selin ARDALI DÜZEGÜN</t>
        </is>
      </c>
      <c r="D995" s="7" t="inlineStr">
        <is>
          <t>“Kalp ve Beyin MRG Görüntülerinde Hareket Kaynaklı Aretfaktların Tespiti ve Düzeltilmesine Yönelik Yapay Zeka Yaklaşımı”</t>
        </is>
      </c>
    </row>
    <row r="996" ht="47.25" customHeight="1" s="221">
      <c r="A996" s="5" t="inlineStr">
        <is>
          <t>925.</t>
        </is>
      </c>
      <c r="B996" s="6" t="inlineStr">
        <is>
          <t>SBA 25/996</t>
        </is>
      </c>
      <c r="C996" s="8" t="inlineStr">
        <is>
          <t>Dr. Öğr. Üyesi Selin ARDALI DÜZEGÜN</t>
        </is>
      </c>
      <c r="D996" s="7" t="inlineStr">
        <is>
          <t>“Koroner MRA Görüntülerinde Görüntü Kalitesinin Artırılmasına ve Otomatik Değerlendirilmesine Yönelik Yapay Zeka Uygulaması”</t>
        </is>
      </c>
    </row>
    <row r="997" ht="47.25" customHeight="1" s="221">
      <c r="A997" s="5" t="inlineStr">
        <is>
          <t>926.</t>
        </is>
      </c>
      <c r="B997" s="6" t="inlineStr">
        <is>
          <t>SBA 25/997</t>
        </is>
      </c>
      <c r="C997" s="8" t="inlineStr">
        <is>
          <t>Doç. Dr. Emre ÜNAL</t>
        </is>
      </c>
      <c r="D997" s="7" t="inlineStr">
        <is>
          <t>“Ultrasonografi Eşliğinde Transperineal Prostat Biyopsisinin Güvenirliliği, Uygulanabilirliği ve Kanser Yakalamada Başarı Oranı”</t>
        </is>
      </c>
    </row>
    <row r="998" ht="31.5" customHeight="1" s="221">
      <c r="A998" s="5" t="inlineStr">
        <is>
          <t>927.</t>
        </is>
      </c>
      <c r="B998" s="6" t="inlineStr">
        <is>
          <t>SBA 25/998</t>
        </is>
      </c>
      <c r="C998" s="8" t="inlineStr">
        <is>
          <t>Prof. Dr. Mustafa ARICI</t>
        </is>
      </c>
      <c r="D998" s="7" t="inlineStr">
        <is>
          <t>“Hemodiyaliz Sürecinde Mikroplastik Varlığının ve Maruziyet Düzeyinin Değerlendirilmesi”</t>
        </is>
      </c>
    </row>
    <row r="999" ht="31.5" customHeight="1" s="221">
      <c r="A999" s="5" t="inlineStr">
        <is>
          <t>928.</t>
        </is>
      </c>
      <c r="B999" s="6" t="inlineStr">
        <is>
          <t>SBA 25/999</t>
        </is>
      </c>
      <c r="C999" s="8" t="inlineStr">
        <is>
          <t>Prof. Dr. Mukaddes GÜRLER</t>
        </is>
      </c>
      <c r="D999" s="7" t="inlineStr">
        <is>
          <t>“Kurutulmuş İdrar Örneklerinde (DUS) Uyuşturucu-Uyarıcı Madde Analizi”</t>
        </is>
      </c>
    </row>
    <row r="1000" ht="31.5" customHeight="1" s="221">
      <c r="A1000" s="5" t="inlineStr">
        <is>
          <t>929.</t>
        </is>
      </c>
      <c r="B1000" s="6" t="inlineStr">
        <is>
          <t>SBA 25/1000</t>
        </is>
      </c>
      <c r="C1000" s="8" t="inlineStr">
        <is>
          <t>Prof. Dr. Sibel ERSOY EVANS</t>
        </is>
      </c>
      <c r="D1000" s="7" t="inlineStr">
        <is>
          <t>“Vitiligo Tanılı Pediatrik Hastalarda Oral Mikrobiyom ve Diş Çürüğü İlişkisinin İncelenmesi ”</t>
        </is>
      </c>
    </row>
    <row r="1001" ht="47.25" customHeight="1" s="221">
      <c r="A1001" s="5" t="inlineStr">
        <is>
          <t>930.</t>
        </is>
      </c>
      <c r="B1001" s="6" t="inlineStr">
        <is>
          <t>SBA 25/1001</t>
        </is>
      </c>
      <c r="C1001" s="8" t="inlineStr">
        <is>
          <t>Dr. Öğr. Üyesi Yağmur ÜNSAL</t>
        </is>
      </c>
      <c r="D1001" s="7" t="inlineStr">
        <is>
          <t>“Agresif Başlangıçlı Tip 1 Diabetes Mellitus ile Tanınan CD70 Eksikliği Tanısı Alan Olgunun Klinik ve Laboratuvar Özelliklerinin İncelenmesi</t>
        </is>
      </c>
    </row>
    <row r="1002" ht="31.5" customHeight="1" s="221">
      <c r="A1002" s="5" t="inlineStr">
        <is>
          <t>931.</t>
        </is>
      </c>
      <c r="B1002" s="6" t="inlineStr">
        <is>
          <t>SBA 25/1002</t>
        </is>
      </c>
      <c r="C1002" s="8" t="inlineStr">
        <is>
          <t>Dr. Öğr. Üyesi Elif KARAKOÇ</t>
        </is>
      </c>
      <c r="D1002" s="7" t="inlineStr">
        <is>
          <t>“Pelargonium graveolens'in Endometriozis Hücre Hattı (12Z) Üzerindeki Etkilerinin Araştırılması”</t>
        </is>
      </c>
    </row>
    <row r="1003" ht="31.5" customHeight="1" s="221">
      <c r="A1003" s="5" t="inlineStr">
        <is>
          <t>932.</t>
        </is>
      </c>
      <c r="B1003" s="6" t="inlineStr">
        <is>
          <t>SBA 25/1003</t>
        </is>
      </c>
      <c r="C1003" s="8" t="inlineStr">
        <is>
          <t>Prof. Dr. Burcu Balam DOĞU</t>
        </is>
      </c>
      <c r="D1003" s="7" t="inlineStr">
        <is>
          <t>“Kas Kuvveti ve Fiziksel Performans Ölçümlerinin Yaşlılarda Düşme Riskiyle İlişkisi”</t>
        </is>
      </c>
    </row>
    <row r="1004" ht="63" customHeight="1" s="221">
      <c r="A1004" s="5" t="inlineStr">
        <is>
          <t>933.</t>
        </is>
      </c>
      <c r="B1004" s="6" t="inlineStr">
        <is>
          <t>SBA 25/1004</t>
        </is>
      </c>
      <c r="C1004" s="8" t="inlineStr">
        <is>
          <t>Doç. Dr. Mert EŞME</t>
        </is>
      </c>
      <c r="D1004" s="7" t="inlineStr">
        <is>
          <t>“İnsan İmmün Yetmezlik Virüsü (HIV) ile Yaşayan 40 Yaş Üstü Bireylerde 7 Yıllık İzlemde Kırılganlık ve Sarkopeni Değişimi: 2018 Hacettepe Kohortunun Prospektif Yeniden Değerlendirilmesi”</t>
        </is>
      </c>
    </row>
    <row r="1005" ht="47.25" customHeight="1" s="221">
      <c r="A1005" s="5" t="inlineStr">
        <is>
          <t>934.</t>
        </is>
      </c>
      <c r="B1005" s="6" t="inlineStr">
        <is>
          <t>SBA 25/1005</t>
        </is>
      </c>
      <c r="C1005" s="8" t="inlineStr">
        <is>
          <t>Doç. Dr.Utku AKGÖR</t>
        </is>
      </c>
      <c r="D1005" s="7" t="inlineStr">
        <is>
          <t>“01/01/2015-30/09/2025 Yılları Arasında Koryokarsinom Olgularının Klinik, Patolojik ve Epidemiyolojik Verilerinin Değerlendirilmesi”</t>
        </is>
      </c>
    </row>
    <row r="1006" ht="31.5" customHeight="1" s="221">
      <c r="A1006" s="5" t="inlineStr">
        <is>
          <t>935.</t>
        </is>
      </c>
      <c r="B1006" s="6" t="inlineStr">
        <is>
          <t>SBA 25/1006</t>
        </is>
      </c>
      <c r="C1006" s="8" t="inlineStr">
        <is>
          <t>Doç. Dr. Baran ERMAN</t>
        </is>
      </c>
      <c r="D1006" s="7" t="inlineStr">
        <is>
          <t>“Spesifik T Hücre Reseptör Yolağı Yetmezliklerinde İmmün Repertuvar Profillerinin Belirlenmesi”</t>
        </is>
      </c>
    </row>
    <row r="1007" ht="31.5" customHeight="1" s="221">
      <c r="A1007" s="5" t="inlineStr">
        <is>
          <t>936.</t>
        </is>
      </c>
      <c r="B1007" s="6" t="inlineStr">
        <is>
          <t>SBA 25/1007</t>
        </is>
      </c>
      <c r="C1007" s="8" t="inlineStr">
        <is>
          <t>Dr. Öğr. Üyesi Gökhan AYIK</t>
        </is>
      </c>
      <c r="D1007" s="7" t="inlineStr">
        <is>
          <t>“Proksimal Humerus Kırıklarında Kalkar Vidası Pozisyonunun Başarısızlık Üzerine Etkisi”</t>
        </is>
      </c>
    </row>
    <row r="1008" ht="31.5" customHeight="1" s="221">
      <c r="A1008" s="5" t="inlineStr">
        <is>
          <t>937.</t>
        </is>
      </c>
      <c r="B1008" s="6" t="inlineStr">
        <is>
          <t>SBA 25/1008</t>
        </is>
      </c>
      <c r="C1008" s="8" t="inlineStr">
        <is>
          <t>Dr. Öğr. Üyesi Gökhan AYIK</t>
        </is>
      </c>
      <c r="D1008" s="7" t="inlineStr">
        <is>
          <t>“Travma Sonrası Yumuşak Doku Yönetimi Nasıl Olmalı Travma Cerrahları Ne Diyor?”</t>
        </is>
      </c>
    </row>
    <row r="1009" ht="31.5" customHeight="1" s="221">
      <c r="A1009" s="5" t="inlineStr">
        <is>
          <t>938.</t>
        </is>
      </c>
      <c r="B1009" s="6" t="inlineStr">
        <is>
          <t>SBA 25/1009</t>
        </is>
      </c>
      <c r="C1009" s="8" t="inlineStr">
        <is>
          <t>Prof. Dr. Uğur ÜNLÜTÜRK</t>
        </is>
      </c>
      <c r="D1009" s="7" t="inlineStr">
        <is>
          <t>“Tiroid Nodüllerinde Telomer Uzunluğunun Prediktif Değeri”</t>
        </is>
      </c>
    </row>
    <row r="1010" ht="31.5" customHeight="1" s="221">
      <c r="A1010" s="5" t="inlineStr">
        <is>
          <t>939.</t>
        </is>
      </c>
      <c r="B1010" s="6" t="inlineStr">
        <is>
          <t>SBA 25/1010</t>
        </is>
      </c>
      <c r="C1010" s="8" t="inlineStr">
        <is>
          <t>Prof. Dr. Uğur ÜNLÜTÜRK</t>
        </is>
      </c>
      <c r="D1010" s="7" t="inlineStr">
        <is>
          <t>“İmmünoterapiye Bağlı Tiroidit Gelişiminde KIR ve HLA Genetik Profillerinin Rolü”</t>
        </is>
      </c>
    </row>
    <row r="1011" ht="47.25" customHeight="1" s="221">
      <c r="A1011" s="5" t="inlineStr">
        <is>
          <t>940.</t>
        </is>
      </c>
      <c r="B1011" s="6" t="inlineStr">
        <is>
          <t>SBA 25/1011</t>
        </is>
      </c>
      <c r="C1011" s="8" t="inlineStr">
        <is>
          <t>Prof. Dr. Hasan Serkan DOĞAN</t>
        </is>
      </c>
      <c r="D1011" s="7" t="inlineStr">
        <is>
          <t>“Pediatrik Ürolitiazis Hastalarında Endoskopik Taş Cerrahileri Sonrası Taşsızlık ve Komplikasyon Oranını Etkileyen Faktörlerin Retrospektif İncelemesi”</t>
        </is>
      </c>
    </row>
    <row r="1012">
      <c r="A1012" s="5" t="inlineStr">
        <is>
          <t>941.</t>
        </is>
      </c>
      <c r="B1012" s="6" t="inlineStr">
        <is>
          <t>SBA 25/1012</t>
        </is>
      </c>
      <c r="C1012" s="8" t="inlineStr">
        <is>
          <t>Doç. Dr. Mesut ALTAN</t>
        </is>
      </c>
      <c r="D1012" s="7" t="inlineStr">
        <is>
          <t>“TESE Başarısını Etkileyen Faktörler”</t>
        </is>
      </c>
    </row>
    <row r="1013" ht="47.25" customHeight="1" s="221">
      <c r="A1013" s="5" t="inlineStr">
        <is>
          <t>942.</t>
        </is>
      </c>
      <c r="B1013" s="6" t="inlineStr">
        <is>
          <t>SBA 25/1013</t>
        </is>
      </c>
      <c r="C1013" s="8" t="inlineStr">
        <is>
          <t>Dr. Öğr. Üyesi Gizem ÜREL DEMİR</t>
        </is>
      </c>
      <c r="D1013" s="7" t="inlineStr">
        <is>
          <t>“Stuve-Wiedemann Sendromu Tanısıyla İzlenen Olguların Klinik ve Moleküler Özelliklerinin Değerlendirilmesi”</t>
        </is>
      </c>
    </row>
    <row r="1014" ht="47.25" customHeight="1" s="221">
      <c r="A1014" s="5" t="inlineStr">
        <is>
          <t>943.</t>
        </is>
      </c>
      <c r="B1014" s="6" t="inlineStr">
        <is>
          <t>SBA 25/1014</t>
        </is>
      </c>
      <c r="C1014" s="8" t="inlineStr">
        <is>
          <t>Öğr. Gör. Dr. Doğukan DOĞU</t>
        </is>
      </c>
      <c r="D1014" s="7" t="inlineStr">
        <is>
          <t>“Hemoroidektomi Sonrası Kanama ve Belirleyici Faktorlerin Degerlendirilmesi: Tek Merkezli Retrospektif Analiz”</t>
        </is>
      </c>
    </row>
    <row r="1015" ht="31.5" customHeight="1" s="221">
      <c r="A1015" s="5" t="inlineStr">
        <is>
          <t>944.</t>
        </is>
      </c>
      <c r="B1015" s="6" t="inlineStr">
        <is>
          <t>SBA 25/1015</t>
        </is>
      </c>
      <c r="C1015" s="8" t="inlineStr">
        <is>
          <t>Prof. Dr. Saniye EKİNCİ</t>
        </is>
      </c>
      <c r="D1015" s="7" t="inlineStr">
        <is>
          <t>“Abdominal Nöroblastom Cerrahisinin Böbrek Hacmi Üzerine Etkisi”</t>
        </is>
      </c>
    </row>
    <row r="1016" ht="47.25" customHeight="1" s="221">
      <c r="A1016" s="5" t="inlineStr">
        <is>
          <t>945.</t>
        </is>
      </c>
      <c r="B1016" s="6" t="inlineStr">
        <is>
          <t>SBA 25/1016</t>
        </is>
      </c>
      <c r="C1016" s="8" t="inlineStr">
        <is>
          <t>Dr. Öğr. Üyesi İrem İYİGÜN</t>
        </is>
      </c>
      <c r="D1016" s="7" t="inlineStr">
        <is>
          <t>“Retinopati Tarama Muayenesinde İntranazal Deksmedetomidin: En Uygun Uygulama Zamanının Belirlenmesi”</t>
        </is>
      </c>
    </row>
    <row r="1017" ht="47.25" customHeight="1" s="221">
      <c r="A1017" s="5" t="inlineStr">
        <is>
          <t>946.</t>
        </is>
      </c>
      <c r="B1017" s="6" t="inlineStr">
        <is>
          <t>SBA 25/1017</t>
        </is>
      </c>
      <c r="C1017" s="8" t="inlineStr">
        <is>
          <t>Prof. Dr. İbrahim ESİNLER</t>
        </is>
      </c>
      <c r="D1017" s="7" t="inlineStr">
        <is>
          <t>“Histerosalpingografide Uterin Kavite Ölçümlerine Dayalı Uterus Morfometrisinin IVF/Embriyo Transfer Başarısı ile İlişkisinin Değerlendirilmesi”</t>
        </is>
      </c>
    </row>
    <row r="1018" ht="63" customHeight="1" s="221">
      <c r="A1018" s="5" t="inlineStr">
        <is>
          <t>947.</t>
        </is>
      </c>
      <c r="B1018" s="6" t="inlineStr">
        <is>
          <t>SBA 25/1018</t>
        </is>
      </c>
      <c r="C1018" s="8" t="inlineStr">
        <is>
          <t>Öğr. Gör. Dr. Demet YABANOĞLU</t>
        </is>
      </c>
      <c r="D1018" s="7" t="inlineStr">
        <is>
          <t>“Hava Kirliliğine Mesleki Maruziyetin Oküler Yüzey Sağlığına Etkisi: Ankara'da Partikül Madde Düzeyleri ile İlişkilendirilmiş Açık Alan ve Ofis Çalışanlarında Gözyaşı İnflamatuar Sitokinlerinin Karşılaştırılması”</t>
        </is>
      </c>
    </row>
    <row r="1019" ht="31.5" customHeight="1" s="221">
      <c r="A1019" s="5" t="inlineStr">
        <is>
          <t>948.</t>
        </is>
      </c>
      <c r="B1019" s="6" t="inlineStr">
        <is>
          <t>SBA 25/1019</t>
        </is>
      </c>
      <c r="C1019" s="8" t="inlineStr">
        <is>
          <t>Doç. Dr. Ayşegül ERTUĞRUL</t>
        </is>
      </c>
      <c r="D1019" s="7" t="inlineStr">
        <is>
          <t>"Astım Hastalarında Çocukluktan Erişkine Geçişin Tedavi Uyumu ve Takip Üzerine Etkisi"</t>
        </is>
      </c>
    </row>
    <row r="1020" ht="47.25" customHeight="1" s="221">
      <c r="A1020" s="5" t="inlineStr">
        <is>
          <t>949.</t>
        </is>
      </c>
      <c r="B1020" s="6" t="inlineStr">
        <is>
          <t>SBA 25/1020</t>
        </is>
      </c>
      <c r="C1020" s="8" t="inlineStr">
        <is>
          <t>Prof. Dr. Aygin EKİNCİOĞLU</t>
        </is>
      </c>
      <c r="D1020" s="7" t="inlineStr">
        <is>
          <t>“Sürdürülebilirlik ve Çevre Dostu Eczacılık Uygulamaları Kapsamında Farmasötik Ayak İzi Konusunda Görüş ve Tutumların Değerlendirilmesi”</t>
        </is>
      </c>
    </row>
    <row r="1021" ht="31.5" customHeight="1" s="221">
      <c r="A1021" s="5" t="inlineStr">
        <is>
          <t>950.</t>
        </is>
      </c>
      <c r="B1021" s="6" t="inlineStr">
        <is>
          <t>SBA 25/1021</t>
        </is>
      </c>
      <c r="C1021" s="8" t="inlineStr">
        <is>
          <t>Prof. Dr. Aygin EKİNCİOĞLU</t>
        </is>
      </c>
      <c r="D1021" s="7" t="inlineStr">
        <is>
          <t>“Nefrotik Sendrom Tanılı Pediatrik Hastalarda Kapsamlı İlaç Yönetimi”</t>
        </is>
      </c>
    </row>
    <row r="1022" ht="47.25" customHeight="1" s="221">
      <c r="A1022" s="5" t="inlineStr">
        <is>
          <t>951.</t>
        </is>
      </c>
      <c r="B1022" s="6" t="inlineStr">
        <is>
          <t>SBA 25/1022</t>
        </is>
      </c>
      <c r="C1022" s="8" t="inlineStr">
        <is>
          <t>Prof. Dr. Elmas Ebru YALÇIN</t>
        </is>
      </c>
      <c r="D1022" s="7" t="inlineStr">
        <is>
          <t>“Modülatör Tedavi Kullanan Kistik Fibrozis Tanılı Çocuk Hastalarımızın Özellikleri ve Mental Sağlık Durumları”</t>
        </is>
      </c>
    </row>
    <row r="1023" ht="47.25" customHeight="1" s="221">
      <c r="A1023" s="5" t="inlineStr">
        <is>
          <t>952.</t>
        </is>
      </c>
      <c r="B1023" s="6" t="inlineStr">
        <is>
          <t>SBA 25/1023</t>
        </is>
      </c>
      <c r="C1023" s="8" t="inlineStr">
        <is>
          <t>Doç. Dr. Mehmet ÇELEĞEN</t>
        </is>
      </c>
      <c r="D1023" s="7" t="inlineStr">
        <is>
          <t>“Çocuk Yoğun Bakımda Basınç Yaralanması Prevalansı ve Etkileyen Faktörlerin Analizi: Retrospektif Bir Çalışma”</t>
        </is>
      </c>
    </row>
    <row r="1024" ht="47.25" customHeight="1" s="221">
      <c r="A1024" s="5" t="inlineStr">
        <is>
          <t>953.</t>
        </is>
      </c>
      <c r="B1024" s="6" t="inlineStr">
        <is>
          <t>SBA 25/1024</t>
        </is>
      </c>
      <c r="C1024" s="8" t="inlineStr">
        <is>
          <t>Öğr. Gör. Dr. Özge ÖZTÜRK AKTAŞ</t>
        </is>
      </c>
      <c r="D1024" s="7" t="inlineStr">
        <is>
          <t>"Oral Demir Preparatı Alerjisi Şüphesi Olan Hastalarda Alternatif Demir Tuzları ile Yapılan Oral Provokasyon Sonuçlarının Değerlendirilmesi"</t>
        </is>
      </c>
    </row>
    <row r="1025" ht="47.25" customHeight="1" s="221">
      <c r="A1025" s="5" t="inlineStr">
        <is>
          <t>954.</t>
        </is>
      </c>
      <c r="B1025" s="6" t="inlineStr">
        <is>
          <t>SBA 25/1025</t>
        </is>
      </c>
      <c r="C1025" s="8" t="inlineStr">
        <is>
          <t>Öğr. Gör. Dr. Özge ÖZTÜRK AKTAŞ</t>
        </is>
      </c>
      <c r="D1025" s="7" t="inlineStr">
        <is>
          <t>"Erişkin Yaygın Değişken İmmün Yetmezlik Hastalarında Klinik Bulgular ve İmmünfenotipik Özelliklerin Analizi"</t>
        </is>
      </c>
    </row>
    <row r="1026" ht="63" customHeight="1" s="221">
      <c r="A1026" s="5" t="inlineStr">
        <is>
          <t>955.</t>
        </is>
      </c>
      <c r="B1026" s="6" t="inlineStr">
        <is>
          <t>SBA 25/1026</t>
        </is>
      </c>
      <c r="C1026" s="8" t="inlineStr">
        <is>
          <t>Prof. Dr. Burcu Balam DOĞU</t>
        </is>
      </c>
      <c r="D1026" s="7" t="inlineStr">
        <is>
          <t>“Vücut Yuvarlaklık İndeksi ve Vücut Şekil İndeksi ile Beyin Hacmi Arasındaki İlişkinin Hafif Bilişsel Bozukluğu veya Demansı olan Hastalarda Manyetik Rezonans Görüntüleme ile (MRG) Değerlendirilmesi”</t>
        </is>
      </c>
    </row>
    <row r="1027" ht="47.25" customHeight="1" s="221">
      <c r="A1027" s="5" t="inlineStr">
        <is>
          <t>956.</t>
        </is>
      </c>
      <c r="B1027" s="6" t="inlineStr">
        <is>
          <t>SBA 25/1027</t>
        </is>
      </c>
      <c r="C1027" s="8" t="inlineStr">
        <is>
          <t>Doç. Dr. Galip Gencay ÜSTÜN</t>
        </is>
      </c>
      <c r="D1027" s="7" t="inlineStr">
        <is>
          <t>“Yapay Zeka Destekli Yüz Analizi ile Estetik Cerrahi Sonuçlarının Objektif Değerlendirilmesi: Retrospektif Görsel Veri Analizi”</t>
        </is>
      </c>
    </row>
    <row r="1028" ht="47.25" customHeight="1" s="221">
      <c r="A1028" s="5" t="inlineStr">
        <is>
          <t>957.</t>
        </is>
      </c>
      <c r="B1028" s="6" t="inlineStr">
        <is>
          <t>SBA 25/1028</t>
        </is>
      </c>
      <c r="C1028" s="8" t="inlineStr">
        <is>
          <t>Prof. Dr. Meltem Gülhan HALİL</t>
        </is>
      </c>
      <c r="D1028" s="7" t="inlineStr">
        <is>
          <t>“Geriatrik Gastrostomi Olgularında Mortalite ve Gastroskopi Komplikasyonlarını Öngeren Faktörlerin Retrospektif Analizi”</t>
        </is>
      </c>
    </row>
    <row r="1029" ht="47.25" customHeight="1" s="221">
      <c r="A1029" s="5" t="inlineStr">
        <is>
          <t>958.</t>
        </is>
      </c>
      <c r="B1029" s="6" t="inlineStr">
        <is>
          <t>SBA 25/1029</t>
        </is>
      </c>
      <c r="C1029" s="8" t="inlineStr">
        <is>
          <t>Prof. Dr. Hakan GÖKER</t>
        </is>
      </c>
      <c r="D1029" s="7" t="inlineStr">
        <is>
          <t>“Allojenik Kemik İliği Nakli Sonrası Nüks Hastalıkta Yapılan Tedavilerin Klinik, Laboratuvar, Prognostik, Sağ Kalım ve Yan Etkiler Açısından Değerlendirilmesi”</t>
        </is>
      </c>
    </row>
    <row r="1030" ht="63" customHeight="1" s="221">
      <c r="A1030" s="5" t="inlineStr">
        <is>
          <t>959.</t>
        </is>
      </c>
      <c r="B1030" s="6" t="inlineStr">
        <is>
          <t>SBA 25/1030</t>
        </is>
      </c>
      <c r="C1030" s="8" t="inlineStr">
        <is>
          <t>Dr. Öğr. Üyesi Yiğitcan KARANFİL</t>
        </is>
      </c>
      <c r="D1030" s="7" t="inlineStr">
        <is>
          <t>“Menstrual Siklusun Farklı Dönemlerinde Aşil Tendon Elastisitesi ile Anterior Talofibular Ligament Kalınlığının Ultrasonografi ve Shear Wave Elastografi ile Değerlendirilmesi”</t>
        </is>
      </c>
    </row>
    <row r="1031" ht="47.25" customHeight="1" s="221">
      <c r="A1031" s="5" t="inlineStr">
        <is>
          <t>960.</t>
        </is>
      </c>
      <c r="B1031" s="6" t="inlineStr">
        <is>
          <t>SBA 25/1031</t>
        </is>
      </c>
      <c r="C1031" s="8" t="inlineStr">
        <is>
          <t>Dr. Öğr. Üyesi Elif KARAKOÇ</t>
        </is>
      </c>
      <c r="D1031" s="7" t="inlineStr">
        <is>
          <t>“Benzotiyofen Oksabütanoik Asit'in Endometriyum Kanserinde Karboplatin Direncine Etkilerinin İn Vitro Araştırılması”</t>
        </is>
      </c>
    </row>
    <row r="1032" ht="31.5" customHeight="1" s="221">
      <c r="A1032" s="5" t="inlineStr">
        <is>
          <t>961.</t>
        </is>
      </c>
      <c r="B1032" s="6" t="inlineStr">
        <is>
          <t>SBA 25/1032</t>
        </is>
      </c>
      <c r="C1032" s="8" t="inlineStr">
        <is>
          <t>Doç. Dr. Neslihan AKDOĞAN</t>
        </is>
      </c>
      <c r="D1032" s="7" t="inlineStr">
        <is>
          <t>“Kronik Plak Psöriazis Tanılı Hastalarda Hepatik Fibrozisin Değerlendirilmesi”</t>
        </is>
      </c>
    </row>
    <row r="1033" ht="31.5" customHeight="1" s="221">
      <c r="A1033" s="5" t="inlineStr">
        <is>
          <t>962.</t>
        </is>
      </c>
      <c r="B1033" s="6" t="inlineStr">
        <is>
          <t>SBA 25/1033</t>
        </is>
      </c>
      <c r="C1033" s="8" t="inlineStr">
        <is>
          <t>Öğr. Gör. Dr. Bahattin PASLI</t>
        </is>
      </c>
      <c r="D1033" s="7" t="inlineStr">
        <is>
          <t>“Tuberositas İnterossea Ulnaris Morfolojik ve Morfometrik Özelliklerinin Değerlendirilmesi”</t>
        </is>
      </c>
    </row>
    <row r="1034" ht="47.25" customHeight="1" s="221">
      <c r="A1034" s="5" t="inlineStr">
        <is>
          <t>963.</t>
        </is>
      </c>
      <c r="B1034" s="6" t="inlineStr">
        <is>
          <t>SBA 25/1034</t>
        </is>
      </c>
      <c r="C1034" s="8" t="inlineStr">
        <is>
          <t>Prof. Dr. Tülin TANER</t>
        </is>
      </c>
      <c r="D1034" s="7" t="inlineStr">
        <is>
          <t>“Maksiller Retrüzyon ile Birlikte Obstrüktif Uyku Apne Sendromu Olan Çocuklarda Maksiller İlerletme Tedavisinin Etkilerinin Retrospektif Değerlendirilmesi”</t>
        </is>
      </c>
    </row>
    <row r="1035" ht="47.25" customHeight="1" s="221">
      <c r="A1035" s="5" t="inlineStr">
        <is>
          <t>964.</t>
        </is>
      </c>
      <c r="B1035" s="6" t="inlineStr">
        <is>
          <t>SBA 25/1035</t>
        </is>
      </c>
      <c r="C1035" s="8" t="inlineStr">
        <is>
          <t>Dr. Öğr. Üyesi Gonca ÖZTEN DERE</t>
        </is>
      </c>
      <c r="D1035" s="7" t="inlineStr">
        <is>
          <t>“İnfertilitenin Psikolojik Yükü: İnfertilite Tedavisi Gören Kadınlarda Beck Umutsuzluk Ölçeği ile Umutsuzluk Düzeyinin Değerlendirilmesi”</t>
        </is>
      </c>
    </row>
    <row r="1036" ht="63" customHeight="1" s="221">
      <c r="A1036" s="5" t="inlineStr">
        <is>
          <t>965.</t>
        </is>
      </c>
      <c r="B1036" s="6" t="inlineStr">
        <is>
          <t>SBA 25/1036</t>
        </is>
      </c>
      <c r="C1036" s="8" t="inlineStr">
        <is>
          <t>Doç. Dr. Erdem FADILOĞLU</t>
        </is>
      </c>
      <c r="D1036" s="7" t="inlineStr">
        <is>
          <t>“Antenatal Kortikosteroid Uygulanan Gebeliklerde Fetal Dolaşım Dinamiklerinin Longitudinal İzlemi ve Perinatal Sonuçlarla İlişkisi: Prospektif Gözlemsel Çalışma”</t>
        </is>
      </c>
    </row>
    <row r="1037" ht="31.5" customHeight="1" s="221">
      <c r="A1037" s="5" t="inlineStr">
        <is>
          <t>966.</t>
        </is>
      </c>
      <c r="B1037" s="6" t="inlineStr">
        <is>
          <t>SBA 25/1037</t>
        </is>
      </c>
      <c r="C1037" s="8" t="inlineStr">
        <is>
          <t>Doç. Dr. Erdem FADILOĞLU</t>
        </is>
      </c>
      <c r="D1037" s="7" t="inlineStr">
        <is>
          <t>“Fetal Kardiyak Girişim Sonrası Fetal Hemodinamik Değişimler ve Perinatal Sonuçlar”</t>
        </is>
      </c>
    </row>
    <row r="1038" ht="47.25" customHeight="1" s="221">
      <c r="A1038" s="5" t="inlineStr">
        <is>
          <t>967.</t>
        </is>
      </c>
      <c r="B1038" s="6" t="inlineStr">
        <is>
          <t>SBA 25/1038</t>
        </is>
      </c>
      <c r="C1038" s="8" t="inlineStr">
        <is>
          <t>Dr. Öğr. Üyesi Emre MUTLU</t>
        </is>
      </c>
      <c r="D1038" s="7" t="inlineStr">
        <is>
          <t>“Psikotik Bozukluklarda Tedaviye Direnç ile İlişkili Doğal Dil İşleme Değişkenlerinin ve Düşünce Süreci Bozukluklarının Değerlendirilmesi”</t>
        </is>
      </c>
    </row>
    <row r="1039" ht="47.25" customHeight="1" s="221">
      <c r="A1039" s="5" t="inlineStr">
        <is>
          <t>968.</t>
        </is>
      </c>
      <c r="B1039" s="6" t="inlineStr">
        <is>
          <t>SBA 25/1039</t>
        </is>
      </c>
      <c r="C1039" s="8" t="inlineStr">
        <is>
          <t>Prof. Dr. Sinem AKGÜL</t>
        </is>
      </c>
      <c r="D1039" s="7" t="inlineStr">
        <is>
          <t>“Anoreksiya Nervoza ve Atipik Anoreksiya Nervoza Tanılı Ergenlerin Remisyon ve Relaps Süreçlerinin ve Yordayıcılarının Değerlendirilmesi”</t>
        </is>
      </c>
    </row>
    <row r="1040" ht="47.25" customHeight="1" s="221">
      <c r="A1040" s="5" t="inlineStr">
        <is>
          <t>969.</t>
        </is>
      </c>
      <c r="B1040" s="6" t="inlineStr">
        <is>
          <t>SBA 25/1040</t>
        </is>
      </c>
      <c r="C1040" s="8" t="inlineStr">
        <is>
          <t>Doç. Dr. Mert EŞME</t>
        </is>
      </c>
      <c r="D1040" s="7" t="inlineStr">
        <is>
          <t>“Doksan Yaş ve Üzeri Bireylerde Elektrokardiyografik Bulgular ve Aritmi Gelişiminde Rol Oynayan Faktörlerin Değerlendirilmesi”</t>
        </is>
      </c>
    </row>
    <row r="1041" ht="47.25" customHeight="1" s="221">
      <c r="A1041" s="5" t="inlineStr">
        <is>
          <t>970.</t>
        </is>
      </c>
      <c r="B1041" s="6" t="inlineStr">
        <is>
          <t>SBA 25/1041</t>
        </is>
      </c>
      <c r="C1041" s="8" t="inlineStr">
        <is>
          <t>Doç. Dr. Nadir YALÇIN</t>
        </is>
      </c>
      <c r="D1041" s="7" t="inlineStr">
        <is>
          <t>, “Eczacılık Öğrencileri ve Eczacıların Mesleki İlaç Erişimine Bağlı Madde Kullanımı Niyet ve Davranışlarının İncelenmesi: Bir Anket Çalışması”</t>
        </is>
      </c>
    </row>
    <row r="1042" ht="47.25" customHeight="1" s="221">
      <c r="A1042" s="5" t="inlineStr">
        <is>
          <t>971.</t>
        </is>
      </c>
      <c r="B1042" s="6" t="inlineStr">
        <is>
          <t>SBA 25/1042</t>
        </is>
      </c>
      <c r="C1042" s="8" t="inlineStr">
        <is>
          <t>Dr. Öğr. Üyesi İrem SÖZEN YANIK</t>
        </is>
      </c>
      <c r="D1042" s="7" t="inlineStr">
        <is>
          <t>“Maksillofasiyal Protezlerde Konvansiyonel ve Dijital İş Akışlarına Yönelik Diş Hekimliği 4. ve 5. Sınıf Öğrencilerinin Bilgi Düzeyinin Değerlendirilmesi”</t>
        </is>
      </c>
    </row>
    <row r="1043" ht="47.25" customHeight="1" s="221">
      <c r="A1043" s="5" t="inlineStr">
        <is>
          <t>972.</t>
        </is>
      </c>
      <c r="B1043" s="6" t="inlineStr">
        <is>
          <t>SBA 25/1043</t>
        </is>
      </c>
      <c r="C1043" s="8" t="inlineStr">
        <is>
          <t>Öğr. Gör. Dilara ŞAHİN HAZIR</t>
        </is>
      </c>
      <c r="D1043" s="7" t="inlineStr">
        <is>
          <t>“Protetik Diş Tedavisinde Yapay Zeka Kullanımına Dair Diş Hekimliği 4. ve 5. Sınıf Öğrencilerinin Farkındalık, Tutum ve Etik Algılarının Değerlendirilmesi”</t>
        </is>
      </c>
    </row>
    <row r="1044" ht="47.25" customHeight="1" s="221">
      <c r="A1044" s="5" t="inlineStr">
        <is>
          <t>973.</t>
        </is>
      </c>
      <c r="B1044" s="6" t="inlineStr">
        <is>
          <t>SBA 25/1044</t>
        </is>
      </c>
      <c r="C1044" s="8" t="inlineStr">
        <is>
          <t>Dr. Öğr. Üyesi Irmak OCAK</t>
        </is>
      </c>
      <c r="D1044" s="7" t="inlineStr">
        <is>
          <t>“Adölesan Dönemdeki Çocuklarda Kaygı Düzeyi ve Okul Başarasının Temporomandibular Eklem Bozuklukları ile İlişkisi”</t>
        </is>
      </c>
    </row>
    <row r="1045" ht="47.25" customHeight="1" s="221">
      <c r="A1045" s="5" t="inlineStr">
        <is>
          <t>974.</t>
        </is>
      </c>
      <c r="B1045" s="6" t="inlineStr">
        <is>
          <t>SBA 25/1045</t>
        </is>
      </c>
      <c r="C1045" s="8" t="inlineStr">
        <is>
          <t>Prof. Dr. Murat GÜVENER</t>
        </is>
      </c>
      <c r="D1045" s="7" t="inlineStr">
        <is>
          <t>''Kalp Nakli Bekleyen Çocukların Ailelerinin Bilgi Düzeyi ve Eğitim İhtiyaçlarının Belirlenmesi: Tek Merkez Örneği''</t>
        </is>
      </c>
    </row>
    <row r="1046" ht="47.25" customHeight="1" s="221">
      <c r="A1046" s="5" t="inlineStr">
        <is>
          <t>975.</t>
        </is>
      </c>
      <c r="B1046" s="6" t="inlineStr">
        <is>
          <t>SBA 25/1046</t>
        </is>
      </c>
      <c r="C1046" s="8" t="inlineStr">
        <is>
          <t>Doç. Dr. Hilal AKSOY</t>
        </is>
      </c>
      <c r="D1046" s="7" t="inlineStr">
        <is>
          <t>“Tanıdan Tedaviye Güncel Yaklaşımlar Eğitim Programlarının Memnuniyet Anket Sonuçlarının Değerlendirilmesi”</t>
        </is>
      </c>
    </row>
    <row r="1047" ht="47.25" customHeight="1" s="221">
      <c r="A1047" s="5" t="inlineStr">
        <is>
          <t>976.</t>
        </is>
      </c>
      <c r="B1047" s="6" t="inlineStr">
        <is>
          <t>SBA 25/1047</t>
        </is>
      </c>
      <c r="C1047" s="8" t="inlineStr">
        <is>
          <t>Prof. Dr. Tolga YILDIRIM</t>
        </is>
      </c>
      <c r="D1047" s="7" t="inlineStr">
        <is>
          <t>“Sistemik Lupus Eritematozus Nefritinde Osteoporoz Risk Faktörlerinin ve Fibroblast Büyüme Faktörü-23 Yolağının Rolünün İncelenmesi”</t>
        </is>
      </c>
    </row>
    <row r="1048" ht="47.25" customHeight="1" s="221">
      <c r="A1048" s="5" t="inlineStr">
        <is>
          <t>977.</t>
        </is>
      </c>
      <c r="B1048" s="6" t="inlineStr">
        <is>
          <t>SBA 25/1048</t>
        </is>
      </c>
      <c r="C1048" s="8" t="inlineStr">
        <is>
          <t>Dr. Öğr. Üyesi İYİGÜN</t>
        </is>
      </c>
      <c r="D1048" s="7" t="inlineStr">
        <is>
          <t>“Term Yenidoğanlarda Kord Klempleme Süresinin Erken Metabolik ve Solunumsal Sonuçlar Üzerine Etkisi”</t>
        </is>
      </c>
    </row>
    <row r="1049" ht="31.5" customHeight="1" s="221">
      <c r="A1049" s="5" t="inlineStr">
        <is>
          <t>978.</t>
        </is>
      </c>
      <c r="B1049" s="6" t="inlineStr">
        <is>
          <t>SBA 25/1049</t>
        </is>
      </c>
      <c r="C1049" s="8" t="inlineStr">
        <is>
          <t>Doç. Dr. Mert EŞME</t>
        </is>
      </c>
      <c r="D1049" s="7" t="inlineStr">
        <is>
          <t>“80 Yaş Üzeri Hastalarda Osteoporoz Bulguları ve Tedavi Yaklaşımlarının Retrospektif Analizi”</t>
        </is>
      </c>
    </row>
    <row r="1050" ht="47.25" customHeight="1" s="221">
      <c r="A1050" s="5" t="inlineStr">
        <is>
          <t>979.</t>
        </is>
      </c>
      <c r="B1050" s="6" t="inlineStr">
        <is>
          <t>SBA 25/1050</t>
        </is>
      </c>
      <c r="C1050" s="8" t="inlineStr">
        <is>
          <t>Doç. Dr. Aysun ANKAY YILBAŞ</t>
        </is>
      </c>
      <c r="D1050" s="7" t="inlineStr">
        <is>
          <t>“KBB Hava Yolu Cerrahilerinde ChatGPT’nin Preoperatif Anestezi Risk Değerlendirme Performansının İncelenmesi”</t>
        </is>
      </c>
    </row>
    <row r="1051" ht="31.5" customHeight="1" s="221">
      <c r="A1051" s="5" t="inlineStr">
        <is>
          <t>980.</t>
        </is>
      </c>
      <c r="B1051" s="6" t="inlineStr">
        <is>
          <t>SBA 25/1051</t>
        </is>
      </c>
      <c r="C1051" s="8" t="inlineStr">
        <is>
          <t>Prof. Dr. Oğuz IŞIK</t>
        </is>
      </c>
      <c r="D1051" s="7" t="inlineStr">
        <is>
          <t>“Acil Servislerin Uygunsuz Kullanımının İncelenmesi: Bir Üniversite Hastanesi Örneği”</t>
        </is>
      </c>
    </row>
    <row r="1052" ht="47.25" customHeight="1" s="221">
      <c r="A1052" s="5" t="inlineStr">
        <is>
          <t>981.</t>
        </is>
      </c>
      <c r="B1052" s="6" t="inlineStr">
        <is>
          <t>SBA 25/1052</t>
        </is>
      </c>
      <c r="C1052" s="8" t="inlineStr">
        <is>
          <t>Doç. Dr. Duygu AYHAN BAŞER</t>
        </is>
      </c>
      <c r="D1052" s="7" t="inlineStr">
        <is>
          <t>“İkili Seçim Deneyi Yöntemi Kullanılarak 60 yaş üstü Bireylerin RSV Aşısı ile Aşılanma Davranışına Etki Edebilecek Faktörlerin Değerlendirilmesi”</t>
        </is>
      </c>
    </row>
    <row r="1053" ht="47.25" customHeight="1" s="221">
      <c r="A1053" s="5" t="inlineStr">
        <is>
          <t>982.</t>
        </is>
      </c>
      <c r="B1053" s="6" t="inlineStr">
        <is>
          <t>SBA 25/1053</t>
        </is>
      </c>
      <c r="C1053" s="8" t="inlineStr">
        <is>
          <t>Prof. Dr. Sibel DOĞAN GÜNAYDIN</t>
        </is>
      </c>
      <c r="D1053" s="7" t="inlineStr">
        <is>
          <t>“Kronik Spontan Ürtiker Hastalarında Nonsteroid Antiinflamatuvar İlaç (NSAİİ) Hipersensitivitesinin İncelenmesi”</t>
        </is>
      </c>
    </row>
    <row r="1054" ht="31.5" customHeight="1" s="221">
      <c r="A1054" s="5" t="inlineStr">
        <is>
          <t>983.</t>
        </is>
      </c>
      <c r="B1054" s="6" t="inlineStr">
        <is>
          <t>SBA 25/1054</t>
        </is>
      </c>
      <c r="C1054" s="8" t="inlineStr">
        <is>
          <t>Arş. Gör. Dr. Oğuzhan SERİN</t>
        </is>
      </c>
      <c r="D1054" s="7" t="inlineStr">
        <is>
          <t>“Acil Serviste Çocukluk Çağı Ekzantemlerinin Haritalanması: Bir Kesitsel Gözlemsel Çalışma”</t>
        </is>
      </c>
    </row>
    <row r="1055" ht="47.25" customHeight="1" s="221">
      <c r="A1055" s="5" t="inlineStr">
        <is>
          <t>984.</t>
        </is>
      </c>
      <c r="B1055" s="6" t="inlineStr">
        <is>
          <t>SBA 25/1055</t>
        </is>
      </c>
      <c r="C1055" s="8" t="inlineStr">
        <is>
          <t>Prof. Dr. Sibel DOĞAN GÜNAYDIN</t>
        </is>
      </c>
      <c r="D1055" s="7" t="inlineStr">
        <is>
          <t>“Dermatoloji Ayaktan ve Yatan Hasta Başvurularında Yama Testi Endikasyonlarının Belirlenmesi ve Klinik ile Test Sonuçlarının Korelasyonunun İncelenmesi”</t>
        </is>
      </c>
    </row>
    <row r="1056" ht="47.25" customHeight="1" s="221">
      <c r="A1056" s="5" t="inlineStr">
        <is>
          <t>985.</t>
        </is>
      </c>
      <c r="B1056" s="6" t="inlineStr">
        <is>
          <t>SBA 25/1056</t>
        </is>
      </c>
      <c r="C1056" s="8" t="inlineStr">
        <is>
          <t>Doç. Dr. Emel ISIYEL</t>
        </is>
      </c>
      <c r="D1056" s="7" t="inlineStr">
        <is>
          <t>“Yatan Hastalarda Malnütrisyonun Sıklığı ve Kas Kütlesi ile Cilt Altı Yağ Dokusu Kalınlığının Ultrasonografik Korelasyonu”</t>
        </is>
      </c>
    </row>
    <row r="1057" ht="47.25" customHeight="1" s="221">
      <c r="A1057" s="5" t="inlineStr">
        <is>
          <t>986.</t>
        </is>
      </c>
      <c r="B1057" s="6" t="inlineStr">
        <is>
          <t>SBA 25/1057</t>
        </is>
      </c>
      <c r="C1057" s="8" t="inlineStr">
        <is>
          <t>Prof. Dr. Menemşe GÜMÜŞDERELİOĞLU</t>
        </is>
      </c>
      <c r="D1057" s="7" t="inlineStr">
        <is>
          <t>“Kornea Rejenerasyonuna Yönelik Enjekte Edilebilir Gözenekli İpek Mikrotaşıyıcıların In Vivo Çalışmalarda Kullanım Etkinliğinin Belirlenmesi”</t>
        </is>
      </c>
    </row>
    <row r="1058" ht="47.25" customHeight="1" s="221">
      <c r="A1058" s="5" t="inlineStr">
        <is>
          <t>987.</t>
        </is>
      </c>
      <c r="B1058" s="6" t="inlineStr">
        <is>
          <t>SBA 25/1058</t>
        </is>
      </c>
      <c r="C1058" s="8" t="inlineStr">
        <is>
          <t>Doç. Dr. Galip Gencay ÜSTÜN</t>
        </is>
      </c>
      <c r="D1058" s="7" t="inlineStr">
        <is>
          <t>“Plastik, Rekonstrüktif ve Estetik Cerrahi Polikliniği Hastalarında Hekime Ulaşma ve Tercih Kanallarının İncelenmesi”</t>
        </is>
      </c>
    </row>
    <row r="1059" ht="47.25" customHeight="1" s="221">
      <c r="A1059" s="5" t="inlineStr">
        <is>
          <t>988.</t>
        </is>
      </c>
      <c r="B1059" s="6" t="inlineStr">
        <is>
          <t>SBA 25/1059</t>
        </is>
      </c>
      <c r="C1059" s="8" t="inlineStr">
        <is>
          <t>Doç. Dr. Duygu GÜLSEREN</t>
        </is>
      </c>
      <c r="D1059" s="7" t="inlineStr">
        <is>
          <t>“Non-Melanositik Deri Tümörlerinin Dermoskopik Özelliklerinin Polarize, Non-Polarize ve UV Modlar ile Karşılaştırılması”</t>
        </is>
      </c>
    </row>
    <row r="1060" ht="31.5" customHeight="1" s="221">
      <c r="A1060" s="5" t="inlineStr">
        <is>
          <t>989.</t>
        </is>
      </c>
      <c r="B1060" s="6" t="inlineStr">
        <is>
          <t>SBA 25/1060</t>
        </is>
      </c>
      <c r="C1060" s="8" t="inlineStr">
        <is>
          <t>Doç. Dr. Ülkühan ÖZTOPRAK</t>
        </is>
      </c>
      <c r="D1060" s="7" t="inlineStr">
        <is>
          <t>“Acil Servise Akut Ataksi Nedeniyle Başvuran Hastaların Klinik Özellikleri ve Yaklaşım Algoritması”</t>
        </is>
      </c>
    </row>
    <row r="1061" ht="47.25" customHeight="1" s="221">
      <c r="A1061" s="5" t="inlineStr">
        <is>
          <t>990.</t>
        </is>
      </c>
      <c r="B1061" s="6" t="inlineStr">
        <is>
          <t>SBA 25/1061</t>
        </is>
      </c>
      <c r="C1061" s="8" t="inlineStr">
        <is>
          <t>Doç. Dr. Derman BAŞARAN</t>
        </is>
      </c>
      <c r="D1061" s="7" t="inlineStr">
        <is>
          <t>“Yüksek Dereceli Servikal Lezyon Saptanan ve Konizasyon Uygulanan Hastalarda Cerrahi Sınır Pozitifliğinin Prognoza Olan Etkisi”</t>
        </is>
      </c>
    </row>
    <row r="1062" ht="47.25" customHeight="1" s="221">
      <c r="A1062" s="5" t="inlineStr">
        <is>
          <t>991.</t>
        </is>
      </c>
      <c r="B1062" s="6" t="inlineStr">
        <is>
          <t>SBA 25/1062</t>
        </is>
      </c>
      <c r="C1062" s="8" t="inlineStr">
        <is>
          <t>Öğr. Gör. Dr. Volkan ARSLAN</t>
        </is>
      </c>
      <c r="D1062" s="7" t="inlineStr">
        <is>
          <t>“Sepsis/Septik Şok Hastalarında PI, MEWS, qSOFA, APACHE II ve CRT Değerlerinin Analizi ve Klinik Sonuçlarla İlişkisi”</t>
        </is>
      </c>
    </row>
    <row r="1063" ht="31.5" customHeight="1" s="221">
      <c r="A1063" s="5" t="inlineStr">
        <is>
          <t>992.</t>
        </is>
      </c>
      <c r="B1063" s="6" t="inlineStr">
        <is>
          <t>SBA 25/1063</t>
        </is>
      </c>
      <c r="C1063" s="8" t="inlineStr">
        <is>
          <t>Doç. Dr. Utku AKGÖR</t>
        </is>
      </c>
      <c r="D1063" s="7" t="inlineStr">
        <is>
          <t>“Yapay Zekâ Yardımlı Analizler ile Jinekolojik Onkoloji Konsey Karar Süreçlerinin Geliştirilmesi”</t>
        </is>
      </c>
    </row>
    <row r="1064" ht="47.25" customHeight="1" s="221">
      <c r="A1064" s="5" t="inlineStr">
        <is>
          <t>993.</t>
        </is>
      </c>
      <c r="B1064" s="6" t="inlineStr">
        <is>
          <t>SBA 25/1064</t>
        </is>
      </c>
      <c r="C1064" s="8" t="inlineStr">
        <is>
          <t>Prof. Dr. Devrim AKDEMİR</t>
        </is>
      </c>
      <c r="D1064" s="7" t="inlineStr">
        <is>
          <t>“Obsesif Kompulsif Bozukluğu olan Ergenlerde Duyusal Profil ile İnteroseptif Farkındalık ve Doğruluğun İncelenmesi”</t>
        </is>
      </c>
    </row>
    <row r="1065" ht="78.75" customHeight="1" s="221">
      <c r="A1065" s="5" t="inlineStr">
        <is>
          <t>994.</t>
        </is>
      </c>
      <c r="B1065" s="6" t="inlineStr">
        <is>
          <t>SBA 25/1065</t>
        </is>
      </c>
      <c r="C1065" s="8" t="inlineStr">
        <is>
          <t>Doç. Dr. Derman BAŞARAN</t>
        </is>
      </c>
      <c r="D1065" s="7" t="inlineStr">
        <is>
          <t>“Mayer-Rokitansky-Küster-Hauser Sendromlu Hastalarda Uterin Remnant Dokuların Anterior Neovajen Duvarı Oluşturulmasında Kullanıldığı Modifiye Davydov Tekniğinin Tanımlanması ve Uzun Dönem Sonuçlarının Analizi”</t>
        </is>
      </c>
    </row>
    <row r="1066" ht="47.25" customHeight="1" s="221">
      <c r="A1066" s="5" t="inlineStr">
        <is>
          <t>995.</t>
        </is>
      </c>
      <c r="B1066" s="6" t="inlineStr">
        <is>
          <t>SBA 25/1066</t>
        </is>
      </c>
      <c r="C1066" s="8" t="inlineStr">
        <is>
          <t>Öğr. Gör. Dr. Aslı ALKAN</t>
        </is>
      </c>
      <c r="D1066" s="7" t="inlineStr">
        <is>
          <t>“Erişkin Kistik Fibrozis Hastalarında Genetik Mutasyon Kombinasyonları ile Organ Sistem Tutulumu İlişkisinin İncelenmesi ”</t>
        </is>
      </c>
    </row>
    <row r="1067" ht="47.25" customHeight="1" s="221">
      <c r="A1067" s="5" t="inlineStr">
        <is>
          <t>996.</t>
        </is>
      </c>
      <c r="B1067" s="6" t="inlineStr">
        <is>
          <t>SBA 25/1067</t>
        </is>
      </c>
      <c r="C1067" s="8" t="inlineStr">
        <is>
          <t>Doç. Dr. Gülşen TAŞDELEN TEKER</t>
        </is>
      </c>
      <c r="D1067" s="7" t="inlineStr">
        <is>
          <t>“Mohs Cerrahisi Fellowship Eğitiminde Kullanılan Ölçme ve Değerlendirme Araçlarıyla İlgili Eğitici ve Öğrenci Görüşleri”</t>
        </is>
      </c>
    </row>
    <row r="1068" ht="47.25" customHeight="1" s="221">
      <c r="A1068" s="5" t="inlineStr">
        <is>
          <t>997.</t>
        </is>
      </c>
      <c r="B1068" s="6" t="inlineStr">
        <is>
          <t>SBA 25/1068</t>
        </is>
      </c>
      <c r="C1068" s="8" t="inlineStr">
        <is>
          <t>Prof. Dr. Deniz ÇAĞDAŞ AYVAZ</t>
        </is>
      </c>
      <c r="D1068" s="7" t="inlineStr">
        <is>
          <t>“Bloom Sendromu Tanısı Alan Hastaların Klinik, Demografik ve İmmünolojik Özelliklerinin Değerlendirilmesi”</t>
        </is>
      </c>
    </row>
    <row r="1069" ht="31.5" customHeight="1" s="221">
      <c r="A1069" s="5" t="inlineStr">
        <is>
          <t>998.</t>
        </is>
      </c>
      <c r="B1069" s="6" t="inlineStr">
        <is>
          <t>SBA 25/1069</t>
        </is>
      </c>
      <c r="C1069" s="8" t="inlineStr">
        <is>
          <t>Öğr. Gör. Dr. Helin YÜCEDAĞ GÜNDOĞDU</t>
        </is>
      </c>
      <c r="D1069" s="7" t="inlineStr">
        <is>
          <t>“Tuberositas İnterossea Radii Morfolojik ve Morfometrik Özelliklerinin Değerlendirilmesi”</t>
        </is>
      </c>
    </row>
    <row r="1070" ht="63" customHeight="1" s="221">
      <c r="A1070" s="5" t="inlineStr">
        <is>
          <t>999.</t>
        </is>
      </c>
      <c r="B1070" s="6" t="inlineStr">
        <is>
          <t>SBA 25/1070</t>
        </is>
      </c>
      <c r="C1070" s="8" t="inlineStr">
        <is>
          <t>Dr. Öğr. Üyesi Eda Ezgi ASLANTAŞ</t>
        </is>
      </c>
      <c r="D1070" s="7" t="inlineStr">
        <is>
          <t>“Açık Apeksli Devital Dişlerde Vaka Seçimi ve Klinik Protokol Açısından Pratisyen Diş Hekimleri, Endodonti Uzmanları ve Pedodonti Uzmanlarının Tedavi Yaklaşımları”</t>
        </is>
      </c>
    </row>
    <row r="1071" ht="31.5" customHeight="1" s="221">
      <c r="A1071" s="5" t="inlineStr">
        <is>
          <t>1000.</t>
        </is>
      </c>
      <c r="B1071" s="6" t="inlineStr">
        <is>
          <t>SBA 25/1071</t>
        </is>
      </c>
      <c r="C1071" s="8" t="inlineStr">
        <is>
          <t>Prof. Dr. Ramazan AKÇAN</t>
        </is>
      </c>
      <c r="D1071" s="7" t="inlineStr">
        <is>
          <t>“Beyin Omurilik Sıvısı Örneklerinde Alkol ve Psikoaktif Madde Düzeylerinin Değerlendirilmesi”</t>
        </is>
      </c>
    </row>
    <row r="1072" ht="63" customHeight="1" s="221">
      <c r="A1072" s="5" t="inlineStr">
        <is>
          <t>1001.</t>
        </is>
      </c>
      <c r="B1072" s="6" t="inlineStr">
        <is>
          <t>SBA 25/1072</t>
        </is>
      </c>
      <c r="C1072" s="8" t="inlineStr">
        <is>
          <t>Doç. Dr. Ersin GÜMÜŞ</t>
        </is>
      </c>
      <c r="D1072" s="7" t="inlineStr">
        <is>
          <t>“Kistik Fibrozisli Çocuklarda Kistik Fibrozis Transmembran Kondüktans Regülatör Modülatör Tedavisinin Beslenme Durumu ve Hepatobiliyer Sistem Üzerine Etkisi”</t>
        </is>
      </c>
    </row>
    <row r="1073" ht="63" customHeight="1" s="221">
      <c r="A1073" s="5" t="inlineStr">
        <is>
          <t>1002.</t>
        </is>
      </c>
      <c r="B1073" s="6" t="inlineStr">
        <is>
          <t>SBA 25/1073</t>
        </is>
      </c>
      <c r="C1073" s="8" t="inlineStr">
        <is>
          <t>Doç. Dr. Kübra AYKAÇ</t>
        </is>
      </c>
      <c r="D1073" s="7" t="inlineStr">
        <is>
          <t>“Multisistem İnflamatuvar Sendrom (MIS-C)’da, Sistemik Siklik Dinükleotitler (CDN’ler) ve İnterferon Genlerini Uyarıcı (STING) Yolu Aktivasyonu: Hiperinflamasyona İmmünopatolojik Bakış”</t>
        </is>
      </c>
    </row>
    <row r="1074" ht="31.5" customHeight="1" s="221">
      <c r="A1074" s="5" t="inlineStr">
        <is>
          <t>1003.</t>
        </is>
      </c>
      <c r="B1074" s="6" t="inlineStr">
        <is>
          <t>SBA 25/1074</t>
        </is>
      </c>
      <c r="C1074" s="8" t="inlineStr">
        <is>
          <t>Doç. Dr. Pınar ARPINAR AVŞAR</t>
        </is>
      </c>
      <c r="D1074" s="7" t="inlineStr">
        <is>
          <t>“Alt Ekstremitede Pliometrik Egzersiz Şiddetinin Belirlenmesi”</t>
        </is>
      </c>
    </row>
    <row r="1075" ht="31.5" customHeight="1" s="221">
      <c r="A1075" s="5" t="inlineStr">
        <is>
          <t>1004.</t>
        </is>
      </c>
      <c r="B1075" s="6" t="inlineStr">
        <is>
          <t>SBA 25/1075</t>
        </is>
      </c>
      <c r="C1075" s="8" t="inlineStr">
        <is>
          <t>Doç. Dr. Kübra AYKAÇ</t>
        </is>
      </c>
      <c r="D1075" s="7" t="inlineStr">
        <is>
          <t>“Çocuklarda Pnömokok Taşıyıcılığı: Kültürün Ötesinde Moleküler Doğruluk”</t>
        </is>
      </c>
    </row>
    <row r="1076" ht="31.5" customHeight="1" s="221">
      <c r="A1076" s="5" t="inlineStr">
        <is>
          <t>1005.</t>
        </is>
      </c>
      <c r="B1076" s="6" t="inlineStr">
        <is>
          <t>SBA 25/1076</t>
        </is>
      </c>
      <c r="C1076" s="8" t="inlineStr">
        <is>
          <t>Prof. Dr. Elmas Nazlı GÖNÇ</t>
        </is>
      </c>
      <c r="D1076" s="7" t="inlineStr">
        <is>
          <t>“Uzun Süreli Glukokortikoid Kullanımına Bağlı Adrenal Yetmezlikte İlaç Kesim Sürecinin İncelenmesi”</t>
        </is>
      </c>
    </row>
    <row r="1077" ht="47.25" customHeight="1" s="221">
      <c r="A1077" s="5" t="inlineStr">
        <is>
          <t>1006.</t>
        </is>
      </c>
      <c r="B1077" s="6" t="inlineStr">
        <is>
          <t>SBA 25/1077</t>
        </is>
      </c>
      <c r="C1077" s="8" t="inlineStr">
        <is>
          <t>Doç. Dr. Saliha ESENBOĞA</t>
        </is>
      </c>
      <c r="D1077" s="7" t="inlineStr">
        <is>
          <t>“Subkutan İmmunoglobulin Replasman Tedavisi Almış Olan Primer İmmün Yetmezlik Hastalarının Özelliklerinin Değerlendirilmesi”</t>
        </is>
      </c>
    </row>
    <row r="1078" ht="94.5" customHeight="1" s="221">
      <c r="A1078" s="5" t="inlineStr">
        <is>
          <t>1007.</t>
        </is>
      </c>
      <c r="B1078" s="6" t="inlineStr">
        <is>
          <t>SBA 25/1078</t>
        </is>
      </c>
      <c r="C1078" s="8" t="inlineStr">
        <is>
          <t>Doç. Dr. Erdem FADILOĞLU</t>
        </is>
      </c>
      <c r="D1078" s="7" t="inlineStr">
        <is>
          <t>“Rh Uygunsuzluğu Olan Gebeliklerde 28. Gebelik Haftasında Uygulanan Antenatal Anti-D İmmünoglobulin Profilaksisinin Neonatal Bilirubin Düzeyleri ve Erken Dönem Yenidoğan Sonuçları Üzerine Etkisinin Değerlendirilmesi: Retrospektif Kohort Çalışması”</t>
        </is>
      </c>
    </row>
    <row r="1079" ht="31.5" customHeight="1" s="221">
      <c r="A1079" s="5" t="inlineStr">
        <is>
          <t>1008.</t>
        </is>
      </c>
      <c r="B1079" s="6" t="inlineStr">
        <is>
          <t>SBA 25/1079</t>
        </is>
      </c>
      <c r="C1079" s="8" t="inlineStr">
        <is>
          <t>Prof. Dr. Hatice DOĞAN BUZOĞLU</t>
        </is>
      </c>
      <c r="D1079" s="7" t="inlineStr">
        <is>
          <t>“Geri Dönüşümsüz Pulpitislerde Makrofaj Polarizasyonunun İncelenmesi”</t>
        </is>
      </c>
    </row>
    <row r="1080" ht="31.5" customHeight="1" s="221">
      <c r="A1080" s="5" t="inlineStr">
        <is>
          <t>1009.</t>
        </is>
      </c>
      <c r="B1080" s="6" t="inlineStr">
        <is>
          <t>SBA 25/1080</t>
        </is>
      </c>
      <c r="C1080" s="8" t="inlineStr">
        <is>
          <t>Doç. Dr. Cafer BALCI</t>
        </is>
      </c>
      <c r="D1080" s="7" t="inlineStr">
        <is>
          <t>“El Kavrama Kuvvetinin Ölçümünde Squegg'in Geriatrik Popülasyondaki Tanısal Geçerliliği”</t>
        </is>
      </c>
    </row>
    <row r="1081" ht="31.5" customHeight="1" s="221">
      <c r="A1081" s="5" t="inlineStr">
        <is>
          <t>1010.</t>
        </is>
      </c>
      <c r="B1081" s="6" t="inlineStr">
        <is>
          <t>SBA 25/1081</t>
        </is>
      </c>
      <c r="C1081" s="8" t="inlineStr">
        <is>
          <t>Prof. Dr. Onur KESKİN</t>
        </is>
      </c>
      <c r="D1081" s="7" t="inlineStr">
        <is>
          <t>“MELD 3.0 ve GEMA skorlarının Siroz Hastalarında Mortalite Öngörüsünde Etkinliğinin Araştırılması”</t>
        </is>
      </c>
    </row>
  </sheetData>
  <conditionalFormatting sqref="A1:C1 A2:A79 B2:C71">
    <cfRule type="expression" priority="1" dxfId="0">
      <formula>ISEVEN(ROW())</formula>
    </cfRule>
  </conditionalFormatting>
  <conditionalFormatting sqref="A80:C1081 B72 B73:C79">
    <cfRule type="expression" priority="6" dxfId="0">
      <formula>ISEVEN(ROW())</formula>
    </cfRule>
  </conditionalFormatting>
  <printOptions horizontalCentered="1"/>
  <pageMargins left="0.1968503937007874" right="0.1968503937007874" top="0.1968503937007874" bottom="0.3937007874015748" header="0.3149606299212598" footer="0.1968503937007874"/>
  <pageSetup orientation="landscape" paperSize="8" scale="75" fitToHeight="10"/>
</worksheet>
</file>

<file path=xl/worksheets/sheet13.xml><?xml version="1.0" encoding="utf-8"?>
<worksheet xmlns="http://schemas.openxmlformats.org/spreadsheetml/2006/main">
  <sheetPr codeName="Sayfa30">
    <tabColor rgb="FF002060"/>
    <outlinePr summaryBelow="1" summaryRight="1"/>
    <pageSetUpPr/>
  </sheetPr>
  <dimension ref="A1:I19"/>
  <sheetViews>
    <sheetView workbookViewId="0">
      <selection activeCell="A13" sqref="A13"/>
    </sheetView>
  </sheetViews>
  <sheetFormatPr baseColWidth="8" defaultColWidth="10.7109375" defaultRowHeight="15.75"/>
  <cols>
    <col width="46.85546875" bestFit="1" customWidth="1" style="11" min="1" max="1"/>
    <col width="58.7109375" bestFit="1" customWidth="1" style="11" min="2" max="2"/>
    <col width="53.5703125" customWidth="1" style="15" min="3" max="3"/>
    <col width="10.7109375" customWidth="1" style="11" min="4" max="16384"/>
  </cols>
  <sheetData>
    <row r="1" ht="79.5" customHeight="1" s="221" thickBot="1">
      <c r="A1" s="29">
        <f>MID(C1,IFERROR(FIND("üyelerinden ",C1),FIND("elemanlarından ",C1))+LEN(IFERROR(IF(FIND("üyelerinden ",C1),"üyelerinden "),"elemanlarından ")),FIND(" sorumlu",C1)-(IFERROR(FIND("üyelerinden ",C1),FIND("elemanlarından ",C1)))-LEN(IFERROR(IF(FIND("üyelerinden ",C1),"üyelerinden "),"elemanlarından ")))</f>
        <v/>
      </c>
      <c r="B1" s="29">
        <f>MID(C1,FIND("Fakültesi ",C1)+LEN("Fakültesi "),FIND("öğretim ",C1)-FIND("Fakültesi ",C1)-LEN("Fakültesi "))</f>
        <v/>
      </c>
      <c r="C1" s="30" t="inlineStr">
        <is>
          <t>Üniversitemiz Tıp Fakültesi Ruh Sağlığı ve Hastalıkları Anabilim Dalı öğretim üyelerinden Prof. Dr. Başaran DEMİR’in sorumlu araştırmacı olduğu, Arş. Gör. Dr. Anıl ALP ve Arş. Gör. Dr. Oğuzhan ONAT ile birlikte çalışacakları,</t>
        </is>
      </c>
    </row>
    <row r="4" customFormat="1" s="218"/>
    <row r="5" customFormat="1" s="218">
      <c r="A5" s="10" t="inlineStr">
        <is>
          <t>Satır Renklendirme Formül: =ÇİFTMİ(SATIR())</t>
        </is>
      </c>
    </row>
    <row r="6" customFormat="1" s="218">
      <c r="A6" s="10" t="inlineStr">
        <is>
          <t>İki Nokta Üst Üste: @* ":"</t>
        </is>
      </c>
    </row>
    <row r="7" customFormat="1" s="218">
      <c r="A7" s="10" t="inlineStr">
        <is>
          <t>Sorumlu Araştırmacı Seç: =PARÇAAL(E8;BUL("üyelerinden";E8)+UZUNLUK("üyelerinden");BUL("sorumlu";E8)-BUL("üyelerinden";E8)-UZUNLUK("üyelerinden"))</t>
        </is>
      </c>
    </row>
    <row r="8" customFormat="1" s="218">
      <c r="A8" s="10" t="inlineStr">
        <is>
          <t>Anabilim Dalı Seç: =PARÇAAL(E9;BUL("Fakültesi";E9)+UZUNLUK("Fakültesi");BUL("öğretim";E9)-BUL("Fakültesi";E9)-UZUNLUK("Fakültesi"))</t>
        </is>
      </c>
    </row>
    <row r="9" ht="63" customFormat="1" customHeight="1" s="218">
      <c r="A9" s="28" t="inlineStr">
        <is>
          <t>Private Sub Worksheet_SelectionChange(ByVal Target As Range)
    Cells.EntireColumn.AutoFit
End Sub</t>
        </is>
      </c>
    </row>
    <row r="10" customFormat="1" s="218"/>
    <row r="12">
      <c r="A12" s="10">
        <f>COUNTIF(#REF!,"")</f>
        <v/>
      </c>
    </row>
    <row r="13">
      <c r="A13" s="10">
        <f t="array" ref="A13">SUMPRODUCT(--(LEN(TRIM(#REF!))=0))</f>
        <v/>
      </c>
    </row>
    <row r="14">
      <c r="A14" s="51">
        <f>IF(COUNTIF(#REF!,"")&gt;0, "⚠ DİKKAT: Boş bırakılan alanlar var!", "✓ Tüm alanlar dolu")</f>
        <v/>
      </c>
    </row>
    <row r="15">
      <c r="A15" s="51">
        <f t="array" ref="A15">IF(SUMPRODUCT(--(LEN(TRIM(#REF!))=0))&gt;0,
"⚠ DİKKAT: Boş bırakılan alanlar var!",
"✓ Tüm alanlar dolu")</f>
        <v/>
      </c>
    </row>
    <row r="16">
      <c r="A16" s="10" t="n"/>
    </row>
    <row r="17">
      <c r="A17" s="10" t="n"/>
    </row>
    <row r="18">
      <c r="A18" s="10">
        <f t="array" ref="A18">_xlfn._xlws.FILTER("J"&amp;ROW(#REF!), LEN(TRIM(#REF!))=0)</f>
        <v/>
      </c>
    </row>
    <row r="19">
      <c r="A19" s="11" t="inlineStr">
        <is>
          <t>Listeyi ikili ayırmak =İNDİS($A:$A; (SATIR()-1)*2 + SÜTUN()-1)</t>
        </is>
      </c>
    </row>
  </sheetData>
  <pageMargins left="0.7" right="0.7" top="0.75" bottom="0.75" header="0.3" footer="0.3"/>
  <pageSetup orientation="portrait" paperSize="9"/>
</worksheet>
</file>

<file path=xl/worksheets/sheet14.xml><?xml version="1.0" encoding="utf-8"?>
<worksheet xmlns="http://schemas.openxmlformats.org/spreadsheetml/2006/main">
  <sheetPr codeName="Sayfa33">
    <tabColor rgb="FFFFFF00"/>
    <outlinePr summaryBelow="1" summaryRight="1"/>
    <pageSetUpPr fitToPage="1"/>
  </sheetPr>
  <dimension ref="A2:A6"/>
  <sheetViews>
    <sheetView showZeros="0" workbookViewId="0">
      <selection activeCell="N19" sqref="N19"/>
    </sheetView>
  </sheetViews>
  <sheetFormatPr baseColWidth="8" defaultRowHeight="15.75"/>
  <cols>
    <col width="19" customWidth="1" style="218" min="1" max="1"/>
    <col width="13.7109375" bestFit="1" customWidth="1" style="221" min="2" max="2"/>
    <col width="14.5703125" bestFit="1" customWidth="1" style="221" min="3" max="3"/>
    <col width="6.140625" bestFit="1" customWidth="1" style="221" min="4" max="4"/>
    <col width="10" bestFit="1" customWidth="1" style="221" min="5" max="5"/>
    <col width="6.85546875" bestFit="1" customWidth="1" style="221" min="6" max="6"/>
    <col width="6.28515625" bestFit="1" customWidth="1" style="221" min="7" max="7"/>
    <col width="5" bestFit="1" customWidth="1" style="221" min="8" max="8"/>
    <col width="13.42578125" bestFit="1" customWidth="1" style="221" min="9" max="9"/>
    <col width="12.7109375" bestFit="1" customWidth="1" style="218" min="10" max="10"/>
    <col width="9.140625" customWidth="1" style="218" min="11" max="16384"/>
  </cols>
  <sheetData>
    <row r="2">
      <c r="A2" s="10" t="n"/>
    </row>
    <row r="3">
      <c r="A3" s="10" t="n"/>
    </row>
    <row r="4">
      <c r="A4" s="10" t="n"/>
    </row>
    <row r="5">
      <c r="A5" s="10" t="n"/>
    </row>
    <row r="6">
      <c r="A6" s="28" t="n"/>
    </row>
  </sheetData>
  <printOptions horizontalCentered="1" verticalCentered="1"/>
  <pageMargins left="0.3937007874015748" right="0.3937007874015748" top="0.3937007874015748" bottom="0.3937007874015748" header="0.3149606299212598" footer="0.3149606299212598"/>
  <pageSetup orientation="portrait" paperSize="9" scale="24"/>
</worksheet>
</file>

<file path=xl/worksheets/sheet15.xml><?xml version="1.0" encoding="utf-8"?>
<worksheet xmlns="http://schemas.openxmlformats.org/spreadsheetml/2006/main">
  <sheetPr>
    <outlinePr summaryBelow="1" summaryRight="1"/>
    <pageSetUpPr/>
  </sheetPr>
  <dimension ref="B1:N83"/>
  <sheetViews>
    <sheetView showGridLines="0" workbookViewId="0">
      <selection activeCell="A1" sqref="A1"/>
    </sheetView>
  </sheetViews>
  <sheetFormatPr baseColWidth="8" defaultRowHeight="15"/>
  <cols>
    <col width="2" customWidth="1" style="221" min="1" max="1"/>
    <col width="4" customWidth="1" style="221" min="2" max="2"/>
    <col width="13" customWidth="1" style="221" min="3" max="3"/>
    <col width="14" customWidth="1" style="221" min="4" max="4"/>
    <col width="22" customWidth="1" style="221" min="5" max="5"/>
    <col width="13" customWidth="1" style="221" min="6" max="6"/>
    <col width="3" customWidth="1" style="221" min="7" max="7"/>
    <col width="13" customWidth="1" style="221" min="8" max="8"/>
    <col width="3" customWidth="1" style="221" min="9" max="9"/>
    <col width="13" customWidth="1" style="221" min="10" max="10"/>
    <col width="3" customWidth="1" style="221" min="11" max="11"/>
    <col width="13" customWidth="1" style="221" min="12" max="12"/>
    <col width="6" customWidth="1" style="221" min="13" max="13"/>
    <col width="12" customWidth="1" style="221" min="14" max="14"/>
    <col width="12" customWidth="1" style="221" min="15" max="15"/>
    <col width="12" customWidth="1" style="221" min="16" max="16"/>
    <col width="12" customWidth="1" style="221" min="17" max="17"/>
  </cols>
  <sheetData>
    <row r="1" ht="28" customHeight="1" s="221">
      <c r="B1" s="232" t="inlineStr">
        <is>
          <t>2026 — KARAR AKIŞ ANALİZİ</t>
        </is>
      </c>
      <c r="C1" s="233" t="n"/>
      <c r="D1" s="233" t="n"/>
      <c r="E1" s="233" t="n"/>
      <c r="F1" s="233" t="n"/>
      <c r="G1" s="233" t="n"/>
      <c r="H1" s="233" t="n"/>
      <c r="I1" s="233" t="n"/>
      <c r="J1" s="233" t="n"/>
      <c r="K1" s="233" t="n"/>
      <c r="L1" s="233" t="n"/>
      <c r="M1" s="233" t="n"/>
      <c r="N1" s="234" t="n"/>
    </row>
    <row r="2" ht="20" customHeight="1" s="221">
      <c r="B2" s="235" t="inlineStr">
        <is>
          <t>📊  KK1 → KK2 KARAR GEÇİŞ MATRİSİ</t>
        </is>
      </c>
      <c r="C2" s="233" t="n"/>
      <c r="D2" s="233" t="n"/>
      <c r="E2" s="233" t="n"/>
      <c r="F2" s="233" t="n"/>
      <c r="G2" s="233" t="n"/>
      <c r="H2" s="233" t="n"/>
      <c r="I2" s="233" t="n"/>
      <c r="J2" s="234" t="n"/>
    </row>
    <row r="3" ht="14" customHeight="1" s="221">
      <c r="B3" s="236" t="inlineStr">
        <is>
          <t>Satır: ilk kurul kararı (KK1)  ·  Sütun: düzeltme/görüş sonrası 2. karar (KK2)</t>
        </is>
      </c>
      <c r="C3" s="233" t="n"/>
      <c r="D3" s="233" t="n"/>
      <c r="E3" s="233" t="n"/>
      <c r="F3" s="233" t="n"/>
      <c r="G3" s="233" t="n"/>
      <c r="H3" s="233" t="n"/>
      <c r="I3" s="233" t="n"/>
      <c r="J3" s="234" t="n"/>
    </row>
    <row r="4" ht="22" customHeight="1" s="221">
      <c r="B4" s="237" t="inlineStr">
        <is>
          <t>KK1 ↓ / KK2 →</t>
        </is>
      </c>
      <c r="C4" s="238" t="inlineStr">
        <is>
          <t>ONAY</t>
        </is>
      </c>
      <c r="D4" s="239" t="inlineStr">
        <is>
          <t>DÜZELTME</t>
        </is>
      </c>
      <c r="E4" s="240" t="inlineStr">
        <is>
          <t>GÖRÜŞ</t>
        </is>
      </c>
      <c r="F4" s="241" t="inlineStr">
        <is>
          <t>KAEK</t>
        </is>
      </c>
      <c r="G4" s="242" t="inlineStr">
        <is>
          <t>RET</t>
        </is>
      </c>
      <c r="H4" s="243" t="inlineStr">
        <is>
          <t>KAPSAM DIŞI</t>
        </is>
      </c>
      <c r="I4" s="244" t="inlineStr">
        <is>
          <t>GERİ ÇEKİLDİ</t>
        </is>
      </c>
      <c r="K4" s="245" t="inlineStr">
        <is>
          <t>TOPLAM</t>
        </is>
      </c>
    </row>
    <row r="5" ht="20" customHeight="1" s="221">
      <c r="B5" s="246" t="inlineStr">
        <is>
          <t>DÜZELTME</t>
        </is>
      </c>
      <c r="C5" s="247" t="n">
        <v>48</v>
      </c>
      <c r="D5" s="248" t="n">
        <v>1</v>
      </c>
      <c r="E5" s="249" t="n">
        <v>7</v>
      </c>
      <c r="F5" s="250" t="inlineStr"/>
      <c r="G5" s="250" t="inlineStr"/>
      <c r="H5" s="250" t="inlineStr"/>
      <c r="I5" s="251" t="n">
        <v>3</v>
      </c>
      <c r="K5" s="252" t="n">
        <v>59</v>
      </c>
    </row>
    <row r="6" ht="20" customHeight="1" s="221">
      <c r="B6" s="253" t="inlineStr">
        <is>
          <t>GÖRÜŞ</t>
        </is>
      </c>
      <c r="C6" s="247" t="n">
        <v>3</v>
      </c>
      <c r="D6" s="248" t="n">
        <v>5</v>
      </c>
      <c r="E6" s="250" t="inlineStr"/>
      <c r="F6" s="250" t="inlineStr"/>
      <c r="G6" s="250" t="inlineStr"/>
      <c r="H6" s="250" t="inlineStr"/>
      <c r="I6" s="250" t="inlineStr"/>
      <c r="K6" s="252" t="n">
        <v>8</v>
      </c>
    </row>
    <row r="7" ht="20" customHeight="1" s="221">
      <c r="B7" s="254" t="inlineStr">
        <is>
          <t>KAEK</t>
        </is>
      </c>
      <c r="C7" s="250" t="inlineStr"/>
      <c r="D7" s="250" t="inlineStr"/>
      <c r="E7" s="249" t="n">
        <v>1</v>
      </c>
      <c r="F7" s="250" t="inlineStr"/>
      <c r="G7" s="250" t="inlineStr"/>
      <c r="H7" s="250" t="inlineStr"/>
      <c r="I7" s="250" t="inlineStr"/>
      <c r="K7" s="252" t="n">
        <v>1</v>
      </c>
    </row>
    <row r="8" ht="20" customHeight="1" s="221">
      <c r="B8" s="255" t="inlineStr">
        <is>
          <t>RET</t>
        </is>
      </c>
      <c r="C8" s="247" t="n">
        <v>1</v>
      </c>
      <c r="D8" s="250" t="inlineStr"/>
      <c r="E8" s="250" t="inlineStr"/>
      <c r="F8" s="250" t="inlineStr"/>
      <c r="G8" s="250" t="inlineStr"/>
      <c r="H8" s="250" t="inlineStr"/>
      <c r="I8" s="250" t="inlineStr"/>
      <c r="K8" s="252" t="n">
        <v>1</v>
      </c>
    </row>
    <row r="9" ht="22" customHeight="1" s="221">
      <c r="B9" s="256" t="inlineStr">
        <is>
          <t>TOPLAM</t>
        </is>
      </c>
      <c r="C9" s="235" t="n">
        <v>52</v>
      </c>
      <c r="D9" s="235" t="n">
        <v>6</v>
      </c>
      <c r="E9" s="235" t="n">
        <v>8</v>
      </c>
      <c r="F9" s="235" t="inlineStr"/>
      <c r="G9" s="235" t="inlineStr"/>
      <c r="H9" s="235" t="inlineStr"/>
      <c r="I9" s="235" t="n">
        <v>3</v>
      </c>
      <c r="K9" s="257" t="n">
        <v>69</v>
      </c>
    </row>
    <row r="12" ht="20" customHeight="1" s="221">
      <c r="B12" s="235" t="inlineStr">
        <is>
          <t>📋  DOSYA TUR GEÇMİŞİ — BİRDEN FAZLA TUR GEÇİREN DOSYALAR</t>
        </is>
      </c>
      <c r="C12" s="233" t="n"/>
      <c r="D12" s="233" t="n"/>
      <c r="E12" s="233" t="n"/>
      <c r="F12" s="233" t="n"/>
      <c r="G12" s="233" t="n"/>
      <c r="H12" s="233" t="n"/>
      <c r="I12" s="233" t="n"/>
      <c r="J12" s="233" t="n"/>
      <c r="K12" s="233" t="n"/>
      <c r="L12" s="233" t="n"/>
      <c r="M12" s="234" t="n"/>
    </row>
    <row r="13" ht="14" customHeight="1" s="221">
      <c r="B13" s="236" t="inlineStr">
        <is>
          <t>KK1 → KK2 → KK3 → KK4  ·  69 dosya 2+ tur geçirdi</t>
        </is>
      </c>
      <c r="C13" s="233" t="n"/>
      <c r="D13" s="233" t="n"/>
      <c r="E13" s="233" t="n"/>
      <c r="F13" s="233" t="n"/>
      <c r="G13" s="233" t="n"/>
      <c r="H13" s="233" t="n"/>
      <c r="I13" s="233" t="n"/>
      <c r="J13" s="233" t="n"/>
      <c r="K13" s="233" t="n"/>
      <c r="L13" s="233" t="n"/>
      <c r="M13" s="234" t="n"/>
    </row>
    <row r="14" ht="20" customHeight="1" s="221">
      <c r="B14" s="258" t="inlineStr">
        <is>
          <t>#</t>
        </is>
      </c>
      <c r="C14" s="258" t="inlineStr">
        <is>
          <t>SBA NO</t>
        </is>
      </c>
      <c r="D14" s="258" t="inlineStr">
        <is>
          <t>NİTELİĞİ</t>
        </is>
      </c>
      <c r="E14" s="258" t="inlineStr">
        <is>
          <t>SORUMLUSU</t>
        </is>
      </c>
      <c r="F14" s="258" t="inlineStr">
        <is>
          <t>KK1</t>
        </is>
      </c>
      <c r="G14" s="258" t="inlineStr">
        <is>
          <t>→</t>
        </is>
      </c>
      <c r="H14" s="258" t="inlineStr">
        <is>
          <t>KK2</t>
        </is>
      </c>
      <c r="I14" s="258" t="inlineStr">
        <is>
          <t>→</t>
        </is>
      </c>
      <c r="J14" s="258" t="inlineStr">
        <is>
          <t>KK3</t>
        </is>
      </c>
      <c r="K14" s="258" t="inlineStr">
        <is>
          <t>→</t>
        </is>
      </c>
      <c r="L14" s="258" t="inlineStr">
        <is>
          <t>KK4</t>
        </is>
      </c>
      <c r="M14" s="258" t="inlineStr">
        <is>
          <t>TUR</t>
        </is>
      </c>
    </row>
    <row r="15" ht="15" customHeight="1" s="221">
      <c r="B15" s="259" t="n">
        <v>1</v>
      </c>
      <c r="C15" s="260" t="inlineStr">
        <is>
          <t>SBA 26/004</t>
        </is>
      </c>
      <c r="D15" s="261" t="inlineStr">
        <is>
          <t>Doktora Tezi</t>
        </is>
      </c>
      <c r="E15" s="262" t="inlineStr">
        <is>
          <t>Prof. Dr. Bayram ŞAHİN</t>
        </is>
      </c>
      <c r="F15" s="239" t="inlineStr">
        <is>
          <t>DÜZELTME</t>
        </is>
      </c>
      <c r="G15" s="263" t="inlineStr">
        <is>
          <t>→</t>
        </is>
      </c>
      <c r="H15" s="238" t="inlineStr">
        <is>
          <t>ONAY</t>
        </is>
      </c>
      <c r="I15" s="263" t="inlineStr"/>
      <c r="J15" s="264" t="inlineStr"/>
      <c r="K15" s="263" t="inlineStr"/>
      <c r="L15" s="264" t="inlineStr"/>
      <c r="M15" s="259" t="inlineStr">
        <is>
          <t>2 tur</t>
        </is>
      </c>
    </row>
    <row r="16" ht="15" customHeight="1" s="221">
      <c r="B16" s="265" t="n">
        <v>2</v>
      </c>
      <c r="C16" s="266" t="inlineStr">
        <is>
          <t>SBA 26/005</t>
        </is>
      </c>
      <c r="D16" s="267" t="inlineStr">
        <is>
          <t>Doktora Tezi</t>
        </is>
      </c>
      <c r="E16" s="268" t="inlineStr">
        <is>
          <t>Prof. Dr. Ömür ÇELİKBIÇAK</t>
        </is>
      </c>
      <c r="F16" s="239" t="inlineStr">
        <is>
          <t>DÜZELTME</t>
        </is>
      </c>
      <c r="G16" s="269" t="inlineStr">
        <is>
          <t>→</t>
        </is>
      </c>
      <c r="H16" s="238" t="inlineStr">
        <is>
          <t>ONAY</t>
        </is>
      </c>
      <c r="I16" s="269" t="inlineStr"/>
      <c r="J16" s="270" t="inlineStr"/>
      <c r="K16" s="269" t="inlineStr"/>
      <c r="L16" s="270" t="inlineStr"/>
      <c r="M16" s="265" t="inlineStr">
        <is>
          <t>2 tur</t>
        </is>
      </c>
    </row>
    <row r="17" ht="15" customHeight="1" s="221">
      <c r="B17" s="259" t="n">
        <v>3</v>
      </c>
      <c r="C17" s="260" t="inlineStr">
        <is>
          <t>SBA 26/010</t>
        </is>
      </c>
      <c r="D17" s="261" t="inlineStr">
        <is>
          <t>Doktora Tezi</t>
        </is>
      </c>
      <c r="E17" s="262" t="inlineStr">
        <is>
          <t>Prof. Dr. Yakut AKYÖN YILMAZ</t>
        </is>
      </c>
      <c r="F17" s="239" t="inlineStr">
        <is>
          <t>DÜZELTME</t>
        </is>
      </c>
      <c r="G17" s="263" t="inlineStr">
        <is>
          <t>→</t>
        </is>
      </c>
      <c r="H17" s="238" t="inlineStr">
        <is>
          <t>ONAY</t>
        </is>
      </c>
      <c r="I17" s="263" t="inlineStr"/>
      <c r="J17" s="264" t="inlineStr"/>
      <c r="K17" s="263" t="inlineStr"/>
      <c r="L17" s="264" t="inlineStr"/>
      <c r="M17" s="259" t="inlineStr">
        <is>
          <t>2 tur</t>
        </is>
      </c>
    </row>
    <row r="18" ht="15" customHeight="1" s="221">
      <c r="B18" s="265" t="n">
        <v>4</v>
      </c>
      <c r="C18" s="266" t="inlineStr">
        <is>
          <t>SBA 26/013</t>
        </is>
      </c>
      <c r="D18" s="267" t="inlineStr">
        <is>
          <t>Yüksek Lisans Tezi</t>
        </is>
      </c>
      <c r="E18" s="268" t="inlineStr">
        <is>
          <t>Prof. Dr. Orhan ODABAŞI</t>
        </is>
      </c>
      <c r="F18" s="239" t="inlineStr">
        <is>
          <t>DÜZELTME</t>
        </is>
      </c>
      <c r="G18" s="269" t="inlineStr">
        <is>
          <t>→</t>
        </is>
      </c>
      <c r="H18" s="238" t="inlineStr">
        <is>
          <t>ONAY</t>
        </is>
      </c>
      <c r="I18" s="269" t="inlineStr"/>
      <c r="J18" s="270" t="inlineStr"/>
      <c r="K18" s="269" t="inlineStr"/>
      <c r="L18" s="270" t="inlineStr"/>
      <c r="M18" s="265" t="inlineStr">
        <is>
          <t>2 tur</t>
        </is>
      </c>
    </row>
    <row r="19" ht="15" customHeight="1" s="221">
      <c r="B19" s="259" t="n">
        <v>5</v>
      </c>
      <c r="C19" s="260" t="inlineStr">
        <is>
          <t>SBA 26/017</t>
        </is>
      </c>
      <c r="D19" s="261" t="inlineStr">
        <is>
          <t>Uzmanlık Tezi</t>
        </is>
      </c>
      <c r="E19" s="262" t="inlineStr">
        <is>
          <t>Prof. Dr. Banu KILIÇASLAN</t>
        </is>
      </c>
      <c r="F19" s="239" t="inlineStr">
        <is>
          <t>DÜZELTME</t>
        </is>
      </c>
      <c r="G19" s="263" t="inlineStr">
        <is>
          <t>→</t>
        </is>
      </c>
      <c r="H19" s="238" t="inlineStr">
        <is>
          <t>ONAY</t>
        </is>
      </c>
      <c r="I19" s="263" t="inlineStr"/>
      <c r="J19" s="264" t="inlineStr"/>
      <c r="K19" s="263" t="inlineStr"/>
      <c r="L19" s="264" t="inlineStr"/>
      <c r="M19" s="259" t="inlineStr">
        <is>
          <t>2 tur</t>
        </is>
      </c>
    </row>
    <row r="20" ht="15" customHeight="1" s="221">
      <c r="B20" s="265" t="n">
        <v>6</v>
      </c>
      <c r="C20" s="266" t="inlineStr">
        <is>
          <t>SBA 26/021</t>
        </is>
      </c>
      <c r="D20" s="267" t="inlineStr">
        <is>
          <t>Doktora Tezi</t>
        </is>
      </c>
      <c r="E20" s="268" t="inlineStr">
        <is>
          <t>Prof. Dr. Oğuz IŞIK</t>
        </is>
      </c>
      <c r="F20" s="239" t="inlineStr">
        <is>
          <t>DÜZELTME</t>
        </is>
      </c>
      <c r="G20" s="269" t="inlineStr">
        <is>
          <t>→</t>
        </is>
      </c>
      <c r="H20" s="240" t="inlineStr">
        <is>
          <t>GÖRÜŞ</t>
        </is>
      </c>
      <c r="I20" s="269" t="inlineStr">
        <is>
          <t>→</t>
        </is>
      </c>
      <c r="J20" s="238" t="inlineStr">
        <is>
          <t>ONAY</t>
        </is>
      </c>
      <c r="K20" s="269" t="inlineStr"/>
      <c r="L20" s="270" t="inlineStr"/>
      <c r="M20" s="265" t="inlineStr">
        <is>
          <t>3 tur</t>
        </is>
      </c>
    </row>
    <row r="21" ht="15" customHeight="1" s="221">
      <c r="B21" s="259" t="n">
        <v>7</v>
      </c>
      <c r="C21" s="260" t="inlineStr">
        <is>
          <t>SBA 26/022</t>
        </is>
      </c>
      <c r="D21" s="261" t="inlineStr">
        <is>
          <t>Uzmanlık Tezi</t>
        </is>
      </c>
      <c r="E21" s="262" t="inlineStr">
        <is>
          <t>Doç. Dr. Dilek ÜNAL</t>
        </is>
      </c>
      <c r="F21" s="239" t="inlineStr">
        <is>
          <t>DÜZELTME</t>
        </is>
      </c>
      <c r="G21" s="263" t="inlineStr">
        <is>
          <t>→</t>
        </is>
      </c>
      <c r="H21" s="238" t="inlineStr">
        <is>
          <t>ONAY</t>
        </is>
      </c>
      <c r="I21" s="263" t="inlineStr"/>
      <c r="J21" s="264" t="inlineStr"/>
      <c r="K21" s="263" t="inlineStr"/>
      <c r="L21" s="264" t="inlineStr"/>
      <c r="M21" s="259" t="inlineStr">
        <is>
          <t>2 tur</t>
        </is>
      </c>
    </row>
    <row r="22" ht="15" customHeight="1" s="221">
      <c r="B22" s="265" t="n">
        <v>8</v>
      </c>
      <c r="C22" s="266" t="inlineStr">
        <is>
          <t>SBA 26/023</t>
        </is>
      </c>
      <c r="D22" s="267" t="inlineStr">
        <is>
          <t>Bireysel Araştırma</t>
        </is>
      </c>
      <c r="E22" s="268" t="inlineStr">
        <is>
          <t>Prof. Dr. Emre TOSUN</t>
        </is>
      </c>
      <c r="F22" s="241" t="inlineStr">
        <is>
          <t>KAEK</t>
        </is>
      </c>
      <c r="G22" s="269" t="inlineStr">
        <is>
          <t>→</t>
        </is>
      </c>
      <c r="H22" s="240" t="inlineStr">
        <is>
          <t>GÖRÜŞ</t>
        </is>
      </c>
      <c r="I22" s="269" t="inlineStr"/>
      <c r="J22" s="270" t="inlineStr"/>
      <c r="K22" s="269" t="inlineStr"/>
      <c r="L22" s="270" t="inlineStr"/>
      <c r="M22" s="265" t="inlineStr">
        <is>
          <t>2 tur</t>
        </is>
      </c>
    </row>
    <row r="23" ht="15" customHeight="1" s="221">
      <c r="B23" s="259" t="n">
        <v>9</v>
      </c>
      <c r="C23" s="260" t="inlineStr">
        <is>
          <t>SBA 26/024</t>
        </is>
      </c>
      <c r="D23" s="261" t="inlineStr">
        <is>
          <t>Bireysel Araştırma</t>
        </is>
      </c>
      <c r="E23" s="262" t="inlineStr">
        <is>
          <t>Prof. Dr. Seza ÖZEN</t>
        </is>
      </c>
      <c r="F23" s="239" t="inlineStr">
        <is>
          <t>DÜZELTME</t>
        </is>
      </c>
      <c r="G23" s="263" t="inlineStr">
        <is>
          <t>→</t>
        </is>
      </c>
      <c r="H23" s="240" t="inlineStr">
        <is>
          <t>GÖRÜŞ</t>
        </is>
      </c>
      <c r="I23" s="263" t="inlineStr">
        <is>
          <t>→</t>
        </is>
      </c>
      <c r="J23" s="238" t="inlineStr">
        <is>
          <t>ONAY</t>
        </is>
      </c>
      <c r="K23" s="263" t="inlineStr"/>
      <c r="L23" s="264" t="inlineStr"/>
      <c r="M23" s="259" t="inlineStr">
        <is>
          <t>3 tur</t>
        </is>
      </c>
    </row>
    <row r="24" ht="15" customHeight="1" s="221">
      <c r="B24" s="265" t="n">
        <v>10</v>
      </c>
      <c r="C24" s="266" t="inlineStr">
        <is>
          <t>SBA 26/030</t>
        </is>
      </c>
      <c r="D24" s="267" t="inlineStr">
        <is>
          <t>Bireysel Araştırma</t>
        </is>
      </c>
      <c r="E24" s="268" t="inlineStr">
        <is>
          <t>Prof. Dr. Ali Fuat KALYONCU</t>
        </is>
      </c>
      <c r="F24" s="239" t="inlineStr">
        <is>
          <t>DÜZELTME</t>
        </is>
      </c>
      <c r="G24" s="269" t="inlineStr">
        <is>
          <t>→</t>
        </is>
      </c>
      <c r="H24" s="238" t="inlineStr">
        <is>
          <t>ONAY</t>
        </is>
      </c>
      <c r="I24" s="269" t="inlineStr"/>
      <c r="J24" s="270" t="inlineStr"/>
      <c r="K24" s="269" t="inlineStr"/>
      <c r="L24" s="270" t="inlineStr"/>
      <c r="M24" s="265" t="inlineStr">
        <is>
          <t>2 tur</t>
        </is>
      </c>
    </row>
    <row r="25" ht="15" customHeight="1" s="221">
      <c r="B25" s="259" t="n">
        <v>11</v>
      </c>
      <c r="C25" s="260" t="inlineStr">
        <is>
          <t>SBA 26/038</t>
        </is>
      </c>
      <c r="D25" s="261" t="inlineStr">
        <is>
          <t>Bireysel Araştırma</t>
        </is>
      </c>
      <c r="E25" s="262" t="inlineStr">
        <is>
          <t>Öğr. Gör. Dr. Burçay TELLİOĞLU</t>
        </is>
      </c>
      <c r="F25" s="239" t="inlineStr">
        <is>
          <t>DÜZELTME</t>
        </is>
      </c>
      <c r="G25" s="263" t="inlineStr">
        <is>
          <t>→</t>
        </is>
      </c>
      <c r="H25" s="240" t="inlineStr">
        <is>
          <t>GÖRÜŞ</t>
        </is>
      </c>
      <c r="I25" s="263" t="inlineStr">
        <is>
          <t>→</t>
        </is>
      </c>
      <c r="J25" s="238" t="inlineStr">
        <is>
          <t>ONAY</t>
        </is>
      </c>
      <c r="K25" s="263" t="inlineStr"/>
      <c r="L25" s="264" t="inlineStr"/>
      <c r="M25" s="259" t="inlineStr">
        <is>
          <t>3 tur</t>
        </is>
      </c>
    </row>
    <row r="26" ht="15" customHeight="1" s="221">
      <c r="B26" s="265" t="n">
        <v>12</v>
      </c>
      <c r="C26" s="266" t="inlineStr">
        <is>
          <t>SBA 26/039</t>
        </is>
      </c>
      <c r="D26" s="267" t="inlineStr">
        <is>
          <t>Bireysel Araştırma</t>
        </is>
      </c>
      <c r="E26" s="268" t="inlineStr">
        <is>
          <t>Doç. Dr. Hande GÖRÜCÜ COŞKUNER</t>
        </is>
      </c>
      <c r="F26" s="242" t="inlineStr">
        <is>
          <t>RET</t>
        </is>
      </c>
      <c r="G26" s="269" t="inlineStr">
        <is>
          <t>→</t>
        </is>
      </c>
      <c r="H26" s="238" t="inlineStr">
        <is>
          <t>ONAY</t>
        </is>
      </c>
      <c r="I26" s="269" t="inlineStr"/>
      <c r="J26" s="270" t="inlineStr"/>
      <c r="K26" s="269" t="inlineStr"/>
      <c r="L26" s="270" t="inlineStr"/>
      <c r="M26" s="265" t="inlineStr">
        <is>
          <t>2 tur</t>
        </is>
      </c>
    </row>
    <row r="27" ht="15" customHeight="1" s="221">
      <c r="B27" s="259" t="n">
        <v>13</v>
      </c>
      <c r="C27" s="260" t="inlineStr">
        <is>
          <t>SBA 26/042</t>
        </is>
      </c>
      <c r="D27" s="261" t="inlineStr">
        <is>
          <t>Bireysel Araştırma</t>
        </is>
      </c>
      <c r="E27" s="262" t="inlineStr">
        <is>
          <t>Dr. Öğr. Üyesi Ahmet KIVRAK</t>
        </is>
      </c>
      <c r="F27" s="239" t="inlineStr">
        <is>
          <t>DÜZELTME</t>
        </is>
      </c>
      <c r="G27" s="263" t="inlineStr">
        <is>
          <t>→</t>
        </is>
      </c>
      <c r="H27" s="240" t="inlineStr">
        <is>
          <t>GÖRÜŞ</t>
        </is>
      </c>
      <c r="I27" s="263" t="inlineStr">
        <is>
          <t>→</t>
        </is>
      </c>
      <c r="J27" s="238" t="inlineStr">
        <is>
          <t>ONAY</t>
        </is>
      </c>
      <c r="K27" s="263" t="inlineStr"/>
      <c r="L27" s="264" t="inlineStr"/>
      <c r="M27" s="259" t="inlineStr">
        <is>
          <t>3 tur</t>
        </is>
      </c>
    </row>
    <row r="28" ht="15" customHeight="1" s="221">
      <c r="B28" s="265" t="n">
        <v>14</v>
      </c>
      <c r="C28" s="266" t="inlineStr">
        <is>
          <t>SBA 26/047</t>
        </is>
      </c>
      <c r="D28" s="267" t="inlineStr">
        <is>
          <t>Bireysel Araştırma</t>
        </is>
      </c>
      <c r="E28" s="268" t="inlineStr">
        <is>
          <t>Prof. Dr. Petek KORKUSUZ</t>
        </is>
      </c>
      <c r="F28" s="239" t="inlineStr">
        <is>
          <t>DÜZELTME</t>
        </is>
      </c>
      <c r="G28" s="269" t="inlineStr">
        <is>
          <t>→</t>
        </is>
      </c>
      <c r="H28" s="238" t="inlineStr">
        <is>
          <t>ONAY</t>
        </is>
      </c>
      <c r="I28" s="269" t="inlineStr"/>
      <c r="J28" s="270" t="inlineStr"/>
      <c r="K28" s="269" t="inlineStr"/>
      <c r="L28" s="270" t="inlineStr"/>
      <c r="M28" s="265" t="inlineStr">
        <is>
          <t>2 tur</t>
        </is>
      </c>
    </row>
    <row r="29" ht="15" customHeight="1" s="221">
      <c r="B29" s="259" t="n">
        <v>15</v>
      </c>
      <c r="C29" s="260" t="inlineStr">
        <is>
          <t>SBA 26/048</t>
        </is>
      </c>
      <c r="D29" s="261" t="inlineStr">
        <is>
          <t>Bireysel Araştırma</t>
        </is>
      </c>
      <c r="E29" s="262" t="inlineStr">
        <is>
          <t>Prof. Dr. Sibel ERSOY EVANS</t>
        </is>
      </c>
      <c r="F29" s="239" t="inlineStr">
        <is>
          <t>DÜZELTME</t>
        </is>
      </c>
      <c r="G29" s="263" t="inlineStr">
        <is>
          <t>→</t>
        </is>
      </c>
      <c r="H29" s="240" t="inlineStr">
        <is>
          <t>GÖRÜŞ</t>
        </is>
      </c>
      <c r="I29" s="263" t="inlineStr">
        <is>
          <t>→</t>
        </is>
      </c>
      <c r="J29" s="238" t="inlineStr">
        <is>
          <t>ONAY</t>
        </is>
      </c>
      <c r="K29" s="263" t="inlineStr"/>
      <c r="L29" s="264" t="inlineStr"/>
      <c r="M29" s="259" t="inlineStr">
        <is>
          <t>3 tur</t>
        </is>
      </c>
    </row>
    <row r="30" ht="15" customHeight="1" s="221">
      <c r="B30" s="265" t="n">
        <v>16</v>
      </c>
      <c r="C30" s="266" t="inlineStr">
        <is>
          <t>SBA 26/050</t>
        </is>
      </c>
      <c r="D30" s="267" t="inlineStr">
        <is>
          <t>Bireysel Araştırma</t>
        </is>
      </c>
      <c r="E30" s="268" t="inlineStr">
        <is>
          <t>Prof. Dr. Bahar GÜÇİZ DOĞAN</t>
        </is>
      </c>
      <c r="F30" s="239" t="inlineStr">
        <is>
          <t>DÜZELTME</t>
        </is>
      </c>
      <c r="G30" s="269" t="inlineStr">
        <is>
          <t>→</t>
        </is>
      </c>
      <c r="H30" s="238" t="inlineStr">
        <is>
          <t>ONAY</t>
        </is>
      </c>
      <c r="I30" s="269" t="inlineStr"/>
      <c r="J30" s="270" t="inlineStr"/>
      <c r="K30" s="269" t="inlineStr"/>
      <c r="L30" s="270" t="inlineStr"/>
      <c r="M30" s="265" t="inlineStr">
        <is>
          <t>2 tur</t>
        </is>
      </c>
    </row>
    <row r="31" ht="15" customHeight="1" s="221">
      <c r="B31" s="259" t="n">
        <v>17</v>
      </c>
      <c r="C31" s="260" t="inlineStr">
        <is>
          <t>SBA 26/051</t>
        </is>
      </c>
      <c r="D31" s="261" t="inlineStr">
        <is>
          <t>Uzmanlık Tezi</t>
        </is>
      </c>
      <c r="E31" s="262" t="inlineStr">
        <is>
          <t>Doç. Dr. Erdem FADILOĞLU</t>
        </is>
      </c>
      <c r="F31" s="239" t="inlineStr">
        <is>
          <t>DÜZELTME</t>
        </is>
      </c>
      <c r="G31" s="263" t="inlineStr">
        <is>
          <t>→</t>
        </is>
      </c>
      <c r="H31" s="238" t="inlineStr">
        <is>
          <t>ONAY</t>
        </is>
      </c>
      <c r="I31" s="263" t="inlineStr"/>
      <c r="J31" s="264" t="inlineStr"/>
      <c r="K31" s="263" t="inlineStr"/>
      <c r="L31" s="264" t="inlineStr"/>
      <c r="M31" s="259" t="inlineStr">
        <is>
          <t>2 tur</t>
        </is>
      </c>
    </row>
    <row r="32" ht="15" customHeight="1" s="221">
      <c r="B32" s="265" t="n">
        <v>18</v>
      </c>
      <c r="C32" s="266" t="inlineStr">
        <is>
          <t>SBA 26/056</t>
        </is>
      </c>
      <c r="D32" s="267" t="inlineStr">
        <is>
          <t>Bireysel Araştırma</t>
        </is>
      </c>
      <c r="E32" s="268" t="inlineStr">
        <is>
          <t>Prof. Dr. Tutku SOYER</t>
        </is>
      </c>
      <c r="F32" s="239" t="inlineStr">
        <is>
          <t>DÜZELTME</t>
        </is>
      </c>
      <c r="G32" s="269" t="inlineStr">
        <is>
          <t>→</t>
        </is>
      </c>
      <c r="H32" s="238" t="inlineStr">
        <is>
          <t>ONAY</t>
        </is>
      </c>
      <c r="I32" s="269" t="inlineStr"/>
      <c r="J32" s="270" t="inlineStr"/>
      <c r="K32" s="269" t="inlineStr"/>
      <c r="L32" s="270" t="inlineStr"/>
      <c r="M32" s="265" t="inlineStr">
        <is>
          <t>2 tur</t>
        </is>
      </c>
    </row>
    <row r="33" ht="15" customHeight="1" s="221">
      <c r="B33" s="259" t="n">
        <v>19</v>
      </c>
      <c r="C33" s="260" t="inlineStr">
        <is>
          <t>SBA 26/057</t>
        </is>
      </c>
      <c r="D33" s="261" t="inlineStr">
        <is>
          <t>Bireysel Araştırma</t>
        </is>
      </c>
      <c r="E33" s="262" t="inlineStr">
        <is>
          <t>Prof. Dr. Mehmet AYVAZ</t>
        </is>
      </c>
      <c r="F33" s="239" t="inlineStr">
        <is>
          <t>DÜZELTME</t>
        </is>
      </c>
      <c r="G33" s="263" t="inlineStr">
        <is>
          <t>→</t>
        </is>
      </c>
      <c r="H33" s="238" t="inlineStr">
        <is>
          <t>ONAY</t>
        </is>
      </c>
      <c r="I33" s="263" t="inlineStr"/>
      <c r="J33" s="264" t="inlineStr"/>
      <c r="K33" s="263" t="inlineStr"/>
      <c r="L33" s="264" t="inlineStr"/>
      <c r="M33" s="259" t="inlineStr">
        <is>
          <t>2 tur</t>
        </is>
      </c>
    </row>
    <row r="34" ht="15" customHeight="1" s="221">
      <c r="B34" s="265" t="n">
        <v>20</v>
      </c>
      <c r="C34" s="266" t="inlineStr">
        <is>
          <t>SBA 26/058</t>
        </is>
      </c>
      <c r="D34" s="267" t="inlineStr">
        <is>
          <t>Doktora Tezi</t>
        </is>
      </c>
      <c r="E34" s="268" t="inlineStr">
        <is>
          <t>Prof. Dr. Salih Kutay DEMİRKAN</t>
        </is>
      </c>
      <c r="F34" s="239" t="inlineStr">
        <is>
          <t>DÜZELTME</t>
        </is>
      </c>
      <c r="G34" s="269" t="inlineStr">
        <is>
          <t>→</t>
        </is>
      </c>
      <c r="H34" s="244" t="inlineStr">
        <is>
          <t>GERİ ÇEKİLDİ</t>
        </is>
      </c>
      <c r="I34" s="269" t="inlineStr"/>
      <c r="J34" s="270" t="inlineStr"/>
      <c r="K34" s="269" t="inlineStr"/>
      <c r="L34" s="270" t="inlineStr"/>
      <c r="M34" s="265" t="inlineStr">
        <is>
          <t>2 tur</t>
        </is>
      </c>
    </row>
    <row r="35" ht="15" customHeight="1" s="221">
      <c r="B35" s="259" t="n">
        <v>21</v>
      </c>
      <c r="C35" s="260" t="inlineStr">
        <is>
          <t>SBA 26/059</t>
        </is>
      </c>
      <c r="D35" s="261" t="inlineStr">
        <is>
          <t>Bireysel Araştırma</t>
        </is>
      </c>
      <c r="E35" s="262" t="inlineStr">
        <is>
          <t>Prof. Dr. Hasan Serkan DOĞAN</t>
        </is>
      </c>
      <c r="F35" s="239" t="inlineStr">
        <is>
          <t>DÜZELTME</t>
        </is>
      </c>
      <c r="G35" s="263" t="inlineStr">
        <is>
          <t>→</t>
        </is>
      </c>
      <c r="H35" s="244" t="inlineStr">
        <is>
          <t>GERİ ÇEKİLDİ</t>
        </is>
      </c>
      <c r="I35" s="263" t="inlineStr"/>
      <c r="J35" s="264" t="inlineStr"/>
      <c r="K35" s="263" t="inlineStr"/>
      <c r="L35" s="264" t="inlineStr"/>
      <c r="M35" s="259" t="inlineStr">
        <is>
          <t>2 tur</t>
        </is>
      </c>
    </row>
    <row r="36" ht="15" customHeight="1" s="221">
      <c r="B36" s="265" t="n">
        <v>22</v>
      </c>
      <c r="C36" s="266" t="inlineStr">
        <is>
          <t>SBA 26/060</t>
        </is>
      </c>
      <c r="D36" s="267" t="inlineStr">
        <is>
          <t>Yüksek Lisans Tezi</t>
        </is>
      </c>
      <c r="E36" s="268" t="inlineStr">
        <is>
          <t>Prof. Dr. Deniz ÇAĞDAŞ AYVAZ</t>
        </is>
      </c>
      <c r="F36" s="239" t="inlineStr">
        <is>
          <t>DÜZELTME</t>
        </is>
      </c>
      <c r="G36" s="269" t="inlineStr">
        <is>
          <t>→</t>
        </is>
      </c>
      <c r="H36" s="238" t="inlineStr">
        <is>
          <t>ONAY</t>
        </is>
      </c>
      <c r="I36" s="269" t="inlineStr"/>
      <c r="J36" s="270" t="inlineStr"/>
      <c r="K36" s="269" t="inlineStr"/>
      <c r="L36" s="270" t="inlineStr"/>
      <c r="M36" s="265" t="inlineStr">
        <is>
          <t>2 tur</t>
        </is>
      </c>
    </row>
    <row r="37" ht="15" customHeight="1" s="221">
      <c r="B37" s="259" t="n">
        <v>23</v>
      </c>
      <c r="C37" s="260" t="inlineStr">
        <is>
          <t>SBA 26/061</t>
        </is>
      </c>
      <c r="D37" s="261" t="inlineStr">
        <is>
          <t>Bireysel Araştırma</t>
        </is>
      </c>
      <c r="E37" s="262" t="inlineStr">
        <is>
          <t>Prof. Dr. Kıvanç AKÇA</t>
        </is>
      </c>
      <c r="F37" s="239" t="inlineStr">
        <is>
          <t>DÜZELTME</t>
        </is>
      </c>
      <c r="G37" s="263" t="inlineStr">
        <is>
          <t>→</t>
        </is>
      </c>
      <c r="H37" s="240" t="inlineStr">
        <is>
          <t>GÖRÜŞ</t>
        </is>
      </c>
      <c r="I37" s="263" t="inlineStr"/>
      <c r="J37" s="264" t="inlineStr"/>
      <c r="K37" s="263" t="inlineStr"/>
      <c r="L37" s="264" t="inlineStr"/>
      <c r="M37" s="259" t="inlineStr">
        <is>
          <t>2 tur</t>
        </is>
      </c>
    </row>
    <row r="38" ht="15" customHeight="1" s="221">
      <c r="B38" s="265" t="n">
        <v>24</v>
      </c>
      <c r="C38" s="266" t="inlineStr">
        <is>
          <t>SBA 26/064</t>
        </is>
      </c>
      <c r="D38" s="267" t="inlineStr">
        <is>
          <t>Uzmanlık Tezi</t>
        </is>
      </c>
      <c r="E38" s="268" t="inlineStr">
        <is>
          <t>Prof. Dr. Cengiz KILIÇ</t>
        </is>
      </c>
      <c r="F38" s="239" t="inlineStr">
        <is>
          <t>DÜZELTME</t>
        </is>
      </c>
      <c r="G38" s="269" t="inlineStr">
        <is>
          <t>→</t>
        </is>
      </c>
      <c r="H38" s="239" t="inlineStr">
        <is>
          <t>DÜZELTME</t>
        </is>
      </c>
      <c r="I38" s="269" t="inlineStr"/>
      <c r="J38" s="270" t="inlineStr"/>
      <c r="K38" s="269" t="inlineStr"/>
      <c r="L38" s="270" t="inlineStr"/>
      <c r="M38" s="265" t="inlineStr">
        <is>
          <t>2 tur</t>
        </is>
      </c>
    </row>
    <row r="39" ht="15" customHeight="1" s="221">
      <c r="B39" s="259" t="n">
        <v>25</v>
      </c>
      <c r="C39" s="260" t="inlineStr">
        <is>
          <t>SBA 26/065</t>
        </is>
      </c>
      <c r="D39" s="261" t="inlineStr">
        <is>
          <t>Uzmanlık Tezi</t>
        </is>
      </c>
      <c r="E39" s="262" t="inlineStr">
        <is>
          <t>Prof. Dr. Cengiz KILIÇ</t>
        </is>
      </c>
      <c r="F39" s="239" t="inlineStr">
        <is>
          <t>DÜZELTME</t>
        </is>
      </c>
      <c r="G39" s="263" t="inlineStr">
        <is>
          <t>→</t>
        </is>
      </c>
      <c r="H39" s="244" t="inlineStr">
        <is>
          <t>GERİ ÇEKİLDİ</t>
        </is>
      </c>
      <c r="I39" s="263" t="inlineStr"/>
      <c r="J39" s="264" t="inlineStr"/>
      <c r="K39" s="263" t="inlineStr"/>
      <c r="L39" s="264" t="inlineStr"/>
      <c r="M39" s="259" t="inlineStr">
        <is>
          <t>2 tur</t>
        </is>
      </c>
    </row>
    <row r="40" ht="15" customHeight="1" s="221">
      <c r="B40" s="265" t="n">
        <v>26</v>
      </c>
      <c r="C40" s="266" t="inlineStr">
        <is>
          <t>SBA 26/067</t>
        </is>
      </c>
      <c r="D40" s="267" t="inlineStr">
        <is>
          <t>Bireysel Araştırma</t>
        </is>
      </c>
      <c r="E40" s="268" t="inlineStr">
        <is>
          <t>Arş. Gör. Dr. Aycan UYSAL</t>
        </is>
      </c>
      <c r="F40" s="239" t="inlineStr">
        <is>
          <t>DÜZELTME</t>
        </is>
      </c>
      <c r="G40" s="269" t="inlineStr">
        <is>
          <t>→</t>
        </is>
      </c>
      <c r="H40" s="238" t="inlineStr">
        <is>
          <t>ONAY</t>
        </is>
      </c>
      <c r="I40" s="269" t="inlineStr"/>
      <c r="J40" s="270" t="inlineStr"/>
      <c r="K40" s="269" t="inlineStr"/>
      <c r="L40" s="270" t="inlineStr"/>
      <c r="M40" s="265" t="inlineStr">
        <is>
          <t>2 tur</t>
        </is>
      </c>
    </row>
    <row r="41" ht="15" customHeight="1" s="221">
      <c r="B41" s="259" t="n">
        <v>27</v>
      </c>
      <c r="C41" s="260" t="inlineStr">
        <is>
          <t>SBA 26/073</t>
        </is>
      </c>
      <c r="D41" s="261" t="inlineStr">
        <is>
          <t>Bireysel Araştırma</t>
        </is>
      </c>
      <c r="E41" s="262" t="inlineStr">
        <is>
          <t>Prof. Dr. Salih Kutay DEMİRKAN</t>
        </is>
      </c>
      <c r="F41" s="239" t="inlineStr">
        <is>
          <t>DÜZELTME</t>
        </is>
      </c>
      <c r="G41" s="263" t="inlineStr">
        <is>
          <t>→</t>
        </is>
      </c>
      <c r="H41" s="240" t="inlineStr">
        <is>
          <t>GÖRÜŞ</t>
        </is>
      </c>
      <c r="I41" s="263" t="inlineStr"/>
      <c r="J41" s="264" t="inlineStr"/>
      <c r="K41" s="263" t="inlineStr"/>
      <c r="L41" s="264" t="inlineStr"/>
      <c r="M41" s="259" t="inlineStr">
        <is>
          <t>2 tur</t>
        </is>
      </c>
    </row>
    <row r="42" ht="15" customHeight="1" s="221">
      <c r="B42" s="265" t="n">
        <v>28</v>
      </c>
      <c r="C42" s="266" t="inlineStr">
        <is>
          <t>SBA 26/077</t>
        </is>
      </c>
      <c r="D42" s="267" t="inlineStr">
        <is>
          <t>Bireysel Araştırma</t>
        </is>
      </c>
      <c r="E42" s="268" t="inlineStr">
        <is>
          <t>Prof. Dr. Özlem BOYBEYİ</t>
        </is>
      </c>
      <c r="F42" s="239" t="inlineStr">
        <is>
          <t>DÜZELTME</t>
        </is>
      </c>
      <c r="G42" s="269" t="inlineStr">
        <is>
          <t>→</t>
        </is>
      </c>
      <c r="H42" s="238" t="inlineStr">
        <is>
          <t>ONAY</t>
        </is>
      </c>
      <c r="I42" s="269" t="inlineStr"/>
      <c r="J42" s="270" t="inlineStr"/>
      <c r="K42" s="269" t="inlineStr"/>
      <c r="L42" s="270" t="inlineStr"/>
      <c r="M42" s="265" t="inlineStr">
        <is>
          <t>2 tur</t>
        </is>
      </c>
    </row>
    <row r="43" ht="15" customHeight="1" s="221">
      <c r="B43" s="259" t="n">
        <v>29</v>
      </c>
      <c r="C43" s="260" t="inlineStr">
        <is>
          <t>SBA 26/079</t>
        </is>
      </c>
      <c r="D43" s="261" t="inlineStr">
        <is>
          <t>Doktora Tezi</t>
        </is>
      </c>
      <c r="E43" s="262" t="inlineStr">
        <is>
          <t>Prof. Dr. Ülkü ÜNDEĞER BUCURGAT</t>
        </is>
      </c>
      <c r="F43" s="239" t="inlineStr">
        <is>
          <t>DÜZELTME</t>
        </is>
      </c>
      <c r="G43" s="263" t="inlineStr">
        <is>
          <t>→</t>
        </is>
      </c>
      <c r="H43" s="238" t="inlineStr">
        <is>
          <t>ONAY</t>
        </is>
      </c>
      <c r="I43" s="263" t="inlineStr"/>
      <c r="J43" s="264" t="inlineStr"/>
      <c r="K43" s="263" t="inlineStr"/>
      <c r="L43" s="264" t="inlineStr"/>
      <c r="M43" s="259" t="inlineStr">
        <is>
          <t>2 tur</t>
        </is>
      </c>
    </row>
    <row r="44" ht="15" customHeight="1" s="221">
      <c r="B44" s="265" t="n">
        <v>30</v>
      </c>
      <c r="C44" s="266" t="inlineStr">
        <is>
          <t>SBA 26/080</t>
        </is>
      </c>
      <c r="D44" s="267" t="inlineStr">
        <is>
          <t>Uzmanlık Tezi</t>
        </is>
      </c>
      <c r="E44" s="268" t="inlineStr">
        <is>
          <t>Doç. Dr. Erdal SAĞ</t>
        </is>
      </c>
      <c r="F44" s="239" t="inlineStr">
        <is>
          <t>DÜZELTME</t>
        </is>
      </c>
      <c r="G44" s="269" t="inlineStr">
        <is>
          <t>→</t>
        </is>
      </c>
      <c r="H44" s="238" t="inlineStr">
        <is>
          <t>ONAY</t>
        </is>
      </c>
      <c r="I44" s="269" t="inlineStr"/>
      <c r="J44" s="270" t="inlineStr"/>
      <c r="K44" s="269" t="inlineStr"/>
      <c r="L44" s="270" t="inlineStr"/>
      <c r="M44" s="265" t="inlineStr">
        <is>
          <t>2 tur</t>
        </is>
      </c>
    </row>
    <row r="45" ht="15" customHeight="1" s="221">
      <c r="B45" s="259" t="n">
        <v>31</v>
      </c>
      <c r="C45" s="260" t="inlineStr">
        <is>
          <t>SBA 26/082</t>
        </is>
      </c>
      <c r="D45" s="261" t="inlineStr">
        <is>
          <t>Bireysel Araştırma</t>
        </is>
      </c>
      <c r="E45" s="262" t="inlineStr">
        <is>
          <t>Prof. Dr. Neşe DERİCİOĞLU</t>
        </is>
      </c>
      <c r="F45" s="239" t="inlineStr">
        <is>
          <t>DÜZELTME</t>
        </is>
      </c>
      <c r="G45" s="263" t="inlineStr">
        <is>
          <t>→</t>
        </is>
      </c>
      <c r="H45" s="238" t="inlineStr">
        <is>
          <t>ONAY</t>
        </is>
      </c>
      <c r="I45" s="263" t="inlineStr"/>
      <c r="J45" s="264" t="inlineStr"/>
      <c r="K45" s="263" t="inlineStr"/>
      <c r="L45" s="264" t="inlineStr"/>
      <c r="M45" s="259" t="inlineStr">
        <is>
          <t>2 tur</t>
        </is>
      </c>
    </row>
    <row r="46" ht="15" customHeight="1" s="221">
      <c r="B46" s="265" t="n">
        <v>32</v>
      </c>
      <c r="C46" s="266" t="inlineStr">
        <is>
          <t>SBA 26/083</t>
        </is>
      </c>
      <c r="D46" s="267" t="inlineStr">
        <is>
          <t>Bireysel Araştırma</t>
        </is>
      </c>
      <c r="E46" s="268" t="inlineStr">
        <is>
          <t>Doç. Dr. Mert EŞME</t>
        </is>
      </c>
      <c r="F46" s="240" t="inlineStr">
        <is>
          <t>GÖRÜŞ</t>
        </is>
      </c>
      <c r="G46" s="269" t="inlineStr">
        <is>
          <t>→</t>
        </is>
      </c>
      <c r="H46" s="238" t="inlineStr">
        <is>
          <t>ONAY</t>
        </is>
      </c>
      <c r="I46" s="269" t="inlineStr"/>
      <c r="J46" s="270" t="inlineStr"/>
      <c r="K46" s="269" t="inlineStr"/>
      <c r="L46" s="270" t="inlineStr"/>
      <c r="M46" s="265" t="inlineStr">
        <is>
          <t>2 tur</t>
        </is>
      </c>
    </row>
    <row r="47" ht="15" customHeight="1" s="221">
      <c r="B47" s="259" t="n">
        <v>33</v>
      </c>
      <c r="C47" s="260" t="inlineStr">
        <is>
          <t>SBA 26/084</t>
        </is>
      </c>
      <c r="D47" s="261" t="inlineStr">
        <is>
          <t>Bireysel Araştırma</t>
        </is>
      </c>
      <c r="E47" s="262" t="inlineStr">
        <is>
          <t>Prof. Dr. Meltem Gülhan HALİL</t>
        </is>
      </c>
      <c r="F47" s="240" t="inlineStr">
        <is>
          <t>GÖRÜŞ</t>
        </is>
      </c>
      <c r="G47" s="263" t="inlineStr">
        <is>
          <t>→</t>
        </is>
      </c>
      <c r="H47" s="239" t="inlineStr">
        <is>
          <t>DÜZELTME</t>
        </is>
      </c>
      <c r="I47" s="263" t="inlineStr"/>
      <c r="J47" s="264" t="inlineStr"/>
      <c r="K47" s="263" t="inlineStr"/>
      <c r="L47" s="264" t="inlineStr"/>
      <c r="M47" s="259" t="inlineStr">
        <is>
          <t>2 tur</t>
        </is>
      </c>
    </row>
    <row r="48" ht="15" customHeight="1" s="221">
      <c r="B48" s="265" t="n">
        <v>34</v>
      </c>
      <c r="C48" s="266" t="inlineStr">
        <is>
          <t>SBA 26/086</t>
        </is>
      </c>
      <c r="D48" s="267" t="inlineStr">
        <is>
          <t>Uzmanlık Tezi</t>
        </is>
      </c>
      <c r="E48" s="268" t="inlineStr">
        <is>
          <t>Prof. Dr. Güliz Nigar GÜNCÜ</t>
        </is>
      </c>
      <c r="F48" s="239" t="inlineStr">
        <is>
          <t>DÜZELTME</t>
        </is>
      </c>
      <c r="G48" s="269" t="inlineStr">
        <is>
          <t>→</t>
        </is>
      </c>
      <c r="H48" s="238" t="inlineStr">
        <is>
          <t>ONAY</t>
        </is>
      </c>
      <c r="I48" s="269" t="inlineStr"/>
      <c r="J48" s="270" t="inlineStr"/>
      <c r="K48" s="269" t="inlineStr"/>
      <c r="L48" s="270" t="inlineStr"/>
      <c r="M48" s="265" t="inlineStr">
        <is>
          <t>2 tur</t>
        </is>
      </c>
    </row>
    <row r="49" ht="15" customHeight="1" s="221">
      <c r="B49" s="259" t="n">
        <v>35</v>
      </c>
      <c r="C49" s="260" t="inlineStr">
        <is>
          <t>SBA 26/090</t>
        </is>
      </c>
      <c r="D49" s="261" t="inlineStr">
        <is>
          <t>Bireysel Araştırma</t>
        </is>
      </c>
      <c r="E49" s="262" t="inlineStr">
        <is>
          <t>Prof. Dr. Deniz ÇAĞDAŞ AYVAZ</t>
        </is>
      </c>
      <c r="F49" s="239" t="inlineStr">
        <is>
          <t>DÜZELTME</t>
        </is>
      </c>
      <c r="G49" s="263" t="inlineStr">
        <is>
          <t>→</t>
        </is>
      </c>
      <c r="H49" s="238" t="inlineStr">
        <is>
          <t>ONAY</t>
        </is>
      </c>
      <c r="I49" s="263" t="inlineStr"/>
      <c r="J49" s="264" t="inlineStr"/>
      <c r="K49" s="263" t="inlineStr"/>
      <c r="L49" s="264" t="inlineStr"/>
      <c r="M49" s="259" t="inlineStr">
        <is>
          <t>2 tur</t>
        </is>
      </c>
    </row>
    <row r="50" ht="15" customHeight="1" s="221">
      <c r="B50" s="265" t="n">
        <v>36</v>
      </c>
      <c r="C50" s="266" t="inlineStr">
        <is>
          <t>SBA 26/094</t>
        </is>
      </c>
      <c r="D50" s="267" t="inlineStr">
        <is>
          <t>Uzmanlık Tezi</t>
        </is>
      </c>
      <c r="E50" s="268" t="inlineStr">
        <is>
          <t>Doç. Dr. Emel ISIYEL</t>
        </is>
      </c>
      <c r="F50" s="239" t="inlineStr">
        <is>
          <t>DÜZELTME</t>
        </is>
      </c>
      <c r="G50" s="269" t="inlineStr">
        <is>
          <t>→</t>
        </is>
      </c>
      <c r="H50" s="238" t="inlineStr">
        <is>
          <t>ONAY</t>
        </is>
      </c>
      <c r="I50" s="269" t="inlineStr"/>
      <c r="J50" s="270" t="inlineStr"/>
      <c r="K50" s="269" t="inlineStr"/>
      <c r="L50" s="270" t="inlineStr"/>
      <c r="M50" s="265" t="inlineStr">
        <is>
          <t>2 tur</t>
        </is>
      </c>
    </row>
    <row r="51" ht="15" customHeight="1" s="221">
      <c r="B51" s="259" t="n">
        <v>37</v>
      </c>
      <c r="C51" s="260" t="inlineStr">
        <is>
          <t>SBA 26/107</t>
        </is>
      </c>
      <c r="D51" s="261" t="inlineStr">
        <is>
          <t>Bireysel Araştırma</t>
        </is>
      </c>
      <c r="E51" s="262" t="inlineStr">
        <is>
          <t>Doç. Dr. Utku AKGÖR</t>
        </is>
      </c>
      <c r="F51" s="239" t="inlineStr">
        <is>
          <t>DÜZELTME</t>
        </is>
      </c>
      <c r="G51" s="263" t="inlineStr">
        <is>
          <t>→</t>
        </is>
      </c>
      <c r="H51" s="238" t="inlineStr">
        <is>
          <t>ONAY</t>
        </is>
      </c>
      <c r="I51" s="263" t="inlineStr"/>
      <c r="J51" s="264" t="inlineStr"/>
      <c r="K51" s="263" t="inlineStr"/>
      <c r="L51" s="264" t="inlineStr"/>
      <c r="M51" s="259" t="inlineStr">
        <is>
          <t>2 tur</t>
        </is>
      </c>
    </row>
    <row r="52" ht="15" customHeight="1" s="221">
      <c r="B52" s="265" t="n">
        <v>38</v>
      </c>
      <c r="C52" s="266" t="inlineStr">
        <is>
          <t>SBA 26/113</t>
        </is>
      </c>
      <c r="D52" s="267" t="inlineStr">
        <is>
          <t>Doktora Tezi</t>
        </is>
      </c>
      <c r="E52" s="268" t="inlineStr">
        <is>
          <t>Prof. Dr. Ayşe KİN İŞLER</t>
        </is>
      </c>
      <c r="F52" s="239" t="inlineStr">
        <is>
          <t>DÜZELTME</t>
        </is>
      </c>
      <c r="G52" s="269" t="inlineStr">
        <is>
          <t>→</t>
        </is>
      </c>
      <c r="H52" s="238" t="inlineStr">
        <is>
          <t>ONAY</t>
        </is>
      </c>
      <c r="I52" s="269" t="inlineStr"/>
      <c r="J52" s="270" t="inlineStr"/>
      <c r="K52" s="269" t="inlineStr"/>
      <c r="L52" s="270" t="inlineStr"/>
      <c r="M52" s="265" t="inlineStr">
        <is>
          <t>2 tur</t>
        </is>
      </c>
    </row>
    <row r="53" ht="15" customHeight="1" s="221">
      <c r="B53" s="259" t="n">
        <v>39</v>
      </c>
      <c r="C53" s="260" t="inlineStr">
        <is>
          <t>SBA 26/118</t>
        </is>
      </c>
      <c r="D53" s="261" t="inlineStr">
        <is>
          <t>Bireysel Araştırma</t>
        </is>
      </c>
      <c r="E53" s="262" t="inlineStr">
        <is>
          <t>Doç. Dr. Serra ÖRSTEN</t>
        </is>
      </c>
      <c r="F53" s="239" t="inlineStr">
        <is>
          <t>DÜZELTME</t>
        </is>
      </c>
      <c r="G53" s="263" t="inlineStr">
        <is>
          <t>→</t>
        </is>
      </c>
      <c r="H53" s="238" t="inlineStr">
        <is>
          <t>ONAY</t>
        </is>
      </c>
      <c r="I53" s="263" t="inlineStr"/>
      <c r="J53" s="264" t="inlineStr"/>
      <c r="K53" s="263" t="inlineStr"/>
      <c r="L53" s="264" t="inlineStr"/>
      <c r="M53" s="259" t="inlineStr">
        <is>
          <t>2 tur</t>
        </is>
      </c>
    </row>
    <row r="54" ht="15" customHeight="1" s="221">
      <c r="B54" s="265" t="n">
        <v>40</v>
      </c>
      <c r="C54" s="266" t="inlineStr">
        <is>
          <t>SBA 26/120</t>
        </is>
      </c>
      <c r="D54" s="267" t="inlineStr">
        <is>
          <t>Bireysel Araştırma</t>
        </is>
      </c>
      <c r="E54" s="268" t="inlineStr">
        <is>
          <t>Prof. Dr. Rıza Köksal ÖZGÜL</t>
        </is>
      </c>
      <c r="F54" s="239" t="inlineStr">
        <is>
          <t>DÜZELTME</t>
        </is>
      </c>
      <c r="G54" s="269" t="inlineStr">
        <is>
          <t>→</t>
        </is>
      </c>
      <c r="H54" s="238" t="inlineStr">
        <is>
          <t>ONAY</t>
        </is>
      </c>
      <c r="I54" s="269" t="inlineStr"/>
      <c r="J54" s="270" t="inlineStr"/>
      <c r="K54" s="269" t="inlineStr"/>
      <c r="L54" s="270" t="inlineStr"/>
      <c r="M54" s="265" t="inlineStr">
        <is>
          <t>2 tur</t>
        </is>
      </c>
    </row>
    <row r="55" ht="15" customHeight="1" s="221">
      <c r="B55" s="259" t="n">
        <v>41</v>
      </c>
      <c r="C55" s="260" t="inlineStr">
        <is>
          <t>SBA 26/121</t>
        </is>
      </c>
      <c r="D55" s="261" t="inlineStr">
        <is>
          <t>Bireysel Araştırma</t>
        </is>
      </c>
      <c r="E55" s="262" t="inlineStr">
        <is>
          <t>Prof. Dr. Ayşe KİN İŞLER</t>
        </is>
      </c>
      <c r="F55" s="239" t="inlineStr">
        <is>
          <t>DÜZELTME</t>
        </is>
      </c>
      <c r="G55" s="263" t="inlineStr">
        <is>
          <t>→</t>
        </is>
      </c>
      <c r="H55" s="238" t="inlineStr">
        <is>
          <t>ONAY</t>
        </is>
      </c>
      <c r="I55" s="263" t="inlineStr"/>
      <c r="J55" s="264" t="inlineStr"/>
      <c r="K55" s="263" t="inlineStr"/>
      <c r="L55" s="264" t="inlineStr"/>
      <c r="M55" s="259" t="inlineStr">
        <is>
          <t>2 tur</t>
        </is>
      </c>
    </row>
    <row r="56" ht="15" customHeight="1" s="221">
      <c r="B56" s="265" t="n">
        <v>42</v>
      </c>
      <c r="C56" s="266" t="inlineStr">
        <is>
          <t>SBA 26/122</t>
        </is>
      </c>
      <c r="D56" s="267" t="inlineStr">
        <is>
          <t>Bireysel Araştırma</t>
        </is>
      </c>
      <c r="E56" s="268" t="inlineStr">
        <is>
          <t>Dr. Öğr. Üyesi Serkan UYSAL</t>
        </is>
      </c>
      <c r="F56" s="239" t="inlineStr">
        <is>
          <t>DÜZELTME</t>
        </is>
      </c>
      <c r="G56" s="269" t="inlineStr">
        <is>
          <t>→</t>
        </is>
      </c>
      <c r="H56" s="238" t="inlineStr">
        <is>
          <t>ONAY</t>
        </is>
      </c>
      <c r="I56" s="269" t="inlineStr"/>
      <c r="J56" s="270" t="inlineStr"/>
      <c r="K56" s="269" t="inlineStr"/>
      <c r="L56" s="270" t="inlineStr"/>
      <c r="M56" s="265" t="inlineStr">
        <is>
          <t>2 tur</t>
        </is>
      </c>
    </row>
    <row r="57" ht="15" customHeight="1" s="221">
      <c r="B57" s="259" t="n">
        <v>43</v>
      </c>
      <c r="C57" s="260" t="inlineStr">
        <is>
          <t>SBA 26/126</t>
        </is>
      </c>
      <c r="D57" s="261" t="inlineStr">
        <is>
          <t>Doktora Tezi</t>
        </is>
      </c>
      <c r="E57" s="262" t="inlineStr">
        <is>
          <t>Doç. Dr. Ceren ÖZKUL KOÇAK</t>
        </is>
      </c>
      <c r="F57" s="239" t="inlineStr">
        <is>
          <t>DÜZELTME</t>
        </is>
      </c>
      <c r="G57" s="263" t="inlineStr">
        <is>
          <t>→</t>
        </is>
      </c>
      <c r="H57" s="238" t="inlineStr">
        <is>
          <t>ONAY</t>
        </is>
      </c>
      <c r="I57" s="263" t="inlineStr"/>
      <c r="J57" s="264" t="inlineStr"/>
      <c r="K57" s="263" t="inlineStr"/>
      <c r="L57" s="264" t="inlineStr"/>
      <c r="M57" s="259" t="inlineStr">
        <is>
          <t>2 tur</t>
        </is>
      </c>
    </row>
    <row r="58" ht="15" customHeight="1" s="221">
      <c r="B58" s="265" t="n">
        <v>44</v>
      </c>
      <c r="C58" s="266" t="inlineStr">
        <is>
          <t>SBA 26/128</t>
        </is>
      </c>
      <c r="D58" s="267" t="inlineStr">
        <is>
          <t>Uzmanlık Tezi</t>
        </is>
      </c>
      <c r="E58" s="268" t="inlineStr">
        <is>
          <t>Dr. Öğr. Üyesi Ayşe METE YEŞİL</t>
        </is>
      </c>
      <c r="F58" s="239" t="inlineStr">
        <is>
          <t>DÜZELTME</t>
        </is>
      </c>
      <c r="G58" s="269" t="inlineStr">
        <is>
          <t>→</t>
        </is>
      </c>
      <c r="H58" s="238" t="inlineStr">
        <is>
          <t>ONAY</t>
        </is>
      </c>
      <c r="I58" s="269" t="inlineStr"/>
      <c r="J58" s="270" t="inlineStr"/>
      <c r="K58" s="269" t="inlineStr"/>
      <c r="L58" s="270" t="inlineStr"/>
      <c r="M58" s="265" t="inlineStr">
        <is>
          <t>2 tur</t>
        </is>
      </c>
    </row>
    <row r="59" ht="15" customHeight="1" s="221">
      <c r="B59" s="259" t="n">
        <v>45</v>
      </c>
      <c r="C59" s="260" t="inlineStr">
        <is>
          <t>SBA 26/133</t>
        </is>
      </c>
      <c r="D59" s="261" t="inlineStr">
        <is>
          <t>Bireysel Araştırma</t>
        </is>
      </c>
      <c r="E59" s="262" t="inlineStr">
        <is>
          <t>Prof. Dr. Aygin EKİNCİOĞLU</t>
        </is>
      </c>
      <c r="F59" s="239" t="inlineStr">
        <is>
          <t>DÜZELTME</t>
        </is>
      </c>
      <c r="G59" s="263" t="inlineStr">
        <is>
          <t>→</t>
        </is>
      </c>
      <c r="H59" s="238" t="inlineStr">
        <is>
          <t>ONAY</t>
        </is>
      </c>
      <c r="I59" s="263" t="inlineStr"/>
      <c r="J59" s="264" t="inlineStr"/>
      <c r="K59" s="263" t="inlineStr"/>
      <c r="L59" s="264" t="inlineStr"/>
      <c r="M59" s="259" t="inlineStr">
        <is>
          <t>2 tur</t>
        </is>
      </c>
    </row>
    <row r="60" ht="15" customHeight="1" s="221">
      <c r="B60" s="265" t="n">
        <v>46</v>
      </c>
      <c r="C60" s="266" t="inlineStr">
        <is>
          <t>SBA 26/135</t>
        </is>
      </c>
      <c r="D60" s="267" t="inlineStr">
        <is>
          <t>Bireysel Araştırma</t>
        </is>
      </c>
      <c r="E60" s="268" t="inlineStr">
        <is>
          <t>Doç. Dr. Ezgi ATİK</t>
        </is>
      </c>
      <c r="F60" s="239" t="inlineStr">
        <is>
          <t>DÜZELTME</t>
        </is>
      </c>
      <c r="G60" s="269" t="inlineStr">
        <is>
          <t>→</t>
        </is>
      </c>
      <c r="H60" s="238" t="inlineStr">
        <is>
          <t>ONAY</t>
        </is>
      </c>
      <c r="I60" s="269" t="inlineStr"/>
      <c r="J60" s="270" t="inlineStr"/>
      <c r="K60" s="269" t="inlineStr"/>
      <c r="L60" s="270" t="inlineStr"/>
      <c r="M60" s="265" t="inlineStr">
        <is>
          <t>2 tur</t>
        </is>
      </c>
    </row>
    <row r="61" ht="15" customHeight="1" s="221">
      <c r="B61" s="259" t="n">
        <v>47</v>
      </c>
      <c r="C61" s="260" t="inlineStr">
        <is>
          <t>SBA 26/143</t>
        </is>
      </c>
      <c r="D61" s="261" t="inlineStr">
        <is>
          <t>Bireysel Araştırma</t>
        </is>
      </c>
      <c r="E61" s="262" t="inlineStr">
        <is>
          <t>Prof. Dr. Tutku SOYER</t>
        </is>
      </c>
      <c r="F61" s="239" t="inlineStr">
        <is>
          <t>DÜZELTME</t>
        </is>
      </c>
      <c r="G61" s="263" t="inlineStr">
        <is>
          <t>→</t>
        </is>
      </c>
      <c r="H61" s="238" t="inlineStr">
        <is>
          <t>ONAY</t>
        </is>
      </c>
      <c r="I61" s="263" t="inlineStr"/>
      <c r="J61" s="264" t="inlineStr"/>
      <c r="K61" s="263" t="inlineStr"/>
      <c r="L61" s="264" t="inlineStr"/>
      <c r="M61" s="259" t="inlineStr">
        <is>
          <t>2 tur</t>
        </is>
      </c>
    </row>
    <row r="62" ht="15" customHeight="1" s="221">
      <c r="B62" s="265" t="n">
        <v>48</v>
      </c>
      <c r="C62" s="266" t="inlineStr">
        <is>
          <t>SBA 26/152</t>
        </is>
      </c>
      <c r="D62" s="267" t="inlineStr">
        <is>
          <t>Doktora Tezi</t>
        </is>
      </c>
      <c r="E62" s="268" t="inlineStr">
        <is>
          <t>Prof. Dr. Meltem Gülhan HALİL</t>
        </is>
      </c>
      <c r="F62" s="240" t="inlineStr">
        <is>
          <t>GÖRÜŞ</t>
        </is>
      </c>
      <c r="G62" s="269" t="inlineStr">
        <is>
          <t>→</t>
        </is>
      </c>
      <c r="H62" s="239" t="inlineStr">
        <is>
          <t>DÜZELTME</t>
        </is>
      </c>
      <c r="I62" s="269" t="inlineStr"/>
      <c r="J62" s="270" t="inlineStr"/>
      <c r="K62" s="269" t="inlineStr"/>
      <c r="L62" s="270" t="inlineStr"/>
      <c r="M62" s="265" t="inlineStr">
        <is>
          <t>2 tur</t>
        </is>
      </c>
    </row>
    <row r="63" ht="15" customHeight="1" s="221">
      <c r="B63" s="259" t="n">
        <v>49</v>
      </c>
      <c r="C63" s="260" t="inlineStr">
        <is>
          <t>SBA 26/153</t>
        </is>
      </c>
      <c r="D63" s="261" t="inlineStr">
        <is>
          <t>Bireysel Araştırma</t>
        </is>
      </c>
      <c r="E63" s="262" t="inlineStr">
        <is>
          <t>Dr. Öğr. Üyesi Barış KAFA</t>
        </is>
      </c>
      <c r="F63" s="239" t="inlineStr">
        <is>
          <t>DÜZELTME</t>
        </is>
      </c>
      <c r="G63" s="263" t="inlineStr">
        <is>
          <t>→</t>
        </is>
      </c>
      <c r="H63" s="238" t="inlineStr">
        <is>
          <t>ONAY</t>
        </is>
      </c>
      <c r="I63" s="263" t="inlineStr"/>
      <c r="J63" s="264" t="inlineStr"/>
      <c r="K63" s="263" t="inlineStr"/>
      <c r="L63" s="264" t="inlineStr"/>
      <c r="M63" s="259" t="inlineStr">
        <is>
          <t>2 tur</t>
        </is>
      </c>
    </row>
    <row r="64" ht="15" customHeight="1" s="221">
      <c r="B64" s="265" t="n">
        <v>50</v>
      </c>
      <c r="C64" s="266" t="inlineStr">
        <is>
          <t>SBA 26/156</t>
        </is>
      </c>
      <c r="D64" s="267" t="inlineStr">
        <is>
          <t>Bireysel Araştırma</t>
        </is>
      </c>
      <c r="E64" s="268" t="inlineStr">
        <is>
          <t>Prof. Dr. Yasemin ÖZSÜREKCİ</t>
        </is>
      </c>
      <c r="F64" s="239" t="inlineStr">
        <is>
          <t>DÜZELTME</t>
        </is>
      </c>
      <c r="G64" s="269" t="inlineStr">
        <is>
          <t>→</t>
        </is>
      </c>
      <c r="H64" s="238" t="inlineStr">
        <is>
          <t>ONAY</t>
        </is>
      </c>
      <c r="I64" s="269" t="inlineStr"/>
      <c r="J64" s="270" t="inlineStr"/>
      <c r="K64" s="269" t="inlineStr"/>
      <c r="L64" s="270" t="inlineStr"/>
      <c r="M64" s="265" t="inlineStr">
        <is>
          <t>2 tur</t>
        </is>
      </c>
    </row>
    <row r="65" ht="15" customHeight="1" s="221">
      <c r="B65" s="259" t="n">
        <v>51</v>
      </c>
      <c r="C65" s="260" t="inlineStr">
        <is>
          <t>SBA 26/158</t>
        </is>
      </c>
      <c r="D65" s="261" t="inlineStr">
        <is>
          <t>Uzmanlık Tezi</t>
        </is>
      </c>
      <c r="E65" s="262" t="inlineStr">
        <is>
          <t>Doç. Dr. Almıla Gülsün PAMUK</t>
        </is>
      </c>
      <c r="F65" s="239" t="inlineStr">
        <is>
          <t>DÜZELTME</t>
        </is>
      </c>
      <c r="G65" s="263" t="inlineStr">
        <is>
          <t>→</t>
        </is>
      </c>
      <c r="H65" s="238" t="inlineStr">
        <is>
          <t>ONAY</t>
        </is>
      </c>
      <c r="I65" s="263" t="inlineStr"/>
      <c r="J65" s="264" t="inlineStr"/>
      <c r="K65" s="263" t="inlineStr"/>
      <c r="L65" s="264" t="inlineStr"/>
      <c r="M65" s="259" t="inlineStr">
        <is>
          <t>2 tur</t>
        </is>
      </c>
    </row>
    <row r="66" ht="15" customHeight="1" s="221">
      <c r="B66" s="265" t="n">
        <v>52</v>
      </c>
      <c r="C66" s="266" t="inlineStr">
        <is>
          <t>SBA 26/159</t>
        </is>
      </c>
      <c r="D66" s="267" t="inlineStr">
        <is>
          <t>Uzmanlık Tezi</t>
        </is>
      </c>
      <c r="E66" s="268" t="inlineStr">
        <is>
          <t>Doç. Dr. Gamze ATAY</t>
        </is>
      </c>
      <c r="F66" s="239" t="inlineStr">
        <is>
          <t>DÜZELTME</t>
        </is>
      </c>
      <c r="G66" s="269" t="inlineStr">
        <is>
          <t>→</t>
        </is>
      </c>
      <c r="H66" s="238" t="inlineStr">
        <is>
          <t>ONAY</t>
        </is>
      </c>
      <c r="I66" s="269" t="inlineStr"/>
      <c r="J66" s="270" t="inlineStr"/>
      <c r="K66" s="269" t="inlineStr"/>
      <c r="L66" s="270" t="inlineStr"/>
      <c r="M66" s="265" t="inlineStr">
        <is>
          <t>2 tur</t>
        </is>
      </c>
    </row>
    <row r="67" ht="15" customHeight="1" s="221">
      <c r="B67" s="259" t="n">
        <v>53</v>
      </c>
      <c r="C67" s="260" t="inlineStr">
        <is>
          <t>SBA 26/162</t>
        </is>
      </c>
      <c r="D67" s="261" t="inlineStr">
        <is>
          <t>Bireysel Araştırma</t>
        </is>
      </c>
      <c r="E67" s="262" t="inlineStr">
        <is>
          <t>Doç. Dr. Hilal KORKMAZ</t>
        </is>
      </c>
      <c r="F67" s="239" t="inlineStr">
        <is>
          <t>DÜZELTME</t>
        </is>
      </c>
      <c r="G67" s="263" t="inlineStr">
        <is>
          <t>→</t>
        </is>
      </c>
      <c r="H67" s="238" t="inlineStr">
        <is>
          <t>ONAY</t>
        </is>
      </c>
      <c r="I67" s="263" t="inlineStr"/>
      <c r="J67" s="264" t="inlineStr"/>
      <c r="K67" s="263" t="inlineStr"/>
      <c r="L67" s="264" t="inlineStr"/>
      <c r="M67" s="259" t="inlineStr">
        <is>
          <t>2 tur</t>
        </is>
      </c>
    </row>
    <row r="68" ht="15" customHeight="1" s="221">
      <c r="B68" s="265" t="n">
        <v>54</v>
      </c>
      <c r="C68" s="266" t="inlineStr">
        <is>
          <t>SBA 26/164</t>
        </is>
      </c>
      <c r="D68" s="267" t="inlineStr">
        <is>
          <t>Bireysel Araştırma</t>
        </is>
      </c>
      <c r="E68" s="268" t="inlineStr">
        <is>
          <t>Dr. Öğr. Üyesi Gonca ÖZTEN</t>
        </is>
      </c>
      <c r="F68" s="239" t="inlineStr">
        <is>
          <t>DÜZELTME</t>
        </is>
      </c>
      <c r="G68" s="269" t="inlineStr">
        <is>
          <t>→</t>
        </is>
      </c>
      <c r="H68" s="238" t="inlineStr">
        <is>
          <t>ONAY</t>
        </is>
      </c>
      <c r="I68" s="269" t="inlineStr"/>
      <c r="J68" s="270" t="inlineStr"/>
      <c r="K68" s="269" t="inlineStr"/>
      <c r="L68" s="270" t="inlineStr"/>
      <c r="M68" s="265" t="inlineStr">
        <is>
          <t>2 tur</t>
        </is>
      </c>
    </row>
    <row r="69" ht="15" customHeight="1" s="221">
      <c r="B69" s="259" t="n">
        <v>55</v>
      </c>
      <c r="C69" s="260" t="inlineStr">
        <is>
          <t>SBA 26/165</t>
        </is>
      </c>
      <c r="D69" s="261" t="inlineStr">
        <is>
          <t>Bireysel Araştırma</t>
        </is>
      </c>
      <c r="E69" s="262" t="inlineStr">
        <is>
          <t>Dr. Öğr. Üyesi Gonca ÖZTEN</t>
        </is>
      </c>
      <c r="F69" s="239" t="inlineStr">
        <is>
          <t>DÜZELTME</t>
        </is>
      </c>
      <c r="G69" s="263" t="inlineStr">
        <is>
          <t>→</t>
        </is>
      </c>
      <c r="H69" s="238" t="inlineStr">
        <is>
          <t>ONAY</t>
        </is>
      </c>
      <c r="I69" s="263" t="inlineStr"/>
      <c r="J69" s="264" t="inlineStr"/>
      <c r="K69" s="263" t="inlineStr"/>
      <c r="L69" s="264" t="inlineStr"/>
      <c r="M69" s="259" t="inlineStr">
        <is>
          <t>2 tur</t>
        </is>
      </c>
    </row>
    <row r="70" ht="15" customHeight="1" s="221">
      <c r="B70" s="265" t="n">
        <v>56</v>
      </c>
      <c r="C70" s="266" t="inlineStr">
        <is>
          <t>SBA 26/171</t>
        </is>
      </c>
      <c r="D70" s="267" t="inlineStr">
        <is>
          <t>Bireysel Araştırma</t>
        </is>
      </c>
      <c r="E70" s="268" t="inlineStr">
        <is>
          <t>Prof. Dr. Yasemin ÖZSÜREKCİ</t>
        </is>
      </c>
      <c r="F70" s="239" t="inlineStr">
        <is>
          <t>DÜZELTME</t>
        </is>
      </c>
      <c r="G70" s="269" t="inlineStr">
        <is>
          <t>→</t>
        </is>
      </c>
      <c r="H70" s="238" t="inlineStr">
        <is>
          <t>ONAY</t>
        </is>
      </c>
      <c r="I70" s="269" t="inlineStr"/>
      <c r="J70" s="270" t="inlineStr"/>
      <c r="K70" s="269" t="inlineStr"/>
      <c r="L70" s="270" t="inlineStr"/>
      <c r="M70" s="265" t="inlineStr">
        <is>
          <t>2 tur</t>
        </is>
      </c>
    </row>
    <row r="71" ht="15" customHeight="1" s="221">
      <c r="B71" s="259" t="n">
        <v>57</v>
      </c>
      <c r="C71" s="260" t="inlineStr">
        <is>
          <t>SBA 26/172</t>
        </is>
      </c>
      <c r="D71" s="261" t="inlineStr">
        <is>
          <t>Bireysel Araştırma</t>
        </is>
      </c>
      <c r="E71" s="262" t="inlineStr">
        <is>
          <t>Doç. Dr. Mert EŞME</t>
        </is>
      </c>
      <c r="F71" s="239" t="inlineStr">
        <is>
          <t>DÜZELTME</t>
        </is>
      </c>
      <c r="G71" s="263" t="inlineStr">
        <is>
          <t>→</t>
        </is>
      </c>
      <c r="H71" s="238" t="inlineStr">
        <is>
          <t>ONAY</t>
        </is>
      </c>
      <c r="I71" s="263" t="inlineStr"/>
      <c r="J71" s="264" t="inlineStr"/>
      <c r="K71" s="263" t="inlineStr"/>
      <c r="L71" s="264" t="inlineStr"/>
      <c r="M71" s="259" t="inlineStr">
        <is>
          <t>2 tur</t>
        </is>
      </c>
    </row>
    <row r="72" ht="15" customHeight="1" s="221">
      <c r="B72" s="265" t="n">
        <v>58</v>
      </c>
      <c r="C72" s="266" t="inlineStr">
        <is>
          <t>SBA 26/174</t>
        </is>
      </c>
      <c r="D72" s="267" t="inlineStr">
        <is>
          <t>Yüksek Lisans Tezi</t>
        </is>
      </c>
      <c r="E72" s="268" t="inlineStr">
        <is>
          <t>Prof. Dr. Egemen TURHAN</t>
        </is>
      </c>
      <c r="F72" s="239" t="inlineStr">
        <is>
          <t>DÜZELTME</t>
        </is>
      </c>
      <c r="G72" s="269" t="inlineStr">
        <is>
          <t>→</t>
        </is>
      </c>
      <c r="H72" s="238" t="inlineStr">
        <is>
          <t>ONAY</t>
        </is>
      </c>
      <c r="I72" s="269" t="inlineStr"/>
      <c r="J72" s="270" t="inlineStr"/>
      <c r="K72" s="269" t="inlineStr"/>
      <c r="L72" s="270" t="inlineStr"/>
      <c r="M72" s="265" t="inlineStr">
        <is>
          <t>2 tur</t>
        </is>
      </c>
    </row>
    <row r="73" ht="15" customHeight="1" s="221">
      <c r="B73" s="259" t="n">
        <v>59</v>
      </c>
      <c r="C73" s="260" t="inlineStr">
        <is>
          <t>SBA 26/175</t>
        </is>
      </c>
      <c r="D73" s="261" t="inlineStr">
        <is>
          <t>Uzmanlık Tezi</t>
        </is>
      </c>
      <c r="E73" s="262" t="inlineStr">
        <is>
          <t>Prof. Dr. Sevinç SARINÇ</t>
        </is>
      </c>
      <c r="F73" s="239" t="inlineStr">
        <is>
          <t>DÜZELTME</t>
        </is>
      </c>
      <c r="G73" s="263" t="inlineStr">
        <is>
          <t>→</t>
        </is>
      </c>
      <c r="H73" s="238" t="inlineStr">
        <is>
          <t>ONAY</t>
        </is>
      </c>
      <c r="I73" s="263" t="inlineStr"/>
      <c r="J73" s="264" t="inlineStr"/>
      <c r="K73" s="263" t="inlineStr"/>
      <c r="L73" s="264" t="inlineStr"/>
      <c r="M73" s="259" t="inlineStr">
        <is>
          <t>2 tur</t>
        </is>
      </c>
    </row>
    <row r="74" ht="15" customHeight="1" s="221">
      <c r="B74" s="265" t="n">
        <v>60</v>
      </c>
      <c r="C74" s="266" t="inlineStr">
        <is>
          <t>SBA 26/179</t>
        </is>
      </c>
      <c r="D74" s="267" t="inlineStr">
        <is>
          <t>Bireysel Araştırma</t>
        </is>
      </c>
      <c r="E74" s="268" t="inlineStr">
        <is>
          <t>Doç. Dr. İzzet FİDANCI</t>
        </is>
      </c>
      <c r="F74" s="239" t="inlineStr">
        <is>
          <t>DÜZELTME</t>
        </is>
      </c>
      <c r="G74" s="269" t="inlineStr">
        <is>
          <t>→</t>
        </is>
      </c>
      <c r="H74" s="238" t="inlineStr">
        <is>
          <t>ONAY</t>
        </is>
      </c>
      <c r="I74" s="269" t="inlineStr"/>
      <c r="J74" s="270" t="inlineStr"/>
      <c r="K74" s="269" t="inlineStr"/>
      <c r="L74" s="270" t="inlineStr"/>
      <c r="M74" s="265" t="inlineStr">
        <is>
          <t>2 tur</t>
        </is>
      </c>
    </row>
    <row r="75" ht="15" customHeight="1" s="221">
      <c r="B75" s="259" t="n">
        <v>61</v>
      </c>
      <c r="C75" s="260" t="inlineStr">
        <is>
          <t>SBA 26/180</t>
        </is>
      </c>
      <c r="D75" s="261" t="inlineStr">
        <is>
          <t>Uzmanlık Tezi</t>
        </is>
      </c>
      <c r="E75" s="262" t="inlineStr">
        <is>
          <t>Doç. Dr. Levent KILIÇ</t>
        </is>
      </c>
      <c r="F75" s="239" t="inlineStr">
        <is>
          <t>DÜZELTME</t>
        </is>
      </c>
      <c r="G75" s="263" t="inlineStr">
        <is>
          <t>→</t>
        </is>
      </c>
      <c r="H75" s="238" t="inlineStr">
        <is>
          <t>ONAY</t>
        </is>
      </c>
      <c r="I75" s="263" t="inlineStr"/>
      <c r="J75" s="264" t="inlineStr"/>
      <c r="K75" s="263" t="inlineStr"/>
      <c r="L75" s="264" t="inlineStr"/>
      <c r="M75" s="259" t="inlineStr">
        <is>
          <t>2 tur</t>
        </is>
      </c>
    </row>
    <row r="76" ht="15" customHeight="1" s="221">
      <c r="B76" s="265" t="n">
        <v>62</v>
      </c>
      <c r="C76" s="266" t="inlineStr">
        <is>
          <t>SBA 26/181</t>
        </is>
      </c>
      <c r="D76" s="267" t="inlineStr">
        <is>
          <t>Yüksek Lisans Tezi</t>
        </is>
      </c>
      <c r="E76" s="268" t="inlineStr">
        <is>
          <t>Doç. Dr. Basri GÜLBAKAN</t>
        </is>
      </c>
      <c r="F76" s="239" t="inlineStr">
        <is>
          <t>DÜZELTME</t>
        </is>
      </c>
      <c r="G76" s="269" t="inlineStr">
        <is>
          <t>→</t>
        </is>
      </c>
      <c r="H76" s="238" t="inlineStr">
        <is>
          <t>ONAY</t>
        </is>
      </c>
      <c r="I76" s="269" t="inlineStr"/>
      <c r="J76" s="270" t="inlineStr"/>
      <c r="K76" s="269" t="inlineStr"/>
      <c r="L76" s="270" t="inlineStr"/>
      <c r="M76" s="265" t="inlineStr">
        <is>
          <t>2 tur</t>
        </is>
      </c>
    </row>
    <row r="77" ht="15" customHeight="1" s="221">
      <c r="B77" s="259" t="n">
        <v>63</v>
      </c>
      <c r="C77" s="260" t="inlineStr">
        <is>
          <t>SBA 26/183</t>
        </is>
      </c>
      <c r="D77" s="261" t="inlineStr">
        <is>
          <t>Uzmanlık Tezi</t>
        </is>
      </c>
      <c r="E77" s="262" t="inlineStr">
        <is>
          <t>Prof. Dr. Mustafa Barış GÜNCÜ</t>
        </is>
      </c>
      <c r="F77" s="240" t="inlineStr">
        <is>
          <t>GÖRÜŞ</t>
        </is>
      </c>
      <c r="G77" s="263" t="inlineStr">
        <is>
          <t>→</t>
        </is>
      </c>
      <c r="H77" s="239" t="inlineStr">
        <is>
          <t>DÜZELTME</t>
        </is>
      </c>
      <c r="I77" s="263" t="inlineStr"/>
      <c r="J77" s="264" t="inlineStr"/>
      <c r="K77" s="263" t="inlineStr"/>
      <c r="L77" s="264" t="inlineStr"/>
      <c r="M77" s="259" t="inlineStr">
        <is>
          <t>2 tur</t>
        </is>
      </c>
    </row>
    <row r="78" ht="15" customHeight="1" s="221">
      <c r="B78" s="265" t="n">
        <v>64</v>
      </c>
      <c r="C78" s="266" t="inlineStr">
        <is>
          <t>SBA 26/188</t>
        </is>
      </c>
      <c r="D78" s="267" t="inlineStr">
        <is>
          <t>Uzmanlık Tezi</t>
        </is>
      </c>
      <c r="E78" s="268" t="inlineStr">
        <is>
          <t>Doç.Dr. Tekin AKSU</t>
        </is>
      </c>
      <c r="F78" s="239" t="inlineStr">
        <is>
          <t>DÜZELTME</t>
        </is>
      </c>
      <c r="G78" s="269" t="inlineStr">
        <is>
          <t>→</t>
        </is>
      </c>
      <c r="H78" s="238" t="inlineStr">
        <is>
          <t>ONAY</t>
        </is>
      </c>
      <c r="I78" s="269" t="inlineStr"/>
      <c r="J78" s="270" t="inlineStr"/>
      <c r="K78" s="269" t="inlineStr"/>
      <c r="L78" s="270" t="inlineStr"/>
      <c r="M78" s="265" t="inlineStr">
        <is>
          <t>2 tur</t>
        </is>
      </c>
    </row>
    <row r="79" ht="15" customHeight="1" s="221">
      <c r="B79" s="259" t="n">
        <v>65</v>
      </c>
      <c r="C79" s="260" t="inlineStr">
        <is>
          <t>SBA 26/191</t>
        </is>
      </c>
      <c r="D79" s="261" t="inlineStr">
        <is>
          <t>Bireysel Araştırma</t>
        </is>
      </c>
      <c r="E79" s="262" t="inlineStr">
        <is>
          <t>Doç. Dr. Kübra AYKAÇ</t>
        </is>
      </c>
      <c r="F79" s="239" t="inlineStr">
        <is>
          <t>DÜZELTME</t>
        </is>
      </c>
      <c r="G79" s="263" t="inlineStr">
        <is>
          <t>→</t>
        </is>
      </c>
      <c r="H79" s="238" t="inlineStr">
        <is>
          <t>ONAY</t>
        </is>
      </c>
      <c r="I79" s="263" t="inlineStr"/>
      <c r="J79" s="264" t="inlineStr"/>
      <c r="K79" s="263" t="inlineStr"/>
      <c r="L79" s="264" t="inlineStr"/>
      <c r="M79" s="259" t="inlineStr">
        <is>
          <t>2 tur</t>
        </is>
      </c>
    </row>
    <row r="80" ht="15" customHeight="1" s="221">
      <c r="B80" s="265" t="n">
        <v>66</v>
      </c>
      <c r="C80" s="266" t="inlineStr">
        <is>
          <t>SBA 26/194</t>
        </is>
      </c>
      <c r="D80" s="267" t="inlineStr">
        <is>
          <t>Bireysel Araştırma</t>
        </is>
      </c>
      <c r="E80" s="268" t="inlineStr">
        <is>
          <t>Prof. Dr. Jale KARAKAYA</t>
        </is>
      </c>
      <c r="F80" s="240" t="inlineStr">
        <is>
          <t>GÖRÜŞ</t>
        </is>
      </c>
      <c r="G80" s="269" t="inlineStr">
        <is>
          <t>→</t>
        </is>
      </c>
      <c r="H80" s="238" t="inlineStr">
        <is>
          <t>ONAY</t>
        </is>
      </c>
      <c r="I80" s="269" t="inlineStr"/>
      <c r="J80" s="270" t="inlineStr"/>
      <c r="K80" s="269" t="inlineStr"/>
      <c r="L80" s="270" t="inlineStr"/>
      <c r="M80" s="265" t="inlineStr">
        <is>
          <t>2 tur</t>
        </is>
      </c>
    </row>
    <row r="81" ht="15" customHeight="1" s="221">
      <c r="B81" s="259" t="n">
        <v>67</v>
      </c>
      <c r="C81" s="260" t="inlineStr">
        <is>
          <t>SBA 26/201</t>
        </is>
      </c>
      <c r="D81" s="261" t="inlineStr">
        <is>
          <t>Bireysel Araştırma</t>
        </is>
      </c>
      <c r="E81" s="262" t="inlineStr">
        <is>
          <t>Prof. Dr. Meltem Gülhan HALİL</t>
        </is>
      </c>
      <c r="F81" s="240" t="inlineStr">
        <is>
          <t>GÖRÜŞ</t>
        </is>
      </c>
      <c r="G81" s="263" t="inlineStr">
        <is>
          <t>→</t>
        </is>
      </c>
      <c r="H81" s="239" t="inlineStr">
        <is>
          <t>DÜZELTME</t>
        </is>
      </c>
      <c r="I81" s="263" t="inlineStr"/>
      <c r="J81" s="264" t="inlineStr"/>
      <c r="K81" s="263" t="inlineStr"/>
      <c r="L81" s="264" t="inlineStr"/>
      <c r="M81" s="259" t="inlineStr">
        <is>
          <t>2 tur</t>
        </is>
      </c>
    </row>
    <row r="82" ht="15" customHeight="1" s="221">
      <c r="B82" s="265" t="n">
        <v>68</v>
      </c>
      <c r="C82" s="266" t="inlineStr">
        <is>
          <t>SBA 26/206</t>
        </is>
      </c>
      <c r="D82" s="267" t="inlineStr">
        <is>
          <t>Doktora Tezi</t>
        </is>
      </c>
      <c r="E82" s="268" t="inlineStr">
        <is>
          <t>Prof. Dr. Özgür UĞURLUOĞLU</t>
        </is>
      </c>
      <c r="F82" s="240" t="inlineStr">
        <is>
          <t>GÖRÜŞ</t>
        </is>
      </c>
      <c r="G82" s="269" t="inlineStr">
        <is>
          <t>→</t>
        </is>
      </c>
      <c r="H82" s="238" t="inlineStr">
        <is>
          <t>ONAY</t>
        </is>
      </c>
      <c r="I82" s="269" t="inlineStr"/>
      <c r="J82" s="270" t="inlineStr"/>
      <c r="K82" s="269" t="inlineStr"/>
      <c r="L82" s="270" t="inlineStr"/>
      <c r="M82" s="265" t="inlineStr">
        <is>
          <t>2 tur</t>
        </is>
      </c>
    </row>
    <row r="83" ht="15" customHeight="1" s="221">
      <c r="B83" s="259" t="n">
        <v>69</v>
      </c>
      <c r="C83" s="260" t="inlineStr">
        <is>
          <t>SBA 26/225</t>
        </is>
      </c>
      <c r="D83" s="261" t="inlineStr">
        <is>
          <t>Bireysel Araştırma</t>
        </is>
      </c>
      <c r="E83" s="262" t="inlineStr">
        <is>
          <t>Prof. Dr. Meltem Gülhan HALİL</t>
        </is>
      </c>
      <c r="F83" s="240" t="inlineStr">
        <is>
          <t>GÖRÜŞ</t>
        </is>
      </c>
      <c r="G83" s="263" t="inlineStr">
        <is>
          <t>→</t>
        </is>
      </c>
      <c r="H83" s="239" t="inlineStr">
        <is>
          <t>DÜZELTME</t>
        </is>
      </c>
      <c r="I83" s="263" t="inlineStr"/>
      <c r="J83" s="264" t="inlineStr"/>
      <c r="K83" s="263" t="inlineStr"/>
      <c r="L83" s="264" t="inlineStr"/>
      <c r="M83" s="259" t="inlineStr">
        <is>
          <t>2 tur</t>
        </is>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H45"/>
  <sheetViews>
    <sheetView showGridLines="0" workbookViewId="0">
      <selection activeCell="A1" sqref="A1"/>
    </sheetView>
  </sheetViews>
  <sheetFormatPr baseColWidth="8" defaultRowHeight="15"/>
  <cols>
    <col width="2" customWidth="1" style="221" min="1" max="1"/>
    <col width="14" customWidth="1" style="221" min="2" max="2"/>
    <col width="14" customWidth="1" style="221" min="3" max="3"/>
    <col width="14" customWidth="1" style="221" min="4" max="4"/>
    <col width="14" customWidth="1" style="221" min="5" max="5"/>
    <col width="14" customWidth="1" style="221" min="6" max="6"/>
    <col width="14" customWidth="1" style="221" min="7" max="7"/>
    <col width="14" customWidth="1" style="221" min="8" max="8"/>
  </cols>
  <sheetData>
    <row r="1" ht="26" customHeight="1" s="221">
      <c r="B1" s="232" t="inlineStr">
        <is>
          <t>2026 — GRAFİK VERİ TABLOLARI</t>
        </is>
      </c>
      <c r="C1" s="233" t="n"/>
      <c r="D1" s="233" t="n"/>
      <c r="E1" s="233" t="n"/>
      <c r="F1" s="233" t="n"/>
      <c r="G1" s="233" t="n"/>
      <c r="H1" s="234" t="n"/>
    </row>
    <row r="3" ht="18" customHeight="1" s="221">
      <c r="B3" s="235" t="inlineStr">
        <is>
          <t>KURUL KARARI 1 DAĞILIMI</t>
        </is>
      </c>
      <c r="C3" s="233" t="n"/>
      <c r="D3" s="234" t="n"/>
    </row>
    <row r="4" ht="16" customHeight="1" s="221">
      <c r="B4" s="271" t="inlineStr">
        <is>
          <t>Karar</t>
        </is>
      </c>
      <c r="C4" s="271" t="inlineStr">
        <is>
          <t>Sayı</t>
        </is>
      </c>
      <c r="D4" s="271" t="inlineStr">
        <is>
          <t>%</t>
        </is>
      </c>
      <c r="E4" s="271" t="inlineStr">
        <is>
          <t>Çubuk</t>
        </is>
      </c>
    </row>
    <row r="5" ht="18" customHeight="1" s="221">
      <c r="B5" s="272" t="inlineStr">
        <is>
          <t>ONAY</t>
        </is>
      </c>
      <c r="C5" s="247" t="n">
        <v>145</v>
      </c>
      <c r="D5" s="273" t="inlineStr">
        <is>
          <t>%46.5</t>
        </is>
      </c>
      <c r="E5" s="274" t="inlineStr">
        <is>
          <t>█████████</t>
        </is>
      </c>
    </row>
    <row r="6" ht="18" customHeight="1" s="221">
      <c r="B6" s="275" t="inlineStr">
        <is>
          <t>DÜZELTME</t>
        </is>
      </c>
      <c r="C6" s="248" t="n">
        <v>97</v>
      </c>
      <c r="D6" s="276" t="inlineStr">
        <is>
          <t>%31.1</t>
        </is>
      </c>
      <c r="E6" s="277" t="inlineStr">
        <is>
          <t>██████</t>
        </is>
      </c>
    </row>
    <row r="7" ht="18" customHeight="1" s="221">
      <c r="B7" s="278" t="inlineStr">
        <is>
          <t>GÖRÜŞ</t>
        </is>
      </c>
      <c r="C7" s="249" t="n">
        <v>8</v>
      </c>
      <c r="D7" s="279" t="inlineStr">
        <is>
          <t>%2.6</t>
        </is>
      </c>
      <c r="E7" s="280" t="inlineStr">
        <is>
          <t>█</t>
        </is>
      </c>
    </row>
    <row r="8" ht="18" customHeight="1" s="221">
      <c r="B8" s="281" t="inlineStr">
        <is>
          <t>KAEK</t>
        </is>
      </c>
      <c r="C8" s="282" t="n">
        <v>7</v>
      </c>
      <c r="D8" s="283" t="inlineStr">
        <is>
          <t>%2.2</t>
        </is>
      </c>
      <c r="E8" s="284" t="inlineStr"/>
    </row>
    <row r="9" ht="18" customHeight="1" s="221">
      <c r="B9" s="285" t="inlineStr">
        <is>
          <t>RET</t>
        </is>
      </c>
      <c r="C9" s="286" t="n">
        <v>6</v>
      </c>
      <c r="D9" s="287" t="inlineStr">
        <is>
          <t>%1.9</t>
        </is>
      </c>
      <c r="E9" s="288" t="inlineStr"/>
    </row>
    <row r="10" ht="18" customHeight="1" s="221">
      <c r="B10" s="289" t="inlineStr">
        <is>
          <t>KAPSAM DIŞI</t>
        </is>
      </c>
      <c r="C10" s="290" t="n">
        <v>5</v>
      </c>
      <c r="D10" s="291" t="inlineStr">
        <is>
          <t>%1.6</t>
        </is>
      </c>
      <c r="E10" s="292" t="inlineStr"/>
    </row>
    <row r="11" ht="18" customHeight="1" s="221">
      <c r="B11" s="293" t="inlineStr">
        <is>
          <t>TOPLAM</t>
        </is>
      </c>
      <c r="C11" s="256" t="n">
        <v>312</v>
      </c>
    </row>
    <row r="13" ht="18" customHeight="1" s="221">
      <c r="B13" s="235" t="inlineStr">
        <is>
          <t>NİTELİK DAĞILIMI</t>
        </is>
      </c>
      <c r="C13" s="233" t="n"/>
      <c r="D13" s="234" t="n"/>
    </row>
    <row r="14" ht="16" customHeight="1" s="221">
      <c r="B14" s="271" t="inlineStr">
        <is>
          <t>Nitelik</t>
        </is>
      </c>
      <c r="C14" s="271" t="inlineStr">
        <is>
          <t>Sayı</t>
        </is>
      </c>
      <c r="D14" s="271" t="inlineStr">
        <is>
          <t>%</t>
        </is>
      </c>
      <c r="E14" s="271" t="inlineStr">
        <is>
          <t>Çubuk</t>
        </is>
      </c>
    </row>
    <row r="15" ht="18" customHeight="1" s="221">
      <c r="B15" s="278" t="inlineStr">
        <is>
          <t>Bireysel Araştırma</t>
        </is>
      </c>
      <c r="C15" s="249" t="n">
        <v>222</v>
      </c>
      <c r="D15" s="279" t="inlineStr">
        <is>
          <t>%71.2</t>
        </is>
      </c>
      <c r="E15" s="280" t="inlineStr">
        <is>
          <t>██████████████</t>
        </is>
      </c>
    </row>
    <row r="16" ht="18" customHeight="1" s="221">
      <c r="B16" s="272" t="inlineStr">
        <is>
          <t>Uzmanlık Tezi</t>
        </is>
      </c>
      <c r="C16" s="247" t="n">
        <v>62</v>
      </c>
      <c r="D16" s="273" t="inlineStr">
        <is>
          <t>%19.9</t>
        </is>
      </c>
      <c r="E16" s="274" t="inlineStr">
        <is>
          <t>████</t>
        </is>
      </c>
    </row>
    <row r="17" ht="18" customHeight="1" s="221">
      <c r="B17" s="275" t="inlineStr">
        <is>
          <t>Yüksek Lisans Tezi</t>
        </is>
      </c>
      <c r="C17" s="248" t="n">
        <v>7</v>
      </c>
      <c r="D17" s="276" t="inlineStr">
        <is>
          <t>%2.2</t>
        </is>
      </c>
      <c r="E17" s="277" t="inlineStr"/>
    </row>
    <row r="18" ht="18" customHeight="1" s="221">
      <c r="B18" s="281" t="inlineStr">
        <is>
          <t>Doktora Tezi</t>
        </is>
      </c>
      <c r="C18" s="282" t="n">
        <v>21</v>
      </c>
      <c r="D18" s="283" t="inlineStr">
        <is>
          <t>%6.7</t>
        </is>
      </c>
      <c r="E18" s="284" t="inlineStr">
        <is>
          <t>█</t>
        </is>
      </c>
    </row>
    <row r="19" ht="18" customHeight="1" s="221">
      <c r="B19" s="293" t="inlineStr">
        <is>
          <t>TOPLAM</t>
        </is>
      </c>
      <c r="C19" s="256" t="n">
        <v>312</v>
      </c>
    </row>
    <row r="21" ht="18" customHeight="1" s="221">
      <c r="B21" s="235" t="inlineStr">
        <is>
          <t>RAPORTÖR BAZINDA DOSYA SAYISI</t>
        </is>
      </c>
      <c r="C21" s="233" t="n"/>
      <c r="D21" s="233" t="n"/>
      <c r="E21" s="234" t="n"/>
    </row>
    <row r="22" ht="16" customHeight="1" s="221">
      <c r="B22" s="271" t="inlineStr">
        <is>
          <t>Raportör</t>
        </is>
      </c>
      <c r="C22" s="271" t="inlineStr">
        <is>
          <t>Toplam</t>
        </is>
      </c>
      <c r="D22" s="271" t="inlineStr">
        <is>
          <t>Onay</t>
        </is>
      </c>
      <c r="E22" s="271" t="inlineStr">
        <is>
          <t>Düzeltme</t>
        </is>
      </c>
      <c r="F22" s="271" t="inlineStr">
        <is>
          <t>Bekleyen</t>
        </is>
      </c>
    </row>
    <row r="23" ht="16" customHeight="1" s="221">
      <c r="B23" s="268" t="inlineStr">
        <is>
          <t>AKARSU</t>
        </is>
      </c>
      <c r="C23" s="294" t="n">
        <v>46</v>
      </c>
      <c r="D23" s="273" t="n">
        <v>24</v>
      </c>
      <c r="E23" s="276" t="n">
        <v>21</v>
      </c>
      <c r="F23" s="295" t="n">
        <v>0</v>
      </c>
    </row>
    <row r="24" ht="16" customHeight="1" s="221">
      <c r="B24" s="262" t="inlineStr">
        <is>
          <t>UYANIK</t>
        </is>
      </c>
      <c r="C24" s="296" t="n">
        <v>50</v>
      </c>
      <c r="D24" s="273" t="n">
        <v>27</v>
      </c>
      <c r="E24" s="276" t="n">
        <v>18</v>
      </c>
      <c r="F24" s="295" t="n">
        <v>1</v>
      </c>
    </row>
    <row r="25" ht="16" customHeight="1" s="221">
      <c r="B25" s="268" t="inlineStr">
        <is>
          <t>BABAOĞLU</t>
        </is>
      </c>
      <c r="C25" s="294" t="n">
        <v>34</v>
      </c>
      <c r="D25" s="273" t="n">
        <v>14</v>
      </c>
      <c r="E25" s="276" t="n">
        <v>17</v>
      </c>
      <c r="F25" s="295" t="n">
        <v>0</v>
      </c>
    </row>
    <row r="26" ht="16" customHeight="1" s="221">
      <c r="B26" s="262" t="inlineStr">
        <is>
          <t>İŞLER</t>
        </is>
      </c>
      <c r="C26" s="296" t="n">
        <v>40</v>
      </c>
      <c r="D26" s="273" t="n">
        <v>22</v>
      </c>
      <c r="E26" s="276" t="n">
        <v>13</v>
      </c>
      <c r="F26" s="295" t="n">
        <v>1</v>
      </c>
    </row>
    <row r="27" ht="16" customHeight="1" s="221">
      <c r="B27" s="268" t="inlineStr">
        <is>
          <t>AYHAN</t>
        </is>
      </c>
      <c r="C27" s="294" t="n">
        <v>41</v>
      </c>
      <c r="D27" s="273" t="n">
        <v>22</v>
      </c>
      <c r="E27" s="276" t="n">
        <v>13</v>
      </c>
      <c r="F27" s="295" t="n">
        <v>1</v>
      </c>
    </row>
    <row r="28" ht="16" customHeight="1" s="221">
      <c r="B28" s="262" t="inlineStr">
        <is>
          <t>ERSOY</t>
        </is>
      </c>
      <c r="C28" s="296" t="n">
        <v>45</v>
      </c>
      <c r="D28" s="273" t="n">
        <v>28</v>
      </c>
      <c r="E28" s="276" t="n">
        <v>13</v>
      </c>
      <c r="F28" s="295" t="n">
        <v>0</v>
      </c>
    </row>
    <row r="29" ht="16" customHeight="1" s="221">
      <c r="B29" s="268" t="inlineStr">
        <is>
          <t>GİRGİN</t>
        </is>
      </c>
      <c r="C29" s="294" t="n">
        <v>52</v>
      </c>
      <c r="D29" s="273" t="n">
        <v>28</v>
      </c>
      <c r="E29" s="276" t="n">
        <v>17</v>
      </c>
      <c r="F29" s="295" t="n">
        <v>0</v>
      </c>
    </row>
    <row r="30" ht="16" customHeight="1" s="221">
      <c r="B30" s="262" t="inlineStr">
        <is>
          <t>AYKAÇ</t>
        </is>
      </c>
      <c r="C30" s="296" t="n">
        <v>53</v>
      </c>
      <c r="D30" s="273" t="n">
        <v>26</v>
      </c>
      <c r="E30" s="276" t="n">
        <v>23</v>
      </c>
      <c r="F30" s="295" t="n">
        <v>0</v>
      </c>
    </row>
    <row r="31" ht="16" customHeight="1" s="221">
      <c r="B31" s="268" t="inlineStr">
        <is>
          <t>ÇAKMAK</t>
        </is>
      </c>
      <c r="C31" s="294" t="n">
        <v>41</v>
      </c>
      <c r="D31" s="273" t="n">
        <v>21</v>
      </c>
      <c r="E31" s="276" t="n">
        <v>13</v>
      </c>
      <c r="F31" s="295" t="n">
        <v>1</v>
      </c>
    </row>
    <row r="32" ht="16" customHeight="1" s="221">
      <c r="B32" s="262" t="inlineStr">
        <is>
          <t>ALAN</t>
        </is>
      </c>
      <c r="C32" s="296" t="n">
        <v>49</v>
      </c>
      <c r="D32" s="273" t="n">
        <v>31</v>
      </c>
      <c r="E32" s="276" t="n">
        <v>17</v>
      </c>
      <c r="F32" s="295" t="n">
        <v>1</v>
      </c>
    </row>
    <row r="33" ht="16" customHeight="1" s="221">
      <c r="B33" s="268" t="inlineStr">
        <is>
          <t>GÜMELER</t>
        </is>
      </c>
      <c r="C33" s="294" t="n">
        <v>40</v>
      </c>
      <c r="D33" s="273" t="n">
        <v>23</v>
      </c>
      <c r="E33" s="276" t="n">
        <v>12</v>
      </c>
      <c r="F33" s="295" t="n">
        <v>1</v>
      </c>
    </row>
    <row r="34" ht="16" customHeight="1" s="221">
      <c r="B34" s="262" t="inlineStr">
        <is>
          <t>DEMİR</t>
        </is>
      </c>
      <c r="C34" s="296" t="n">
        <v>53</v>
      </c>
      <c r="D34" s="273" t="n">
        <v>24</v>
      </c>
      <c r="E34" s="276" t="n">
        <v>17</v>
      </c>
      <c r="F34" s="295" t="n">
        <v>2</v>
      </c>
    </row>
    <row r="36" ht="18" customHeight="1" s="221">
      <c r="B36" s="235" t="inlineStr">
        <is>
          <t>KURUL BAZINDA BAŞVURU SAYISI</t>
        </is>
      </c>
      <c r="C36" s="233" t="n"/>
      <c r="D36" s="233" t="n"/>
      <c r="E36" s="234" t="n"/>
    </row>
    <row r="37" ht="16" customHeight="1" s="221">
      <c r="B37" s="271" t="inlineStr">
        <is>
          <t>Tarih</t>
        </is>
      </c>
      <c r="C37" s="271" t="inlineStr">
        <is>
          <t>Başvuru</t>
        </is>
      </c>
      <c r="D37" s="271" t="inlineStr">
        <is>
          <t>Onay</t>
        </is>
      </c>
      <c r="E37" s="271" t="inlineStr">
        <is>
          <t>Düzeltme</t>
        </is>
      </c>
      <c r="F37" s="271" t="inlineStr">
        <is>
          <t>Görüş</t>
        </is>
      </c>
    </row>
    <row r="38" ht="16" customHeight="1" s="221">
      <c r="B38" s="297" t="inlineStr">
        <is>
          <t>06/01/2026</t>
        </is>
      </c>
      <c r="C38" s="294" t="n">
        <v>55</v>
      </c>
      <c r="D38" s="273" t="n">
        <v>34</v>
      </c>
      <c r="E38" s="276" t="n">
        <v>16</v>
      </c>
      <c r="F38" s="279" t="n">
        <v>0</v>
      </c>
    </row>
    <row r="39" ht="16" customHeight="1" s="221">
      <c r="B39" s="298" t="inlineStr">
        <is>
          <t>20/01/2026</t>
        </is>
      </c>
      <c r="C39" s="296" t="n">
        <v>45</v>
      </c>
      <c r="D39" s="273" t="n">
        <v>24</v>
      </c>
      <c r="E39" s="276" t="n">
        <v>19</v>
      </c>
      <c r="F39" s="279" t="n">
        <v>2</v>
      </c>
    </row>
    <row r="40" ht="16" customHeight="1" s="221">
      <c r="B40" s="297" t="inlineStr">
        <is>
          <t>04/02/2026</t>
        </is>
      </c>
      <c r="C40" s="294" t="n">
        <v>45</v>
      </c>
      <c r="D40" s="273" t="n">
        <v>25</v>
      </c>
      <c r="E40" s="276" t="n">
        <v>19</v>
      </c>
      <c r="F40" s="279" t="n">
        <v>0</v>
      </c>
    </row>
    <row r="41" ht="16" customHeight="1" s="221">
      <c r="B41" s="298" t="inlineStr">
        <is>
          <t>17/02/2026</t>
        </is>
      </c>
      <c r="C41" s="296" t="n">
        <v>45</v>
      </c>
      <c r="D41" s="273" t="n">
        <v>21</v>
      </c>
      <c r="E41" s="276" t="n">
        <v>18</v>
      </c>
      <c r="F41" s="279" t="n">
        <v>2</v>
      </c>
    </row>
    <row r="42" ht="16" customHeight="1" s="221">
      <c r="B42" s="297" t="inlineStr">
        <is>
          <t>03/03/2026</t>
        </is>
      </c>
      <c r="C42" s="294" t="n">
        <v>35</v>
      </c>
      <c r="D42" s="273" t="n">
        <v>19</v>
      </c>
      <c r="E42" s="276" t="n">
        <v>8</v>
      </c>
      <c r="F42" s="279" t="n">
        <v>4</v>
      </c>
    </row>
    <row r="43" ht="16" customHeight="1" s="221">
      <c r="B43" s="298" t="inlineStr">
        <is>
          <t>17/03/2026</t>
        </is>
      </c>
      <c r="C43" s="296" t="n">
        <v>47</v>
      </c>
      <c r="D43" s="273" t="n">
        <v>22</v>
      </c>
      <c r="E43" s="276" t="n">
        <v>17</v>
      </c>
      <c r="F43" s="279" t="n">
        <v>0</v>
      </c>
    </row>
    <row r="44" ht="16" customHeight="1" s="221">
      <c r="B44" s="297" t="inlineStr">
        <is>
          <t>31/03/2026</t>
        </is>
      </c>
      <c r="C44" s="294" t="n">
        <v>40</v>
      </c>
      <c r="D44" s="273" t="n">
        <v>0</v>
      </c>
      <c r="E44" s="276" t="n">
        <v>0</v>
      </c>
      <c r="F44" s="279" t="n">
        <v>0</v>
      </c>
    </row>
    <row r="45" ht="18" customHeight="1" s="221">
      <c r="B45" s="293" t="inlineStr">
        <is>
          <t>TOPLAM</t>
        </is>
      </c>
      <c r="C45" s="256" t="n">
        <v>312</v>
      </c>
      <c r="D45" s="299" t="n">
        <v>145</v>
      </c>
      <c r="E45" s="300" t="n">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Mahsuni</dc:creator>
  <dcterms:created xmlns:dcterms="http://purl.org/dc/terms/" xmlns:xsi="http://www.w3.org/2001/XMLSchema-instance" xsi:type="dcterms:W3CDTF">2023-01-09T10:46:20Z</dcterms:created>
  <dcterms:modified xmlns:dcterms="http://purl.org/dc/terms/" xmlns:xsi="http://www.w3.org/2001/XMLSchema-instance" xsi:type="dcterms:W3CDTF">2026-03-18T13:31:43Z</dcterms:modified>
  <cp:lastModifiedBy>MAHSUNİ TÜRKATAR</cp:lastModifiedBy>
  <cp:lastPrinted>2026-01-16T11:24:14Z</cp:lastPrinted>
</cp:coreProperties>
</file>