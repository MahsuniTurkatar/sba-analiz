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ED04CF35-7A73-40E2-B366-B1E54FA8973F}" xr6:coauthVersionLast="47" xr6:coauthVersionMax="47" xr10:uidLastSave="{00000000-0000-0000-0000-000000000000}"/>
  <bookViews>
    <workbookView xWindow="-120" yWindow="-120" windowWidth="29040" windowHeight="16440" tabRatio="582" activeTab="1"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Araştırmacı_Detay" sheetId="8" r:id="rId8"/>
    <sheet name="Sayılar" sheetId="9" r:id="rId9"/>
    <sheet name="Word_Gündem" sheetId="10" r:id="rId10"/>
    <sheet name="2025" sheetId="11" r:id="rId11"/>
  </sheets>
  <definedNames>
    <definedName name="_xlnm._FilterDatabase" localSheetId="4" hidden="1">Birim!$B$5:$P$78</definedName>
    <definedName name="_xlnm._FilterDatabase" localSheetId="6" hidden="1">Sorumlu!$B$5:$P$290</definedName>
    <definedName name="ArastirmaciListesi">OFFSET(Araştırmacı_Detay!$N$9,0,0,COUNTIF(Araştırmacı_Detay!$N$9:$N$408,"?*"),1)</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8" i="10" l="1"/>
  <c r="C28" i="10"/>
  <c r="B29" i="10"/>
  <c r="C29" i="10"/>
  <c r="B30" i="10"/>
  <c r="C30" i="10"/>
  <c r="B31" i="10"/>
  <c r="C31" i="10"/>
  <c r="B32" i="10"/>
  <c r="C32" i="10"/>
  <c r="B33" i="10"/>
  <c r="C33" i="10"/>
  <c r="B34" i="10"/>
  <c r="C34" i="10"/>
  <c r="B35" i="10"/>
  <c r="C35" i="10"/>
  <c r="B36" i="10"/>
  <c r="C36" i="10"/>
  <c r="B37" i="10"/>
  <c r="C37" i="10"/>
  <c r="B38" i="10"/>
  <c r="C38" i="10"/>
  <c r="B39" i="10"/>
  <c r="C39" i="10"/>
  <c r="B40" i="10"/>
  <c r="C40" i="10"/>
  <c r="B41" i="10"/>
  <c r="C41" i="10"/>
  <c r="B42" i="10"/>
  <c r="C42" i="10"/>
  <c r="B43" i="10"/>
  <c r="C43" i="10"/>
  <c r="B44" i="10"/>
  <c r="C44" i="10"/>
  <c r="B45" i="10"/>
  <c r="C45" i="10"/>
  <c r="B46" i="10"/>
  <c r="C46" i="10"/>
  <c r="B47" i="10"/>
  <c r="C47" i="10"/>
  <c r="B48" i="10"/>
  <c r="C48" i="10"/>
  <c r="B49" i="10"/>
  <c r="C49" i="10"/>
  <c r="B50" i="10"/>
  <c r="C50" i="10"/>
  <c r="B51" i="10"/>
  <c r="C51" i="10"/>
  <c r="B52" i="10"/>
  <c r="C52" i="10"/>
  <c r="B53" i="10"/>
  <c r="C53" i="10"/>
  <c r="B54" i="10"/>
  <c r="C54" i="10"/>
  <c r="B55" i="10"/>
  <c r="C55" i="10"/>
  <c r="B56" i="10"/>
  <c r="C56" i="10"/>
  <c r="B57" i="10"/>
  <c r="C57" i="10"/>
  <c r="B58" i="10"/>
  <c r="C58" i="10"/>
  <c r="B59" i="10"/>
  <c r="C59" i="10"/>
  <c r="B60" i="10"/>
  <c r="C60" i="10"/>
  <c r="B61" i="10"/>
  <c r="C61" i="10"/>
  <c r="B62" i="10"/>
  <c r="C62" i="10"/>
  <c r="C27" i="10"/>
  <c r="B27" i="10"/>
  <c r="C26" i="10"/>
  <c r="B26" i="10"/>
  <c r="C25" i="10"/>
  <c r="B25" i="10"/>
  <c r="C24" i="10"/>
  <c r="B24" i="10"/>
  <c r="C23" i="10"/>
  <c r="B23" i="10"/>
  <c r="C22" i="10"/>
  <c r="B22" i="10"/>
  <c r="C21" i="10"/>
  <c r="B21" i="10"/>
  <c r="C20" i="10"/>
  <c r="B20" i="10"/>
  <c r="C19" i="10"/>
  <c r="B19" i="10"/>
  <c r="C18" i="10"/>
  <c r="B18" i="10"/>
  <c r="C17" i="10"/>
  <c r="B17" i="10"/>
  <c r="C16" i="10"/>
  <c r="B16" i="10"/>
  <c r="C15" i="10"/>
  <c r="B15" i="10"/>
  <c r="C14" i="10"/>
  <c r="B14" i="10"/>
  <c r="C13" i="10"/>
  <c r="B13" i="10"/>
  <c r="C12" i="10"/>
  <c r="B12" i="10"/>
  <c r="C11" i="10"/>
  <c r="B11" i="10"/>
  <c r="C10" i="10"/>
  <c r="B10" i="10"/>
  <c r="C9" i="10"/>
  <c r="B9" i="10"/>
  <c r="C8" i="10"/>
  <c r="B8" i="10"/>
  <c r="C7" i="10"/>
  <c r="B7" i="10"/>
  <c r="C6" i="10"/>
  <c r="B6" i="10"/>
  <c r="C5" i="10"/>
  <c r="B5" i="10"/>
  <c r="C4" i="10"/>
  <c r="B4" i="10"/>
  <c r="C3" i="10"/>
  <c r="B3" i="10"/>
  <c r="C2" i="10"/>
  <c r="B2" i="10"/>
  <c r="C1" i="10"/>
  <c r="B1" i="10"/>
  <c r="E27" i="9"/>
  <c r="D27" i="9"/>
  <c r="D28" i="9" s="1"/>
  <c r="F26" i="9"/>
  <c r="F25" i="9"/>
  <c r="F24" i="9"/>
  <c r="F23" i="9"/>
  <c r="F22" i="9"/>
  <c r="F21" i="9"/>
  <c r="F20" i="9"/>
  <c r="F19" i="9"/>
  <c r="F18" i="9"/>
  <c r="F17" i="9"/>
  <c r="F16" i="9"/>
  <c r="C15" i="9"/>
  <c r="F14" i="9"/>
  <c r="F13" i="9"/>
  <c r="F12" i="9"/>
  <c r="F11" i="9"/>
  <c r="F10" i="9"/>
  <c r="F9" i="9"/>
  <c r="F8" i="9"/>
  <c r="F7" i="9"/>
  <c r="F6" i="9"/>
  <c r="F5" i="9"/>
  <c r="F4" i="9"/>
  <c r="J5" i="8"/>
  <c r="H5" i="8"/>
  <c r="R346" i="7"/>
  <c r="R345" i="7"/>
  <c r="R344" i="7"/>
  <c r="R343" i="7"/>
  <c r="R342" i="7"/>
  <c r="R341" i="7"/>
  <c r="R340" i="7"/>
  <c r="R339" i="7"/>
  <c r="R338" i="7"/>
  <c r="R337" i="7"/>
  <c r="R336" i="7"/>
  <c r="R335" i="7"/>
  <c r="R334" i="7"/>
  <c r="R333" i="7"/>
  <c r="R332" i="7"/>
  <c r="R331" i="7"/>
  <c r="R330" i="7"/>
  <c r="R329" i="7"/>
  <c r="R328" i="7"/>
  <c r="R327" i="7"/>
  <c r="R326" i="7"/>
  <c r="R325" i="7"/>
  <c r="P325" i="7"/>
  <c r="O325" i="7"/>
  <c r="N325" i="7"/>
  <c r="M325" i="7"/>
  <c r="L325" i="7"/>
  <c r="K325" i="7"/>
  <c r="J325" i="7"/>
  <c r="I325" i="7"/>
  <c r="H325" i="7"/>
  <c r="G325" i="7"/>
  <c r="F325" i="7"/>
  <c r="D325" i="7"/>
  <c r="R324" i="7"/>
  <c r="R323" i="7"/>
  <c r="R322" i="7"/>
  <c r="R321" i="7"/>
  <c r="R320" i="7"/>
  <c r="R319" i="7"/>
  <c r="R318" i="7"/>
  <c r="R317" i="7"/>
  <c r="R316" i="7"/>
  <c r="R315" i="7"/>
  <c r="R314" i="7"/>
  <c r="R313" i="7"/>
  <c r="R312" i="7"/>
  <c r="R311" i="7"/>
  <c r="R310" i="7"/>
  <c r="R309" i="7"/>
  <c r="R308" i="7"/>
  <c r="R307" i="7"/>
  <c r="R306" i="7"/>
  <c r="R305" i="7"/>
  <c r="R304" i="7"/>
  <c r="R303" i="7"/>
  <c r="R302" i="7"/>
  <c r="R301" i="7"/>
  <c r="R300" i="7"/>
  <c r="R299" i="7"/>
  <c r="R298" i="7"/>
  <c r="R297" i="7"/>
  <c r="R296" i="7"/>
  <c r="R295" i="7"/>
  <c r="R294" i="7"/>
  <c r="R293" i="7"/>
  <c r="R292" i="7"/>
  <c r="R291" i="7"/>
  <c r="R290" i="7"/>
  <c r="R289" i="7"/>
  <c r="R288" i="7"/>
  <c r="R287" i="7"/>
  <c r="R286" i="7"/>
  <c r="R285" i="7"/>
  <c r="R284" i="7"/>
  <c r="R283" i="7"/>
  <c r="R282" i="7"/>
  <c r="R281" i="7"/>
  <c r="R280" i="7"/>
  <c r="R279" i="7"/>
  <c r="R278" i="7"/>
  <c r="R277" i="7"/>
  <c r="R276" i="7"/>
  <c r="R275" i="7"/>
  <c r="R274" i="7"/>
  <c r="R273" i="7"/>
  <c r="R272" i="7"/>
  <c r="R271" i="7"/>
  <c r="R270" i="7"/>
  <c r="R269" i="7"/>
  <c r="R268" i="7"/>
  <c r="R267" i="7"/>
  <c r="R266" i="7"/>
  <c r="R265" i="7"/>
  <c r="R264" i="7"/>
  <c r="R263" i="7"/>
  <c r="R262" i="7"/>
  <c r="R261" i="7"/>
  <c r="R260" i="7"/>
  <c r="R259" i="7"/>
  <c r="R258" i="7"/>
  <c r="R257" i="7"/>
  <c r="R256" i="7"/>
  <c r="R255" i="7"/>
  <c r="R254" i="7"/>
  <c r="R253" i="7"/>
  <c r="R252" i="7"/>
  <c r="R251" i="7"/>
  <c r="R250" i="7"/>
  <c r="R249" i="7"/>
  <c r="R248" i="7"/>
  <c r="R247" i="7"/>
  <c r="R246" i="7"/>
  <c r="R245" i="7"/>
  <c r="R244" i="7"/>
  <c r="R243" i="7"/>
  <c r="R242" i="7"/>
  <c r="R241" i="7"/>
  <c r="R240" i="7"/>
  <c r="R239" i="7"/>
  <c r="R238" i="7"/>
  <c r="R237" i="7"/>
  <c r="R236" i="7"/>
  <c r="R235" i="7"/>
  <c r="R234" i="7"/>
  <c r="R233" i="7"/>
  <c r="R232" i="7"/>
  <c r="R231" i="7"/>
  <c r="R230" i="7"/>
  <c r="R229" i="7"/>
  <c r="R228" i="7"/>
  <c r="R227" i="7"/>
  <c r="R226" i="7"/>
  <c r="R225" i="7"/>
  <c r="R224" i="7"/>
  <c r="R223" i="7"/>
  <c r="R222" i="7"/>
  <c r="R221" i="7"/>
  <c r="R220" i="7"/>
  <c r="R219" i="7"/>
  <c r="R218" i="7"/>
  <c r="R217" i="7"/>
  <c r="R216" i="7"/>
  <c r="R215" i="7"/>
  <c r="R214" i="7"/>
  <c r="R213" i="7"/>
  <c r="R212" i="7"/>
  <c r="R211" i="7"/>
  <c r="R210" i="7"/>
  <c r="R209" i="7"/>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P81" i="6"/>
  <c r="O81" i="6"/>
  <c r="N81" i="6"/>
  <c r="M81" i="6"/>
  <c r="L81" i="6"/>
  <c r="K81" i="6"/>
  <c r="J81" i="6"/>
  <c r="I81" i="6"/>
  <c r="H81" i="6"/>
  <c r="G81" i="6"/>
  <c r="F81" i="6"/>
  <c r="E81" i="6"/>
  <c r="D81" i="6"/>
  <c r="C81" i="6"/>
  <c r="B81" i="6"/>
  <c r="P80" i="6"/>
  <c r="O80" i="6"/>
  <c r="N80" i="6"/>
  <c r="M80" i="6"/>
  <c r="L80" i="6"/>
  <c r="K80" i="6"/>
  <c r="J80" i="6"/>
  <c r="I80" i="6"/>
  <c r="H80" i="6"/>
  <c r="G80" i="6"/>
  <c r="F80" i="6"/>
  <c r="E80" i="6"/>
  <c r="D80" i="6"/>
  <c r="C80" i="6"/>
  <c r="B80" i="6"/>
  <c r="P79" i="6"/>
  <c r="O79" i="6"/>
  <c r="N79" i="6"/>
  <c r="M79" i="6"/>
  <c r="L79" i="6"/>
  <c r="K79" i="6"/>
  <c r="J79" i="6"/>
  <c r="I79" i="6"/>
  <c r="H79" i="6"/>
  <c r="G79" i="6"/>
  <c r="F79" i="6"/>
  <c r="E79" i="6"/>
  <c r="D79" i="6"/>
  <c r="C79" i="6"/>
  <c r="B79" i="6"/>
  <c r="P78" i="6"/>
  <c r="O78" i="6"/>
  <c r="N78" i="6"/>
  <c r="M78" i="6"/>
  <c r="L78" i="6"/>
  <c r="K78" i="6"/>
  <c r="J78" i="6"/>
  <c r="I78" i="6"/>
  <c r="H78" i="6"/>
  <c r="G78" i="6"/>
  <c r="F78" i="6"/>
  <c r="E78" i="6"/>
  <c r="D78" i="6"/>
  <c r="C78" i="6"/>
  <c r="B78" i="6"/>
  <c r="Q78" i="6" s="1"/>
  <c r="P77" i="6"/>
  <c r="O77" i="6"/>
  <c r="N77" i="6"/>
  <c r="M77" i="6"/>
  <c r="L77" i="6"/>
  <c r="K77" i="6"/>
  <c r="J77" i="6"/>
  <c r="I77" i="6"/>
  <c r="H77" i="6"/>
  <c r="G77" i="6"/>
  <c r="F77" i="6"/>
  <c r="E77" i="6"/>
  <c r="D77" i="6"/>
  <c r="C77" i="6"/>
  <c r="B77" i="6"/>
  <c r="Q77" i="6" s="1"/>
  <c r="P76" i="6"/>
  <c r="O76" i="6"/>
  <c r="N76" i="6"/>
  <c r="M76" i="6"/>
  <c r="L76" i="6"/>
  <c r="K76" i="6"/>
  <c r="J76" i="6"/>
  <c r="I76" i="6"/>
  <c r="H76" i="6"/>
  <c r="G76" i="6"/>
  <c r="F76" i="6"/>
  <c r="E76" i="6"/>
  <c r="D76" i="6"/>
  <c r="C76" i="6"/>
  <c r="B76" i="6"/>
  <c r="Q76" i="6" s="1"/>
  <c r="P75" i="6"/>
  <c r="O75" i="6"/>
  <c r="N75" i="6"/>
  <c r="M75" i="6"/>
  <c r="L75" i="6"/>
  <c r="K75" i="6"/>
  <c r="J75" i="6"/>
  <c r="I75" i="6"/>
  <c r="H75" i="6"/>
  <c r="G75" i="6"/>
  <c r="F75" i="6"/>
  <c r="E75" i="6"/>
  <c r="D75" i="6"/>
  <c r="C75" i="6"/>
  <c r="B75" i="6"/>
  <c r="P74" i="6"/>
  <c r="O74" i="6"/>
  <c r="N74" i="6"/>
  <c r="M74" i="6"/>
  <c r="L74" i="6"/>
  <c r="K74" i="6"/>
  <c r="J74" i="6"/>
  <c r="I74" i="6"/>
  <c r="H74" i="6"/>
  <c r="G74" i="6"/>
  <c r="F74" i="6"/>
  <c r="E74" i="6"/>
  <c r="D74" i="6"/>
  <c r="C74" i="6"/>
  <c r="B74" i="6"/>
  <c r="Q74" i="6" s="1"/>
  <c r="P73" i="6"/>
  <c r="O73" i="6"/>
  <c r="N73" i="6"/>
  <c r="M73" i="6"/>
  <c r="L73" i="6"/>
  <c r="K73" i="6"/>
  <c r="J73" i="6"/>
  <c r="I73" i="6"/>
  <c r="H73" i="6"/>
  <c r="G73" i="6"/>
  <c r="F73" i="6"/>
  <c r="E73" i="6"/>
  <c r="D73" i="6"/>
  <c r="C73" i="6"/>
  <c r="B73" i="6"/>
  <c r="P72" i="6"/>
  <c r="O72" i="6"/>
  <c r="N72" i="6"/>
  <c r="M72" i="6"/>
  <c r="L72" i="6"/>
  <c r="K72" i="6"/>
  <c r="J72" i="6"/>
  <c r="I72" i="6"/>
  <c r="H72" i="6"/>
  <c r="G72" i="6"/>
  <c r="F72" i="6"/>
  <c r="E72" i="6"/>
  <c r="D72" i="6"/>
  <c r="C72" i="6"/>
  <c r="B72" i="6"/>
  <c r="P71" i="6"/>
  <c r="O71" i="6"/>
  <c r="N71" i="6"/>
  <c r="M71" i="6"/>
  <c r="L71" i="6"/>
  <c r="K71" i="6"/>
  <c r="J71" i="6"/>
  <c r="I71" i="6"/>
  <c r="H71" i="6"/>
  <c r="G71" i="6"/>
  <c r="F71" i="6"/>
  <c r="E71" i="6"/>
  <c r="D71" i="6"/>
  <c r="C71" i="6"/>
  <c r="B71" i="6"/>
  <c r="Q71" i="6" s="1"/>
  <c r="P70" i="6"/>
  <c r="O70" i="6"/>
  <c r="N70" i="6"/>
  <c r="M70" i="6"/>
  <c r="L70" i="6"/>
  <c r="K70" i="6"/>
  <c r="J70" i="6"/>
  <c r="I70" i="6"/>
  <c r="H70" i="6"/>
  <c r="G70" i="6"/>
  <c r="F70" i="6"/>
  <c r="E70" i="6"/>
  <c r="D70" i="6"/>
  <c r="C70" i="6"/>
  <c r="B70" i="6"/>
  <c r="Q70" i="6" s="1"/>
  <c r="P69" i="6"/>
  <c r="O69" i="6"/>
  <c r="N69" i="6"/>
  <c r="M69" i="6"/>
  <c r="L69" i="6"/>
  <c r="K69" i="6"/>
  <c r="J69" i="6"/>
  <c r="I69" i="6"/>
  <c r="H69" i="6"/>
  <c r="G69" i="6"/>
  <c r="F69" i="6"/>
  <c r="E69" i="6"/>
  <c r="D69" i="6"/>
  <c r="C69" i="6"/>
  <c r="B69" i="6"/>
  <c r="P68" i="6"/>
  <c r="O68" i="6"/>
  <c r="N68" i="6"/>
  <c r="M68" i="6"/>
  <c r="L68" i="6"/>
  <c r="K68" i="6"/>
  <c r="J68" i="6"/>
  <c r="I68" i="6"/>
  <c r="H68" i="6"/>
  <c r="G68" i="6"/>
  <c r="F68" i="6"/>
  <c r="E68" i="6"/>
  <c r="D68" i="6"/>
  <c r="C68" i="6"/>
  <c r="B68" i="6"/>
  <c r="Q68" i="6" s="1"/>
  <c r="P67" i="6"/>
  <c r="O67" i="6"/>
  <c r="N67" i="6"/>
  <c r="M67" i="6"/>
  <c r="L67" i="6"/>
  <c r="K67" i="6"/>
  <c r="J67" i="6"/>
  <c r="I67" i="6"/>
  <c r="H67" i="6"/>
  <c r="G67" i="6"/>
  <c r="F67" i="6"/>
  <c r="E67" i="6"/>
  <c r="D67" i="6"/>
  <c r="C67" i="6"/>
  <c r="B67" i="6"/>
  <c r="P66" i="6"/>
  <c r="O66" i="6"/>
  <c r="N66" i="6"/>
  <c r="M66" i="6"/>
  <c r="L66" i="6"/>
  <c r="K66" i="6"/>
  <c r="J66" i="6"/>
  <c r="I66" i="6"/>
  <c r="H66" i="6"/>
  <c r="G66" i="6"/>
  <c r="F66" i="6"/>
  <c r="E66" i="6"/>
  <c r="D66" i="6"/>
  <c r="C66" i="6"/>
  <c r="B66" i="6"/>
  <c r="Q66" i="6" s="1"/>
  <c r="P65" i="6"/>
  <c r="O65" i="6"/>
  <c r="N65" i="6"/>
  <c r="M65" i="6"/>
  <c r="L65" i="6"/>
  <c r="K65" i="6"/>
  <c r="J65" i="6"/>
  <c r="I65" i="6"/>
  <c r="H65" i="6"/>
  <c r="G65" i="6"/>
  <c r="F65" i="6"/>
  <c r="E65" i="6"/>
  <c r="D65" i="6"/>
  <c r="C65" i="6"/>
  <c r="B65" i="6"/>
  <c r="P64" i="6"/>
  <c r="O64" i="6"/>
  <c r="N64" i="6"/>
  <c r="M64" i="6"/>
  <c r="L64" i="6"/>
  <c r="K64" i="6"/>
  <c r="J64" i="6"/>
  <c r="I64" i="6"/>
  <c r="H64" i="6"/>
  <c r="G64" i="6"/>
  <c r="F64" i="6"/>
  <c r="E64" i="6"/>
  <c r="D64" i="6"/>
  <c r="C64" i="6"/>
  <c r="B64" i="6"/>
  <c r="P63" i="6"/>
  <c r="O63" i="6"/>
  <c r="N63" i="6"/>
  <c r="M63" i="6"/>
  <c r="L63" i="6"/>
  <c r="K63" i="6"/>
  <c r="J63" i="6"/>
  <c r="I63" i="6"/>
  <c r="H63" i="6"/>
  <c r="G63" i="6"/>
  <c r="F63" i="6"/>
  <c r="E63" i="6"/>
  <c r="D63" i="6"/>
  <c r="C63" i="6"/>
  <c r="B63" i="6"/>
  <c r="Q63" i="6" s="1"/>
  <c r="P62" i="6"/>
  <c r="O62" i="6"/>
  <c r="N62" i="6"/>
  <c r="M62" i="6"/>
  <c r="L62" i="6"/>
  <c r="K62" i="6"/>
  <c r="J62" i="6"/>
  <c r="I62" i="6"/>
  <c r="H62" i="6"/>
  <c r="G62" i="6"/>
  <c r="F62" i="6"/>
  <c r="E62" i="6"/>
  <c r="D62" i="6"/>
  <c r="C62" i="6"/>
  <c r="B62" i="6"/>
  <c r="P61" i="6"/>
  <c r="O61" i="6"/>
  <c r="N61" i="6"/>
  <c r="M61" i="6"/>
  <c r="L61" i="6"/>
  <c r="K61" i="6"/>
  <c r="J61" i="6"/>
  <c r="I61" i="6"/>
  <c r="H61" i="6"/>
  <c r="G61" i="6"/>
  <c r="F61" i="6"/>
  <c r="E61" i="6"/>
  <c r="D61" i="6"/>
  <c r="C61" i="6"/>
  <c r="B61" i="6"/>
  <c r="Q61" i="6" s="1"/>
  <c r="P60" i="6"/>
  <c r="O60" i="6"/>
  <c r="N60" i="6"/>
  <c r="M60" i="6"/>
  <c r="L60" i="6"/>
  <c r="K60" i="6"/>
  <c r="J60" i="6"/>
  <c r="I60" i="6"/>
  <c r="H60" i="6"/>
  <c r="G60" i="6"/>
  <c r="F60" i="6"/>
  <c r="E60" i="6"/>
  <c r="D60" i="6"/>
  <c r="C60" i="6"/>
  <c r="B60" i="6"/>
  <c r="P59" i="6"/>
  <c r="O59" i="6"/>
  <c r="N59" i="6"/>
  <c r="M59" i="6"/>
  <c r="L59" i="6"/>
  <c r="K59" i="6"/>
  <c r="J59" i="6"/>
  <c r="I59" i="6"/>
  <c r="H59" i="6"/>
  <c r="G59" i="6"/>
  <c r="F59" i="6"/>
  <c r="E59" i="6"/>
  <c r="D59" i="6"/>
  <c r="C59" i="6"/>
  <c r="B59" i="6"/>
  <c r="P58" i="6"/>
  <c r="O58" i="6"/>
  <c r="N58" i="6"/>
  <c r="M58" i="6"/>
  <c r="L58" i="6"/>
  <c r="K58" i="6"/>
  <c r="J58" i="6"/>
  <c r="I58" i="6"/>
  <c r="H58" i="6"/>
  <c r="G58" i="6"/>
  <c r="F58" i="6"/>
  <c r="E58" i="6"/>
  <c r="D58" i="6"/>
  <c r="C58" i="6"/>
  <c r="B58" i="6"/>
  <c r="Q58" i="6" s="1"/>
  <c r="P57" i="6"/>
  <c r="O57" i="6"/>
  <c r="N57" i="6"/>
  <c r="M57" i="6"/>
  <c r="L57" i="6"/>
  <c r="K57" i="6"/>
  <c r="J57" i="6"/>
  <c r="I57" i="6"/>
  <c r="H57" i="6"/>
  <c r="G57" i="6"/>
  <c r="F57" i="6"/>
  <c r="E57" i="6"/>
  <c r="D57" i="6"/>
  <c r="C57" i="6"/>
  <c r="B57" i="6"/>
  <c r="Q57" i="6" s="1"/>
  <c r="P56" i="6"/>
  <c r="O56" i="6"/>
  <c r="N56" i="6"/>
  <c r="M56" i="6"/>
  <c r="L56" i="6"/>
  <c r="K56" i="6"/>
  <c r="J56" i="6"/>
  <c r="I56" i="6"/>
  <c r="H56" i="6"/>
  <c r="G56" i="6"/>
  <c r="F56" i="6"/>
  <c r="E56" i="6"/>
  <c r="D56" i="6"/>
  <c r="C56" i="6"/>
  <c r="B56" i="6"/>
  <c r="Q56" i="6" s="1"/>
  <c r="P55" i="6"/>
  <c r="O55" i="6"/>
  <c r="N55" i="6"/>
  <c r="M55" i="6"/>
  <c r="L55" i="6"/>
  <c r="K55" i="6"/>
  <c r="J55" i="6"/>
  <c r="I55" i="6"/>
  <c r="H55" i="6"/>
  <c r="G55" i="6"/>
  <c r="F55" i="6"/>
  <c r="E55" i="6"/>
  <c r="D55" i="6"/>
  <c r="C55" i="6"/>
  <c r="B55" i="6"/>
  <c r="P54" i="6"/>
  <c r="O54" i="6"/>
  <c r="N54" i="6"/>
  <c r="M54" i="6"/>
  <c r="L54" i="6"/>
  <c r="K54" i="6"/>
  <c r="J54" i="6"/>
  <c r="I54" i="6"/>
  <c r="H54" i="6"/>
  <c r="G54" i="6"/>
  <c r="F54" i="6"/>
  <c r="E54" i="6"/>
  <c r="D54" i="6"/>
  <c r="C54" i="6"/>
  <c r="B54" i="6"/>
  <c r="P53" i="6"/>
  <c r="O53" i="6"/>
  <c r="N53" i="6"/>
  <c r="M53" i="6"/>
  <c r="L53" i="6"/>
  <c r="K53" i="6"/>
  <c r="J53" i="6"/>
  <c r="I53" i="6"/>
  <c r="H53" i="6"/>
  <c r="G53" i="6"/>
  <c r="F53" i="6"/>
  <c r="E53" i="6"/>
  <c r="D53" i="6"/>
  <c r="C53" i="6"/>
  <c r="B53" i="6"/>
  <c r="P52" i="6"/>
  <c r="O52" i="6"/>
  <c r="N52" i="6"/>
  <c r="M52" i="6"/>
  <c r="L52" i="6"/>
  <c r="K52" i="6"/>
  <c r="J52" i="6"/>
  <c r="I52" i="6"/>
  <c r="H52" i="6"/>
  <c r="G52" i="6"/>
  <c r="F52" i="6"/>
  <c r="E52" i="6"/>
  <c r="D52" i="6"/>
  <c r="C52" i="6"/>
  <c r="B52" i="6"/>
  <c r="P51" i="6"/>
  <c r="O51" i="6"/>
  <c r="N51" i="6"/>
  <c r="M51" i="6"/>
  <c r="L51" i="6"/>
  <c r="K51" i="6"/>
  <c r="J51" i="6"/>
  <c r="I51" i="6"/>
  <c r="H51" i="6"/>
  <c r="G51" i="6"/>
  <c r="F51" i="6"/>
  <c r="E51" i="6"/>
  <c r="D51" i="6"/>
  <c r="C51" i="6"/>
  <c r="B51" i="6"/>
  <c r="P50" i="6"/>
  <c r="O50" i="6"/>
  <c r="N50" i="6"/>
  <c r="M50" i="6"/>
  <c r="L50" i="6"/>
  <c r="K50" i="6"/>
  <c r="J50" i="6"/>
  <c r="I50" i="6"/>
  <c r="H50" i="6"/>
  <c r="G50" i="6"/>
  <c r="F50" i="6"/>
  <c r="E50" i="6"/>
  <c r="D50" i="6"/>
  <c r="C50" i="6"/>
  <c r="B50" i="6"/>
  <c r="P49" i="6"/>
  <c r="O49" i="6"/>
  <c r="N49" i="6"/>
  <c r="M49" i="6"/>
  <c r="L49" i="6"/>
  <c r="K49" i="6"/>
  <c r="J49" i="6"/>
  <c r="I49" i="6"/>
  <c r="H49" i="6"/>
  <c r="G49" i="6"/>
  <c r="F49" i="6"/>
  <c r="E49" i="6"/>
  <c r="D49" i="6"/>
  <c r="C49" i="6"/>
  <c r="B49" i="6"/>
  <c r="P48" i="6"/>
  <c r="O48" i="6"/>
  <c r="N48" i="6"/>
  <c r="M48" i="6"/>
  <c r="L48" i="6"/>
  <c r="K48" i="6"/>
  <c r="J48" i="6"/>
  <c r="I48" i="6"/>
  <c r="H48" i="6"/>
  <c r="G48" i="6"/>
  <c r="F48" i="6"/>
  <c r="E48" i="6"/>
  <c r="D48" i="6"/>
  <c r="C48" i="6"/>
  <c r="B48" i="6"/>
  <c r="Q48" i="6" s="1"/>
  <c r="P47" i="6"/>
  <c r="O47" i="6"/>
  <c r="N47" i="6"/>
  <c r="M47" i="6"/>
  <c r="L47" i="6"/>
  <c r="K47" i="6"/>
  <c r="J47" i="6"/>
  <c r="I47" i="6"/>
  <c r="H47" i="6"/>
  <c r="G47" i="6"/>
  <c r="F47" i="6"/>
  <c r="E47" i="6"/>
  <c r="D47" i="6"/>
  <c r="C47" i="6"/>
  <c r="B47" i="6"/>
  <c r="Q47" i="6" s="1"/>
  <c r="P46" i="6"/>
  <c r="O46" i="6"/>
  <c r="N46" i="6"/>
  <c r="M46" i="6"/>
  <c r="L46" i="6"/>
  <c r="K46" i="6"/>
  <c r="J46" i="6"/>
  <c r="I46" i="6"/>
  <c r="H46" i="6"/>
  <c r="G46" i="6"/>
  <c r="F46" i="6"/>
  <c r="E46" i="6"/>
  <c r="D46" i="6"/>
  <c r="C46" i="6"/>
  <c r="B46" i="6"/>
  <c r="Q46" i="6" s="1"/>
  <c r="P45" i="6"/>
  <c r="O45" i="6"/>
  <c r="N45" i="6"/>
  <c r="M45" i="6"/>
  <c r="L45" i="6"/>
  <c r="K45" i="6"/>
  <c r="J45" i="6"/>
  <c r="I45" i="6"/>
  <c r="H45" i="6"/>
  <c r="G45" i="6"/>
  <c r="F45" i="6"/>
  <c r="E45" i="6"/>
  <c r="D45" i="6"/>
  <c r="C45" i="6"/>
  <c r="B45" i="6"/>
  <c r="P44" i="6"/>
  <c r="O44" i="6"/>
  <c r="N44" i="6"/>
  <c r="M44" i="6"/>
  <c r="L44" i="6"/>
  <c r="K44" i="6"/>
  <c r="J44" i="6"/>
  <c r="I44" i="6"/>
  <c r="H44" i="6"/>
  <c r="G44" i="6"/>
  <c r="F44" i="6"/>
  <c r="E44" i="6"/>
  <c r="D44" i="6"/>
  <c r="C44" i="6"/>
  <c r="B44" i="6"/>
  <c r="Q44" i="6" s="1"/>
  <c r="P43" i="6"/>
  <c r="O43" i="6"/>
  <c r="N43" i="6"/>
  <c r="M43" i="6"/>
  <c r="L43" i="6"/>
  <c r="K43" i="6"/>
  <c r="J43" i="6"/>
  <c r="I43" i="6"/>
  <c r="H43" i="6"/>
  <c r="G43" i="6"/>
  <c r="F43" i="6"/>
  <c r="E43" i="6"/>
  <c r="D43" i="6"/>
  <c r="C43" i="6"/>
  <c r="B43" i="6"/>
  <c r="P42" i="6"/>
  <c r="O42" i="6"/>
  <c r="N42" i="6"/>
  <c r="M42" i="6"/>
  <c r="L42" i="6"/>
  <c r="K42" i="6"/>
  <c r="J42" i="6"/>
  <c r="I42" i="6"/>
  <c r="H42" i="6"/>
  <c r="G42" i="6"/>
  <c r="F42" i="6"/>
  <c r="E42" i="6"/>
  <c r="D42" i="6"/>
  <c r="C42" i="6"/>
  <c r="B42" i="6"/>
  <c r="Q42" i="6" s="1"/>
  <c r="P41" i="6"/>
  <c r="O41" i="6"/>
  <c r="N41" i="6"/>
  <c r="M41" i="6"/>
  <c r="L41" i="6"/>
  <c r="K41" i="6"/>
  <c r="J41" i="6"/>
  <c r="I41" i="6"/>
  <c r="H41" i="6"/>
  <c r="G41" i="6"/>
  <c r="F41" i="6"/>
  <c r="E41" i="6"/>
  <c r="D41" i="6"/>
  <c r="C41" i="6"/>
  <c r="B41" i="6"/>
  <c r="Q41" i="6" s="1"/>
  <c r="P40" i="6"/>
  <c r="O40" i="6"/>
  <c r="N40" i="6"/>
  <c r="M40" i="6"/>
  <c r="L40" i="6"/>
  <c r="K40" i="6"/>
  <c r="J40" i="6"/>
  <c r="I40" i="6"/>
  <c r="H40" i="6"/>
  <c r="G40" i="6"/>
  <c r="F40" i="6"/>
  <c r="E40" i="6"/>
  <c r="D40" i="6"/>
  <c r="C40" i="6"/>
  <c r="B40" i="6"/>
  <c r="Q40" i="6" s="1"/>
  <c r="P39" i="6"/>
  <c r="O39" i="6"/>
  <c r="N39" i="6"/>
  <c r="M39" i="6"/>
  <c r="L39" i="6"/>
  <c r="K39" i="6"/>
  <c r="J39" i="6"/>
  <c r="I39" i="6"/>
  <c r="H39" i="6"/>
  <c r="G39" i="6"/>
  <c r="F39" i="6"/>
  <c r="E39" i="6"/>
  <c r="D39" i="6"/>
  <c r="C39" i="6"/>
  <c r="B39" i="6"/>
  <c r="P38" i="6"/>
  <c r="O38" i="6"/>
  <c r="N38" i="6"/>
  <c r="M38" i="6"/>
  <c r="L38" i="6"/>
  <c r="K38" i="6"/>
  <c r="J38" i="6"/>
  <c r="I38" i="6"/>
  <c r="H38" i="6"/>
  <c r="G38" i="6"/>
  <c r="F38" i="6"/>
  <c r="E38" i="6"/>
  <c r="D38" i="6"/>
  <c r="C38" i="6"/>
  <c r="B38" i="6"/>
  <c r="Q38" i="6" s="1"/>
  <c r="P37" i="6"/>
  <c r="O37" i="6"/>
  <c r="N37" i="6"/>
  <c r="M37" i="6"/>
  <c r="L37" i="6"/>
  <c r="K37" i="6"/>
  <c r="J37" i="6"/>
  <c r="I37" i="6"/>
  <c r="H37" i="6"/>
  <c r="G37" i="6"/>
  <c r="F37" i="6"/>
  <c r="E37" i="6"/>
  <c r="D37" i="6"/>
  <c r="C37" i="6"/>
  <c r="B37" i="6"/>
  <c r="Q37" i="6" s="1"/>
  <c r="P36" i="6"/>
  <c r="O36" i="6"/>
  <c r="N36" i="6"/>
  <c r="M36" i="6"/>
  <c r="L36" i="6"/>
  <c r="K36" i="6"/>
  <c r="J36" i="6"/>
  <c r="I36" i="6"/>
  <c r="H36" i="6"/>
  <c r="G36" i="6"/>
  <c r="F36" i="6"/>
  <c r="E36" i="6"/>
  <c r="D36" i="6"/>
  <c r="C36" i="6"/>
  <c r="B36" i="6"/>
  <c r="P35" i="6"/>
  <c r="O35" i="6"/>
  <c r="N35" i="6"/>
  <c r="M35" i="6"/>
  <c r="L35" i="6"/>
  <c r="K35" i="6"/>
  <c r="J35" i="6"/>
  <c r="I35" i="6"/>
  <c r="H35" i="6"/>
  <c r="G35" i="6"/>
  <c r="F35" i="6"/>
  <c r="E35" i="6"/>
  <c r="D35" i="6"/>
  <c r="C35" i="6"/>
  <c r="B35" i="6"/>
  <c r="P34" i="6"/>
  <c r="O34" i="6"/>
  <c r="N34" i="6"/>
  <c r="M34" i="6"/>
  <c r="L34" i="6"/>
  <c r="K34" i="6"/>
  <c r="J34" i="6"/>
  <c r="I34" i="6"/>
  <c r="H34" i="6"/>
  <c r="G34" i="6"/>
  <c r="F34" i="6"/>
  <c r="E34" i="6"/>
  <c r="D34" i="6"/>
  <c r="C34" i="6"/>
  <c r="B34" i="6"/>
  <c r="P33" i="6"/>
  <c r="O33" i="6"/>
  <c r="N33" i="6"/>
  <c r="M33" i="6"/>
  <c r="L33" i="6"/>
  <c r="K33" i="6"/>
  <c r="J33" i="6"/>
  <c r="I33" i="6"/>
  <c r="H33" i="6"/>
  <c r="G33" i="6"/>
  <c r="F33" i="6"/>
  <c r="E33" i="6"/>
  <c r="D33" i="6"/>
  <c r="C33" i="6"/>
  <c r="B33" i="6"/>
  <c r="P32" i="6"/>
  <c r="O32" i="6"/>
  <c r="N32" i="6"/>
  <c r="M32" i="6"/>
  <c r="L32" i="6"/>
  <c r="K32" i="6"/>
  <c r="J32" i="6"/>
  <c r="I32" i="6"/>
  <c r="H32" i="6"/>
  <c r="G32" i="6"/>
  <c r="F32" i="6"/>
  <c r="E32" i="6"/>
  <c r="D32" i="6"/>
  <c r="C32" i="6"/>
  <c r="B32" i="6"/>
  <c r="P31" i="6"/>
  <c r="O31" i="6"/>
  <c r="N31" i="6"/>
  <c r="M31" i="6"/>
  <c r="L31" i="6"/>
  <c r="K31" i="6"/>
  <c r="J31" i="6"/>
  <c r="I31" i="6"/>
  <c r="H31" i="6"/>
  <c r="G31" i="6"/>
  <c r="F31" i="6"/>
  <c r="E31" i="6"/>
  <c r="D31" i="6"/>
  <c r="C31" i="6"/>
  <c r="B31" i="6"/>
  <c r="Q31" i="6" s="1"/>
  <c r="P30" i="6"/>
  <c r="O30" i="6"/>
  <c r="N30" i="6"/>
  <c r="M30" i="6"/>
  <c r="L30" i="6"/>
  <c r="K30" i="6"/>
  <c r="J30" i="6"/>
  <c r="I30" i="6"/>
  <c r="H30" i="6"/>
  <c r="G30" i="6"/>
  <c r="F30" i="6"/>
  <c r="E30" i="6"/>
  <c r="D30" i="6"/>
  <c r="C30" i="6"/>
  <c r="B30" i="6"/>
  <c r="Q30" i="6" s="1"/>
  <c r="P29" i="6"/>
  <c r="O29" i="6"/>
  <c r="N29" i="6"/>
  <c r="M29" i="6"/>
  <c r="L29" i="6"/>
  <c r="K29" i="6"/>
  <c r="J29" i="6"/>
  <c r="I29" i="6"/>
  <c r="H29" i="6"/>
  <c r="G29" i="6"/>
  <c r="F29" i="6"/>
  <c r="E29" i="6"/>
  <c r="D29" i="6"/>
  <c r="C29" i="6"/>
  <c r="B29" i="6"/>
  <c r="P28" i="6"/>
  <c r="O28" i="6"/>
  <c r="N28" i="6"/>
  <c r="M28" i="6"/>
  <c r="L28" i="6"/>
  <c r="K28" i="6"/>
  <c r="J28" i="6"/>
  <c r="I28" i="6"/>
  <c r="H28" i="6"/>
  <c r="G28" i="6"/>
  <c r="F28" i="6"/>
  <c r="E28" i="6"/>
  <c r="D28" i="6"/>
  <c r="C28" i="6"/>
  <c r="B28" i="6"/>
  <c r="Q28" i="6" s="1"/>
  <c r="P27" i="6"/>
  <c r="O27" i="6"/>
  <c r="N27" i="6"/>
  <c r="M27" i="6"/>
  <c r="L27" i="6"/>
  <c r="K27" i="6"/>
  <c r="J27" i="6"/>
  <c r="I27" i="6"/>
  <c r="H27" i="6"/>
  <c r="G27" i="6"/>
  <c r="F27" i="6"/>
  <c r="E27" i="6"/>
  <c r="D27" i="6"/>
  <c r="C27" i="6"/>
  <c r="B27" i="6"/>
  <c r="P26" i="6"/>
  <c r="O26" i="6"/>
  <c r="N26" i="6"/>
  <c r="M26" i="6"/>
  <c r="L26" i="6"/>
  <c r="K26" i="6"/>
  <c r="J26" i="6"/>
  <c r="I26" i="6"/>
  <c r="H26" i="6"/>
  <c r="G26" i="6"/>
  <c r="F26" i="6"/>
  <c r="E26" i="6"/>
  <c r="D26" i="6"/>
  <c r="C26" i="6"/>
  <c r="B26" i="6"/>
  <c r="Q26" i="6" s="1"/>
  <c r="P25" i="6"/>
  <c r="O25" i="6"/>
  <c r="N25" i="6"/>
  <c r="M25" i="6"/>
  <c r="L25" i="6"/>
  <c r="K25" i="6"/>
  <c r="J25" i="6"/>
  <c r="I25" i="6"/>
  <c r="H25" i="6"/>
  <c r="G25" i="6"/>
  <c r="F25" i="6"/>
  <c r="E25" i="6"/>
  <c r="D25" i="6"/>
  <c r="C25" i="6"/>
  <c r="B25" i="6"/>
  <c r="Q25" i="6" s="1"/>
  <c r="P24" i="6"/>
  <c r="O24" i="6"/>
  <c r="N24" i="6"/>
  <c r="M24" i="6"/>
  <c r="L24" i="6"/>
  <c r="K24" i="6"/>
  <c r="J24" i="6"/>
  <c r="I24" i="6"/>
  <c r="H24" i="6"/>
  <c r="G24" i="6"/>
  <c r="F24" i="6"/>
  <c r="E24" i="6"/>
  <c r="D24" i="6"/>
  <c r="C24" i="6"/>
  <c r="B24" i="6"/>
  <c r="P23" i="6"/>
  <c r="O23" i="6"/>
  <c r="N23" i="6"/>
  <c r="M23" i="6"/>
  <c r="L23" i="6"/>
  <c r="K23" i="6"/>
  <c r="J23" i="6"/>
  <c r="I23" i="6"/>
  <c r="H23" i="6"/>
  <c r="G23" i="6"/>
  <c r="F23" i="6"/>
  <c r="E23" i="6"/>
  <c r="D23" i="6"/>
  <c r="C23" i="6"/>
  <c r="B23" i="6"/>
  <c r="P22" i="6"/>
  <c r="O22" i="6"/>
  <c r="N22" i="6"/>
  <c r="M22" i="6"/>
  <c r="L22" i="6"/>
  <c r="K22" i="6"/>
  <c r="J22" i="6"/>
  <c r="I22" i="6"/>
  <c r="H22" i="6"/>
  <c r="G22" i="6"/>
  <c r="F22" i="6"/>
  <c r="E22" i="6"/>
  <c r="D22" i="6"/>
  <c r="C22" i="6"/>
  <c r="B22" i="6"/>
  <c r="Q22" i="6" s="1"/>
  <c r="P21" i="6"/>
  <c r="O21" i="6"/>
  <c r="N21" i="6"/>
  <c r="M21" i="6"/>
  <c r="L21" i="6"/>
  <c r="K21" i="6"/>
  <c r="J21" i="6"/>
  <c r="I21" i="6"/>
  <c r="H21" i="6"/>
  <c r="G21" i="6"/>
  <c r="F21" i="6"/>
  <c r="E21" i="6"/>
  <c r="D21" i="6"/>
  <c r="C21" i="6"/>
  <c r="B21" i="6"/>
  <c r="Q21" i="6" s="1"/>
  <c r="P20" i="6"/>
  <c r="O20" i="6"/>
  <c r="N20" i="6"/>
  <c r="M20" i="6"/>
  <c r="L20" i="6"/>
  <c r="K20" i="6"/>
  <c r="J20" i="6"/>
  <c r="I20" i="6"/>
  <c r="H20" i="6"/>
  <c r="G20" i="6"/>
  <c r="F20" i="6"/>
  <c r="E20" i="6"/>
  <c r="D20" i="6"/>
  <c r="C20" i="6"/>
  <c r="B20" i="6"/>
  <c r="P19" i="6"/>
  <c r="O19" i="6"/>
  <c r="N19" i="6"/>
  <c r="M19" i="6"/>
  <c r="L19" i="6"/>
  <c r="K19" i="6"/>
  <c r="J19" i="6"/>
  <c r="I19" i="6"/>
  <c r="H19" i="6"/>
  <c r="G19" i="6"/>
  <c r="F19" i="6"/>
  <c r="E19" i="6"/>
  <c r="D19" i="6"/>
  <c r="C19" i="6"/>
  <c r="B19" i="6"/>
  <c r="P18" i="6"/>
  <c r="O18" i="6"/>
  <c r="N18" i="6"/>
  <c r="M18" i="6"/>
  <c r="L18" i="6"/>
  <c r="K18" i="6"/>
  <c r="J18" i="6"/>
  <c r="I18" i="6"/>
  <c r="H18" i="6"/>
  <c r="G18" i="6"/>
  <c r="F18" i="6"/>
  <c r="E18" i="6"/>
  <c r="D18" i="6"/>
  <c r="C18" i="6"/>
  <c r="B18" i="6"/>
  <c r="Q18" i="6" s="1"/>
  <c r="P17" i="6"/>
  <c r="O17" i="6"/>
  <c r="N17" i="6"/>
  <c r="M17" i="6"/>
  <c r="L17" i="6"/>
  <c r="K17" i="6"/>
  <c r="J17" i="6"/>
  <c r="I17" i="6"/>
  <c r="H17" i="6"/>
  <c r="G17" i="6"/>
  <c r="F17" i="6"/>
  <c r="E17" i="6"/>
  <c r="D17" i="6"/>
  <c r="C17" i="6"/>
  <c r="B17" i="6"/>
  <c r="Q17" i="6" s="1"/>
  <c r="P16" i="6"/>
  <c r="O16" i="6"/>
  <c r="N16" i="6"/>
  <c r="M16" i="6"/>
  <c r="L16" i="6"/>
  <c r="K16" i="6"/>
  <c r="J16" i="6"/>
  <c r="I16" i="6"/>
  <c r="H16" i="6"/>
  <c r="G16" i="6"/>
  <c r="F16" i="6"/>
  <c r="E16" i="6"/>
  <c r="D16" i="6"/>
  <c r="C16" i="6"/>
  <c r="B16" i="6"/>
  <c r="P15" i="6"/>
  <c r="O15" i="6"/>
  <c r="N15" i="6"/>
  <c r="M15" i="6"/>
  <c r="L15" i="6"/>
  <c r="K15" i="6"/>
  <c r="J15" i="6"/>
  <c r="I15" i="6"/>
  <c r="H15" i="6"/>
  <c r="G15" i="6"/>
  <c r="F15" i="6"/>
  <c r="E15" i="6"/>
  <c r="D15" i="6"/>
  <c r="C15" i="6"/>
  <c r="B15" i="6"/>
  <c r="P14" i="6"/>
  <c r="O14" i="6"/>
  <c r="N14" i="6"/>
  <c r="M14" i="6"/>
  <c r="L14" i="6"/>
  <c r="K14" i="6"/>
  <c r="J14" i="6"/>
  <c r="I14" i="6"/>
  <c r="H14" i="6"/>
  <c r="G14" i="6"/>
  <c r="F14" i="6"/>
  <c r="E14" i="6"/>
  <c r="D14" i="6"/>
  <c r="C14" i="6"/>
  <c r="B14" i="6"/>
  <c r="P13" i="6"/>
  <c r="O13" i="6"/>
  <c r="N13" i="6"/>
  <c r="M13" i="6"/>
  <c r="L13" i="6"/>
  <c r="K13" i="6"/>
  <c r="J13" i="6"/>
  <c r="I13" i="6"/>
  <c r="H13" i="6"/>
  <c r="G13" i="6"/>
  <c r="F13" i="6"/>
  <c r="E13" i="6"/>
  <c r="D13" i="6"/>
  <c r="C13" i="6"/>
  <c r="B13" i="6"/>
  <c r="P12" i="6"/>
  <c r="O12" i="6"/>
  <c r="N12" i="6"/>
  <c r="M12" i="6"/>
  <c r="L12" i="6"/>
  <c r="K12" i="6"/>
  <c r="J12" i="6"/>
  <c r="I12" i="6"/>
  <c r="H12" i="6"/>
  <c r="G12" i="6"/>
  <c r="F12" i="6"/>
  <c r="E12" i="6"/>
  <c r="D12" i="6"/>
  <c r="C12" i="6"/>
  <c r="B12" i="6"/>
  <c r="P11" i="6"/>
  <c r="O11" i="6"/>
  <c r="N11" i="6"/>
  <c r="M11" i="6"/>
  <c r="L11" i="6"/>
  <c r="K11" i="6"/>
  <c r="J11" i="6"/>
  <c r="I11" i="6"/>
  <c r="H11" i="6"/>
  <c r="G11" i="6"/>
  <c r="F11" i="6"/>
  <c r="E11" i="6"/>
  <c r="D11" i="6"/>
  <c r="C11" i="6"/>
  <c r="B11" i="6"/>
  <c r="P10" i="6"/>
  <c r="O10" i="6"/>
  <c r="N10" i="6"/>
  <c r="M10" i="6"/>
  <c r="L10" i="6"/>
  <c r="K10" i="6"/>
  <c r="J10" i="6"/>
  <c r="I10" i="6"/>
  <c r="H10" i="6"/>
  <c r="G10" i="6"/>
  <c r="F10" i="6"/>
  <c r="E10" i="6"/>
  <c r="D10" i="6"/>
  <c r="C10" i="6"/>
  <c r="B10" i="6"/>
  <c r="P9" i="6"/>
  <c r="O9" i="6"/>
  <c r="N9" i="6"/>
  <c r="M9" i="6"/>
  <c r="L9" i="6"/>
  <c r="K9" i="6"/>
  <c r="J9" i="6"/>
  <c r="I9" i="6"/>
  <c r="H9" i="6"/>
  <c r="G9" i="6"/>
  <c r="F9" i="6"/>
  <c r="E9" i="6"/>
  <c r="D9" i="6"/>
  <c r="C9" i="6"/>
  <c r="B9" i="6"/>
  <c r="Q9" i="6" s="1"/>
  <c r="P8" i="6"/>
  <c r="O8" i="6"/>
  <c r="N8" i="6"/>
  <c r="M8" i="6"/>
  <c r="L8" i="6"/>
  <c r="K8" i="6"/>
  <c r="J8" i="6"/>
  <c r="I8" i="6"/>
  <c r="H8" i="6"/>
  <c r="G8" i="6"/>
  <c r="F8" i="6"/>
  <c r="E8" i="6"/>
  <c r="D8" i="6"/>
  <c r="C8" i="6"/>
  <c r="B8" i="6"/>
  <c r="P7" i="6"/>
  <c r="O7" i="6"/>
  <c r="N7" i="6"/>
  <c r="M7" i="6"/>
  <c r="L7" i="6"/>
  <c r="K7" i="6"/>
  <c r="J7" i="6"/>
  <c r="I7" i="6"/>
  <c r="H7" i="6"/>
  <c r="G7" i="6"/>
  <c r="F7" i="6"/>
  <c r="E7" i="6"/>
  <c r="D7" i="6"/>
  <c r="C7" i="6"/>
  <c r="B7" i="6"/>
  <c r="P6" i="6"/>
  <c r="O6" i="6"/>
  <c r="N6" i="6"/>
  <c r="M6" i="6"/>
  <c r="L6" i="6"/>
  <c r="K6" i="6"/>
  <c r="J6" i="6"/>
  <c r="I6" i="6"/>
  <c r="H6" i="6"/>
  <c r="G6" i="6"/>
  <c r="F6" i="6"/>
  <c r="E6" i="6"/>
  <c r="D6" i="6"/>
  <c r="C6" i="6"/>
  <c r="B6" i="6"/>
  <c r="P5" i="6"/>
  <c r="O5" i="6"/>
  <c r="N5" i="6"/>
  <c r="M5" i="6"/>
  <c r="L5" i="6"/>
  <c r="K5" i="6"/>
  <c r="J5" i="6"/>
  <c r="I5" i="6"/>
  <c r="H5" i="6"/>
  <c r="G5" i="6"/>
  <c r="F5" i="6"/>
  <c r="E5" i="6"/>
  <c r="D5" i="6"/>
  <c r="C5" i="6"/>
  <c r="B5" i="6"/>
  <c r="Q5" i="6" s="1"/>
  <c r="P4" i="6"/>
  <c r="O4" i="6"/>
  <c r="N4" i="6"/>
  <c r="M4" i="6"/>
  <c r="L4" i="6"/>
  <c r="K4" i="6"/>
  <c r="J4" i="6"/>
  <c r="I4" i="6"/>
  <c r="H4" i="6"/>
  <c r="G4" i="6"/>
  <c r="F4" i="6"/>
  <c r="E4" i="6"/>
  <c r="D4" i="6"/>
  <c r="C4" i="6"/>
  <c r="B4" i="6"/>
  <c r="P3" i="6"/>
  <c r="O3" i="6"/>
  <c r="N3" i="6"/>
  <c r="M3" i="6"/>
  <c r="L3" i="6"/>
  <c r="K3" i="6"/>
  <c r="J3" i="6"/>
  <c r="I3" i="6"/>
  <c r="H3" i="6"/>
  <c r="G3" i="6"/>
  <c r="F3" i="6"/>
  <c r="E3" i="6"/>
  <c r="D3" i="6"/>
  <c r="C3" i="6"/>
  <c r="B3" i="6"/>
  <c r="R86" i="5"/>
  <c r="R85" i="5"/>
  <c r="R84" i="5"/>
  <c r="P84" i="5"/>
  <c r="O84" i="5"/>
  <c r="N84" i="5"/>
  <c r="M84" i="5"/>
  <c r="L84" i="5"/>
  <c r="K84" i="5"/>
  <c r="J84" i="5"/>
  <c r="I84" i="5"/>
  <c r="H84" i="5"/>
  <c r="G84" i="5"/>
  <c r="F84" i="5"/>
  <c r="D84" i="5"/>
  <c r="R80" i="5"/>
  <c r="R79" i="5"/>
  <c r="R78" i="5"/>
  <c r="R77" i="5"/>
  <c r="R76" i="5"/>
  <c r="R75" i="5"/>
  <c r="R74" i="5"/>
  <c r="R73" i="5"/>
  <c r="R72" i="5"/>
  <c r="R71" i="5"/>
  <c r="R70" i="5"/>
  <c r="R69" i="5"/>
  <c r="R68" i="5"/>
  <c r="R67" i="5"/>
  <c r="R66" i="5"/>
  <c r="R65" i="5"/>
  <c r="R64" i="5"/>
  <c r="R63" i="5"/>
  <c r="R62" i="5"/>
  <c r="R61" i="5"/>
  <c r="R60" i="5"/>
  <c r="R59" i="5"/>
  <c r="R58" i="5"/>
  <c r="R57" i="5"/>
  <c r="R56" i="5"/>
  <c r="R55" i="5"/>
  <c r="R54" i="5"/>
  <c r="R53" i="5"/>
  <c r="R52" i="5"/>
  <c r="R51" i="5"/>
  <c r="R50" i="5"/>
  <c r="R49" i="5"/>
  <c r="R48" i="5"/>
  <c r="R47" i="5"/>
  <c r="R46" i="5"/>
  <c r="R45" i="5"/>
  <c r="R44" i="5"/>
  <c r="R43" i="5"/>
  <c r="R42" i="5"/>
  <c r="R41" i="5"/>
  <c r="R40" i="5"/>
  <c r="R39" i="5"/>
  <c r="R38" i="5"/>
  <c r="R37" i="5"/>
  <c r="R36" i="5"/>
  <c r="R35" i="5"/>
  <c r="R34" i="5"/>
  <c r="R33" i="5"/>
  <c r="R32" i="5"/>
  <c r="R31" i="5"/>
  <c r="R30" i="5"/>
  <c r="R29" i="5"/>
  <c r="R28" i="5"/>
  <c r="R27" i="5"/>
  <c r="R26" i="5"/>
  <c r="R25" i="5"/>
  <c r="R24" i="5"/>
  <c r="R23" i="5"/>
  <c r="R22" i="5"/>
  <c r="R21" i="5"/>
  <c r="R20" i="5"/>
  <c r="R19" i="5"/>
  <c r="R18" i="5"/>
  <c r="R17" i="5"/>
  <c r="R16" i="5"/>
  <c r="R15" i="5"/>
  <c r="R14" i="5"/>
  <c r="R13" i="5"/>
  <c r="R12" i="5"/>
  <c r="R11" i="5"/>
  <c r="R10" i="5"/>
  <c r="R9" i="5"/>
  <c r="R8" i="5"/>
  <c r="R7" i="5"/>
  <c r="R6" i="5"/>
  <c r="C35" i="4"/>
  <c r="C34" i="4"/>
  <c r="C33" i="4"/>
  <c r="C32" i="4"/>
  <c r="C31" i="4"/>
  <c r="C30" i="4"/>
  <c r="C29" i="4"/>
  <c r="C28" i="4"/>
  <c r="C24" i="4"/>
  <c r="C23" i="4"/>
  <c r="C22" i="4"/>
  <c r="C21" i="4"/>
  <c r="C16" i="4"/>
  <c r="AT14" i="4"/>
  <c r="AS14" i="4"/>
  <c r="C14"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T15" i="4" s="1"/>
  <c r="AS3" i="4"/>
  <c r="AS15" i="4" s="1"/>
  <c r="C3" i="4"/>
  <c r="K18" i="3"/>
  <c r="J18" i="3"/>
  <c r="I18" i="3"/>
  <c r="H18" i="3"/>
  <c r="G18" i="3"/>
  <c r="F18" i="3"/>
  <c r="E18" i="3"/>
  <c r="D18" i="3"/>
  <c r="C18" i="3"/>
  <c r="A18" i="3"/>
  <c r="K17" i="3"/>
  <c r="J17" i="3"/>
  <c r="I17" i="3"/>
  <c r="H17" i="3"/>
  <c r="G17" i="3"/>
  <c r="F17" i="3"/>
  <c r="E17" i="3"/>
  <c r="D17" i="3"/>
  <c r="L17" i="3" s="1"/>
  <c r="M17" i="3" s="1"/>
  <c r="C17" i="3"/>
  <c r="A17" i="3"/>
  <c r="K16" i="3"/>
  <c r="J16" i="3"/>
  <c r="I16" i="3"/>
  <c r="H16" i="3"/>
  <c r="G16" i="3"/>
  <c r="F16" i="3"/>
  <c r="E16" i="3"/>
  <c r="D16" i="3"/>
  <c r="C16" i="3"/>
  <c r="A16" i="3"/>
  <c r="K15" i="3"/>
  <c r="J15" i="3"/>
  <c r="I15" i="3"/>
  <c r="H15" i="3"/>
  <c r="G15" i="3"/>
  <c r="F15" i="3"/>
  <c r="E15" i="3"/>
  <c r="D15" i="3"/>
  <c r="L15" i="3" s="1"/>
  <c r="M15" i="3" s="1"/>
  <c r="C15" i="3"/>
  <c r="A15" i="3"/>
  <c r="K14" i="3"/>
  <c r="J14" i="3"/>
  <c r="I14" i="3"/>
  <c r="H14" i="3"/>
  <c r="G14" i="3"/>
  <c r="F14" i="3"/>
  <c r="E14" i="3"/>
  <c r="D14" i="3"/>
  <c r="L14" i="3" s="1"/>
  <c r="M14" i="3" s="1"/>
  <c r="C14" i="3"/>
  <c r="A14" i="3"/>
  <c r="K13" i="3"/>
  <c r="J13" i="3"/>
  <c r="I13" i="3"/>
  <c r="H13" i="3"/>
  <c r="G13" i="3"/>
  <c r="F13" i="3"/>
  <c r="E13" i="3"/>
  <c r="D13" i="3"/>
  <c r="L13" i="3" s="1"/>
  <c r="M13" i="3" s="1"/>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L10" i="3" s="1"/>
  <c r="M10" i="3" s="1"/>
  <c r="C10" i="3"/>
  <c r="A10" i="3"/>
  <c r="K9" i="3"/>
  <c r="J9" i="3"/>
  <c r="I9" i="3"/>
  <c r="H9" i="3"/>
  <c r="G9" i="3"/>
  <c r="F9" i="3"/>
  <c r="E9" i="3"/>
  <c r="D9" i="3"/>
  <c r="L9" i="3" s="1"/>
  <c r="M9" i="3" s="1"/>
  <c r="C9" i="3"/>
  <c r="A9" i="3"/>
  <c r="K8" i="3"/>
  <c r="J8" i="3"/>
  <c r="I8" i="3"/>
  <c r="H8" i="3"/>
  <c r="G8" i="3"/>
  <c r="F8" i="3"/>
  <c r="E8" i="3"/>
  <c r="D8" i="3"/>
  <c r="C8" i="3"/>
  <c r="A8" i="3"/>
  <c r="K7" i="3"/>
  <c r="J7" i="3"/>
  <c r="I7" i="3"/>
  <c r="H7" i="3"/>
  <c r="G7" i="3"/>
  <c r="F7" i="3"/>
  <c r="E7" i="3"/>
  <c r="D7" i="3"/>
  <c r="L7" i="3" s="1"/>
  <c r="M7" i="3" s="1"/>
  <c r="C7" i="3"/>
  <c r="A7" i="3"/>
  <c r="K6" i="3"/>
  <c r="J6" i="3"/>
  <c r="I6" i="3"/>
  <c r="H6" i="3"/>
  <c r="G6" i="3"/>
  <c r="F6" i="3"/>
  <c r="E6" i="3"/>
  <c r="D6" i="3"/>
  <c r="L6" i="3" s="1"/>
  <c r="M6" i="3" s="1"/>
  <c r="C6" i="3"/>
  <c r="A6" i="3"/>
  <c r="K5" i="3"/>
  <c r="J5" i="3"/>
  <c r="C5" i="3"/>
  <c r="A5" i="3"/>
  <c r="K4" i="3"/>
  <c r="C4" i="3"/>
  <c r="A4" i="3"/>
  <c r="B32" i="1"/>
  <c r="C28" i="1"/>
  <c r="C27" i="1"/>
  <c r="C26" i="1"/>
  <c r="C25" i="1"/>
  <c r="C22" i="1"/>
  <c r="C12" i="1"/>
  <c r="C8" i="1"/>
  <c r="C7" i="1"/>
  <c r="V1799" i="2"/>
  <c r="U1799" i="2"/>
  <c r="W1799" i="2" s="1"/>
  <c r="V1798" i="2"/>
  <c r="U1798" i="2"/>
  <c r="W1798" i="2" s="1"/>
  <c r="V1797" i="2"/>
  <c r="U1797" i="2"/>
  <c r="W1797" i="2" s="1"/>
  <c r="V1796" i="2"/>
  <c r="U1796" i="2"/>
  <c r="W1796" i="2" s="1"/>
  <c r="V1795" i="2"/>
  <c r="U1795" i="2"/>
  <c r="W1795" i="2" s="1"/>
  <c r="V1794" i="2"/>
  <c r="U1794" i="2"/>
  <c r="W1794" i="2" s="1"/>
  <c r="V1793" i="2"/>
  <c r="U1793" i="2"/>
  <c r="W1793" i="2" s="1"/>
  <c r="V1792" i="2"/>
  <c r="U1792" i="2"/>
  <c r="W1792" i="2" s="1"/>
  <c r="V1791" i="2"/>
  <c r="U1791" i="2"/>
  <c r="W1791" i="2" s="1"/>
  <c r="V1790" i="2"/>
  <c r="U1790" i="2"/>
  <c r="W1790" i="2" s="1"/>
  <c r="V1789" i="2"/>
  <c r="U1789" i="2"/>
  <c r="W1789" i="2" s="1"/>
  <c r="V1788" i="2"/>
  <c r="U1788" i="2"/>
  <c r="W1788" i="2" s="1"/>
  <c r="V1787" i="2"/>
  <c r="U1787" i="2"/>
  <c r="W1787" i="2" s="1"/>
  <c r="V1786" i="2"/>
  <c r="U1786" i="2"/>
  <c r="W1786" i="2" s="1"/>
  <c r="V1785" i="2"/>
  <c r="U1785" i="2"/>
  <c r="W1785" i="2" s="1"/>
  <c r="V1784" i="2"/>
  <c r="U1784" i="2"/>
  <c r="W1784" i="2" s="1"/>
  <c r="V1783" i="2"/>
  <c r="U1783" i="2"/>
  <c r="W1783" i="2" s="1"/>
  <c r="V1782" i="2"/>
  <c r="U1782" i="2"/>
  <c r="W1782" i="2" s="1"/>
  <c r="V1781" i="2"/>
  <c r="U1781" i="2"/>
  <c r="W1781" i="2" s="1"/>
  <c r="V1780" i="2"/>
  <c r="U1780" i="2"/>
  <c r="W1780" i="2" s="1"/>
  <c r="V1779" i="2"/>
  <c r="U1779" i="2"/>
  <c r="W1779" i="2" s="1"/>
  <c r="V1778" i="2"/>
  <c r="U1778" i="2"/>
  <c r="W1778" i="2" s="1"/>
  <c r="V1777" i="2"/>
  <c r="U1777" i="2"/>
  <c r="W1777" i="2" s="1"/>
  <c r="V1776" i="2"/>
  <c r="U1776" i="2"/>
  <c r="W1776" i="2" s="1"/>
  <c r="V1775" i="2"/>
  <c r="U1775" i="2"/>
  <c r="W1775" i="2" s="1"/>
  <c r="V1774" i="2"/>
  <c r="U1774" i="2"/>
  <c r="W1774" i="2" s="1"/>
  <c r="V1773" i="2"/>
  <c r="U1773" i="2"/>
  <c r="W1773" i="2" s="1"/>
  <c r="V1772" i="2"/>
  <c r="U1772" i="2"/>
  <c r="W1772" i="2" s="1"/>
  <c r="V1771" i="2"/>
  <c r="U1771" i="2"/>
  <c r="W1771" i="2" s="1"/>
  <c r="V1770" i="2"/>
  <c r="U1770" i="2"/>
  <c r="W1770" i="2" s="1"/>
  <c r="V1769" i="2"/>
  <c r="U1769" i="2"/>
  <c r="W1769" i="2" s="1"/>
  <c r="V1768" i="2"/>
  <c r="U1768" i="2"/>
  <c r="W1768" i="2" s="1"/>
  <c r="V1767" i="2"/>
  <c r="U1767" i="2"/>
  <c r="W1767" i="2" s="1"/>
  <c r="V1766" i="2"/>
  <c r="U1766" i="2"/>
  <c r="W1766" i="2" s="1"/>
  <c r="V1765" i="2"/>
  <c r="U1765" i="2"/>
  <c r="W1765" i="2" s="1"/>
  <c r="V1764" i="2"/>
  <c r="U1764" i="2"/>
  <c r="W1764" i="2" s="1"/>
  <c r="V1763" i="2"/>
  <c r="U1763" i="2"/>
  <c r="W1763" i="2" s="1"/>
  <c r="V1762" i="2"/>
  <c r="U1762" i="2"/>
  <c r="W1762" i="2" s="1"/>
  <c r="V1761" i="2"/>
  <c r="U1761" i="2"/>
  <c r="W1761" i="2" s="1"/>
  <c r="V1760" i="2"/>
  <c r="U1760" i="2"/>
  <c r="W1760" i="2" s="1"/>
  <c r="V1759" i="2"/>
  <c r="U1759" i="2"/>
  <c r="W1759" i="2" s="1"/>
  <c r="V1758" i="2"/>
  <c r="U1758" i="2"/>
  <c r="W1758" i="2" s="1"/>
  <c r="V1757" i="2"/>
  <c r="U1757" i="2"/>
  <c r="W1757" i="2" s="1"/>
  <c r="V1756" i="2"/>
  <c r="U1756" i="2"/>
  <c r="W1756" i="2" s="1"/>
  <c r="V1755" i="2"/>
  <c r="U1755" i="2"/>
  <c r="W1755" i="2" s="1"/>
  <c r="V1754" i="2"/>
  <c r="U1754" i="2"/>
  <c r="W1754" i="2" s="1"/>
  <c r="V1753" i="2"/>
  <c r="U1753" i="2"/>
  <c r="W1753" i="2" s="1"/>
  <c r="V1752" i="2"/>
  <c r="U1752" i="2"/>
  <c r="W1752" i="2" s="1"/>
  <c r="V1751" i="2"/>
  <c r="U1751" i="2"/>
  <c r="W1751" i="2" s="1"/>
  <c r="V1750" i="2"/>
  <c r="U1750" i="2"/>
  <c r="W1750" i="2" s="1"/>
  <c r="V1749" i="2"/>
  <c r="U1749" i="2"/>
  <c r="W1749" i="2" s="1"/>
  <c r="V1748" i="2"/>
  <c r="U1748" i="2"/>
  <c r="W1748" i="2" s="1"/>
  <c r="V1747" i="2"/>
  <c r="U1747" i="2"/>
  <c r="W1747" i="2" s="1"/>
  <c r="V1746" i="2"/>
  <c r="U1746" i="2"/>
  <c r="W1746" i="2" s="1"/>
  <c r="V1745" i="2"/>
  <c r="U1745" i="2"/>
  <c r="W1745" i="2" s="1"/>
  <c r="V1744" i="2"/>
  <c r="U1744" i="2"/>
  <c r="W1744" i="2" s="1"/>
  <c r="V1743" i="2"/>
  <c r="U1743" i="2"/>
  <c r="W1743" i="2" s="1"/>
  <c r="V1742" i="2"/>
  <c r="U1742" i="2"/>
  <c r="W1742" i="2" s="1"/>
  <c r="V1741" i="2"/>
  <c r="U1741" i="2"/>
  <c r="W1741" i="2" s="1"/>
  <c r="V1740" i="2"/>
  <c r="U1740" i="2"/>
  <c r="W1740" i="2" s="1"/>
  <c r="V1739" i="2"/>
  <c r="U1739" i="2"/>
  <c r="W1739" i="2" s="1"/>
  <c r="V1738" i="2"/>
  <c r="U1738" i="2"/>
  <c r="W1738" i="2" s="1"/>
  <c r="V1737" i="2"/>
  <c r="U1737" i="2"/>
  <c r="W1737" i="2" s="1"/>
  <c r="V1736" i="2"/>
  <c r="U1736" i="2"/>
  <c r="W1736" i="2" s="1"/>
  <c r="V1735" i="2"/>
  <c r="U1735" i="2"/>
  <c r="W1735" i="2" s="1"/>
  <c r="V1734" i="2"/>
  <c r="U1734" i="2"/>
  <c r="W1734" i="2" s="1"/>
  <c r="V1733" i="2"/>
  <c r="U1733" i="2"/>
  <c r="W1733" i="2" s="1"/>
  <c r="V1732" i="2"/>
  <c r="U1732" i="2"/>
  <c r="W1732" i="2" s="1"/>
  <c r="V1731" i="2"/>
  <c r="U1731" i="2"/>
  <c r="W1731" i="2" s="1"/>
  <c r="V1730" i="2"/>
  <c r="U1730" i="2"/>
  <c r="W1730" i="2" s="1"/>
  <c r="V1729" i="2"/>
  <c r="U1729" i="2"/>
  <c r="W1729" i="2" s="1"/>
  <c r="V1728" i="2"/>
  <c r="U1728" i="2"/>
  <c r="W1728" i="2" s="1"/>
  <c r="V1727" i="2"/>
  <c r="U1727" i="2"/>
  <c r="W1727" i="2" s="1"/>
  <c r="V1726" i="2"/>
  <c r="U1726" i="2"/>
  <c r="W1726" i="2" s="1"/>
  <c r="V1725" i="2"/>
  <c r="U1725" i="2"/>
  <c r="W1725" i="2" s="1"/>
  <c r="V1724" i="2"/>
  <c r="U1724" i="2"/>
  <c r="W1724" i="2" s="1"/>
  <c r="V1723" i="2"/>
  <c r="U1723" i="2"/>
  <c r="W1723" i="2" s="1"/>
  <c r="V1722" i="2"/>
  <c r="U1722" i="2"/>
  <c r="W1722" i="2" s="1"/>
  <c r="V1721" i="2"/>
  <c r="U1721" i="2"/>
  <c r="W1721" i="2" s="1"/>
  <c r="V1720" i="2"/>
  <c r="U1720" i="2"/>
  <c r="W1720" i="2" s="1"/>
  <c r="V1719" i="2"/>
  <c r="U1719" i="2"/>
  <c r="W1719" i="2" s="1"/>
  <c r="V1718" i="2"/>
  <c r="U1718" i="2"/>
  <c r="W1718" i="2" s="1"/>
  <c r="V1717" i="2"/>
  <c r="U1717" i="2"/>
  <c r="W1717" i="2" s="1"/>
  <c r="V1716" i="2"/>
  <c r="U1716" i="2"/>
  <c r="W1716" i="2" s="1"/>
  <c r="V1715" i="2"/>
  <c r="U1715" i="2"/>
  <c r="W1715" i="2" s="1"/>
  <c r="V1714" i="2"/>
  <c r="U1714" i="2"/>
  <c r="W1714" i="2" s="1"/>
  <c r="V1713" i="2"/>
  <c r="U1713" i="2"/>
  <c r="W1713" i="2" s="1"/>
  <c r="V1712" i="2"/>
  <c r="U1712" i="2"/>
  <c r="W1712" i="2" s="1"/>
  <c r="V1711" i="2"/>
  <c r="U1711" i="2"/>
  <c r="W1711" i="2" s="1"/>
  <c r="V1710" i="2"/>
  <c r="U1710" i="2"/>
  <c r="W1710" i="2" s="1"/>
  <c r="V1709" i="2"/>
  <c r="U1709" i="2"/>
  <c r="W1709" i="2" s="1"/>
  <c r="V1708" i="2"/>
  <c r="U1708" i="2"/>
  <c r="W1708" i="2" s="1"/>
  <c r="V1707" i="2"/>
  <c r="U1707" i="2"/>
  <c r="W1707" i="2" s="1"/>
  <c r="V1706" i="2"/>
  <c r="U1706" i="2"/>
  <c r="W1706" i="2" s="1"/>
  <c r="V1705" i="2"/>
  <c r="U1705" i="2"/>
  <c r="W1705" i="2" s="1"/>
  <c r="V1704" i="2"/>
  <c r="U1704" i="2"/>
  <c r="W1704" i="2" s="1"/>
  <c r="V1703" i="2"/>
  <c r="U1703" i="2"/>
  <c r="W1703" i="2" s="1"/>
  <c r="V1702" i="2"/>
  <c r="U1702" i="2"/>
  <c r="W1702" i="2" s="1"/>
  <c r="V1701" i="2"/>
  <c r="U1701" i="2"/>
  <c r="W1701" i="2" s="1"/>
  <c r="V1700" i="2"/>
  <c r="U1700" i="2"/>
  <c r="W1700" i="2" s="1"/>
  <c r="V1699" i="2"/>
  <c r="U1699" i="2"/>
  <c r="W1699" i="2" s="1"/>
  <c r="V1698" i="2"/>
  <c r="U1698" i="2"/>
  <c r="W1698" i="2" s="1"/>
  <c r="V1697" i="2"/>
  <c r="U1697" i="2"/>
  <c r="W1697" i="2" s="1"/>
  <c r="V1696" i="2"/>
  <c r="U1696" i="2"/>
  <c r="W1696" i="2" s="1"/>
  <c r="V1695" i="2"/>
  <c r="U1695" i="2"/>
  <c r="W1695" i="2" s="1"/>
  <c r="V1694" i="2"/>
  <c r="U1694" i="2"/>
  <c r="W1694" i="2" s="1"/>
  <c r="V1693" i="2"/>
  <c r="U1693" i="2"/>
  <c r="W1693" i="2" s="1"/>
  <c r="V1692" i="2"/>
  <c r="U1692" i="2"/>
  <c r="W1692" i="2" s="1"/>
  <c r="V1691" i="2"/>
  <c r="U1691" i="2"/>
  <c r="W1691" i="2" s="1"/>
  <c r="V1690" i="2"/>
  <c r="U1690" i="2"/>
  <c r="W1690" i="2" s="1"/>
  <c r="V1689" i="2"/>
  <c r="U1689" i="2"/>
  <c r="W1689" i="2" s="1"/>
  <c r="V1688" i="2"/>
  <c r="U1688" i="2"/>
  <c r="W1688" i="2" s="1"/>
  <c r="V1687" i="2"/>
  <c r="U1687" i="2"/>
  <c r="W1687" i="2" s="1"/>
  <c r="V1686" i="2"/>
  <c r="U1686" i="2"/>
  <c r="W1686" i="2" s="1"/>
  <c r="V1685" i="2"/>
  <c r="U1685" i="2"/>
  <c r="W1685" i="2" s="1"/>
  <c r="V1684" i="2"/>
  <c r="U1684" i="2"/>
  <c r="W1684" i="2" s="1"/>
  <c r="V1683" i="2"/>
  <c r="U1683" i="2"/>
  <c r="W1683" i="2" s="1"/>
  <c r="V1682" i="2"/>
  <c r="U1682" i="2"/>
  <c r="W1682" i="2" s="1"/>
  <c r="V1681" i="2"/>
  <c r="U1681" i="2"/>
  <c r="W1681" i="2" s="1"/>
  <c r="V1680" i="2"/>
  <c r="U1680" i="2"/>
  <c r="W1680" i="2" s="1"/>
  <c r="V1679" i="2"/>
  <c r="U1679" i="2"/>
  <c r="W1679" i="2" s="1"/>
  <c r="V1678" i="2"/>
  <c r="U1678" i="2"/>
  <c r="W1678" i="2" s="1"/>
  <c r="V1677" i="2"/>
  <c r="U1677" i="2"/>
  <c r="W1677" i="2" s="1"/>
  <c r="V1676" i="2"/>
  <c r="U1676" i="2"/>
  <c r="W1676" i="2" s="1"/>
  <c r="V1675" i="2"/>
  <c r="U1675" i="2"/>
  <c r="W1675" i="2" s="1"/>
  <c r="V1674" i="2"/>
  <c r="U1674" i="2"/>
  <c r="W1674" i="2" s="1"/>
  <c r="V1673" i="2"/>
  <c r="U1673" i="2"/>
  <c r="W1673" i="2" s="1"/>
  <c r="V1672" i="2"/>
  <c r="U1672" i="2"/>
  <c r="W1672" i="2" s="1"/>
  <c r="V1671" i="2"/>
  <c r="U1671" i="2"/>
  <c r="W1671" i="2" s="1"/>
  <c r="V1670" i="2"/>
  <c r="U1670" i="2"/>
  <c r="W1670" i="2" s="1"/>
  <c r="V1669" i="2"/>
  <c r="U1669" i="2"/>
  <c r="W1669" i="2" s="1"/>
  <c r="V1668" i="2"/>
  <c r="U1668" i="2"/>
  <c r="W1668" i="2" s="1"/>
  <c r="V1667" i="2"/>
  <c r="U1667" i="2"/>
  <c r="W1667" i="2" s="1"/>
  <c r="V1666" i="2"/>
  <c r="U1666" i="2"/>
  <c r="W1666" i="2" s="1"/>
  <c r="V1665" i="2"/>
  <c r="U1665" i="2"/>
  <c r="W1665" i="2" s="1"/>
  <c r="V1664" i="2"/>
  <c r="U1664" i="2"/>
  <c r="W1664" i="2" s="1"/>
  <c r="V1663" i="2"/>
  <c r="U1663" i="2"/>
  <c r="W1663" i="2" s="1"/>
  <c r="V1662" i="2"/>
  <c r="U1662" i="2"/>
  <c r="W1662" i="2" s="1"/>
  <c r="V1661" i="2"/>
  <c r="U1661" i="2"/>
  <c r="W1661" i="2" s="1"/>
  <c r="V1660" i="2"/>
  <c r="U1660" i="2"/>
  <c r="W1660" i="2" s="1"/>
  <c r="V1659" i="2"/>
  <c r="U1659" i="2"/>
  <c r="W1659" i="2" s="1"/>
  <c r="V1658" i="2"/>
  <c r="U1658" i="2"/>
  <c r="W1658" i="2" s="1"/>
  <c r="V1657" i="2"/>
  <c r="U1657" i="2"/>
  <c r="W1657" i="2" s="1"/>
  <c r="V1656" i="2"/>
  <c r="U1656" i="2"/>
  <c r="W1656" i="2" s="1"/>
  <c r="V1655" i="2"/>
  <c r="U1655" i="2"/>
  <c r="W1655" i="2" s="1"/>
  <c r="V1654" i="2"/>
  <c r="U1654" i="2"/>
  <c r="W1654" i="2" s="1"/>
  <c r="V1653" i="2"/>
  <c r="U1653" i="2"/>
  <c r="W1653" i="2" s="1"/>
  <c r="V1652" i="2"/>
  <c r="U1652" i="2"/>
  <c r="W1652" i="2" s="1"/>
  <c r="V1651" i="2"/>
  <c r="U1651" i="2"/>
  <c r="W1651" i="2" s="1"/>
  <c r="V1650" i="2"/>
  <c r="U1650" i="2"/>
  <c r="W1650" i="2" s="1"/>
  <c r="V1649" i="2"/>
  <c r="U1649" i="2"/>
  <c r="W1649" i="2" s="1"/>
  <c r="V1648" i="2"/>
  <c r="U1648" i="2"/>
  <c r="W1648" i="2" s="1"/>
  <c r="V1647" i="2"/>
  <c r="U1647" i="2"/>
  <c r="W1647" i="2" s="1"/>
  <c r="V1646" i="2"/>
  <c r="U1646" i="2"/>
  <c r="W1646" i="2" s="1"/>
  <c r="V1645" i="2"/>
  <c r="U1645" i="2"/>
  <c r="W1645" i="2" s="1"/>
  <c r="V1644" i="2"/>
  <c r="U1644" i="2"/>
  <c r="W1644" i="2" s="1"/>
  <c r="V1643" i="2"/>
  <c r="U1643" i="2"/>
  <c r="W1643" i="2" s="1"/>
  <c r="V1642" i="2"/>
  <c r="U1642" i="2"/>
  <c r="W1642" i="2" s="1"/>
  <c r="V1641" i="2"/>
  <c r="U1641" i="2"/>
  <c r="W1641" i="2" s="1"/>
  <c r="V1640" i="2"/>
  <c r="U1640" i="2"/>
  <c r="W1640" i="2" s="1"/>
  <c r="V1639" i="2"/>
  <c r="U1639" i="2"/>
  <c r="W1639" i="2" s="1"/>
  <c r="V1638" i="2"/>
  <c r="U1638" i="2"/>
  <c r="W1638" i="2" s="1"/>
  <c r="V1637" i="2"/>
  <c r="U1637" i="2"/>
  <c r="W1637" i="2" s="1"/>
  <c r="V1636" i="2"/>
  <c r="U1636" i="2"/>
  <c r="W1636" i="2" s="1"/>
  <c r="V1635" i="2"/>
  <c r="U1635" i="2"/>
  <c r="W1635" i="2" s="1"/>
  <c r="V1634" i="2"/>
  <c r="U1634" i="2"/>
  <c r="W1634" i="2" s="1"/>
  <c r="V1633" i="2"/>
  <c r="U1633" i="2"/>
  <c r="W1633" i="2" s="1"/>
  <c r="V1632" i="2"/>
  <c r="U1632" i="2"/>
  <c r="W1632" i="2" s="1"/>
  <c r="V1631" i="2"/>
  <c r="U1631" i="2"/>
  <c r="W1631" i="2" s="1"/>
  <c r="V1630" i="2"/>
  <c r="U1630" i="2"/>
  <c r="W1630" i="2" s="1"/>
  <c r="V1629" i="2"/>
  <c r="U1629" i="2"/>
  <c r="W1629" i="2" s="1"/>
  <c r="V1628" i="2"/>
  <c r="U1628" i="2"/>
  <c r="W1628" i="2" s="1"/>
  <c r="V1627" i="2"/>
  <c r="U1627" i="2"/>
  <c r="W1627" i="2" s="1"/>
  <c r="V1626" i="2"/>
  <c r="U1626" i="2"/>
  <c r="W1626" i="2" s="1"/>
  <c r="V1625" i="2"/>
  <c r="U1625" i="2"/>
  <c r="W1625" i="2" s="1"/>
  <c r="V1624" i="2"/>
  <c r="U1624" i="2"/>
  <c r="W1624" i="2" s="1"/>
  <c r="V1623" i="2"/>
  <c r="U1623" i="2"/>
  <c r="W1623" i="2" s="1"/>
  <c r="V1622" i="2"/>
  <c r="U1622" i="2"/>
  <c r="W1622" i="2" s="1"/>
  <c r="V1621" i="2"/>
  <c r="U1621" i="2"/>
  <c r="W1621" i="2" s="1"/>
  <c r="V1620" i="2"/>
  <c r="U1620" i="2"/>
  <c r="W1620" i="2" s="1"/>
  <c r="V1619" i="2"/>
  <c r="U1619" i="2"/>
  <c r="W1619" i="2" s="1"/>
  <c r="V1618" i="2"/>
  <c r="U1618" i="2"/>
  <c r="W1618" i="2" s="1"/>
  <c r="V1617" i="2"/>
  <c r="U1617" i="2"/>
  <c r="W1617" i="2" s="1"/>
  <c r="V1616" i="2"/>
  <c r="U1616" i="2"/>
  <c r="W1616" i="2" s="1"/>
  <c r="V1615" i="2"/>
  <c r="U1615" i="2"/>
  <c r="W1615" i="2" s="1"/>
  <c r="V1614" i="2"/>
  <c r="U1614" i="2"/>
  <c r="W1614" i="2" s="1"/>
  <c r="V1613" i="2"/>
  <c r="U1613" i="2"/>
  <c r="W1613" i="2" s="1"/>
  <c r="V1612" i="2"/>
  <c r="U1612" i="2"/>
  <c r="W1612" i="2" s="1"/>
  <c r="V1611" i="2"/>
  <c r="U1611" i="2"/>
  <c r="W1611" i="2" s="1"/>
  <c r="V1610" i="2"/>
  <c r="U1610" i="2"/>
  <c r="W1610" i="2" s="1"/>
  <c r="V1609" i="2"/>
  <c r="U1609" i="2"/>
  <c r="W1609" i="2" s="1"/>
  <c r="V1608" i="2"/>
  <c r="U1608" i="2"/>
  <c r="W1608" i="2" s="1"/>
  <c r="V1607" i="2"/>
  <c r="U1607" i="2"/>
  <c r="W1607" i="2" s="1"/>
  <c r="V1606" i="2"/>
  <c r="U1606" i="2"/>
  <c r="W1606" i="2" s="1"/>
  <c r="V1605" i="2"/>
  <c r="U1605" i="2"/>
  <c r="W1605" i="2" s="1"/>
  <c r="V1604" i="2"/>
  <c r="U1604" i="2"/>
  <c r="W1604" i="2" s="1"/>
  <c r="V1603" i="2"/>
  <c r="U1603" i="2"/>
  <c r="W1603" i="2" s="1"/>
  <c r="V1602" i="2"/>
  <c r="U1602" i="2"/>
  <c r="W1602" i="2" s="1"/>
  <c r="V1601" i="2"/>
  <c r="U1601" i="2"/>
  <c r="W1601" i="2" s="1"/>
  <c r="V1600" i="2"/>
  <c r="U1600" i="2"/>
  <c r="W1600" i="2" s="1"/>
  <c r="V1599" i="2"/>
  <c r="U1599" i="2"/>
  <c r="W1599" i="2" s="1"/>
  <c r="V1598" i="2"/>
  <c r="U1598" i="2"/>
  <c r="W1598" i="2" s="1"/>
  <c r="V1597" i="2"/>
  <c r="U1597" i="2"/>
  <c r="W1597" i="2" s="1"/>
  <c r="V1596" i="2"/>
  <c r="U1596" i="2"/>
  <c r="W1596" i="2" s="1"/>
  <c r="V1595" i="2"/>
  <c r="U1595" i="2"/>
  <c r="W1595" i="2" s="1"/>
  <c r="V1594" i="2"/>
  <c r="U1594" i="2"/>
  <c r="W1594" i="2" s="1"/>
  <c r="V1593" i="2"/>
  <c r="U1593" i="2"/>
  <c r="W1593" i="2" s="1"/>
  <c r="V1592" i="2"/>
  <c r="U1592" i="2"/>
  <c r="W1592" i="2" s="1"/>
  <c r="V1591" i="2"/>
  <c r="U1591" i="2"/>
  <c r="W1591" i="2" s="1"/>
  <c r="V1590" i="2"/>
  <c r="U1590" i="2"/>
  <c r="W1590" i="2" s="1"/>
  <c r="V1589" i="2"/>
  <c r="U1589" i="2"/>
  <c r="W1589" i="2" s="1"/>
  <c r="V1588" i="2"/>
  <c r="U1588" i="2"/>
  <c r="W1588" i="2" s="1"/>
  <c r="V1587" i="2"/>
  <c r="U1587" i="2"/>
  <c r="W1587" i="2" s="1"/>
  <c r="V1586" i="2"/>
  <c r="U1586" i="2"/>
  <c r="W1586" i="2" s="1"/>
  <c r="V1585" i="2"/>
  <c r="U1585" i="2"/>
  <c r="W1585" i="2" s="1"/>
  <c r="V1584" i="2"/>
  <c r="U1584" i="2"/>
  <c r="W1584" i="2" s="1"/>
  <c r="V1583" i="2"/>
  <c r="U1583" i="2"/>
  <c r="W1583" i="2" s="1"/>
  <c r="V1582" i="2"/>
  <c r="U1582" i="2"/>
  <c r="W1582" i="2" s="1"/>
  <c r="V1581" i="2"/>
  <c r="U1581" i="2"/>
  <c r="W1581" i="2" s="1"/>
  <c r="V1580" i="2"/>
  <c r="U1580" i="2"/>
  <c r="W1580" i="2" s="1"/>
  <c r="V1579" i="2"/>
  <c r="U1579" i="2"/>
  <c r="W1579" i="2" s="1"/>
  <c r="V1578" i="2"/>
  <c r="U1578" i="2"/>
  <c r="W1578" i="2" s="1"/>
  <c r="V1577" i="2"/>
  <c r="U1577" i="2"/>
  <c r="W1577" i="2" s="1"/>
  <c r="V1576" i="2"/>
  <c r="U1576" i="2"/>
  <c r="W1576" i="2" s="1"/>
  <c r="V1575" i="2"/>
  <c r="U1575" i="2"/>
  <c r="W1575" i="2" s="1"/>
  <c r="V1574" i="2"/>
  <c r="U1574" i="2"/>
  <c r="W1574" i="2" s="1"/>
  <c r="V1573" i="2"/>
  <c r="U1573" i="2"/>
  <c r="W1573" i="2" s="1"/>
  <c r="V1572" i="2"/>
  <c r="U1572" i="2"/>
  <c r="W1572" i="2" s="1"/>
  <c r="V1571" i="2"/>
  <c r="U1571" i="2"/>
  <c r="W1571" i="2" s="1"/>
  <c r="V1570" i="2"/>
  <c r="U1570" i="2"/>
  <c r="W1570" i="2" s="1"/>
  <c r="V1569" i="2"/>
  <c r="U1569" i="2"/>
  <c r="W1569" i="2" s="1"/>
  <c r="V1568" i="2"/>
  <c r="U1568" i="2"/>
  <c r="W1568" i="2" s="1"/>
  <c r="V1567" i="2"/>
  <c r="U1567" i="2"/>
  <c r="W1567" i="2" s="1"/>
  <c r="V1566" i="2"/>
  <c r="U1566" i="2"/>
  <c r="W1566" i="2" s="1"/>
  <c r="V1565" i="2"/>
  <c r="U1565" i="2"/>
  <c r="W1565" i="2" s="1"/>
  <c r="V1564" i="2"/>
  <c r="U1564" i="2"/>
  <c r="W1564" i="2" s="1"/>
  <c r="V1563" i="2"/>
  <c r="U1563" i="2"/>
  <c r="W1563" i="2" s="1"/>
  <c r="V1562" i="2"/>
  <c r="U1562" i="2"/>
  <c r="W1562" i="2" s="1"/>
  <c r="V1561" i="2"/>
  <c r="U1561" i="2"/>
  <c r="W1561" i="2" s="1"/>
  <c r="V1560" i="2"/>
  <c r="U1560" i="2"/>
  <c r="W1560" i="2" s="1"/>
  <c r="V1559" i="2"/>
  <c r="U1559" i="2"/>
  <c r="W1559" i="2" s="1"/>
  <c r="V1558" i="2"/>
  <c r="U1558" i="2"/>
  <c r="W1558" i="2" s="1"/>
  <c r="V1557" i="2"/>
  <c r="U1557" i="2"/>
  <c r="W1557" i="2" s="1"/>
  <c r="V1556" i="2"/>
  <c r="U1556" i="2"/>
  <c r="W1556" i="2" s="1"/>
  <c r="V1555" i="2"/>
  <c r="U1555" i="2"/>
  <c r="W1555" i="2" s="1"/>
  <c r="V1554" i="2"/>
  <c r="U1554" i="2"/>
  <c r="W1554" i="2" s="1"/>
  <c r="V1553" i="2"/>
  <c r="U1553" i="2"/>
  <c r="W1553" i="2" s="1"/>
  <c r="V1552" i="2"/>
  <c r="U1552" i="2"/>
  <c r="W1552" i="2" s="1"/>
  <c r="V1551" i="2"/>
  <c r="U1551" i="2"/>
  <c r="W1551" i="2" s="1"/>
  <c r="V1550" i="2"/>
  <c r="U1550" i="2"/>
  <c r="W1550" i="2" s="1"/>
  <c r="V1549" i="2"/>
  <c r="U1549" i="2"/>
  <c r="W1549" i="2" s="1"/>
  <c r="V1548" i="2"/>
  <c r="U1548" i="2"/>
  <c r="W1548" i="2" s="1"/>
  <c r="V1547" i="2"/>
  <c r="U1547" i="2"/>
  <c r="W1547" i="2" s="1"/>
  <c r="V1546" i="2"/>
  <c r="U1546" i="2"/>
  <c r="W1546" i="2" s="1"/>
  <c r="V1545" i="2"/>
  <c r="U1545" i="2"/>
  <c r="W1545" i="2" s="1"/>
  <c r="V1544" i="2"/>
  <c r="U1544" i="2"/>
  <c r="W1544" i="2" s="1"/>
  <c r="V1543" i="2"/>
  <c r="U1543" i="2"/>
  <c r="W1543" i="2" s="1"/>
  <c r="V1542" i="2"/>
  <c r="U1542" i="2"/>
  <c r="W1542" i="2" s="1"/>
  <c r="V1541" i="2"/>
  <c r="U1541" i="2"/>
  <c r="W1541" i="2" s="1"/>
  <c r="V1540" i="2"/>
  <c r="U1540" i="2"/>
  <c r="W1540" i="2" s="1"/>
  <c r="V1539" i="2"/>
  <c r="U1539" i="2"/>
  <c r="W1539" i="2" s="1"/>
  <c r="V1538" i="2"/>
  <c r="U1538" i="2"/>
  <c r="W1538" i="2" s="1"/>
  <c r="V1537" i="2"/>
  <c r="U1537" i="2"/>
  <c r="W1537" i="2" s="1"/>
  <c r="V1536" i="2"/>
  <c r="U1536" i="2"/>
  <c r="W1536" i="2" s="1"/>
  <c r="V1535" i="2"/>
  <c r="U1535" i="2"/>
  <c r="W1535" i="2" s="1"/>
  <c r="V1534" i="2"/>
  <c r="U1534" i="2"/>
  <c r="W1534" i="2" s="1"/>
  <c r="V1533" i="2"/>
  <c r="U1533" i="2"/>
  <c r="W1533" i="2" s="1"/>
  <c r="V1532" i="2"/>
  <c r="U1532" i="2"/>
  <c r="W1532" i="2" s="1"/>
  <c r="V1531" i="2"/>
  <c r="U1531" i="2"/>
  <c r="W1531" i="2" s="1"/>
  <c r="V1530" i="2"/>
  <c r="U1530" i="2"/>
  <c r="W1530" i="2" s="1"/>
  <c r="V1529" i="2"/>
  <c r="U1529" i="2"/>
  <c r="W1529" i="2" s="1"/>
  <c r="V1528" i="2"/>
  <c r="U1528" i="2"/>
  <c r="W1528" i="2" s="1"/>
  <c r="V1527" i="2"/>
  <c r="U1527" i="2"/>
  <c r="W1527" i="2" s="1"/>
  <c r="V1526" i="2"/>
  <c r="U1526" i="2"/>
  <c r="W1526" i="2" s="1"/>
  <c r="V1525" i="2"/>
  <c r="U1525" i="2"/>
  <c r="W1525" i="2" s="1"/>
  <c r="V1524" i="2"/>
  <c r="U1524" i="2"/>
  <c r="W1524" i="2" s="1"/>
  <c r="V1523" i="2"/>
  <c r="U1523" i="2"/>
  <c r="W1523" i="2" s="1"/>
  <c r="V1522" i="2"/>
  <c r="U1522" i="2"/>
  <c r="W1522" i="2" s="1"/>
  <c r="V1521" i="2"/>
  <c r="U1521" i="2"/>
  <c r="W1521" i="2" s="1"/>
  <c r="V1520" i="2"/>
  <c r="U1520" i="2"/>
  <c r="W1520" i="2" s="1"/>
  <c r="V1519" i="2"/>
  <c r="U1519" i="2"/>
  <c r="W1519" i="2" s="1"/>
  <c r="V1518" i="2"/>
  <c r="U1518" i="2"/>
  <c r="W1518" i="2" s="1"/>
  <c r="V1517" i="2"/>
  <c r="U1517" i="2"/>
  <c r="W1517" i="2" s="1"/>
  <c r="V1516" i="2"/>
  <c r="U1516" i="2"/>
  <c r="W1516" i="2" s="1"/>
  <c r="V1515" i="2"/>
  <c r="U1515" i="2"/>
  <c r="W1515" i="2" s="1"/>
  <c r="V1514" i="2"/>
  <c r="U1514" i="2"/>
  <c r="W1514" i="2" s="1"/>
  <c r="V1513" i="2"/>
  <c r="U1513" i="2"/>
  <c r="W1513" i="2" s="1"/>
  <c r="V1512" i="2"/>
  <c r="U1512" i="2"/>
  <c r="W1512" i="2" s="1"/>
  <c r="V1511" i="2"/>
  <c r="U1511" i="2"/>
  <c r="W1511" i="2" s="1"/>
  <c r="V1510" i="2"/>
  <c r="U1510" i="2"/>
  <c r="W1510" i="2" s="1"/>
  <c r="V1509" i="2"/>
  <c r="U1509" i="2"/>
  <c r="W1509" i="2" s="1"/>
  <c r="V1508" i="2"/>
  <c r="U1508" i="2"/>
  <c r="W1508" i="2" s="1"/>
  <c r="V1507" i="2"/>
  <c r="U1507" i="2"/>
  <c r="W1507" i="2" s="1"/>
  <c r="V1506" i="2"/>
  <c r="U1506" i="2"/>
  <c r="W1506" i="2" s="1"/>
  <c r="V1505" i="2"/>
  <c r="U1505" i="2"/>
  <c r="W1505" i="2" s="1"/>
  <c r="V1504" i="2"/>
  <c r="U1504" i="2"/>
  <c r="W1504" i="2" s="1"/>
  <c r="V1503" i="2"/>
  <c r="U1503" i="2"/>
  <c r="W1503" i="2" s="1"/>
  <c r="V1502" i="2"/>
  <c r="U1502" i="2"/>
  <c r="W1502" i="2" s="1"/>
  <c r="V1501" i="2"/>
  <c r="U1501" i="2"/>
  <c r="W1501" i="2" s="1"/>
  <c r="V1500" i="2"/>
  <c r="U1500" i="2"/>
  <c r="W1500" i="2" s="1"/>
  <c r="V1499" i="2"/>
  <c r="U1499" i="2"/>
  <c r="W1499" i="2" s="1"/>
  <c r="V1498" i="2"/>
  <c r="U1498" i="2"/>
  <c r="W1498" i="2" s="1"/>
  <c r="V1497" i="2"/>
  <c r="U1497" i="2"/>
  <c r="W1497" i="2" s="1"/>
  <c r="V1496" i="2"/>
  <c r="U1496" i="2"/>
  <c r="W1496" i="2" s="1"/>
  <c r="V1495" i="2"/>
  <c r="U1495" i="2"/>
  <c r="W1495" i="2" s="1"/>
  <c r="V1494" i="2"/>
  <c r="U1494" i="2"/>
  <c r="W1494" i="2" s="1"/>
  <c r="V1493" i="2"/>
  <c r="U1493" i="2"/>
  <c r="W1493" i="2" s="1"/>
  <c r="V1492" i="2"/>
  <c r="U1492" i="2"/>
  <c r="W1492" i="2" s="1"/>
  <c r="V1491" i="2"/>
  <c r="U1491" i="2"/>
  <c r="W1491" i="2" s="1"/>
  <c r="V1490" i="2"/>
  <c r="U1490" i="2"/>
  <c r="W1490" i="2" s="1"/>
  <c r="V1489" i="2"/>
  <c r="U1489" i="2"/>
  <c r="W1489" i="2" s="1"/>
  <c r="V1488" i="2"/>
  <c r="U1488" i="2"/>
  <c r="W1488" i="2" s="1"/>
  <c r="V1487" i="2"/>
  <c r="U1487" i="2"/>
  <c r="W1487" i="2" s="1"/>
  <c r="V1486" i="2"/>
  <c r="U1486" i="2"/>
  <c r="W1486" i="2" s="1"/>
  <c r="V1485" i="2"/>
  <c r="U1485" i="2"/>
  <c r="W1485" i="2" s="1"/>
  <c r="V1484" i="2"/>
  <c r="U1484" i="2"/>
  <c r="W1484" i="2" s="1"/>
  <c r="V1483" i="2"/>
  <c r="U1483" i="2"/>
  <c r="W1483" i="2" s="1"/>
  <c r="V1482" i="2"/>
  <c r="U1482" i="2"/>
  <c r="W1482" i="2" s="1"/>
  <c r="V1481" i="2"/>
  <c r="U1481" i="2"/>
  <c r="W1481" i="2" s="1"/>
  <c r="V1480" i="2"/>
  <c r="U1480" i="2"/>
  <c r="W1480" i="2" s="1"/>
  <c r="V1479" i="2"/>
  <c r="U1479" i="2"/>
  <c r="W1479" i="2" s="1"/>
  <c r="V1478" i="2"/>
  <c r="U1478" i="2"/>
  <c r="W1478" i="2" s="1"/>
  <c r="V1477" i="2"/>
  <c r="U1477" i="2"/>
  <c r="W1477" i="2" s="1"/>
  <c r="V1476" i="2"/>
  <c r="U1476" i="2"/>
  <c r="W1476" i="2" s="1"/>
  <c r="V1475" i="2"/>
  <c r="U1475" i="2"/>
  <c r="W1475" i="2" s="1"/>
  <c r="V1474" i="2"/>
  <c r="U1474" i="2"/>
  <c r="W1474" i="2" s="1"/>
  <c r="V1473" i="2"/>
  <c r="U1473" i="2"/>
  <c r="W1473" i="2" s="1"/>
  <c r="V1472" i="2"/>
  <c r="U1472" i="2"/>
  <c r="W1472" i="2" s="1"/>
  <c r="V1471" i="2"/>
  <c r="U1471" i="2"/>
  <c r="W1471" i="2" s="1"/>
  <c r="V1470" i="2"/>
  <c r="U1470" i="2"/>
  <c r="W1470" i="2" s="1"/>
  <c r="V1469" i="2"/>
  <c r="U1469" i="2"/>
  <c r="W1469" i="2" s="1"/>
  <c r="V1468" i="2"/>
  <c r="U1468" i="2"/>
  <c r="W1468" i="2" s="1"/>
  <c r="V1467" i="2"/>
  <c r="U1467" i="2"/>
  <c r="W1467" i="2" s="1"/>
  <c r="V1466" i="2"/>
  <c r="U1466" i="2"/>
  <c r="W1466" i="2" s="1"/>
  <c r="V1465" i="2"/>
  <c r="U1465" i="2"/>
  <c r="W1465" i="2" s="1"/>
  <c r="V1464" i="2"/>
  <c r="U1464" i="2"/>
  <c r="W1464" i="2" s="1"/>
  <c r="V1463" i="2"/>
  <c r="U1463" i="2"/>
  <c r="W1463" i="2" s="1"/>
  <c r="V1462" i="2"/>
  <c r="U1462" i="2"/>
  <c r="W1462" i="2" s="1"/>
  <c r="V1461" i="2"/>
  <c r="U1461" i="2"/>
  <c r="W1461" i="2" s="1"/>
  <c r="V1460" i="2"/>
  <c r="U1460" i="2"/>
  <c r="W1460" i="2" s="1"/>
  <c r="V1459" i="2"/>
  <c r="U1459" i="2"/>
  <c r="W1459" i="2" s="1"/>
  <c r="V1458" i="2"/>
  <c r="U1458" i="2"/>
  <c r="W1458" i="2" s="1"/>
  <c r="V1457" i="2"/>
  <c r="U1457" i="2"/>
  <c r="W1457" i="2" s="1"/>
  <c r="V1456" i="2"/>
  <c r="U1456" i="2"/>
  <c r="W1456" i="2" s="1"/>
  <c r="V1455" i="2"/>
  <c r="U1455" i="2"/>
  <c r="W1455" i="2" s="1"/>
  <c r="V1454" i="2"/>
  <c r="U1454" i="2"/>
  <c r="W1454" i="2" s="1"/>
  <c r="V1453" i="2"/>
  <c r="U1453" i="2"/>
  <c r="W1453" i="2" s="1"/>
  <c r="V1452" i="2"/>
  <c r="U1452" i="2"/>
  <c r="W1452" i="2" s="1"/>
  <c r="V1451" i="2"/>
  <c r="U1451" i="2"/>
  <c r="W1451" i="2" s="1"/>
  <c r="V1450" i="2"/>
  <c r="U1450" i="2"/>
  <c r="W1450" i="2" s="1"/>
  <c r="V1449" i="2"/>
  <c r="U1449" i="2"/>
  <c r="W1449" i="2" s="1"/>
  <c r="V1448" i="2"/>
  <c r="U1448" i="2"/>
  <c r="W1448" i="2" s="1"/>
  <c r="V1447" i="2"/>
  <c r="U1447" i="2"/>
  <c r="W1447" i="2" s="1"/>
  <c r="V1446" i="2"/>
  <c r="U1446" i="2"/>
  <c r="W1446" i="2" s="1"/>
  <c r="V1445" i="2"/>
  <c r="U1445" i="2"/>
  <c r="W1445" i="2" s="1"/>
  <c r="V1444" i="2"/>
  <c r="U1444" i="2"/>
  <c r="W1444" i="2" s="1"/>
  <c r="V1443" i="2"/>
  <c r="U1443" i="2"/>
  <c r="W1443" i="2" s="1"/>
  <c r="V1442" i="2"/>
  <c r="U1442" i="2"/>
  <c r="W1442" i="2" s="1"/>
  <c r="V1441" i="2"/>
  <c r="U1441" i="2"/>
  <c r="W1441" i="2" s="1"/>
  <c r="V1440" i="2"/>
  <c r="U1440" i="2"/>
  <c r="W1440" i="2" s="1"/>
  <c r="V1439" i="2"/>
  <c r="U1439" i="2"/>
  <c r="W1439" i="2" s="1"/>
  <c r="V1438" i="2"/>
  <c r="U1438" i="2"/>
  <c r="W1438" i="2" s="1"/>
  <c r="V1437" i="2"/>
  <c r="U1437" i="2"/>
  <c r="W1437" i="2" s="1"/>
  <c r="V1436" i="2"/>
  <c r="U1436" i="2"/>
  <c r="W1436" i="2" s="1"/>
  <c r="V1435" i="2"/>
  <c r="U1435" i="2"/>
  <c r="W1435" i="2" s="1"/>
  <c r="V1434" i="2"/>
  <c r="U1434" i="2"/>
  <c r="W1434" i="2" s="1"/>
  <c r="V1433" i="2"/>
  <c r="U1433" i="2"/>
  <c r="W1433" i="2" s="1"/>
  <c r="V1432" i="2"/>
  <c r="U1432" i="2"/>
  <c r="W1432" i="2" s="1"/>
  <c r="V1431" i="2"/>
  <c r="U1431" i="2"/>
  <c r="W1431" i="2" s="1"/>
  <c r="V1430" i="2"/>
  <c r="U1430" i="2"/>
  <c r="W1430" i="2" s="1"/>
  <c r="V1429" i="2"/>
  <c r="U1429" i="2"/>
  <c r="W1429" i="2" s="1"/>
  <c r="V1428" i="2"/>
  <c r="U1428" i="2"/>
  <c r="W1428" i="2" s="1"/>
  <c r="V1427" i="2"/>
  <c r="U1427" i="2"/>
  <c r="W1427" i="2" s="1"/>
  <c r="V1426" i="2"/>
  <c r="U1426" i="2"/>
  <c r="W1426" i="2" s="1"/>
  <c r="V1425" i="2"/>
  <c r="U1425" i="2"/>
  <c r="W1425" i="2" s="1"/>
  <c r="V1424" i="2"/>
  <c r="U1424" i="2"/>
  <c r="W1424" i="2" s="1"/>
  <c r="V1423" i="2"/>
  <c r="U1423" i="2"/>
  <c r="W1423" i="2" s="1"/>
  <c r="V1422" i="2"/>
  <c r="U1422" i="2"/>
  <c r="W1422" i="2" s="1"/>
  <c r="V1421" i="2"/>
  <c r="U1421" i="2"/>
  <c r="W1421" i="2" s="1"/>
  <c r="V1420" i="2"/>
  <c r="U1420" i="2"/>
  <c r="W1420" i="2" s="1"/>
  <c r="V1419" i="2"/>
  <c r="U1419" i="2"/>
  <c r="W1419" i="2" s="1"/>
  <c r="V1418" i="2"/>
  <c r="U1418" i="2"/>
  <c r="W1418" i="2" s="1"/>
  <c r="V1417" i="2"/>
  <c r="U1417" i="2"/>
  <c r="W1417" i="2" s="1"/>
  <c r="V1416" i="2"/>
  <c r="U1416" i="2"/>
  <c r="W1416" i="2" s="1"/>
  <c r="V1415" i="2"/>
  <c r="U1415" i="2"/>
  <c r="W1415" i="2" s="1"/>
  <c r="V1414" i="2"/>
  <c r="U1414" i="2"/>
  <c r="W1414" i="2" s="1"/>
  <c r="V1413" i="2"/>
  <c r="U1413" i="2"/>
  <c r="W1413" i="2" s="1"/>
  <c r="V1412" i="2"/>
  <c r="U1412" i="2"/>
  <c r="W1412" i="2" s="1"/>
  <c r="V1411" i="2"/>
  <c r="U1411" i="2"/>
  <c r="W1411" i="2" s="1"/>
  <c r="V1410" i="2"/>
  <c r="U1410" i="2"/>
  <c r="W1410" i="2" s="1"/>
  <c r="V1409" i="2"/>
  <c r="U1409" i="2"/>
  <c r="W1409" i="2" s="1"/>
  <c r="V1408" i="2"/>
  <c r="U1408" i="2"/>
  <c r="W1408" i="2" s="1"/>
  <c r="V1407" i="2"/>
  <c r="U1407" i="2"/>
  <c r="W1407" i="2" s="1"/>
  <c r="V1406" i="2"/>
  <c r="U1406" i="2"/>
  <c r="W1406" i="2" s="1"/>
  <c r="V1405" i="2"/>
  <c r="U1405" i="2"/>
  <c r="W1405" i="2" s="1"/>
  <c r="V1404" i="2"/>
  <c r="U1404" i="2"/>
  <c r="W1404" i="2" s="1"/>
  <c r="V1403" i="2"/>
  <c r="U1403" i="2"/>
  <c r="W1403" i="2" s="1"/>
  <c r="V1402" i="2"/>
  <c r="U1402" i="2"/>
  <c r="W1402" i="2" s="1"/>
  <c r="V1401" i="2"/>
  <c r="U1401" i="2"/>
  <c r="W1401" i="2" s="1"/>
  <c r="V1400" i="2"/>
  <c r="U1400" i="2"/>
  <c r="W1400" i="2" s="1"/>
  <c r="V1399" i="2"/>
  <c r="U1399" i="2"/>
  <c r="W1399" i="2" s="1"/>
  <c r="V1398" i="2"/>
  <c r="U1398" i="2"/>
  <c r="W1398" i="2" s="1"/>
  <c r="V1397" i="2"/>
  <c r="U1397" i="2"/>
  <c r="W1397" i="2" s="1"/>
  <c r="V1396" i="2"/>
  <c r="U1396" i="2"/>
  <c r="W1396" i="2" s="1"/>
  <c r="V1395" i="2"/>
  <c r="U1395" i="2"/>
  <c r="W1395" i="2" s="1"/>
  <c r="V1394" i="2"/>
  <c r="U1394" i="2"/>
  <c r="W1394" i="2" s="1"/>
  <c r="V1393" i="2"/>
  <c r="U1393" i="2"/>
  <c r="W1393" i="2" s="1"/>
  <c r="V1392" i="2"/>
  <c r="U1392" i="2"/>
  <c r="W1392" i="2" s="1"/>
  <c r="V1391" i="2"/>
  <c r="U1391" i="2"/>
  <c r="W1391" i="2" s="1"/>
  <c r="V1390" i="2"/>
  <c r="U1390" i="2"/>
  <c r="W1390" i="2" s="1"/>
  <c r="V1389" i="2"/>
  <c r="U1389" i="2"/>
  <c r="W1389" i="2" s="1"/>
  <c r="V1388" i="2"/>
  <c r="U1388" i="2"/>
  <c r="W1388" i="2" s="1"/>
  <c r="V1387" i="2"/>
  <c r="U1387" i="2"/>
  <c r="W1387" i="2" s="1"/>
  <c r="V1386" i="2"/>
  <c r="U1386" i="2"/>
  <c r="W1386" i="2" s="1"/>
  <c r="V1385" i="2"/>
  <c r="U1385" i="2"/>
  <c r="W1385" i="2" s="1"/>
  <c r="V1384" i="2"/>
  <c r="U1384" i="2"/>
  <c r="W1384" i="2" s="1"/>
  <c r="V1383" i="2"/>
  <c r="U1383" i="2"/>
  <c r="W1383" i="2" s="1"/>
  <c r="V1382" i="2"/>
  <c r="U1382" i="2"/>
  <c r="W1382" i="2" s="1"/>
  <c r="V1381" i="2"/>
  <c r="U1381" i="2"/>
  <c r="W1381" i="2" s="1"/>
  <c r="V1380" i="2"/>
  <c r="U1380" i="2"/>
  <c r="W1380" i="2" s="1"/>
  <c r="V1379" i="2"/>
  <c r="U1379" i="2"/>
  <c r="W1379" i="2" s="1"/>
  <c r="V1378" i="2"/>
  <c r="U1378" i="2"/>
  <c r="W1378" i="2" s="1"/>
  <c r="V1377" i="2"/>
  <c r="U1377" i="2"/>
  <c r="W1377" i="2" s="1"/>
  <c r="V1376" i="2"/>
  <c r="U1376" i="2"/>
  <c r="W1376" i="2" s="1"/>
  <c r="V1375" i="2"/>
  <c r="U1375" i="2"/>
  <c r="W1375" i="2" s="1"/>
  <c r="V1374" i="2"/>
  <c r="U1374" i="2"/>
  <c r="W1374" i="2" s="1"/>
  <c r="V1373" i="2"/>
  <c r="U1373" i="2"/>
  <c r="W1373" i="2" s="1"/>
  <c r="V1372" i="2"/>
  <c r="U1372" i="2"/>
  <c r="W1372" i="2" s="1"/>
  <c r="V1371" i="2"/>
  <c r="U1371" i="2"/>
  <c r="W1371" i="2" s="1"/>
  <c r="V1370" i="2"/>
  <c r="U1370" i="2"/>
  <c r="W1370" i="2" s="1"/>
  <c r="V1369" i="2"/>
  <c r="U1369" i="2"/>
  <c r="W1369" i="2" s="1"/>
  <c r="V1368" i="2"/>
  <c r="U1368" i="2"/>
  <c r="W1368" i="2" s="1"/>
  <c r="V1367" i="2"/>
  <c r="U1367" i="2"/>
  <c r="W1367" i="2" s="1"/>
  <c r="V1366" i="2"/>
  <c r="U1366" i="2"/>
  <c r="W1366" i="2" s="1"/>
  <c r="V1365" i="2"/>
  <c r="U1365" i="2"/>
  <c r="W1365" i="2" s="1"/>
  <c r="V1364" i="2"/>
  <c r="U1364" i="2"/>
  <c r="W1364" i="2" s="1"/>
  <c r="V1363" i="2"/>
  <c r="U1363" i="2"/>
  <c r="W1363" i="2" s="1"/>
  <c r="V1362" i="2"/>
  <c r="U1362" i="2"/>
  <c r="W1362" i="2" s="1"/>
  <c r="V1361" i="2"/>
  <c r="U1361" i="2"/>
  <c r="W1361" i="2" s="1"/>
  <c r="V1360" i="2"/>
  <c r="U1360" i="2"/>
  <c r="W1360" i="2" s="1"/>
  <c r="V1359" i="2"/>
  <c r="U1359" i="2"/>
  <c r="W1359" i="2" s="1"/>
  <c r="V1358" i="2"/>
  <c r="U1358" i="2"/>
  <c r="W1358" i="2" s="1"/>
  <c r="V1357" i="2"/>
  <c r="U1357" i="2"/>
  <c r="W1357" i="2" s="1"/>
  <c r="V1356" i="2"/>
  <c r="U1356" i="2"/>
  <c r="W1356" i="2" s="1"/>
  <c r="V1355" i="2"/>
  <c r="U1355" i="2"/>
  <c r="W1355" i="2" s="1"/>
  <c r="V1354" i="2"/>
  <c r="U1354" i="2"/>
  <c r="W1354" i="2" s="1"/>
  <c r="V1353" i="2"/>
  <c r="U1353" i="2"/>
  <c r="W1353" i="2" s="1"/>
  <c r="V1352" i="2"/>
  <c r="U1352" i="2"/>
  <c r="W1352" i="2" s="1"/>
  <c r="V1351" i="2"/>
  <c r="U1351" i="2"/>
  <c r="W1351" i="2" s="1"/>
  <c r="V1350" i="2"/>
  <c r="U1350" i="2"/>
  <c r="W1350" i="2" s="1"/>
  <c r="V1349" i="2"/>
  <c r="U1349" i="2"/>
  <c r="W1349" i="2" s="1"/>
  <c r="V1348" i="2"/>
  <c r="U1348" i="2"/>
  <c r="W1348" i="2" s="1"/>
  <c r="V1347" i="2"/>
  <c r="U1347" i="2"/>
  <c r="W1347" i="2" s="1"/>
  <c r="V1346" i="2"/>
  <c r="U1346" i="2"/>
  <c r="W1346" i="2" s="1"/>
  <c r="V1345" i="2"/>
  <c r="U1345" i="2"/>
  <c r="W1345" i="2" s="1"/>
  <c r="V1344" i="2"/>
  <c r="U1344" i="2"/>
  <c r="W1344" i="2" s="1"/>
  <c r="V1343" i="2"/>
  <c r="U1343" i="2"/>
  <c r="W1343" i="2" s="1"/>
  <c r="V1342" i="2"/>
  <c r="U1342" i="2"/>
  <c r="W1342" i="2" s="1"/>
  <c r="V1341" i="2"/>
  <c r="U1341" i="2"/>
  <c r="W1341" i="2" s="1"/>
  <c r="V1340" i="2"/>
  <c r="U1340" i="2"/>
  <c r="W1340" i="2" s="1"/>
  <c r="V1339" i="2"/>
  <c r="U1339" i="2"/>
  <c r="W1339" i="2" s="1"/>
  <c r="V1338" i="2"/>
  <c r="U1338" i="2"/>
  <c r="W1338" i="2" s="1"/>
  <c r="V1337" i="2"/>
  <c r="U1337" i="2"/>
  <c r="W1337" i="2" s="1"/>
  <c r="V1336" i="2"/>
  <c r="U1336" i="2"/>
  <c r="W1336" i="2" s="1"/>
  <c r="V1335" i="2"/>
  <c r="U1335" i="2"/>
  <c r="W1335" i="2" s="1"/>
  <c r="V1334" i="2"/>
  <c r="U1334" i="2"/>
  <c r="W1334" i="2" s="1"/>
  <c r="V1333" i="2"/>
  <c r="U1333" i="2"/>
  <c r="W1333" i="2" s="1"/>
  <c r="V1332" i="2"/>
  <c r="U1332" i="2"/>
  <c r="W1332" i="2" s="1"/>
  <c r="V1331" i="2"/>
  <c r="U1331" i="2"/>
  <c r="W1331" i="2" s="1"/>
  <c r="V1330" i="2"/>
  <c r="U1330" i="2"/>
  <c r="W1330" i="2" s="1"/>
  <c r="V1329" i="2"/>
  <c r="U1329" i="2"/>
  <c r="W1329" i="2" s="1"/>
  <c r="V1328" i="2"/>
  <c r="U1328" i="2"/>
  <c r="W1328" i="2" s="1"/>
  <c r="V1327" i="2"/>
  <c r="U1327" i="2"/>
  <c r="W1327" i="2" s="1"/>
  <c r="V1326" i="2"/>
  <c r="U1326" i="2"/>
  <c r="W1326" i="2" s="1"/>
  <c r="V1325" i="2"/>
  <c r="U1325" i="2"/>
  <c r="W1325" i="2" s="1"/>
  <c r="V1324" i="2"/>
  <c r="U1324" i="2"/>
  <c r="W1324" i="2" s="1"/>
  <c r="V1323" i="2"/>
  <c r="U1323" i="2"/>
  <c r="W1323" i="2" s="1"/>
  <c r="V1322" i="2"/>
  <c r="U1322" i="2"/>
  <c r="W1322" i="2" s="1"/>
  <c r="V1321" i="2"/>
  <c r="U1321" i="2"/>
  <c r="W1321" i="2" s="1"/>
  <c r="V1320" i="2"/>
  <c r="U1320" i="2"/>
  <c r="W1320" i="2" s="1"/>
  <c r="V1319" i="2"/>
  <c r="U1319" i="2"/>
  <c r="W1319" i="2" s="1"/>
  <c r="V1318" i="2"/>
  <c r="U1318" i="2"/>
  <c r="W1318" i="2" s="1"/>
  <c r="V1317" i="2"/>
  <c r="U1317" i="2"/>
  <c r="W1317" i="2" s="1"/>
  <c r="V1316" i="2"/>
  <c r="U1316" i="2"/>
  <c r="W1316" i="2" s="1"/>
  <c r="V1315" i="2"/>
  <c r="U1315" i="2"/>
  <c r="W1315" i="2" s="1"/>
  <c r="V1314" i="2"/>
  <c r="U1314" i="2"/>
  <c r="W1314" i="2" s="1"/>
  <c r="V1313" i="2"/>
  <c r="U1313" i="2"/>
  <c r="W1313" i="2" s="1"/>
  <c r="V1312" i="2"/>
  <c r="U1312" i="2"/>
  <c r="W1312" i="2" s="1"/>
  <c r="V1311" i="2"/>
  <c r="U1311" i="2"/>
  <c r="W1311" i="2" s="1"/>
  <c r="V1310" i="2"/>
  <c r="U1310" i="2"/>
  <c r="W1310" i="2" s="1"/>
  <c r="V1309" i="2"/>
  <c r="U1309" i="2"/>
  <c r="W1309" i="2" s="1"/>
  <c r="V1308" i="2"/>
  <c r="U1308" i="2"/>
  <c r="W1308" i="2" s="1"/>
  <c r="V1307" i="2"/>
  <c r="U1307" i="2"/>
  <c r="W1307" i="2" s="1"/>
  <c r="V1306" i="2"/>
  <c r="U1306" i="2"/>
  <c r="W1306" i="2" s="1"/>
  <c r="V1305" i="2"/>
  <c r="U1305" i="2"/>
  <c r="W1305" i="2" s="1"/>
  <c r="V1304" i="2"/>
  <c r="U1304" i="2"/>
  <c r="W1304" i="2" s="1"/>
  <c r="V1303" i="2"/>
  <c r="U1303" i="2"/>
  <c r="W1303" i="2" s="1"/>
  <c r="V1302" i="2"/>
  <c r="U1302" i="2"/>
  <c r="W1302" i="2" s="1"/>
  <c r="V1301" i="2"/>
  <c r="U1301" i="2"/>
  <c r="W1301" i="2" s="1"/>
  <c r="V1300" i="2"/>
  <c r="U1300" i="2"/>
  <c r="W1300" i="2" s="1"/>
  <c r="V1299" i="2"/>
  <c r="U1299" i="2"/>
  <c r="W1299" i="2" s="1"/>
  <c r="V1298" i="2"/>
  <c r="U1298" i="2"/>
  <c r="W1298" i="2" s="1"/>
  <c r="V1297" i="2"/>
  <c r="U1297" i="2"/>
  <c r="W1297" i="2" s="1"/>
  <c r="V1296" i="2"/>
  <c r="U1296" i="2"/>
  <c r="W1296" i="2" s="1"/>
  <c r="V1295" i="2"/>
  <c r="U1295" i="2"/>
  <c r="W1295" i="2" s="1"/>
  <c r="V1294" i="2"/>
  <c r="U1294" i="2"/>
  <c r="W1294" i="2" s="1"/>
  <c r="V1293" i="2"/>
  <c r="U1293" i="2"/>
  <c r="W1293" i="2" s="1"/>
  <c r="V1292" i="2"/>
  <c r="U1292" i="2"/>
  <c r="W1292" i="2" s="1"/>
  <c r="V1291" i="2"/>
  <c r="U1291" i="2"/>
  <c r="W1291" i="2" s="1"/>
  <c r="V1290" i="2"/>
  <c r="U1290" i="2"/>
  <c r="W1290" i="2" s="1"/>
  <c r="V1289" i="2"/>
  <c r="U1289" i="2"/>
  <c r="W1289" i="2" s="1"/>
  <c r="V1288" i="2"/>
  <c r="U1288" i="2"/>
  <c r="W1288" i="2" s="1"/>
  <c r="V1287" i="2"/>
  <c r="U1287" i="2"/>
  <c r="W1287" i="2" s="1"/>
  <c r="V1286" i="2"/>
  <c r="U1286" i="2"/>
  <c r="W1286" i="2" s="1"/>
  <c r="V1285" i="2"/>
  <c r="U1285" i="2"/>
  <c r="W1285" i="2" s="1"/>
  <c r="V1284" i="2"/>
  <c r="U1284" i="2"/>
  <c r="W1284" i="2" s="1"/>
  <c r="V1283" i="2"/>
  <c r="U1283" i="2"/>
  <c r="W1283" i="2" s="1"/>
  <c r="V1282" i="2"/>
  <c r="U1282" i="2"/>
  <c r="W1282" i="2" s="1"/>
  <c r="V1281" i="2"/>
  <c r="U1281" i="2"/>
  <c r="W1281" i="2" s="1"/>
  <c r="V1280" i="2"/>
  <c r="U1280" i="2"/>
  <c r="W1280" i="2" s="1"/>
  <c r="V1279" i="2"/>
  <c r="U1279" i="2"/>
  <c r="W1279" i="2" s="1"/>
  <c r="V1278" i="2"/>
  <c r="U1278" i="2"/>
  <c r="W1278" i="2" s="1"/>
  <c r="V1277" i="2"/>
  <c r="U1277" i="2"/>
  <c r="W1277" i="2" s="1"/>
  <c r="V1276" i="2"/>
  <c r="U1276" i="2"/>
  <c r="W1276" i="2" s="1"/>
  <c r="V1275" i="2"/>
  <c r="U1275" i="2"/>
  <c r="W1275" i="2" s="1"/>
  <c r="V1274" i="2"/>
  <c r="U1274" i="2"/>
  <c r="W1274" i="2" s="1"/>
  <c r="V1273" i="2"/>
  <c r="U1273" i="2"/>
  <c r="W1273" i="2" s="1"/>
  <c r="V1272" i="2"/>
  <c r="U1272" i="2"/>
  <c r="W1272" i="2" s="1"/>
  <c r="V1271" i="2"/>
  <c r="U1271" i="2"/>
  <c r="W1271" i="2" s="1"/>
  <c r="V1270" i="2"/>
  <c r="U1270" i="2"/>
  <c r="W1270" i="2" s="1"/>
  <c r="V1269" i="2"/>
  <c r="U1269" i="2"/>
  <c r="W1269" i="2" s="1"/>
  <c r="V1268" i="2"/>
  <c r="U1268" i="2"/>
  <c r="W1268" i="2" s="1"/>
  <c r="V1267" i="2"/>
  <c r="U1267" i="2"/>
  <c r="W1267" i="2" s="1"/>
  <c r="V1266" i="2"/>
  <c r="U1266" i="2"/>
  <c r="W1266" i="2" s="1"/>
  <c r="V1265" i="2"/>
  <c r="U1265" i="2"/>
  <c r="W1265" i="2" s="1"/>
  <c r="V1264" i="2"/>
  <c r="U1264" i="2"/>
  <c r="W1264" i="2" s="1"/>
  <c r="V1263" i="2"/>
  <c r="U1263" i="2"/>
  <c r="W1263" i="2" s="1"/>
  <c r="V1262" i="2"/>
  <c r="U1262" i="2"/>
  <c r="W1262" i="2" s="1"/>
  <c r="V1261" i="2"/>
  <c r="U1261" i="2"/>
  <c r="W1261" i="2" s="1"/>
  <c r="V1260" i="2"/>
  <c r="U1260" i="2"/>
  <c r="W1260" i="2" s="1"/>
  <c r="V1259" i="2"/>
  <c r="U1259" i="2"/>
  <c r="W1259" i="2" s="1"/>
  <c r="V1258" i="2"/>
  <c r="U1258" i="2"/>
  <c r="W1258" i="2" s="1"/>
  <c r="V1257" i="2"/>
  <c r="U1257" i="2"/>
  <c r="W1257" i="2" s="1"/>
  <c r="V1256" i="2"/>
  <c r="U1256" i="2"/>
  <c r="W1256" i="2" s="1"/>
  <c r="V1255" i="2"/>
  <c r="U1255" i="2"/>
  <c r="W1255" i="2" s="1"/>
  <c r="V1254" i="2"/>
  <c r="U1254" i="2"/>
  <c r="W1254" i="2" s="1"/>
  <c r="V1253" i="2"/>
  <c r="U1253" i="2"/>
  <c r="W1253" i="2" s="1"/>
  <c r="V1252" i="2"/>
  <c r="U1252" i="2"/>
  <c r="W1252" i="2" s="1"/>
  <c r="V1251" i="2"/>
  <c r="U1251" i="2"/>
  <c r="W1251" i="2" s="1"/>
  <c r="V1250" i="2"/>
  <c r="U1250" i="2"/>
  <c r="W1250" i="2" s="1"/>
  <c r="V1249" i="2"/>
  <c r="U1249" i="2"/>
  <c r="W1249" i="2" s="1"/>
  <c r="V1248" i="2"/>
  <c r="U1248" i="2"/>
  <c r="W1248" i="2" s="1"/>
  <c r="V1247" i="2"/>
  <c r="U1247" i="2"/>
  <c r="W1247" i="2" s="1"/>
  <c r="V1246" i="2"/>
  <c r="U1246" i="2"/>
  <c r="W1246" i="2" s="1"/>
  <c r="V1245" i="2"/>
  <c r="U1245" i="2"/>
  <c r="W1245" i="2" s="1"/>
  <c r="V1244" i="2"/>
  <c r="U1244" i="2"/>
  <c r="W1244" i="2" s="1"/>
  <c r="V1243" i="2"/>
  <c r="U1243" i="2"/>
  <c r="W1243" i="2" s="1"/>
  <c r="V1242" i="2"/>
  <c r="U1242" i="2"/>
  <c r="W1242" i="2" s="1"/>
  <c r="V1241" i="2"/>
  <c r="U1241" i="2"/>
  <c r="W1241" i="2" s="1"/>
  <c r="V1240" i="2"/>
  <c r="U1240" i="2"/>
  <c r="W1240" i="2" s="1"/>
  <c r="V1239" i="2"/>
  <c r="U1239" i="2"/>
  <c r="W1239" i="2" s="1"/>
  <c r="V1238" i="2"/>
  <c r="U1238" i="2"/>
  <c r="W1238" i="2" s="1"/>
  <c r="V1237" i="2"/>
  <c r="U1237" i="2"/>
  <c r="W1237" i="2" s="1"/>
  <c r="V1236" i="2"/>
  <c r="U1236" i="2"/>
  <c r="W1236" i="2" s="1"/>
  <c r="V1235" i="2"/>
  <c r="U1235" i="2"/>
  <c r="W1235" i="2" s="1"/>
  <c r="V1234" i="2"/>
  <c r="U1234" i="2"/>
  <c r="W1234" i="2" s="1"/>
  <c r="V1233" i="2"/>
  <c r="U1233" i="2"/>
  <c r="W1233" i="2" s="1"/>
  <c r="V1232" i="2"/>
  <c r="U1232" i="2"/>
  <c r="W1232" i="2" s="1"/>
  <c r="V1231" i="2"/>
  <c r="U1231" i="2"/>
  <c r="W1231" i="2" s="1"/>
  <c r="V1230" i="2"/>
  <c r="U1230" i="2"/>
  <c r="W1230" i="2" s="1"/>
  <c r="V1229" i="2"/>
  <c r="U1229" i="2"/>
  <c r="W1229" i="2" s="1"/>
  <c r="V1228" i="2"/>
  <c r="U1228" i="2"/>
  <c r="W1228" i="2" s="1"/>
  <c r="V1227" i="2"/>
  <c r="U1227" i="2"/>
  <c r="W1227" i="2" s="1"/>
  <c r="V1226" i="2"/>
  <c r="U1226" i="2"/>
  <c r="W1226" i="2" s="1"/>
  <c r="V1225" i="2"/>
  <c r="U1225" i="2"/>
  <c r="W1225" i="2" s="1"/>
  <c r="V1224" i="2"/>
  <c r="U1224" i="2"/>
  <c r="W1224" i="2" s="1"/>
  <c r="V1223" i="2"/>
  <c r="U1223" i="2"/>
  <c r="W1223" i="2" s="1"/>
  <c r="V1222" i="2"/>
  <c r="U1222" i="2"/>
  <c r="W1222" i="2" s="1"/>
  <c r="V1221" i="2"/>
  <c r="U1221" i="2"/>
  <c r="W1221" i="2" s="1"/>
  <c r="V1220" i="2"/>
  <c r="U1220" i="2"/>
  <c r="W1220" i="2" s="1"/>
  <c r="V1219" i="2"/>
  <c r="U1219" i="2"/>
  <c r="W1219" i="2" s="1"/>
  <c r="V1218" i="2"/>
  <c r="U1218" i="2"/>
  <c r="W1218" i="2" s="1"/>
  <c r="V1217" i="2"/>
  <c r="U1217" i="2"/>
  <c r="W1217" i="2" s="1"/>
  <c r="V1216" i="2"/>
  <c r="U1216" i="2"/>
  <c r="W1216" i="2" s="1"/>
  <c r="V1215" i="2"/>
  <c r="U1215" i="2"/>
  <c r="W1215" i="2" s="1"/>
  <c r="V1214" i="2"/>
  <c r="U1214" i="2"/>
  <c r="W1214" i="2" s="1"/>
  <c r="V1213" i="2"/>
  <c r="U1213" i="2"/>
  <c r="W1213" i="2" s="1"/>
  <c r="V1212" i="2"/>
  <c r="U1212" i="2"/>
  <c r="W1212" i="2" s="1"/>
  <c r="V1211" i="2"/>
  <c r="U1211" i="2"/>
  <c r="W1211" i="2" s="1"/>
  <c r="V1210" i="2"/>
  <c r="U1210" i="2"/>
  <c r="W1210" i="2" s="1"/>
  <c r="V1209" i="2"/>
  <c r="U1209" i="2"/>
  <c r="W1209" i="2" s="1"/>
  <c r="V1208" i="2"/>
  <c r="U1208" i="2"/>
  <c r="W1208" i="2" s="1"/>
  <c r="V1207" i="2"/>
  <c r="U1207" i="2"/>
  <c r="W1207" i="2" s="1"/>
  <c r="V1206" i="2"/>
  <c r="U1206" i="2"/>
  <c r="W1206" i="2" s="1"/>
  <c r="V1205" i="2"/>
  <c r="U1205" i="2"/>
  <c r="W1205" i="2" s="1"/>
  <c r="V1204" i="2"/>
  <c r="U1204" i="2"/>
  <c r="W1204" i="2" s="1"/>
  <c r="V1203" i="2"/>
  <c r="U1203" i="2"/>
  <c r="W1203" i="2" s="1"/>
  <c r="V1202" i="2"/>
  <c r="U1202" i="2"/>
  <c r="W1202" i="2" s="1"/>
  <c r="V1201" i="2"/>
  <c r="U1201" i="2"/>
  <c r="W1201" i="2" s="1"/>
  <c r="V1200" i="2"/>
  <c r="U1200" i="2"/>
  <c r="W1200" i="2" s="1"/>
  <c r="V1199" i="2"/>
  <c r="U1199" i="2"/>
  <c r="W1199" i="2" s="1"/>
  <c r="V1198" i="2"/>
  <c r="U1198" i="2"/>
  <c r="W1198" i="2" s="1"/>
  <c r="V1197" i="2"/>
  <c r="U1197" i="2"/>
  <c r="W1197" i="2" s="1"/>
  <c r="V1196" i="2"/>
  <c r="U1196" i="2"/>
  <c r="W1196" i="2" s="1"/>
  <c r="V1195" i="2"/>
  <c r="U1195" i="2"/>
  <c r="W1195" i="2" s="1"/>
  <c r="V1194" i="2"/>
  <c r="U1194" i="2"/>
  <c r="W1194" i="2" s="1"/>
  <c r="V1193" i="2"/>
  <c r="U1193" i="2"/>
  <c r="W1193" i="2" s="1"/>
  <c r="V1192" i="2"/>
  <c r="U1192" i="2"/>
  <c r="W1192" i="2" s="1"/>
  <c r="V1191" i="2"/>
  <c r="U1191" i="2"/>
  <c r="W1191" i="2" s="1"/>
  <c r="V1190" i="2"/>
  <c r="U1190" i="2"/>
  <c r="W1190" i="2" s="1"/>
  <c r="V1189" i="2"/>
  <c r="U1189" i="2"/>
  <c r="W1189" i="2" s="1"/>
  <c r="V1188" i="2"/>
  <c r="U1188" i="2"/>
  <c r="W1188" i="2" s="1"/>
  <c r="V1187" i="2"/>
  <c r="U1187" i="2"/>
  <c r="W1187" i="2" s="1"/>
  <c r="V1186" i="2"/>
  <c r="U1186" i="2"/>
  <c r="W1186" i="2" s="1"/>
  <c r="V1185" i="2"/>
  <c r="U1185" i="2"/>
  <c r="W1185" i="2" s="1"/>
  <c r="V1184" i="2"/>
  <c r="U1184" i="2"/>
  <c r="W1184" i="2" s="1"/>
  <c r="V1183" i="2"/>
  <c r="U1183" i="2"/>
  <c r="W1183" i="2" s="1"/>
  <c r="V1182" i="2"/>
  <c r="U1182" i="2"/>
  <c r="W1182" i="2" s="1"/>
  <c r="V1181" i="2"/>
  <c r="U1181" i="2"/>
  <c r="W1181" i="2" s="1"/>
  <c r="V1180" i="2"/>
  <c r="U1180" i="2"/>
  <c r="W1180" i="2" s="1"/>
  <c r="V1179" i="2"/>
  <c r="U1179" i="2"/>
  <c r="W1179" i="2" s="1"/>
  <c r="V1178" i="2"/>
  <c r="U1178" i="2"/>
  <c r="W1178" i="2" s="1"/>
  <c r="V1177" i="2"/>
  <c r="U1177" i="2"/>
  <c r="W1177" i="2" s="1"/>
  <c r="V1176" i="2"/>
  <c r="U1176" i="2"/>
  <c r="W1176" i="2" s="1"/>
  <c r="V1175" i="2"/>
  <c r="U1175" i="2"/>
  <c r="W1175" i="2" s="1"/>
  <c r="V1174" i="2"/>
  <c r="U1174" i="2"/>
  <c r="W1174" i="2" s="1"/>
  <c r="V1173" i="2"/>
  <c r="U1173" i="2"/>
  <c r="W1173" i="2" s="1"/>
  <c r="V1172" i="2"/>
  <c r="U1172" i="2"/>
  <c r="W1172" i="2" s="1"/>
  <c r="V1171" i="2"/>
  <c r="U1171" i="2"/>
  <c r="W1171" i="2" s="1"/>
  <c r="V1170" i="2"/>
  <c r="U1170" i="2"/>
  <c r="W1170" i="2" s="1"/>
  <c r="V1169" i="2"/>
  <c r="U1169" i="2"/>
  <c r="W1169" i="2" s="1"/>
  <c r="V1168" i="2"/>
  <c r="U1168" i="2"/>
  <c r="W1168" i="2" s="1"/>
  <c r="V1167" i="2"/>
  <c r="U1167" i="2"/>
  <c r="W1167" i="2" s="1"/>
  <c r="V1166" i="2"/>
  <c r="U1166" i="2"/>
  <c r="W1166" i="2" s="1"/>
  <c r="V1165" i="2"/>
  <c r="U1165" i="2"/>
  <c r="W1165" i="2" s="1"/>
  <c r="V1164" i="2"/>
  <c r="U1164" i="2"/>
  <c r="W1164" i="2" s="1"/>
  <c r="V1163" i="2"/>
  <c r="U1163" i="2"/>
  <c r="W1163" i="2" s="1"/>
  <c r="V1162" i="2"/>
  <c r="U1162" i="2"/>
  <c r="W1162" i="2" s="1"/>
  <c r="V1161" i="2"/>
  <c r="U1161" i="2"/>
  <c r="W1161" i="2" s="1"/>
  <c r="V1160" i="2"/>
  <c r="U1160" i="2"/>
  <c r="W1160" i="2" s="1"/>
  <c r="V1159" i="2"/>
  <c r="U1159" i="2"/>
  <c r="W1159" i="2" s="1"/>
  <c r="V1158" i="2"/>
  <c r="U1158" i="2"/>
  <c r="W1158" i="2" s="1"/>
  <c r="V1157" i="2"/>
  <c r="U1157" i="2"/>
  <c r="W1157" i="2" s="1"/>
  <c r="V1156" i="2"/>
  <c r="U1156" i="2"/>
  <c r="W1156" i="2" s="1"/>
  <c r="V1155" i="2"/>
  <c r="U1155" i="2"/>
  <c r="W1155" i="2" s="1"/>
  <c r="V1154" i="2"/>
  <c r="U1154" i="2"/>
  <c r="W1154" i="2" s="1"/>
  <c r="V1153" i="2"/>
  <c r="U1153" i="2"/>
  <c r="W1153" i="2" s="1"/>
  <c r="V1152" i="2"/>
  <c r="U1152" i="2"/>
  <c r="W1152" i="2" s="1"/>
  <c r="V1151" i="2"/>
  <c r="U1151" i="2"/>
  <c r="W1151" i="2" s="1"/>
  <c r="V1150" i="2"/>
  <c r="U1150" i="2"/>
  <c r="W1150" i="2" s="1"/>
  <c r="V1149" i="2"/>
  <c r="U1149" i="2"/>
  <c r="W1149" i="2" s="1"/>
  <c r="V1148" i="2"/>
  <c r="U1148" i="2"/>
  <c r="W1148" i="2" s="1"/>
  <c r="V1147" i="2"/>
  <c r="U1147" i="2"/>
  <c r="W1147" i="2" s="1"/>
  <c r="V1146" i="2"/>
  <c r="U1146" i="2"/>
  <c r="W1146" i="2" s="1"/>
  <c r="V1145" i="2"/>
  <c r="U1145" i="2"/>
  <c r="W1145" i="2" s="1"/>
  <c r="V1144" i="2"/>
  <c r="U1144" i="2"/>
  <c r="W1144" i="2" s="1"/>
  <c r="V1143" i="2"/>
  <c r="U1143" i="2"/>
  <c r="W1143" i="2" s="1"/>
  <c r="V1142" i="2"/>
  <c r="U1142" i="2"/>
  <c r="W1142" i="2" s="1"/>
  <c r="V1141" i="2"/>
  <c r="U1141" i="2"/>
  <c r="W1141" i="2" s="1"/>
  <c r="V1140" i="2"/>
  <c r="U1140" i="2"/>
  <c r="W1140" i="2" s="1"/>
  <c r="V1139" i="2"/>
  <c r="U1139" i="2"/>
  <c r="W1139" i="2" s="1"/>
  <c r="V1138" i="2"/>
  <c r="U1138" i="2"/>
  <c r="W1138" i="2" s="1"/>
  <c r="V1137" i="2"/>
  <c r="U1137" i="2"/>
  <c r="W1137" i="2" s="1"/>
  <c r="V1136" i="2"/>
  <c r="U1136" i="2"/>
  <c r="W1136" i="2" s="1"/>
  <c r="V1135" i="2"/>
  <c r="U1135" i="2"/>
  <c r="W1135" i="2" s="1"/>
  <c r="V1134" i="2"/>
  <c r="U1134" i="2"/>
  <c r="W1134" i="2" s="1"/>
  <c r="V1133" i="2"/>
  <c r="U1133" i="2"/>
  <c r="W1133" i="2" s="1"/>
  <c r="V1132" i="2"/>
  <c r="U1132" i="2"/>
  <c r="W1132" i="2" s="1"/>
  <c r="V1131" i="2"/>
  <c r="U1131" i="2"/>
  <c r="W1131" i="2" s="1"/>
  <c r="V1130" i="2"/>
  <c r="U1130" i="2"/>
  <c r="W1130" i="2" s="1"/>
  <c r="V1129" i="2"/>
  <c r="U1129" i="2"/>
  <c r="W1129" i="2" s="1"/>
  <c r="V1128" i="2"/>
  <c r="U1128" i="2"/>
  <c r="W1128" i="2" s="1"/>
  <c r="V1127" i="2"/>
  <c r="U1127" i="2"/>
  <c r="W1127" i="2" s="1"/>
  <c r="V1126" i="2"/>
  <c r="U1126" i="2"/>
  <c r="W1126" i="2" s="1"/>
  <c r="V1125" i="2"/>
  <c r="U1125" i="2"/>
  <c r="W1125" i="2" s="1"/>
  <c r="V1124" i="2"/>
  <c r="U1124" i="2"/>
  <c r="W1124" i="2" s="1"/>
  <c r="V1123" i="2"/>
  <c r="U1123" i="2"/>
  <c r="W1123" i="2" s="1"/>
  <c r="V1122" i="2"/>
  <c r="U1122" i="2"/>
  <c r="W1122" i="2" s="1"/>
  <c r="V1121" i="2"/>
  <c r="U1121" i="2"/>
  <c r="W1121" i="2" s="1"/>
  <c r="V1120" i="2"/>
  <c r="U1120" i="2"/>
  <c r="W1120" i="2" s="1"/>
  <c r="V1119" i="2"/>
  <c r="U1119" i="2"/>
  <c r="W1119" i="2" s="1"/>
  <c r="V1118" i="2"/>
  <c r="U1118" i="2"/>
  <c r="W1118" i="2" s="1"/>
  <c r="V1117" i="2"/>
  <c r="U1117" i="2"/>
  <c r="W1117" i="2" s="1"/>
  <c r="V1116" i="2"/>
  <c r="U1116" i="2"/>
  <c r="W1116" i="2" s="1"/>
  <c r="V1115" i="2"/>
  <c r="U1115" i="2"/>
  <c r="W1115" i="2" s="1"/>
  <c r="V1114" i="2"/>
  <c r="U1114" i="2"/>
  <c r="W1114" i="2" s="1"/>
  <c r="V1113" i="2"/>
  <c r="U1113" i="2"/>
  <c r="W1113" i="2" s="1"/>
  <c r="V1112" i="2"/>
  <c r="U1112" i="2"/>
  <c r="W1112" i="2" s="1"/>
  <c r="V1111" i="2"/>
  <c r="U1111" i="2"/>
  <c r="W1111" i="2" s="1"/>
  <c r="V1110" i="2"/>
  <c r="U1110" i="2"/>
  <c r="W1110" i="2" s="1"/>
  <c r="V1109" i="2"/>
  <c r="U1109" i="2"/>
  <c r="W1109" i="2" s="1"/>
  <c r="V1108" i="2"/>
  <c r="U1108" i="2"/>
  <c r="W1108" i="2" s="1"/>
  <c r="V1107" i="2"/>
  <c r="U1107" i="2"/>
  <c r="W1107" i="2" s="1"/>
  <c r="V1106" i="2"/>
  <c r="U1106" i="2"/>
  <c r="W1106" i="2" s="1"/>
  <c r="V1105" i="2"/>
  <c r="U1105" i="2"/>
  <c r="W1105" i="2" s="1"/>
  <c r="V1104" i="2"/>
  <c r="U1104" i="2"/>
  <c r="W1104" i="2" s="1"/>
  <c r="V1103" i="2"/>
  <c r="U1103" i="2"/>
  <c r="W1103" i="2" s="1"/>
  <c r="V1102" i="2"/>
  <c r="U1102" i="2"/>
  <c r="W1102" i="2" s="1"/>
  <c r="V1101" i="2"/>
  <c r="U1101" i="2"/>
  <c r="W1101" i="2" s="1"/>
  <c r="V1100" i="2"/>
  <c r="U1100" i="2"/>
  <c r="W1100" i="2" s="1"/>
  <c r="V1099" i="2"/>
  <c r="U1099" i="2"/>
  <c r="W1099" i="2" s="1"/>
  <c r="V1098" i="2"/>
  <c r="U1098" i="2"/>
  <c r="W1098" i="2" s="1"/>
  <c r="V1097" i="2"/>
  <c r="U1097" i="2"/>
  <c r="W1097" i="2" s="1"/>
  <c r="V1096" i="2"/>
  <c r="U1096" i="2"/>
  <c r="W1096" i="2" s="1"/>
  <c r="V1095" i="2"/>
  <c r="U1095" i="2"/>
  <c r="W1095" i="2" s="1"/>
  <c r="V1094" i="2"/>
  <c r="U1094" i="2"/>
  <c r="W1094" i="2" s="1"/>
  <c r="V1093" i="2"/>
  <c r="U1093" i="2"/>
  <c r="W1093" i="2" s="1"/>
  <c r="V1092" i="2"/>
  <c r="U1092" i="2"/>
  <c r="W1092" i="2" s="1"/>
  <c r="V1091" i="2"/>
  <c r="U1091" i="2"/>
  <c r="W1091" i="2" s="1"/>
  <c r="V1090" i="2"/>
  <c r="U1090" i="2"/>
  <c r="W1090" i="2" s="1"/>
  <c r="V1089" i="2"/>
  <c r="U1089" i="2"/>
  <c r="W1089" i="2" s="1"/>
  <c r="V1088" i="2"/>
  <c r="U1088" i="2"/>
  <c r="W1088" i="2" s="1"/>
  <c r="V1087" i="2"/>
  <c r="U1087" i="2"/>
  <c r="W1087" i="2" s="1"/>
  <c r="V1086" i="2"/>
  <c r="U1086" i="2"/>
  <c r="W1086" i="2" s="1"/>
  <c r="V1085" i="2"/>
  <c r="U1085" i="2"/>
  <c r="W1085" i="2" s="1"/>
  <c r="V1084" i="2"/>
  <c r="U1084" i="2"/>
  <c r="W1084" i="2" s="1"/>
  <c r="V1083" i="2"/>
  <c r="U1083" i="2"/>
  <c r="W1083" i="2" s="1"/>
  <c r="V1082" i="2"/>
  <c r="U1082" i="2"/>
  <c r="W1082" i="2" s="1"/>
  <c r="V1081" i="2"/>
  <c r="U1081" i="2"/>
  <c r="W1081" i="2" s="1"/>
  <c r="V1080" i="2"/>
  <c r="U1080" i="2"/>
  <c r="W1080" i="2" s="1"/>
  <c r="V1079" i="2"/>
  <c r="U1079" i="2"/>
  <c r="W1079" i="2" s="1"/>
  <c r="V1078" i="2"/>
  <c r="U1078" i="2"/>
  <c r="W1078" i="2" s="1"/>
  <c r="V1077" i="2"/>
  <c r="U1077" i="2"/>
  <c r="W1077" i="2" s="1"/>
  <c r="V1076" i="2"/>
  <c r="U1076" i="2"/>
  <c r="W1076" i="2" s="1"/>
  <c r="V1075" i="2"/>
  <c r="U1075" i="2"/>
  <c r="W1075" i="2" s="1"/>
  <c r="V1074" i="2"/>
  <c r="U1074" i="2"/>
  <c r="W1074" i="2" s="1"/>
  <c r="V1073" i="2"/>
  <c r="U1073" i="2"/>
  <c r="W1073" i="2" s="1"/>
  <c r="V1072" i="2"/>
  <c r="U1072" i="2"/>
  <c r="W1072" i="2" s="1"/>
  <c r="V1071" i="2"/>
  <c r="U1071" i="2"/>
  <c r="W1071" i="2" s="1"/>
  <c r="V1070" i="2"/>
  <c r="U1070" i="2"/>
  <c r="W1070" i="2" s="1"/>
  <c r="V1069" i="2"/>
  <c r="U1069" i="2"/>
  <c r="W1069" i="2" s="1"/>
  <c r="V1068" i="2"/>
  <c r="U1068" i="2"/>
  <c r="W1068" i="2" s="1"/>
  <c r="V1067" i="2"/>
  <c r="U1067" i="2"/>
  <c r="W1067" i="2" s="1"/>
  <c r="V1066" i="2"/>
  <c r="U1066" i="2"/>
  <c r="W1066" i="2" s="1"/>
  <c r="V1065" i="2"/>
  <c r="U1065" i="2"/>
  <c r="W1065" i="2" s="1"/>
  <c r="V1064" i="2"/>
  <c r="U1064" i="2"/>
  <c r="W1064" i="2" s="1"/>
  <c r="V1063" i="2"/>
  <c r="U1063" i="2"/>
  <c r="W1063" i="2" s="1"/>
  <c r="V1062" i="2"/>
  <c r="U1062" i="2"/>
  <c r="W1062" i="2" s="1"/>
  <c r="V1061" i="2"/>
  <c r="U1061" i="2"/>
  <c r="W1061" i="2" s="1"/>
  <c r="V1060" i="2"/>
  <c r="U1060" i="2"/>
  <c r="W1060" i="2" s="1"/>
  <c r="V1059" i="2"/>
  <c r="U1059" i="2"/>
  <c r="W1059" i="2" s="1"/>
  <c r="V1058" i="2"/>
  <c r="U1058" i="2"/>
  <c r="W1058" i="2" s="1"/>
  <c r="V1057" i="2"/>
  <c r="U1057" i="2"/>
  <c r="W1057" i="2" s="1"/>
  <c r="V1056" i="2"/>
  <c r="U1056" i="2"/>
  <c r="W1056" i="2" s="1"/>
  <c r="V1055" i="2"/>
  <c r="U1055" i="2"/>
  <c r="W1055" i="2" s="1"/>
  <c r="V1054" i="2"/>
  <c r="U1054" i="2"/>
  <c r="W1054" i="2" s="1"/>
  <c r="V1053" i="2"/>
  <c r="U1053" i="2"/>
  <c r="W1053" i="2" s="1"/>
  <c r="V1052" i="2"/>
  <c r="U1052" i="2"/>
  <c r="W1052" i="2" s="1"/>
  <c r="V1051" i="2"/>
  <c r="U1051" i="2"/>
  <c r="W1051" i="2" s="1"/>
  <c r="V1050" i="2"/>
  <c r="U1050" i="2"/>
  <c r="W1050" i="2" s="1"/>
  <c r="V1049" i="2"/>
  <c r="U1049" i="2"/>
  <c r="W1049" i="2" s="1"/>
  <c r="V1048" i="2"/>
  <c r="U1048" i="2"/>
  <c r="W1048" i="2" s="1"/>
  <c r="V1047" i="2"/>
  <c r="U1047" i="2"/>
  <c r="W1047" i="2" s="1"/>
  <c r="V1046" i="2"/>
  <c r="U1046" i="2"/>
  <c r="W1046" i="2" s="1"/>
  <c r="V1045" i="2"/>
  <c r="U1045" i="2"/>
  <c r="W1045" i="2" s="1"/>
  <c r="V1044" i="2"/>
  <c r="U1044" i="2"/>
  <c r="W1044" i="2" s="1"/>
  <c r="V1043" i="2"/>
  <c r="U1043" i="2"/>
  <c r="W1043" i="2" s="1"/>
  <c r="V1042" i="2"/>
  <c r="U1042" i="2"/>
  <c r="W1042" i="2" s="1"/>
  <c r="V1041" i="2"/>
  <c r="U1041" i="2"/>
  <c r="W1041" i="2" s="1"/>
  <c r="V1040" i="2"/>
  <c r="U1040" i="2"/>
  <c r="W1040" i="2" s="1"/>
  <c r="V1039" i="2"/>
  <c r="U1039" i="2"/>
  <c r="W1039" i="2" s="1"/>
  <c r="V1038" i="2"/>
  <c r="U1038" i="2"/>
  <c r="W1038" i="2" s="1"/>
  <c r="V1037" i="2"/>
  <c r="U1037" i="2"/>
  <c r="W1037" i="2" s="1"/>
  <c r="V1036" i="2"/>
  <c r="U1036" i="2"/>
  <c r="W1036" i="2" s="1"/>
  <c r="V1035" i="2"/>
  <c r="U1035" i="2"/>
  <c r="W1035" i="2" s="1"/>
  <c r="V1034" i="2"/>
  <c r="U1034" i="2"/>
  <c r="W1034" i="2" s="1"/>
  <c r="V1033" i="2"/>
  <c r="U1033" i="2"/>
  <c r="W1033" i="2" s="1"/>
  <c r="V1032" i="2"/>
  <c r="U1032" i="2"/>
  <c r="W1032" i="2" s="1"/>
  <c r="V1031" i="2"/>
  <c r="U1031" i="2"/>
  <c r="W1031" i="2" s="1"/>
  <c r="V1030" i="2"/>
  <c r="U1030" i="2"/>
  <c r="W1030" i="2" s="1"/>
  <c r="V1029" i="2"/>
  <c r="U1029" i="2"/>
  <c r="W1029" i="2" s="1"/>
  <c r="V1028" i="2"/>
  <c r="U1028" i="2"/>
  <c r="W1028" i="2" s="1"/>
  <c r="V1027" i="2"/>
  <c r="U1027" i="2"/>
  <c r="W1027" i="2" s="1"/>
  <c r="V1026" i="2"/>
  <c r="U1026" i="2"/>
  <c r="W1026" i="2" s="1"/>
  <c r="V1025" i="2"/>
  <c r="U1025" i="2"/>
  <c r="W1025" i="2" s="1"/>
  <c r="V1024" i="2"/>
  <c r="U1024" i="2"/>
  <c r="W1024" i="2" s="1"/>
  <c r="V1023" i="2"/>
  <c r="U1023" i="2"/>
  <c r="W1023" i="2" s="1"/>
  <c r="V1022" i="2"/>
  <c r="U1022" i="2"/>
  <c r="W1022" i="2" s="1"/>
  <c r="V1021" i="2"/>
  <c r="U1021" i="2"/>
  <c r="W1021" i="2" s="1"/>
  <c r="V1020" i="2"/>
  <c r="U1020" i="2"/>
  <c r="W1020" i="2" s="1"/>
  <c r="V1019" i="2"/>
  <c r="U1019" i="2"/>
  <c r="W1019" i="2" s="1"/>
  <c r="V1018" i="2"/>
  <c r="U1018" i="2"/>
  <c r="W1018" i="2" s="1"/>
  <c r="V1017" i="2"/>
  <c r="U1017" i="2"/>
  <c r="W1017" i="2" s="1"/>
  <c r="V1016" i="2"/>
  <c r="U1016" i="2"/>
  <c r="W1016" i="2" s="1"/>
  <c r="V1015" i="2"/>
  <c r="U1015" i="2"/>
  <c r="W1015" i="2" s="1"/>
  <c r="V1014" i="2"/>
  <c r="U1014" i="2"/>
  <c r="W1014" i="2" s="1"/>
  <c r="V1013" i="2"/>
  <c r="U1013" i="2"/>
  <c r="W1013" i="2" s="1"/>
  <c r="V1012" i="2"/>
  <c r="U1012" i="2"/>
  <c r="W1012" i="2" s="1"/>
  <c r="V1011" i="2"/>
  <c r="U1011" i="2"/>
  <c r="W1011" i="2" s="1"/>
  <c r="V1010" i="2"/>
  <c r="U1010" i="2"/>
  <c r="W1010" i="2" s="1"/>
  <c r="V1009" i="2"/>
  <c r="U1009" i="2"/>
  <c r="W1009" i="2" s="1"/>
  <c r="V1008" i="2"/>
  <c r="U1008" i="2"/>
  <c r="W1008" i="2" s="1"/>
  <c r="V1007" i="2"/>
  <c r="U1007" i="2"/>
  <c r="W1007" i="2" s="1"/>
  <c r="V1006" i="2"/>
  <c r="U1006" i="2"/>
  <c r="W1006" i="2" s="1"/>
  <c r="V1005" i="2"/>
  <c r="U1005" i="2"/>
  <c r="W1005" i="2" s="1"/>
  <c r="V1004" i="2"/>
  <c r="U1004" i="2"/>
  <c r="W1004" i="2" s="1"/>
  <c r="V1003" i="2"/>
  <c r="U1003" i="2"/>
  <c r="W1003" i="2" s="1"/>
  <c r="V1002" i="2"/>
  <c r="U1002" i="2"/>
  <c r="W1002" i="2" s="1"/>
  <c r="V1001" i="2"/>
  <c r="U1001" i="2"/>
  <c r="W1001" i="2" s="1"/>
  <c r="V1000" i="2"/>
  <c r="U1000" i="2"/>
  <c r="W1000" i="2" s="1"/>
  <c r="V999" i="2"/>
  <c r="U999" i="2"/>
  <c r="W999" i="2" s="1"/>
  <c r="V998" i="2"/>
  <c r="U998" i="2"/>
  <c r="W998" i="2" s="1"/>
  <c r="V997" i="2"/>
  <c r="U997" i="2"/>
  <c r="W997" i="2" s="1"/>
  <c r="V996" i="2"/>
  <c r="U996" i="2"/>
  <c r="W996" i="2" s="1"/>
  <c r="V995" i="2"/>
  <c r="U995" i="2"/>
  <c r="W995" i="2" s="1"/>
  <c r="V994" i="2"/>
  <c r="U994" i="2"/>
  <c r="W994" i="2" s="1"/>
  <c r="V993" i="2"/>
  <c r="U993" i="2"/>
  <c r="W993" i="2" s="1"/>
  <c r="V992" i="2"/>
  <c r="U992" i="2"/>
  <c r="W992" i="2" s="1"/>
  <c r="V991" i="2"/>
  <c r="U991" i="2"/>
  <c r="W991" i="2" s="1"/>
  <c r="V990" i="2"/>
  <c r="U990" i="2"/>
  <c r="W990" i="2" s="1"/>
  <c r="V989" i="2"/>
  <c r="U989" i="2"/>
  <c r="W989" i="2" s="1"/>
  <c r="V988" i="2"/>
  <c r="U988" i="2"/>
  <c r="W988" i="2" s="1"/>
  <c r="V987" i="2"/>
  <c r="U987" i="2"/>
  <c r="W987" i="2" s="1"/>
  <c r="V986" i="2"/>
  <c r="U986" i="2"/>
  <c r="W986" i="2" s="1"/>
  <c r="V985" i="2"/>
  <c r="U985" i="2"/>
  <c r="W985" i="2" s="1"/>
  <c r="V984" i="2"/>
  <c r="U984" i="2"/>
  <c r="W984" i="2" s="1"/>
  <c r="V983" i="2"/>
  <c r="U983" i="2"/>
  <c r="W983" i="2" s="1"/>
  <c r="V982" i="2"/>
  <c r="U982" i="2"/>
  <c r="W982" i="2" s="1"/>
  <c r="V981" i="2"/>
  <c r="U981" i="2"/>
  <c r="W981" i="2" s="1"/>
  <c r="V980" i="2"/>
  <c r="U980" i="2"/>
  <c r="W980" i="2" s="1"/>
  <c r="V979" i="2"/>
  <c r="U979" i="2"/>
  <c r="W979" i="2" s="1"/>
  <c r="V978" i="2"/>
  <c r="U978" i="2"/>
  <c r="W978" i="2" s="1"/>
  <c r="V977" i="2"/>
  <c r="U977" i="2"/>
  <c r="W977" i="2" s="1"/>
  <c r="V976" i="2"/>
  <c r="U976" i="2"/>
  <c r="W976" i="2" s="1"/>
  <c r="V975" i="2"/>
  <c r="U975" i="2"/>
  <c r="W975" i="2" s="1"/>
  <c r="V974" i="2"/>
  <c r="U974" i="2"/>
  <c r="W974" i="2" s="1"/>
  <c r="V973" i="2"/>
  <c r="U973" i="2"/>
  <c r="W973" i="2" s="1"/>
  <c r="V972" i="2"/>
  <c r="U972" i="2"/>
  <c r="W972" i="2" s="1"/>
  <c r="V971" i="2"/>
  <c r="U971" i="2"/>
  <c r="W971" i="2" s="1"/>
  <c r="V970" i="2"/>
  <c r="U970" i="2"/>
  <c r="W970" i="2" s="1"/>
  <c r="V969" i="2"/>
  <c r="U969" i="2"/>
  <c r="W969" i="2" s="1"/>
  <c r="V968" i="2"/>
  <c r="U968" i="2"/>
  <c r="W968" i="2" s="1"/>
  <c r="V967" i="2"/>
  <c r="U967" i="2"/>
  <c r="W967" i="2" s="1"/>
  <c r="V966" i="2"/>
  <c r="U966" i="2"/>
  <c r="W966" i="2" s="1"/>
  <c r="V965" i="2"/>
  <c r="U965" i="2"/>
  <c r="W965" i="2" s="1"/>
  <c r="V964" i="2"/>
  <c r="U964" i="2"/>
  <c r="W964" i="2" s="1"/>
  <c r="V963" i="2"/>
  <c r="U963" i="2"/>
  <c r="W963" i="2" s="1"/>
  <c r="V962" i="2"/>
  <c r="U962" i="2"/>
  <c r="W962" i="2" s="1"/>
  <c r="V961" i="2"/>
  <c r="U961" i="2"/>
  <c r="W961" i="2" s="1"/>
  <c r="V960" i="2"/>
  <c r="U960" i="2"/>
  <c r="W960" i="2" s="1"/>
  <c r="V959" i="2"/>
  <c r="U959" i="2"/>
  <c r="W959" i="2" s="1"/>
  <c r="V958" i="2"/>
  <c r="U958" i="2"/>
  <c r="W958" i="2" s="1"/>
  <c r="V957" i="2"/>
  <c r="U957" i="2"/>
  <c r="W957" i="2" s="1"/>
  <c r="V956" i="2"/>
  <c r="U956" i="2"/>
  <c r="W956" i="2" s="1"/>
  <c r="V955" i="2"/>
  <c r="U955" i="2"/>
  <c r="W955" i="2" s="1"/>
  <c r="V954" i="2"/>
  <c r="U954" i="2"/>
  <c r="W954" i="2" s="1"/>
  <c r="V953" i="2"/>
  <c r="U953" i="2"/>
  <c r="W953" i="2" s="1"/>
  <c r="V952" i="2"/>
  <c r="U952" i="2"/>
  <c r="W952" i="2" s="1"/>
  <c r="V951" i="2"/>
  <c r="U951" i="2"/>
  <c r="W951" i="2" s="1"/>
  <c r="V950" i="2"/>
  <c r="U950" i="2"/>
  <c r="W950" i="2" s="1"/>
  <c r="V949" i="2"/>
  <c r="U949" i="2"/>
  <c r="W949" i="2" s="1"/>
  <c r="V948" i="2"/>
  <c r="U948" i="2"/>
  <c r="W948" i="2" s="1"/>
  <c r="V947" i="2"/>
  <c r="U947" i="2"/>
  <c r="W947" i="2" s="1"/>
  <c r="V946" i="2"/>
  <c r="U946" i="2"/>
  <c r="W946" i="2" s="1"/>
  <c r="V945" i="2"/>
  <c r="U945" i="2"/>
  <c r="W945" i="2" s="1"/>
  <c r="V944" i="2"/>
  <c r="U944" i="2"/>
  <c r="W944" i="2" s="1"/>
  <c r="V943" i="2"/>
  <c r="U943" i="2"/>
  <c r="W943" i="2" s="1"/>
  <c r="V942" i="2"/>
  <c r="U942" i="2"/>
  <c r="W942" i="2" s="1"/>
  <c r="V941" i="2"/>
  <c r="U941" i="2"/>
  <c r="W941" i="2" s="1"/>
  <c r="V940" i="2"/>
  <c r="U940" i="2"/>
  <c r="W940" i="2" s="1"/>
  <c r="V939" i="2"/>
  <c r="U939" i="2"/>
  <c r="W939" i="2" s="1"/>
  <c r="V938" i="2"/>
  <c r="U938" i="2"/>
  <c r="W938" i="2" s="1"/>
  <c r="V937" i="2"/>
  <c r="U937" i="2"/>
  <c r="W937" i="2" s="1"/>
  <c r="V936" i="2"/>
  <c r="U936" i="2"/>
  <c r="W936" i="2" s="1"/>
  <c r="V935" i="2"/>
  <c r="U935" i="2"/>
  <c r="W935" i="2" s="1"/>
  <c r="V934" i="2"/>
  <c r="U934" i="2"/>
  <c r="W934" i="2" s="1"/>
  <c r="V933" i="2"/>
  <c r="U933" i="2"/>
  <c r="W933" i="2" s="1"/>
  <c r="V932" i="2"/>
  <c r="U932" i="2"/>
  <c r="W932" i="2" s="1"/>
  <c r="V931" i="2"/>
  <c r="U931" i="2"/>
  <c r="W931" i="2" s="1"/>
  <c r="V930" i="2"/>
  <c r="U930" i="2"/>
  <c r="W930" i="2" s="1"/>
  <c r="V929" i="2"/>
  <c r="U929" i="2"/>
  <c r="W929" i="2" s="1"/>
  <c r="V928" i="2"/>
  <c r="U928" i="2"/>
  <c r="W928" i="2" s="1"/>
  <c r="V927" i="2"/>
  <c r="U927" i="2"/>
  <c r="W927" i="2" s="1"/>
  <c r="V926" i="2"/>
  <c r="U926" i="2"/>
  <c r="W926" i="2" s="1"/>
  <c r="V925" i="2"/>
  <c r="U925" i="2"/>
  <c r="W925" i="2" s="1"/>
  <c r="V924" i="2"/>
  <c r="U924" i="2"/>
  <c r="W924" i="2" s="1"/>
  <c r="V923" i="2"/>
  <c r="U923" i="2"/>
  <c r="W923" i="2" s="1"/>
  <c r="V922" i="2"/>
  <c r="U922" i="2"/>
  <c r="W922" i="2" s="1"/>
  <c r="V921" i="2"/>
  <c r="U921" i="2"/>
  <c r="W921" i="2" s="1"/>
  <c r="V920" i="2"/>
  <c r="U920" i="2"/>
  <c r="W920" i="2" s="1"/>
  <c r="V919" i="2"/>
  <c r="U919" i="2"/>
  <c r="W919" i="2" s="1"/>
  <c r="V918" i="2"/>
  <c r="U918" i="2"/>
  <c r="W918" i="2" s="1"/>
  <c r="V917" i="2"/>
  <c r="U917" i="2"/>
  <c r="W917" i="2" s="1"/>
  <c r="V916" i="2"/>
  <c r="U916" i="2"/>
  <c r="W916" i="2" s="1"/>
  <c r="V915" i="2"/>
  <c r="U915" i="2"/>
  <c r="W915" i="2" s="1"/>
  <c r="V914" i="2"/>
  <c r="U914" i="2"/>
  <c r="W914" i="2" s="1"/>
  <c r="V913" i="2"/>
  <c r="U913" i="2"/>
  <c r="W913" i="2" s="1"/>
  <c r="V912" i="2"/>
  <c r="U912" i="2"/>
  <c r="W912" i="2" s="1"/>
  <c r="V911" i="2"/>
  <c r="U911" i="2"/>
  <c r="W911" i="2" s="1"/>
  <c r="V910" i="2"/>
  <c r="U910" i="2"/>
  <c r="W910" i="2" s="1"/>
  <c r="V909" i="2"/>
  <c r="U909" i="2"/>
  <c r="W909" i="2" s="1"/>
  <c r="V908" i="2"/>
  <c r="U908" i="2"/>
  <c r="W908" i="2" s="1"/>
  <c r="V907" i="2"/>
  <c r="U907" i="2"/>
  <c r="W907" i="2" s="1"/>
  <c r="V906" i="2"/>
  <c r="U906" i="2"/>
  <c r="W906" i="2" s="1"/>
  <c r="V905" i="2"/>
  <c r="U905" i="2"/>
  <c r="W905" i="2" s="1"/>
  <c r="V904" i="2"/>
  <c r="U904" i="2"/>
  <c r="W904" i="2" s="1"/>
  <c r="V903" i="2"/>
  <c r="U903" i="2"/>
  <c r="W903" i="2" s="1"/>
  <c r="V902" i="2"/>
  <c r="U902" i="2"/>
  <c r="W902" i="2" s="1"/>
  <c r="V901" i="2"/>
  <c r="U901" i="2"/>
  <c r="W901" i="2" s="1"/>
  <c r="V900" i="2"/>
  <c r="U900" i="2"/>
  <c r="W900" i="2" s="1"/>
  <c r="V899" i="2"/>
  <c r="U899" i="2"/>
  <c r="W899" i="2" s="1"/>
  <c r="V898" i="2"/>
  <c r="U898" i="2"/>
  <c r="W898" i="2" s="1"/>
  <c r="V897" i="2"/>
  <c r="U897" i="2"/>
  <c r="W897" i="2" s="1"/>
  <c r="V896" i="2"/>
  <c r="U896" i="2"/>
  <c r="W896" i="2" s="1"/>
  <c r="V895" i="2"/>
  <c r="U895" i="2"/>
  <c r="W895" i="2" s="1"/>
  <c r="V894" i="2"/>
  <c r="U894" i="2"/>
  <c r="W894" i="2" s="1"/>
  <c r="V893" i="2"/>
  <c r="U893" i="2"/>
  <c r="W893" i="2" s="1"/>
  <c r="V892" i="2"/>
  <c r="U892" i="2"/>
  <c r="W892" i="2" s="1"/>
  <c r="V891" i="2"/>
  <c r="U891" i="2"/>
  <c r="W891" i="2" s="1"/>
  <c r="V890" i="2"/>
  <c r="U890" i="2"/>
  <c r="W890" i="2" s="1"/>
  <c r="V889" i="2"/>
  <c r="U889" i="2"/>
  <c r="W889" i="2" s="1"/>
  <c r="V888" i="2"/>
  <c r="U888" i="2"/>
  <c r="W888" i="2" s="1"/>
  <c r="V887" i="2"/>
  <c r="U887" i="2"/>
  <c r="W887" i="2" s="1"/>
  <c r="V886" i="2"/>
  <c r="U886" i="2"/>
  <c r="W886" i="2" s="1"/>
  <c r="V885" i="2"/>
  <c r="U885" i="2"/>
  <c r="W885" i="2" s="1"/>
  <c r="V884" i="2"/>
  <c r="U884" i="2"/>
  <c r="W884" i="2" s="1"/>
  <c r="V883" i="2"/>
  <c r="U883" i="2"/>
  <c r="W883" i="2" s="1"/>
  <c r="V882" i="2"/>
  <c r="U882" i="2"/>
  <c r="W882" i="2" s="1"/>
  <c r="V881" i="2"/>
  <c r="U881" i="2"/>
  <c r="W881" i="2" s="1"/>
  <c r="V880" i="2"/>
  <c r="U880" i="2"/>
  <c r="W880" i="2" s="1"/>
  <c r="V879" i="2"/>
  <c r="U879" i="2"/>
  <c r="W879" i="2" s="1"/>
  <c r="V878" i="2"/>
  <c r="U878" i="2"/>
  <c r="W878" i="2" s="1"/>
  <c r="V877" i="2"/>
  <c r="U877" i="2"/>
  <c r="W877" i="2" s="1"/>
  <c r="V876" i="2"/>
  <c r="U876" i="2"/>
  <c r="W876" i="2" s="1"/>
  <c r="V875" i="2"/>
  <c r="U875" i="2"/>
  <c r="W875" i="2" s="1"/>
  <c r="V874" i="2"/>
  <c r="U874" i="2"/>
  <c r="W874" i="2" s="1"/>
  <c r="V873" i="2"/>
  <c r="U873" i="2"/>
  <c r="W873" i="2" s="1"/>
  <c r="V872" i="2"/>
  <c r="U872" i="2"/>
  <c r="W872" i="2" s="1"/>
  <c r="V871" i="2"/>
  <c r="U871" i="2"/>
  <c r="W871" i="2" s="1"/>
  <c r="V870" i="2"/>
  <c r="U870" i="2"/>
  <c r="W870" i="2" s="1"/>
  <c r="V869" i="2"/>
  <c r="U869" i="2"/>
  <c r="W869" i="2" s="1"/>
  <c r="V868" i="2"/>
  <c r="U868" i="2"/>
  <c r="W868" i="2" s="1"/>
  <c r="V867" i="2"/>
  <c r="U867" i="2"/>
  <c r="W867" i="2" s="1"/>
  <c r="V866" i="2"/>
  <c r="U866" i="2"/>
  <c r="W866" i="2" s="1"/>
  <c r="V865" i="2"/>
  <c r="U865" i="2"/>
  <c r="W865" i="2" s="1"/>
  <c r="V864" i="2"/>
  <c r="U864" i="2"/>
  <c r="W864" i="2" s="1"/>
  <c r="V863" i="2"/>
  <c r="U863" i="2"/>
  <c r="W863" i="2" s="1"/>
  <c r="V862" i="2"/>
  <c r="U862" i="2"/>
  <c r="W862" i="2" s="1"/>
  <c r="V861" i="2"/>
  <c r="U861" i="2"/>
  <c r="W861" i="2" s="1"/>
  <c r="V860" i="2"/>
  <c r="U860" i="2"/>
  <c r="W860" i="2" s="1"/>
  <c r="V859" i="2"/>
  <c r="U859" i="2"/>
  <c r="W859" i="2" s="1"/>
  <c r="V858" i="2"/>
  <c r="U858" i="2"/>
  <c r="W858" i="2" s="1"/>
  <c r="V857" i="2"/>
  <c r="U857" i="2"/>
  <c r="W857" i="2" s="1"/>
  <c r="V856" i="2"/>
  <c r="U856" i="2"/>
  <c r="W856" i="2" s="1"/>
  <c r="V855" i="2"/>
  <c r="U855" i="2"/>
  <c r="W855" i="2" s="1"/>
  <c r="V854" i="2"/>
  <c r="U854" i="2"/>
  <c r="W854" i="2" s="1"/>
  <c r="V853" i="2"/>
  <c r="U853" i="2"/>
  <c r="W853" i="2" s="1"/>
  <c r="V852" i="2"/>
  <c r="U852" i="2"/>
  <c r="W852" i="2" s="1"/>
  <c r="V851" i="2"/>
  <c r="U851" i="2"/>
  <c r="W851" i="2" s="1"/>
  <c r="V850" i="2"/>
  <c r="U850" i="2"/>
  <c r="W850" i="2" s="1"/>
  <c r="V849" i="2"/>
  <c r="U849" i="2"/>
  <c r="W849" i="2" s="1"/>
  <c r="V848" i="2"/>
  <c r="U848" i="2"/>
  <c r="W848" i="2" s="1"/>
  <c r="V847" i="2"/>
  <c r="U847" i="2"/>
  <c r="W847" i="2" s="1"/>
  <c r="V846" i="2"/>
  <c r="U846" i="2"/>
  <c r="W846" i="2" s="1"/>
  <c r="V845" i="2"/>
  <c r="U845" i="2"/>
  <c r="W845" i="2" s="1"/>
  <c r="V844" i="2"/>
  <c r="U844" i="2"/>
  <c r="W844" i="2" s="1"/>
  <c r="V843" i="2"/>
  <c r="U843" i="2"/>
  <c r="W843" i="2" s="1"/>
  <c r="V842" i="2"/>
  <c r="U842" i="2"/>
  <c r="W842" i="2" s="1"/>
  <c r="V841" i="2"/>
  <c r="U841" i="2"/>
  <c r="W841" i="2" s="1"/>
  <c r="V840" i="2"/>
  <c r="U840" i="2"/>
  <c r="W840" i="2" s="1"/>
  <c r="V839" i="2"/>
  <c r="U839" i="2"/>
  <c r="W839" i="2" s="1"/>
  <c r="V838" i="2"/>
  <c r="U838" i="2"/>
  <c r="W838" i="2" s="1"/>
  <c r="V837" i="2"/>
  <c r="U837" i="2"/>
  <c r="W837" i="2" s="1"/>
  <c r="V836" i="2"/>
  <c r="U836" i="2"/>
  <c r="W836" i="2" s="1"/>
  <c r="V835" i="2"/>
  <c r="U835" i="2"/>
  <c r="W835" i="2" s="1"/>
  <c r="V834" i="2"/>
  <c r="U834" i="2"/>
  <c r="W834" i="2" s="1"/>
  <c r="V833" i="2"/>
  <c r="U833" i="2"/>
  <c r="W833" i="2" s="1"/>
  <c r="V832" i="2"/>
  <c r="U832" i="2"/>
  <c r="W832" i="2" s="1"/>
  <c r="V831" i="2"/>
  <c r="U831" i="2"/>
  <c r="W831" i="2" s="1"/>
  <c r="V830" i="2"/>
  <c r="U830" i="2"/>
  <c r="W830" i="2" s="1"/>
  <c r="V829" i="2"/>
  <c r="U829" i="2"/>
  <c r="W829" i="2" s="1"/>
  <c r="V828" i="2"/>
  <c r="U828" i="2"/>
  <c r="W828" i="2" s="1"/>
  <c r="V827" i="2"/>
  <c r="U827" i="2"/>
  <c r="W827" i="2" s="1"/>
  <c r="V826" i="2"/>
  <c r="U826" i="2"/>
  <c r="W826" i="2" s="1"/>
  <c r="V825" i="2"/>
  <c r="U825" i="2"/>
  <c r="W825" i="2" s="1"/>
  <c r="V824" i="2"/>
  <c r="U824" i="2"/>
  <c r="W824" i="2" s="1"/>
  <c r="V823" i="2"/>
  <c r="U823" i="2"/>
  <c r="W823" i="2" s="1"/>
  <c r="V822" i="2"/>
  <c r="U822" i="2"/>
  <c r="W822" i="2" s="1"/>
  <c r="V821" i="2"/>
  <c r="U821" i="2"/>
  <c r="W821" i="2" s="1"/>
  <c r="V820" i="2"/>
  <c r="U820" i="2"/>
  <c r="W820" i="2" s="1"/>
  <c r="V819" i="2"/>
  <c r="U819" i="2"/>
  <c r="W819" i="2" s="1"/>
  <c r="V818" i="2"/>
  <c r="U818" i="2"/>
  <c r="W818" i="2" s="1"/>
  <c r="V817" i="2"/>
  <c r="U817" i="2"/>
  <c r="W817" i="2" s="1"/>
  <c r="V816" i="2"/>
  <c r="U816" i="2"/>
  <c r="W816" i="2" s="1"/>
  <c r="V815" i="2"/>
  <c r="U815" i="2"/>
  <c r="W815" i="2" s="1"/>
  <c r="V814" i="2"/>
  <c r="U814" i="2"/>
  <c r="W814" i="2" s="1"/>
  <c r="V813" i="2"/>
  <c r="U813" i="2"/>
  <c r="W813" i="2" s="1"/>
  <c r="V812" i="2"/>
  <c r="U812" i="2"/>
  <c r="W812" i="2" s="1"/>
  <c r="V811" i="2"/>
  <c r="U811" i="2"/>
  <c r="W811" i="2" s="1"/>
  <c r="V810" i="2"/>
  <c r="U810" i="2"/>
  <c r="W810" i="2" s="1"/>
  <c r="V809" i="2"/>
  <c r="U809" i="2"/>
  <c r="W809" i="2" s="1"/>
  <c r="V808" i="2"/>
  <c r="U808" i="2"/>
  <c r="W808" i="2" s="1"/>
  <c r="V807" i="2"/>
  <c r="U807" i="2"/>
  <c r="W807" i="2" s="1"/>
  <c r="V806" i="2"/>
  <c r="U806" i="2"/>
  <c r="W806" i="2" s="1"/>
  <c r="V805" i="2"/>
  <c r="U805" i="2"/>
  <c r="W805" i="2" s="1"/>
  <c r="V804" i="2"/>
  <c r="U804" i="2"/>
  <c r="W804" i="2" s="1"/>
  <c r="V803" i="2"/>
  <c r="U803" i="2"/>
  <c r="W803" i="2" s="1"/>
  <c r="V802" i="2"/>
  <c r="U802" i="2"/>
  <c r="W802" i="2" s="1"/>
  <c r="V801" i="2"/>
  <c r="U801" i="2"/>
  <c r="W801" i="2" s="1"/>
  <c r="V800" i="2"/>
  <c r="U800" i="2"/>
  <c r="W800" i="2" s="1"/>
  <c r="V799" i="2"/>
  <c r="U799" i="2"/>
  <c r="W799" i="2" s="1"/>
  <c r="V798" i="2"/>
  <c r="U798" i="2"/>
  <c r="W798" i="2" s="1"/>
  <c r="V797" i="2"/>
  <c r="U797" i="2"/>
  <c r="W797" i="2" s="1"/>
  <c r="V796" i="2"/>
  <c r="U796" i="2"/>
  <c r="W796" i="2" s="1"/>
  <c r="V795" i="2"/>
  <c r="U795" i="2"/>
  <c r="W795" i="2" s="1"/>
  <c r="V794" i="2"/>
  <c r="U794" i="2"/>
  <c r="W794" i="2" s="1"/>
  <c r="V793" i="2"/>
  <c r="U793" i="2"/>
  <c r="W793" i="2" s="1"/>
  <c r="V792" i="2"/>
  <c r="U792" i="2"/>
  <c r="W792" i="2" s="1"/>
  <c r="V791" i="2"/>
  <c r="U791" i="2"/>
  <c r="W791" i="2" s="1"/>
  <c r="V790" i="2"/>
  <c r="U790" i="2"/>
  <c r="W790" i="2" s="1"/>
  <c r="V789" i="2"/>
  <c r="U789" i="2"/>
  <c r="W789" i="2" s="1"/>
  <c r="V788" i="2"/>
  <c r="U788" i="2"/>
  <c r="W788" i="2" s="1"/>
  <c r="V787" i="2"/>
  <c r="U787" i="2"/>
  <c r="W787" i="2" s="1"/>
  <c r="V786" i="2"/>
  <c r="U786" i="2"/>
  <c r="W786" i="2" s="1"/>
  <c r="V785" i="2"/>
  <c r="U785" i="2"/>
  <c r="W785" i="2" s="1"/>
  <c r="V784" i="2"/>
  <c r="U784" i="2"/>
  <c r="W784" i="2" s="1"/>
  <c r="V783" i="2"/>
  <c r="U783" i="2"/>
  <c r="W783" i="2" s="1"/>
  <c r="V782" i="2"/>
  <c r="U782" i="2"/>
  <c r="W782" i="2" s="1"/>
  <c r="V781" i="2"/>
  <c r="U781" i="2"/>
  <c r="W781" i="2" s="1"/>
  <c r="V780" i="2"/>
  <c r="U780" i="2"/>
  <c r="W780" i="2" s="1"/>
  <c r="V779" i="2"/>
  <c r="U779" i="2"/>
  <c r="W779" i="2" s="1"/>
  <c r="V778" i="2"/>
  <c r="U778" i="2"/>
  <c r="W778" i="2" s="1"/>
  <c r="V777" i="2"/>
  <c r="U777" i="2"/>
  <c r="W777" i="2" s="1"/>
  <c r="V776" i="2"/>
  <c r="U776" i="2"/>
  <c r="W776" i="2" s="1"/>
  <c r="V775" i="2"/>
  <c r="U775" i="2"/>
  <c r="W775" i="2" s="1"/>
  <c r="V774" i="2"/>
  <c r="U774" i="2"/>
  <c r="W774" i="2" s="1"/>
  <c r="V773" i="2"/>
  <c r="U773" i="2"/>
  <c r="W773" i="2" s="1"/>
  <c r="V772" i="2"/>
  <c r="U772" i="2"/>
  <c r="W772" i="2" s="1"/>
  <c r="V771" i="2"/>
  <c r="U771" i="2"/>
  <c r="W771" i="2" s="1"/>
  <c r="V770" i="2"/>
  <c r="U770" i="2"/>
  <c r="W770" i="2" s="1"/>
  <c r="V769" i="2"/>
  <c r="U769" i="2"/>
  <c r="W769" i="2" s="1"/>
  <c r="V768" i="2"/>
  <c r="U768" i="2"/>
  <c r="W768" i="2" s="1"/>
  <c r="V767" i="2"/>
  <c r="U767" i="2"/>
  <c r="W767" i="2" s="1"/>
  <c r="V766" i="2"/>
  <c r="U766" i="2"/>
  <c r="W766" i="2" s="1"/>
  <c r="V765" i="2"/>
  <c r="U765" i="2"/>
  <c r="W765" i="2" s="1"/>
  <c r="V764" i="2"/>
  <c r="U764" i="2"/>
  <c r="W764" i="2" s="1"/>
  <c r="R764" i="2"/>
  <c r="V763" i="2"/>
  <c r="U763" i="2"/>
  <c r="W763" i="2" s="1"/>
  <c r="R763" i="2"/>
  <c r="V762" i="2"/>
  <c r="U762" i="2"/>
  <c r="W762" i="2" s="1"/>
  <c r="R762" i="2"/>
  <c r="V761" i="2"/>
  <c r="U761" i="2"/>
  <c r="W761" i="2" s="1"/>
  <c r="R761" i="2"/>
  <c r="V760" i="2"/>
  <c r="U760" i="2"/>
  <c r="W760" i="2" s="1"/>
  <c r="R760" i="2"/>
  <c r="V759" i="2"/>
  <c r="U759" i="2"/>
  <c r="W759" i="2" s="1"/>
  <c r="R759" i="2"/>
  <c r="V758" i="2"/>
  <c r="U758" i="2"/>
  <c r="W758" i="2" s="1"/>
  <c r="R758" i="2"/>
  <c r="V757" i="2"/>
  <c r="U757" i="2"/>
  <c r="W757" i="2" s="1"/>
  <c r="R757" i="2"/>
  <c r="V756" i="2"/>
  <c r="U756" i="2"/>
  <c r="W756" i="2" s="1"/>
  <c r="R756" i="2"/>
  <c r="V755" i="2"/>
  <c r="U755" i="2"/>
  <c r="W755" i="2" s="1"/>
  <c r="R755" i="2"/>
  <c r="V754" i="2"/>
  <c r="U754" i="2"/>
  <c r="W754" i="2" s="1"/>
  <c r="R754" i="2"/>
  <c r="V753" i="2"/>
  <c r="U753" i="2"/>
  <c r="W753" i="2" s="1"/>
  <c r="R753" i="2"/>
  <c r="V752" i="2"/>
  <c r="U752" i="2"/>
  <c r="W752" i="2" s="1"/>
  <c r="R752" i="2"/>
  <c r="V751" i="2"/>
  <c r="U751" i="2"/>
  <c r="W751" i="2" s="1"/>
  <c r="R751" i="2"/>
  <c r="V750" i="2"/>
  <c r="U750" i="2"/>
  <c r="W750" i="2" s="1"/>
  <c r="R750" i="2"/>
  <c r="V749" i="2"/>
  <c r="U749" i="2"/>
  <c r="W749" i="2" s="1"/>
  <c r="R749" i="2"/>
  <c r="V748" i="2"/>
  <c r="U748" i="2"/>
  <c r="W748" i="2" s="1"/>
  <c r="R748" i="2"/>
  <c r="V747" i="2"/>
  <c r="U747" i="2"/>
  <c r="W747" i="2" s="1"/>
  <c r="R747" i="2"/>
  <c r="V746" i="2"/>
  <c r="U746" i="2"/>
  <c r="W746" i="2" s="1"/>
  <c r="R746" i="2"/>
  <c r="V745" i="2"/>
  <c r="U745" i="2"/>
  <c r="W745" i="2" s="1"/>
  <c r="R745" i="2"/>
  <c r="V744" i="2"/>
  <c r="U744" i="2"/>
  <c r="W744" i="2" s="1"/>
  <c r="R744" i="2"/>
  <c r="V743" i="2"/>
  <c r="U743" i="2"/>
  <c r="W743" i="2" s="1"/>
  <c r="R743" i="2"/>
  <c r="V742" i="2"/>
  <c r="U742" i="2"/>
  <c r="W742" i="2" s="1"/>
  <c r="R742" i="2"/>
  <c r="V741" i="2"/>
  <c r="U741" i="2"/>
  <c r="W741" i="2" s="1"/>
  <c r="R741" i="2"/>
  <c r="V740" i="2"/>
  <c r="U740" i="2"/>
  <c r="W740" i="2" s="1"/>
  <c r="R740" i="2"/>
  <c r="V739" i="2"/>
  <c r="U739" i="2"/>
  <c r="W739" i="2" s="1"/>
  <c r="R739" i="2"/>
  <c r="V738" i="2"/>
  <c r="U738" i="2"/>
  <c r="W738" i="2" s="1"/>
  <c r="R738" i="2"/>
  <c r="V737" i="2"/>
  <c r="U737" i="2"/>
  <c r="W737" i="2" s="1"/>
  <c r="R737" i="2"/>
  <c r="V736" i="2"/>
  <c r="U736" i="2"/>
  <c r="W736" i="2" s="1"/>
  <c r="R736" i="2"/>
  <c r="V735" i="2"/>
  <c r="U735" i="2"/>
  <c r="W735" i="2" s="1"/>
  <c r="R735" i="2"/>
  <c r="V734" i="2"/>
  <c r="U734" i="2"/>
  <c r="W734" i="2" s="1"/>
  <c r="R734" i="2"/>
  <c r="V733" i="2"/>
  <c r="U733" i="2"/>
  <c r="W733" i="2" s="1"/>
  <c r="R733" i="2"/>
  <c r="V732" i="2"/>
  <c r="U732" i="2"/>
  <c r="W732" i="2" s="1"/>
  <c r="R732" i="2"/>
  <c r="V731" i="2"/>
  <c r="U731" i="2"/>
  <c r="W731" i="2" s="1"/>
  <c r="R731" i="2"/>
  <c r="L731" i="2"/>
  <c r="V730" i="2"/>
  <c r="U730" i="2"/>
  <c r="W730" i="2" s="1"/>
  <c r="R730" i="2"/>
  <c r="V729" i="2"/>
  <c r="U729" i="2"/>
  <c r="W729" i="2" s="1"/>
  <c r="R729" i="2"/>
  <c r="L729" i="2"/>
  <c r="V728" i="2"/>
  <c r="U728" i="2"/>
  <c r="W728" i="2" s="1"/>
  <c r="R728" i="2"/>
  <c r="V727" i="2"/>
  <c r="U727" i="2"/>
  <c r="W727" i="2" s="1"/>
  <c r="R727" i="2"/>
  <c r="V726" i="2"/>
  <c r="U726" i="2"/>
  <c r="W726" i="2" s="1"/>
  <c r="R726" i="2"/>
  <c r="V725" i="2"/>
  <c r="U725" i="2"/>
  <c r="W725" i="2" s="1"/>
  <c r="R725" i="2"/>
  <c r="O725" i="2"/>
  <c r="N725" i="2"/>
  <c r="M725" i="2"/>
  <c r="L725" i="2"/>
  <c r="V724" i="2"/>
  <c r="U724" i="2"/>
  <c r="W724" i="2" s="1"/>
  <c r="R724" i="2"/>
  <c r="O724" i="2"/>
  <c r="N724" i="2"/>
  <c r="M724" i="2"/>
  <c r="L724" i="2"/>
  <c r="V723" i="2"/>
  <c r="U723" i="2"/>
  <c r="W723" i="2" s="1"/>
  <c r="R723" i="2"/>
  <c r="O723" i="2"/>
  <c r="N723" i="2"/>
  <c r="M723" i="2"/>
  <c r="L723" i="2"/>
  <c r="V722" i="2"/>
  <c r="U722" i="2"/>
  <c r="W722" i="2" s="1"/>
  <c r="R722" i="2"/>
  <c r="O722" i="2"/>
  <c r="N722" i="2"/>
  <c r="M722" i="2"/>
  <c r="L722" i="2"/>
  <c r="V721" i="2"/>
  <c r="U721" i="2"/>
  <c r="W721" i="2" s="1"/>
  <c r="R721" i="2"/>
  <c r="O721" i="2"/>
  <c r="N721" i="2"/>
  <c r="M721" i="2"/>
  <c r="L721" i="2"/>
  <c r="V720" i="2"/>
  <c r="U720" i="2"/>
  <c r="W720" i="2" s="1"/>
  <c r="R720" i="2"/>
  <c r="O720" i="2"/>
  <c r="N720" i="2"/>
  <c r="M720" i="2"/>
  <c r="L720" i="2"/>
  <c r="V719" i="2"/>
  <c r="U719" i="2"/>
  <c r="W719" i="2" s="1"/>
  <c r="R719" i="2"/>
  <c r="O719" i="2"/>
  <c r="O726" i="2" s="1"/>
  <c r="N719" i="2"/>
  <c r="N726" i="2" s="1"/>
  <c r="M719" i="2"/>
  <c r="M726" i="2" s="1"/>
  <c r="L719" i="2"/>
  <c r="L726" i="2" s="1"/>
  <c r="V718" i="2"/>
  <c r="U718" i="2"/>
  <c r="W718" i="2" s="1"/>
  <c r="R718" i="2"/>
  <c r="V717" i="2"/>
  <c r="U717" i="2"/>
  <c r="W717" i="2" s="1"/>
  <c r="R717" i="2"/>
  <c r="V716" i="2"/>
  <c r="U716" i="2"/>
  <c r="W716" i="2" s="1"/>
  <c r="R716" i="2"/>
  <c r="V715" i="2"/>
  <c r="U715" i="2"/>
  <c r="W715" i="2" s="1"/>
  <c r="R715" i="2"/>
  <c r="V714" i="2"/>
  <c r="U714" i="2"/>
  <c r="W714" i="2" s="1"/>
  <c r="R714" i="2"/>
  <c r="P714" i="2"/>
  <c r="V713" i="2"/>
  <c r="U713" i="2"/>
  <c r="W713" i="2" s="1"/>
  <c r="R713" i="2"/>
  <c r="P713" i="2"/>
  <c r="V712" i="2"/>
  <c r="U712" i="2"/>
  <c r="W712" i="2" s="1"/>
  <c r="R712" i="2"/>
  <c r="P712" i="2"/>
  <c r="V711" i="2"/>
  <c r="U711" i="2"/>
  <c r="W711" i="2" s="1"/>
  <c r="R711" i="2"/>
  <c r="P711" i="2"/>
  <c r="V710" i="2"/>
  <c r="U710" i="2"/>
  <c r="W710" i="2" s="1"/>
  <c r="R710" i="2"/>
  <c r="P710" i="2"/>
  <c r="V709" i="2"/>
  <c r="U709" i="2"/>
  <c r="W709" i="2" s="1"/>
  <c r="R709" i="2"/>
  <c r="P709" i="2"/>
  <c r="V708" i="2"/>
  <c r="U708" i="2"/>
  <c r="W708" i="2" s="1"/>
  <c r="R708" i="2"/>
  <c r="P708" i="2"/>
  <c r="V707" i="2"/>
  <c r="U707" i="2"/>
  <c r="W707" i="2" s="1"/>
  <c r="R707" i="2"/>
  <c r="P707" i="2"/>
  <c r="V706" i="2"/>
  <c r="U706" i="2"/>
  <c r="W706" i="2" s="1"/>
  <c r="R706" i="2"/>
  <c r="P706" i="2"/>
  <c r="V705" i="2"/>
  <c r="U705" i="2"/>
  <c r="W705" i="2" s="1"/>
  <c r="R705" i="2"/>
  <c r="P705" i="2"/>
  <c r="V704" i="2"/>
  <c r="U704" i="2"/>
  <c r="W704" i="2" s="1"/>
  <c r="R704" i="2"/>
  <c r="P704" i="2"/>
  <c r="V703" i="2"/>
  <c r="U703" i="2"/>
  <c r="W703" i="2" s="1"/>
  <c r="R703" i="2"/>
  <c r="P703" i="2"/>
  <c r="V702" i="2"/>
  <c r="U702" i="2"/>
  <c r="W702" i="2" s="1"/>
  <c r="R702" i="2"/>
  <c r="P702" i="2"/>
  <c r="V701" i="2"/>
  <c r="U701" i="2"/>
  <c r="W701" i="2" s="1"/>
  <c r="R701" i="2"/>
  <c r="P701" i="2"/>
  <c r="V700" i="2"/>
  <c r="U700" i="2"/>
  <c r="W700" i="2" s="1"/>
  <c r="R700" i="2"/>
  <c r="P700" i="2"/>
  <c r="V699" i="2"/>
  <c r="U699" i="2"/>
  <c r="W699" i="2" s="1"/>
  <c r="R699" i="2"/>
  <c r="P699" i="2"/>
  <c r="V698" i="2"/>
  <c r="U698" i="2"/>
  <c r="W698" i="2" s="1"/>
  <c r="R698" i="2"/>
  <c r="P698" i="2"/>
  <c r="V697" i="2"/>
  <c r="U697" i="2"/>
  <c r="W697" i="2" s="1"/>
  <c r="R697" i="2"/>
  <c r="P697" i="2"/>
  <c r="V696" i="2"/>
  <c r="U696" i="2"/>
  <c r="W696" i="2" s="1"/>
  <c r="R696" i="2"/>
  <c r="P696" i="2"/>
  <c r="V695" i="2"/>
  <c r="U695" i="2"/>
  <c r="W695" i="2" s="1"/>
  <c r="R695" i="2"/>
  <c r="P695" i="2"/>
  <c r="V694" i="2"/>
  <c r="U694" i="2"/>
  <c r="W694" i="2" s="1"/>
  <c r="R694" i="2"/>
  <c r="P694" i="2"/>
  <c r="V693" i="2"/>
  <c r="U693" i="2"/>
  <c r="W693" i="2" s="1"/>
  <c r="R693" i="2"/>
  <c r="P693" i="2"/>
  <c r="V692" i="2"/>
  <c r="U692" i="2"/>
  <c r="W692" i="2" s="1"/>
  <c r="R692" i="2"/>
  <c r="P692" i="2"/>
  <c r="V691" i="2"/>
  <c r="U691" i="2"/>
  <c r="W691" i="2" s="1"/>
  <c r="R691" i="2"/>
  <c r="P691" i="2"/>
  <c r="V690" i="2"/>
  <c r="U690" i="2"/>
  <c r="W690" i="2" s="1"/>
  <c r="R690" i="2"/>
  <c r="P690" i="2"/>
  <c r="V689" i="2"/>
  <c r="U689" i="2"/>
  <c r="W689" i="2" s="1"/>
  <c r="R689" i="2"/>
  <c r="P689" i="2"/>
  <c r="V688" i="2"/>
  <c r="U688" i="2"/>
  <c r="W688" i="2" s="1"/>
  <c r="R688" i="2"/>
  <c r="P688" i="2"/>
  <c r="V687" i="2"/>
  <c r="U687" i="2"/>
  <c r="W687" i="2" s="1"/>
  <c r="R687" i="2"/>
  <c r="P687" i="2"/>
  <c r="V686" i="2"/>
  <c r="U686" i="2"/>
  <c r="W686" i="2" s="1"/>
  <c r="R686" i="2"/>
  <c r="P686" i="2"/>
  <c r="V685" i="2"/>
  <c r="U685" i="2"/>
  <c r="W685" i="2" s="1"/>
  <c r="R685" i="2"/>
  <c r="P685" i="2"/>
  <c r="V684" i="2"/>
  <c r="U684" i="2"/>
  <c r="W684" i="2" s="1"/>
  <c r="R684" i="2"/>
  <c r="P684" i="2"/>
  <c r="V683" i="2"/>
  <c r="U683" i="2"/>
  <c r="W683" i="2" s="1"/>
  <c r="R683" i="2"/>
  <c r="P683" i="2"/>
  <c r="V682" i="2"/>
  <c r="U682" i="2"/>
  <c r="W682" i="2" s="1"/>
  <c r="R682" i="2"/>
  <c r="P682" i="2"/>
  <c r="V681" i="2"/>
  <c r="U681" i="2"/>
  <c r="W681" i="2" s="1"/>
  <c r="R681" i="2"/>
  <c r="P681" i="2"/>
  <c r="V680" i="2"/>
  <c r="U680" i="2"/>
  <c r="W680" i="2" s="1"/>
  <c r="R680" i="2"/>
  <c r="P680" i="2"/>
  <c r="V679" i="2"/>
  <c r="U679" i="2"/>
  <c r="W679" i="2" s="1"/>
  <c r="R679" i="2"/>
  <c r="P679" i="2"/>
  <c r="V678" i="2"/>
  <c r="U678" i="2"/>
  <c r="W678" i="2" s="1"/>
  <c r="R678" i="2"/>
  <c r="P678" i="2"/>
  <c r="V677" i="2"/>
  <c r="U677" i="2"/>
  <c r="W677" i="2" s="1"/>
  <c r="R677" i="2"/>
  <c r="P677" i="2"/>
  <c r="V676" i="2"/>
  <c r="U676" i="2"/>
  <c r="W676" i="2" s="1"/>
  <c r="R676" i="2"/>
  <c r="P676" i="2"/>
  <c r="V675" i="2"/>
  <c r="U675" i="2"/>
  <c r="W675" i="2" s="1"/>
  <c r="R675" i="2"/>
  <c r="P675" i="2"/>
  <c r="V674" i="2"/>
  <c r="U674" i="2"/>
  <c r="W674" i="2" s="1"/>
  <c r="R674" i="2"/>
  <c r="P674" i="2"/>
  <c r="V673" i="2"/>
  <c r="U673" i="2"/>
  <c r="W673" i="2" s="1"/>
  <c r="R673" i="2"/>
  <c r="P673" i="2"/>
  <c r="V672" i="2"/>
  <c r="U672" i="2"/>
  <c r="W672" i="2" s="1"/>
  <c r="R672" i="2"/>
  <c r="P672" i="2"/>
  <c r="U671" i="2"/>
  <c r="R671" i="2"/>
  <c r="P671" i="2"/>
  <c r="U670" i="2"/>
  <c r="R670" i="2"/>
  <c r="P670" i="2"/>
  <c r="U669" i="2"/>
  <c r="R669" i="2"/>
  <c r="P669" i="2"/>
  <c r="U668" i="2"/>
  <c r="R668" i="2"/>
  <c r="P668" i="2"/>
  <c r="U667" i="2"/>
  <c r="R667" i="2"/>
  <c r="P667" i="2"/>
  <c r="U666" i="2"/>
  <c r="R666" i="2"/>
  <c r="P666" i="2"/>
  <c r="U665" i="2"/>
  <c r="R665" i="2"/>
  <c r="P665" i="2"/>
  <c r="U664" i="2"/>
  <c r="R664" i="2"/>
  <c r="P664" i="2"/>
  <c r="U663" i="2"/>
  <c r="R663" i="2"/>
  <c r="P663" i="2"/>
  <c r="U662" i="2"/>
  <c r="R662" i="2"/>
  <c r="P662" i="2"/>
  <c r="U661" i="2"/>
  <c r="R661" i="2"/>
  <c r="P661" i="2"/>
  <c r="U660" i="2"/>
  <c r="R660" i="2"/>
  <c r="P660" i="2"/>
  <c r="U659" i="2"/>
  <c r="R659" i="2"/>
  <c r="P659" i="2"/>
  <c r="U658" i="2"/>
  <c r="R658" i="2"/>
  <c r="P658" i="2"/>
  <c r="U657" i="2"/>
  <c r="R657" i="2"/>
  <c r="P657" i="2"/>
  <c r="U656" i="2"/>
  <c r="R656" i="2"/>
  <c r="P656" i="2"/>
  <c r="U655" i="2"/>
  <c r="R655" i="2"/>
  <c r="P655" i="2"/>
  <c r="U654" i="2"/>
  <c r="R654" i="2"/>
  <c r="P654" i="2"/>
  <c r="U653" i="2"/>
  <c r="R653" i="2"/>
  <c r="P653" i="2"/>
  <c r="U652" i="2"/>
  <c r="R652" i="2"/>
  <c r="P652" i="2"/>
  <c r="U651" i="2"/>
  <c r="R651" i="2"/>
  <c r="P651" i="2"/>
  <c r="U650" i="2"/>
  <c r="R650" i="2"/>
  <c r="P650" i="2"/>
  <c r="U649" i="2"/>
  <c r="R649" i="2"/>
  <c r="P649" i="2"/>
  <c r="U648" i="2"/>
  <c r="R648" i="2"/>
  <c r="P648" i="2"/>
  <c r="U647" i="2"/>
  <c r="R647" i="2"/>
  <c r="P647" i="2"/>
  <c r="U646" i="2"/>
  <c r="R646" i="2"/>
  <c r="P646" i="2"/>
  <c r="U645" i="2"/>
  <c r="R645" i="2"/>
  <c r="P645" i="2"/>
  <c r="U644" i="2"/>
  <c r="R644" i="2"/>
  <c r="P644" i="2"/>
  <c r="U643" i="2"/>
  <c r="R643" i="2"/>
  <c r="P643" i="2"/>
  <c r="U642" i="2"/>
  <c r="R642" i="2"/>
  <c r="P642" i="2"/>
  <c r="U641" i="2"/>
  <c r="R641" i="2"/>
  <c r="P641" i="2"/>
  <c r="U640" i="2"/>
  <c r="R640" i="2"/>
  <c r="P640" i="2"/>
  <c r="U639" i="2"/>
  <c r="R639" i="2"/>
  <c r="P639" i="2"/>
  <c r="U638" i="2"/>
  <c r="R638" i="2"/>
  <c r="P638" i="2"/>
  <c r="U637" i="2"/>
  <c r="R637" i="2"/>
  <c r="P637" i="2"/>
  <c r="U636" i="2"/>
  <c r="R636" i="2"/>
  <c r="P636" i="2"/>
  <c r="U635" i="2"/>
  <c r="R635" i="2"/>
  <c r="P635" i="2"/>
  <c r="U634" i="2"/>
  <c r="R634" i="2"/>
  <c r="P634" i="2"/>
  <c r="U633" i="2"/>
  <c r="R633" i="2"/>
  <c r="P633" i="2"/>
  <c r="U632" i="2"/>
  <c r="R632" i="2"/>
  <c r="P632" i="2"/>
  <c r="U631" i="2"/>
  <c r="R631" i="2"/>
  <c r="P631" i="2"/>
  <c r="U630" i="2"/>
  <c r="R630" i="2"/>
  <c r="P630" i="2"/>
  <c r="U629" i="2"/>
  <c r="R629" i="2"/>
  <c r="P629" i="2"/>
  <c r="U628" i="2"/>
  <c r="R628" i="2"/>
  <c r="P628" i="2"/>
  <c r="U627" i="2"/>
  <c r="R627" i="2"/>
  <c r="P627" i="2"/>
  <c r="U626" i="2"/>
  <c r="R626" i="2"/>
  <c r="P626" i="2"/>
  <c r="U625" i="2"/>
  <c r="R625" i="2"/>
  <c r="P625" i="2"/>
  <c r="U624" i="2"/>
  <c r="R624" i="2"/>
  <c r="P624" i="2"/>
  <c r="U623" i="2"/>
  <c r="R623" i="2"/>
  <c r="P623" i="2"/>
  <c r="U622" i="2"/>
  <c r="R622" i="2"/>
  <c r="P622" i="2"/>
  <c r="U621" i="2"/>
  <c r="R621" i="2"/>
  <c r="P621" i="2"/>
  <c r="U620" i="2"/>
  <c r="R620" i="2"/>
  <c r="P620" i="2"/>
  <c r="U619" i="2"/>
  <c r="R619" i="2"/>
  <c r="P619" i="2"/>
  <c r="U618" i="2"/>
  <c r="R618" i="2"/>
  <c r="P618" i="2"/>
  <c r="U617" i="2"/>
  <c r="R617" i="2"/>
  <c r="P617" i="2"/>
  <c r="U616" i="2"/>
  <c r="R616" i="2"/>
  <c r="P616" i="2"/>
  <c r="U615" i="2"/>
  <c r="R615" i="2"/>
  <c r="P615" i="2"/>
  <c r="U614" i="2"/>
  <c r="R614" i="2"/>
  <c r="P614" i="2"/>
  <c r="U613" i="2"/>
  <c r="R613" i="2"/>
  <c r="P613" i="2"/>
  <c r="U612" i="2"/>
  <c r="R612" i="2"/>
  <c r="P612" i="2"/>
  <c r="U611" i="2"/>
  <c r="R611" i="2"/>
  <c r="P611" i="2"/>
  <c r="U610" i="2"/>
  <c r="R610" i="2"/>
  <c r="P610" i="2"/>
  <c r="U609" i="2"/>
  <c r="R609" i="2"/>
  <c r="P609" i="2"/>
  <c r="U608" i="2"/>
  <c r="R608" i="2"/>
  <c r="P608" i="2"/>
  <c r="U607" i="2"/>
  <c r="R607" i="2"/>
  <c r="P607" i="2"/>
  <c r="U606" i="2"/>
  <c r="R606" i="2"/>
  <c r="P606" i="2"/>
  <c r="U605" i="2"/>
  <c r="R605" i="2"/>
  <c r="P605" i="2"/>
  <c r="U604" i="2"/>
  <c r="R604" i="2"/>
  <c r="P604" i="2"/>
  <c r="U603" i="2"/>
  <c r="R603" i="2"/>
  <c r="P603" i="2"/>
  <c r="U602" i="2"/>
  <c r="R602" i="2"/>
  <c r="P602" i="2"/>
  <c r="U601" i="2"/>
  <c r="R601" i="2"/>
  <c r="P601" i="2"/>
  <c r="U600" i="2"/>
  <c r="R600" i="2"/>
  <c r="P600" i="2"/>
  <c r="U599" i="2"/>
  <c r="R599" i="2"/>
  <c r="P599" i="2"/>
  <c r="U598" i="2"/>
  <c r="R598" i="2"/>
  <c r="P598" i="2"/>
  <c r="U597" i="2"/>
  <c r="R597" i="2"/>
  <c r="P597" i="2"/>
  <c r="U596" i="2"/>
  <c r="R596" i="2"/>
  <c r="P596" i="2"/>
  <c r="U595" i="2"/>
  <c r="R595" i="2"/>
  <c r="P595" i="2"/>
  <c r="U594" i="2"/>
  <c r="R594" i="2"/>
  <c r="P594" i="2"/>
  <c r="U593" i="2"/>
  <c r="R593" i="2"/>
  <c r="P593" i="2"/>
  <c r="U592" i="2"/>
  <c r="R592" i="2"/>
  <c r="P592" i="2"/>
  <c r="U591" i="2"/>
  <c r="R591" i="2"/>
  <c r="P591" i="2"/>
  <c r="U590" i="2"/>
  <c r="R590" i="2"/>
  <c r="P590" i="2"/>
  <c r="U589" i="2"/>
  <c r="R589" i="2"/>
  <c r="P589" i="2"/>
  <c r="U588" i="2"/>
  <c r="R588" i="2"/>
  <c r="P588" i="2"/>
  <c r="U587" i="2"/>
  <c r="R587" i="2"/>
  <c r="P587" i="2"/>
  <c r="U586" i="2"/>
  <c r="R586" i="2"/>
  <c r="P586" i="2"/>
  <c r="U585" i="2"/>
  <c r="R585" i="2"/>
  <c r="P585" i="2"/>
  <c r="U584" i="2"/>
  <c r="R584" i="2"/>
  <c r="P584" i="2"/>
  <c r="U583" i="2"/>
  <c r="R583" i="2"/>
  <c r="P583" i="2"/>
  <c r="U582" i="2"/>
  <c r="R582" i="2"/>
  <c r="P582" i="2"/>
  <c r="U581" i="2"/>
  <c r="R581" i="2"/>
  <c r="P581" i="2"/>
  <c r="U580" i="2"/>
  <c r="R580" i="2"/>
  <c r="P580" i="2"/>
  <c r="U579" i="2"/>
  <c r="R579" i="2"/>
  <c r="P579" i="2"/>
  <c r="U578" i="2"/>
  <c r="R578" i="2"/>
  <c r="P578" i="2"/>
  <c r="U577" i="2"/>
  <c r="R577" i="2"/>
  <c r="P577" i="2"/>
  <c r="U576" i="2"/>
  <c r="R576" i="2"/>
  <c r="P576" i="2"/>
  <c r="U575" i="2"/>
  <c r="R575" i="2"/>
  <c r="P575" i="2"/>
  <c r="U574" i="2"/>
  <c r="R574" i="2"/>
  <c r="P574" i="2"/>
  <c r="U573" i="2"/>
  <c r="R573" i="2"/>
  <c r="P573" i="2"/>
  <c r="U572" i="2"/>
  <c r="R572" i="2"/>
  <c r="P572" i="2"/>
  <c r="U571" i="2"/>
  <c r="R571" i="2"/>
  <c r="P571" i="2"/>
  <c r="U570" i="2"/>
  <c r="R570" i="2"/>
  <c r="P570" i="2"/>
  <c r="U569" i="2"/>
  <c r="R569" i="2"/>
  <c r="P569" i="2"/>
  <c r="U568" i="2"/>
  <c r="R568" i="2"/>
  <c r="P568" i="2"/>
  <c r="U567" i="2"/>
  <c r="R567" i="2"/>
  <c r="P567" i="2"/>
  <c r="U566" i="2"/>
  <c r="R566" i="2"/>
  <c r="P566" i="2"/>
  <c r="U565" i="2"/>
  <c r="R565" i="2"/>
  <c r="P565" i="2"/>
  <c r="U564" i="2"/>
  <c r="R564" i="2"/>
  <c r="P564" i="2"/>
  <c r="U563" i="2"/>
  <c r="R563" i="2"/>
  <c r="P563" i="2"/>
  <c r="U562" i="2"/>
  <c r="R562" i="2"/>
  <c r="P562" i="2"/>
  <c r="U561" i="2"/>
  <c r="R561" i="2"/>
  <c r="P561" i="2"/>
  <c r="U560" i="2"/>
  <c r="R560" i="2"/>
  <c r="P560" i="2"/>
  <c r="U559" i="2"/>
  <c r="R559" i="2"/>
  <c r="P559" i="2"/>
  <c r="U558" i="2"/>
  <c r="R558" i="2"/>
  <c r="P558" i="2"/>
  <c r="U557" i="2"/>
  <c r="R557" i="2"/>
  <c r="P557" i="2"/>
  <c r="U556" i="2"/>
  <c r="R556" i="2"/>
  <c r="P556" i="2"/>
  <c r="U555" i="2"/>
  <c r="R555" i="2"/>
  <c r="P555" i="2"/>
  <c r="U554" i="2"/>
  <c r="R554" i="2"/>
  <c r="P554" i="2"/>
  <c r="U553" i="2"/>
  <c r="R553" i="2"/>
  <c r="P553" i="2"/>
  <c r="U552" i="2"/>
  <c r="R552" i="2"/>
  <c r="P552" i="2"/>
  <c r="U551" i="2"/>
  <c r="R551" i="2"/>
  <c r="P551" i="2"/>
  <c r="U550" i="2"/>
  <c r="R550" i="2"/>
  <c r="P550" i="2"/>
  <c r="U549" i="2"/>
  <c r="R549" i="2"/>
  <c r="P549" i="2"/>
  <c r="U548" i="2"/>
  <c r="R548" i="2"/>
  <c r="P548" i="2"/>
  <c r="U547" i="2"/>
  <c r="R547" i="2"/>
  <c r="P547" i="2"/>
  <c r="U546" i="2"/>
  <c r="R546" i="2"/>
  <c r="P546" i="2"/>
  <c r="U545" i="2"/>
  <c r="R545" i="2"/>
  <c r="P545" i="2"/>
  <c r="U544" i="2"/>
  <c r="R544" i="2"/>
  <c r="P544" i="2"/>
  <c r="U543" i="2"/>
  <c r="R543" i="2"/>
  <c r="P543" i="2"/>
  <c r="U542" i="2"/>
  <c r="R542" i="2"/>
  <c r="P542" i="2"/>
  <c r="U541" i="2"/>
  <c r="R541" i="2"/>
  <c r="P541" i="2"/>
  <c r="U540" i="2"/>
  <c r="R540" i="2"/>
  <c r="P540" i="2"/>
  <c r="U539" i="2"/>
  <c r="R539" i="2"/>
  <c r="P539" i="2"/>
  <c r="U538" i="2"/>
  <c r="R538" i="2"/>
  <c r="P538" i="2"/>
  <c r="U537" i="2"/>
  <c r="R537" i="2"/>
  <c r="P537" i="2"/>
  <c r="U536" i="2"/>
  <c r="R536" i="2"/>
  <c r="P536" i="2"/>
  <c r="U535" i="2"/>
  <c r="R535" i="2"/>
  <c r="P535" i="2"/>
  <c r="U534" i="2"/>
  <c r="R534" i="2"/>
  <c r="P534" i="2"/>
  <c r="U533" i="2"/>
  <c r="R533" i="2"/>
  <c r="P533" i="2"/>
  <c r="U532" i="2"/>
  <c r="R532" i="2"/>
  <c r="P532" i="2"/>
  <c r="U531" i="2"/>
  <c r="R531" i="2"/>
  <c r="P531" i="2"/>
  <c r="U530" i="2"/>
  <c r="R530" i="2"/>
  <c r="P530" i="2"/>
  <c r="U529" i="2"/>
  <c r="R529" i="2"/>
  <c r="P529" i="2"/>
  <c r="U528" i="2"/>
  <c r="R528" i="2"/>
  <c r="P528" i="2"/>
  <c r="U527" i="2"/>
  <c r="R527" i="2"/>
  <c r="P527" i="2"/>
  <c r="U526" i="2"/>
  <c r="R526" i="2"/>
  <c r="P526" i="2"/>
  <c r="U525" i="2"/>
  <c r="R525" i="2"/>
  <c r="P525" i="2"/>
  <c r="U524" i="2"/>
  <c r="R524" i="2"/>
  <c r="P524" i="2"/>
  <c r="U523" i="2"/>
  <c r="R523" i="2"/>
  <c r="P523" i="2"/>
  <c r="U522" i="2"/>
  <c r="R522" i="2"/>
  <c r="P522" i="2"/>
  <c r="U521" i="2"/>
  <c r="R521" i="2"/>
  <c r="P521" i="2"/>
  <c r="U520" i="2"/>
  <c r="R520" i="2"/>
  <c r="P520" i="2"/>
  <c r="U519" i="2"/>
  <c r="R519" i="2"/>
  <c r="P519" i="2"/>
  <c r="U518" i="2"/>
  <c r="R518" i="2"/>
  <c r="P518" i="2"/>
  <c r="U517" i="2"/>
  <c r="R517" i="2"/>
  <c r="P517" i="2"/>
  <c r="U516" i="2"/>
  <c r="R516" i="2"/>
  <c r="P516" i="2"/>
  <c r="U515" i="2"/>
  <c r="R515" i="2"/>
  <c r="P515" i="2"/>
  <c r="U514" i="2"/>
  <c r="R514" i="2"/>
  <c r="P514" i="2"/>
  <c r="U513" i="2"/>
  <c r="R513" i="2"/>
  <c r="P513" i="2"/>
  <c r="U512" i="2"/>
  <c r="R512" i="2"/>
  <c r="P512" i="2"/>
  <c r="U511" i="2"/>
  <c r="R511" i="2"/>
  <c r="P511" i="2"/>
  <c r="U510" i="2"/>
  <c r="R510" i="2"/>
  <c r="P510" i="2"/>
  <c r="U509" i="2"/>
  <c r="R509" i="2"/>
  <c r="P509" i="2"/>
  <c r="U508" i="2"/>
  <c r="R508" i="2"/>
  <c r="P508" i="2"/>
  <c r="U507" i="2"/>
  <c r="R507" i="2"/>
  <c r="P507" i="2"/>
  <c r="U506" i="2"/>
  <c r="R506" i="2"/>
  <c r="P506" i="2"/>
  <c r="U505" i="2"/>
  <c r="R505" i="2"/>
  <c r="P505" i="2"/>
  <c r="U504" i="2"/>
  <c r="R504" i="2"/>
  <c r="P504" i="2"/>
  <c r="U503" i="2"/>
  <c r="R503" i="2"/>
  <c r="P503" i="2"/>
  <c r="U502" i="2"/>
  <c r="R502" i="2"/>
  <c r="P502" i="2"/>
  <c r="U501" i="2"/>
  <c r="R501" i="2"/>
  <c r="P501" i="2"/>
  <c r="U500" i="2"/>
  <c r="R500" i="2"/>
  <c r="P500" i="2"/>
  <c r="U499" i="2"/>
  <c r="R499" i="2"/>
  <c r="P499" i="2"/>
  <c r="U498" i="2"/>
  <c r="R498" i="2"/>
  <c r="P498" i="2"/>
  <c r="U497" i="2"/>
  <c r="R497" i="2"/>
  <c r="P497" i="2"/>
  <c r="U496" i="2"/>
  <c r="R496" i="2"/>
  <c r="P496" i="2"/>
  <c r="U495" i="2"/>
  <c r="R495" i="2"/>
  <c r="P495" i="2"/>
  <c r="U494" i="2"/>
  <c r="R494" i="2"/>
  <c r="P494" i="2"/>
  <c r="U493" i="2"/>
  <c r="R493" i="2"/>
  <c r="P493" i="2"/>
  <c r="U492" i="2"/>
  <c r="R492" i="2"/>
  <c r="P492" i="2"/>
  <c r="U491" i="2"/>
  <c r="R491" i="2"/>
  <c r="P491" i="2"/>
  <c r="U490" i="2"/>
  <c r="R490" i="2"/>
  <c r="P490" i="2"/>
  <c r="U489" i="2"/>
  <c r="R489" i="2"/>
  <c r="P489" i="2"/>
  <c r="U488" i="2"/>
  <c r="R488" i="2"/>
  <c r="P488" i="2"/>
  <c r="U487" i="2"/>
  <c r="R487" i="2"/>
  <c r="P487" i="2"/>
  <c r="U486" i="2"/>
  <c r="R486" i="2"/>
  <c r="P486" i="2"/>
  <c r="U485" i="2"/>
  <c r="R485" i="2"/>
  <c r="P485" i="2"/>
  <c r="U484" i="2"/>
  <c r="R484" i="2"/>
  <c r="P484" i="2"/>
  <c r="U483" i="2"/>
  <c r="R483" i="2"/>
  <c r="P483" i="2"/>
  <c r="U482" i="2"/>
  <c r="R482" i="2"/>
  <c r="P482" i="2"/>
  <c r="U481" i="2"/>
  <c r="R481" i="2"/>
  <c r="P481" i="2"/>
  <c r="U480" i="2"/>
  <c r="R480" i="2"/>
  <c r="P480" i="2"/>
  <c r="U479" i="2"/>
  <c r="R479" i="2"/>
  <c r="P479" i="2"/>
  <c r="U478" i="2"/>
  <c r="R478" i="2"/>
  <c r="P478" i="2"/>
  <c r="U477" i="2"/>
  <c r="R477" i="2"/>
  <c r="P477" i="2"/>
  <c r="U476" i="2"/>
  <c r="R476" i="2"/>
  <c r="P476" i="2"/>
  <c r="U475" i="2"/>
  <c r="R475" i="2"/>
  <c r="P475" i="2"/>
  <c r="U474" i="2"/>
  <c r="R474" i="2"/>
  <c r="P474" i="2"/>
  <c r="U473" i="2"/>
  <c r="R473" i="2"/>
  <c r="P473" i="2"/>
  <c r="U472" i="2"/>
  <c r="R472" i="2"/>
  <c r="P472" i="2"/>
  <c r="U471" i="2"/>
  <c r="R471" i="2"/>
  <c r="P471" i="2"/>
  <c r="U470" i="2"/>
  <c r="R470" i="2"/>
  <c r="P470" i="2"/>
  <c r="U469" i="2"/>
  <c r="R469" i="2"/>
  <c r="P469" i="2"/>
  <c r="U468" i="2"/>
  <c r="R468" i="2"/>
  <c r="P468" i="2"/>
  <c r="U467" i="2"/>
  <c r="R467" i="2"/>
  <c r="P467" i="2"/>
  <c r="U466" i="2"/>
  <c r="R466" i="2"/>
  <c r="P466" i="2"/>
  <c r="U465" i="2"/>
  <c r="R465" i="2"/>
  <c r="P465" i="2"/>
  <c r="U464" i="2"/>
  <c r="R464" i="2"/>
  <c r="P464" i="2"/>
  <c r="U463" i="2"/>
  <c r="R463" i="2"/>
  <c r="P463" i="2"/>
  <c r="U462" i="2"/>
  <c r="R462" i="2"/>
  <c r="P462" i="2"/>
  <c r="U461" i="2"/>
  <c r="R461" i="2"/>
  <c r="P461" i="2"/>
  <c r="U460" i="2"/>
  <c r="R460" i="2"/>
  <c r="P460" i="2"/>
  <c r="U459" i="2"/>
  <c r="R459" i="2"/>
  <c r="P459" i="2"/>
  <c r="U458" i="2"/>
  <c r="R458" i="2"/>
  <c r="P458" i="2"/>
  <c r="U457" i="2"/>
  <c r="R457" i="2"/>
  <c r="P457" i="2"/>
  <c r="U456" i="2"/>
  <c r="R456" i="2"/>
  <c r="P456" i="2"/>
  <c r="U455" i="2"/>
  <c r="R455" i="2"/>
  <c r="P455" i="2"/>
  <c r="U454" i="2"/>
  <c r="R454" i="2"/>
  <c r="P454" i="2"/>
  <c r="U453" i="2"/>
  <c r="R453" i="2"/>
  <c r="P453" i="2"/>
  <c r="U452" i="2"/>
  <c r="R452" i="2"/>
  <c r="P452" i="2"/>
  <c r="U451" i="2"/>
  <c r="R451" i="2"/>
  <c r="P451" i="2"/>
  <c r="U450" i="2"/>
  <c r="R450" i="2"/>
  <c r="P450" i="2"/>
  <c r="U449" i="2"/>
  <c r="R449" i="2"/>
  <c r="P449" i="2"/>
  <c r="U448" i="2"/>
  <c r="R448" i="2"/>
  <c r="P448" i="2"/>
  <c r="U447" i="2"/>
  <c r="R447" i="2"/>
  <c r="P447" i="2"/>
  <c r="U446" i="2"/>
  <c r="R446" i="2"/>
  <c r="P446" i="2"/>
  <c r="U445" i="2"/>
  <c r="R445" i="2"/>
  <c r="P445" i="2"/>
  <c r="U444" i="2"/>
  <c r="R444" i="2"/>
  <c r="P444" i="2"/>
  <c r="U443" i="2"/>
  <c r="R443" i="2"/>
  <c r="P443" i="2"/>
  <c r="U442" i="2"/>
  <c r="R442" i="2"/>
  <c r="P442" i="2"/>
  <c r="U441" i="2"/>
  <c r="R441" i="2"/>
  <c r="P441" i="2"/>
  <c r="U440" i="2"/>
  <c r="R440" i="2"/>
  <c r="P440" i="2"/>
  <c r="U439" i="2"/>
  <c r="R439" i="2"/>
  <c r="P439" i="2"/>
  <c r="U438" i="2"/>
  <c r="R438" i="2"/>
  <c r="P438" i="2"/>
  <c r="U437" i="2"/>
  <c r="R437" i="2"/>
  <c r="P437" i="2"/>
  <c r="U436" i="2"/>
  <c r="R436" i="2"/>
  <c r="P436" i="2"/>
  <c r="U435" i="2"/>
  <c r="R435" i="2"/>
  <c r="P435" i="2"/>
  <c r="U434" i="2"/>
  <c r="R434" i="2"/>
  <c r="P434" i="2"/>
  <c r="U433" i="2"/>
  <c r="R433" i="2"/>
  <c r="P433" i="2"/>
  <c r="U432" i="2"/>
  <c r="R432" i="2"/>
  <c r="P432" i="2"/>
  <c r="U431" i="2"/>
  <c r="R431" i="2"/>
  <c r="P431" i="2"/>
  <c r="U430" i="2"/>
  <c r="R430" i="2"/>
  <c r="P430" i="2"/>
  <c r="U429" i="2"/>
  <c r="R429" i="2"/>
  <c r="P429" i="2"/>
  <c r="U428" i="2"/>
  <c r="R428" i="2"/>
  <c r="P428" i="2"/>
  <c r="U427" i="2"/>
  <c r="R427" i="2"/>
  <c r="P427" i="2"/>
  <c r="U426" i="2"/>
  <c r="R426" i="2"/>
  <c r="P426" i="2"/>
  <c r="U425" i="2"/>
  <c r="R425" i="2"/>
  <c r="P425" i="2"/>
  <c r="U424" i="2"/>
  <c r="R424" i="2"/>
  <c r="P424" i="2"/>
  <c r="U423" i="2"/>
  <c r="R423" i="2"/>
  <c r="P423" i="2"/>
  <c r="U422" i="2"/>
  <c r="R422" i="2"/>
  <c r="P422" i="2"/>
  <c r="U421" i="2"/>
  <c r="R421" i="2"/>
  <c r="P421" i="2"/>
  <c r="U420" i="2"/>
  <c r="R420" i="2"/>
  <c r="P420" i="2"/>
  <c r="U419" i="2"/>
  <c r="R419" i="2"/>
  <c r="P419" i="2"/>
  <c r="U418" i="2"/>
  <c r="R418" i="2"/>
  <c r="P418" i="2"/>
  <c r="U417" i="2"/>
  <c r="R417" i="2"/>
  <c r="P417" i="2"/>
  <c r="U416" i="2"/>
  <c r="R416" i="2"/>
  <c r="P416" i="2"/>
  <c r="U415" i="2"/>
  <c r="R415" i="2"/>
  <c r="P415" i="2"/>
  <c r="U414" i="2"/>
  <c r="R414" i="2"/>
  <c r="P414" i="2"/>
  <c r="U413" i="2"/>
  <c r="R413" i="2"/>
  <c r="P413" i="2"/>
  <c r="U412" i="2"/>
  <c r="R412" i="2"/>
  <c r="P412" i="2"/>
  <c r="U411" i="2"/>
  <c r="R411" i="2"/>
  <c r="P411" i="2"/>
  <c r="U410" i="2"/>
  <c r="R410" i="2"/>
  <c r="P410" i="2"/>
  <c r="U409" i="2"/>
  <c r="R409" i="2"/>
  <c r="P409" i="2"/>
  <c r="U408" i="2"/>
  <c r="R408" i="2"/>
  <c r="P408" i="2"/>
  <c r="U407" i="2"/>
  <c r="R407" i="2"/>
  <c r="P407" i="2"/>
  <c r="U406" i="2"/>
  <c r="R406" i="2"/>
  <c r="P406" i="2"/>
  <c r="U405" i="2"/>
  <c r="R405" i="2"/>
  <c r="P405" i="2"/>
  <c r="U404" i="2"/>
  <c r="R404" i="2"/>
  <c r="P404" i="2"/>
  <c r="U403" i="2"/>
  <c r="R403" i="2"/>
  <c r="P403" i="2"/>
  <c r="U402" i="2"/>
  <c r="R402" i="2"/>
  <c r="P402" i="2"/>
  <c r="U401" i="2"/>
  <c r="R401" i="2"/>
  <c r="P401" i="2"/>
  <c r="U400" i="2"/>
  <c r="R400" i="2"/>
  <c r="P400" i="2"/>
  <c r="U399" i="2"/>
  <c r="R399" i="2"/>
  <c r="P399" i="2"/>
  <c r="U398" i="2"/>
  <c r="R398" i="2"/>
  <c r="P398" i="2"/>
  <c r="U397" i="2"/>
  <c r="R397" i="2"/>
  <c r="P397" i="2"/>
  <c r="U396" i="2"/>
  <c r="R396" i="2"/>
  <c r="P396" i="2"/>
  <c r="U395" i="2"/>
  <c r="R395" i="2"/>
  <c r="P395" i="2"/>
  <c r="U394" i="2"/>
  <c r="R394" i="2"/>
  <c r="P394" i="2"/>
  <c r="U393" i="2"/>
  <c r="R393" i="2"/>
  <c r="P393" i="2"/>
  <c r="U392" i="2"/>
  <c r="R392" i="2"/>
  <c r="P392" i="2"/>
  <c r="U391" i="2"/>
  <c r="R391" i="2"/>
  <c r="P391" i="2"/>
  <c r="U390" i="2"/>
  <c r="R390" i="2"/>
  <c r="P390" i="2"/>
  <c r="U389" i="2"/>
  <c r="R389" i="2"/>
  <c r="P389" i="2"/>
  <c r="U388" i="2"/>
  <c r="R388" i="2"/>
  <c r="P388" i="2"/>
  <c r="U387" i="2"/>
  <c r="R387" i="2"/>
  <c r="P387" i="2"/>
  <c r="U386" i="2"/>
  <c r="R386" i="2"/>
  <c r="P386" i="2"/>
  <c r="U385" i="2"/>
  <c r="R385" i="2"/>
  <c r="P385" i="2"/>
  <c r="U384" i="2"/>
  <c r="R384" i="2"/>
  <c r="P384" i="2"/>
  <c r="U383" i="2"/>
  <c r="R383" i="2"/>
  <c r="P383" i="2"/>
  <c r="U382" i="2"/>
  <c r="R382" i="2"/>
  <c r="P382" i="2"/>
  <c r="U381" i="2"/>
  <c r="R381" i="2"/>
  <c r="P381" i="2"/>
  <c r="U380" i="2"/>
  <c r="R380" i="2"/>
  <c r="P380" i="2"/>
  <c r="U379" i="2"/>
  <c r="R379" i="2"/>
  <c r="P379" i="2"/>
  <c r="U378" i="2"/>
  <c r="R378" i="2"/>
  <c r="P378" i="2"/>
  <c r="U377" i="2"/>
  <c r="R377" i="2"/>
  <c r="P377" i="2"/>
  <c r="U376" i="2"/>
  <c r="R376" i="2"/>
  <c r="P376" i="2"/>
  <c r="U375" i="2"/>
  <c r="R375" i="2"/>
  <c r="P375" i="2"/>
  <c r="U374" i="2"/>
  <c r="R374" i="2"/>
  <c r="P374" i="2"/>
  <c r="U373" i="2"/>
  <c r="R373" i="2"/>
  <c r="P373" i="2"/>
  <c r="U372" i="2"/>
  <c r="R372" i="2"/>
  <c r="P372" i="2"/>
  <c r="U371" i="2"/>
  <c r="R371" i="2"/>
  <c r="P371" i="2"/>
  <c r="U370" i="2"/>
  <c r="R370" i="2"/>
  <c r="P370" i="2"/>
  <c r="U369" i="2"/>
  <c r="R369" i="2"/>
  <c r="P369" i="2"/>
  <c r="U368" i="2"/>
  <c r="R368" i="2"/>
  <c r="P368" i="2"/>
  <c r="U367" i="2"/>
  <c r="R367" i="2"/>
  <c r="P367" i="2"/>
  <c r="U366" i="2"/>
  <c r="R366" i="2"/>
  <c r="P366" i="2"/>
  <c r="U365" i="2"/>
  <c r="R365" i="2"/>
  <c r="P365" i="2"/>
  <c r="U364" i="2"/>
  <c r="R364" i="2"/>
  <c r="P364" i="2"/>
  <c r="U363" i="2"/>
  <c r="R363" i="2"/>
  <c r="P363" i="2"/>
  <c r="U362" i="2"/>
  <c r="R362" i="2"/>
  <c r="P362" i="2"/>
  <c r="U361" i="2"/>
  <c r="R361" i="2"/>
  <c r="P361" i="2"/>
  <c r="U360" i="2"/>
  <c r="R360" i="2"/>
  <c r="P360" i="2"/>
  <c r="U359" i="2"/>
  <c r="R359" i="2"/>
  <c r="P359" i="2"/>
  <c r="U358" i="2"/>
  <c r="R358" i="2"/>
  <c r="P358" i="2"/>
  <c r="U357" i="2"/>
  <c r="R357" i="2"/>
  <c r="P357" i="2"/>
  <c r="U356" i="2"/>
  <c r="R356" i="2"/>
  <c r="P356" i="2"/>
  <c r="U355" i="2"/>
  <c r="R355" i="2"/>
  <c r="P355" i="2"/>
  <c r="U354" i="2"/>
  <c r="R354" i="2"/>
  <c r="P354" i="2"/>
  <c r="U353" i="2"/>
  <c r="R353" i="2"/>
  <c r="P353" i="2"/>
  <c r="U352" i="2"/>
  <c r="R352" i="2"/>
  <c r="P352" i="2"/>
  <c r="U351" i="2"/>
  <c r="R351" i="2"/>
  <c r="P351" i="2"/>
  <c r="U350" i="2"/>
  <c r="R350" i="2"/>
  <c r="P350" i="2"/>
  <c r="U349" i="2"/>
  <c r="R349" i="2"/>
  <c r="P349" i="2"/>
  <c r="U348" i="2"/>
  <c r="R348" i="2"/>
  <c r="P348" i="2"/>
  <c r="U347" i="2"/>
  <c r="R347" i="2"/>
  <c r="P347" i="2"/>
  <c r="U346" i="2"/>
  <c r="R346" i="2"/>
  <c r="P346" i="2"/>
  <c r="U345" i="2"/>
  <c r="R345" i="2"/>
  <c r="P345" i="2"/>
  <c r="U344" i="2"/>
  <c r="R344" i="2"/>
  <c r="P344" i="2"/>
  <c r="U343" i="2"/>
  <c r="R343" i="2"/>
  <c r="P343" i="2"/>
  <c r="U342" i="2"/>
  <c r="R342" i="2"/>
  <c r="P342" i="2"/>
  <c r="U341" i="2"/>
  <c r="R341" i="2"/>
  <c r="P341" i="2"/>
  <c r="U340" i="2"/>
  <c r="R340" i="2"/>
  <c r="P340" i="2"/>
  <c r="U339" i="2"/>
  <c r="R339" i="2"/>
  <c r="P339" i="2"/>
  <c r="U338" i="2"/>
  <c r="R338" i="2"/>
  <c r="P338" i="2"/>
  <c r="U337" i="2"/>
  <c r="R337" i="2"/>
  <c r="P337" i="2"/>
  <c r="U336" i="2"/>
  <c r="R336" i="2"/>
  <c r="P336" i="2"/>
  <c r="U335" i="2"/>
  <c r="R335" i="2"/>
  <c r="P335" i="2"/>
  <c r="U334" i="2"/>
  <c r="R334" i="2"/>
  <c r="P334" i="2"/>
  <c r="U333" i="2"/>
  <c r="R333" i="2"/>
  <c r="P333" i="2"/>
  <c r="U332" i="2"/>
  <c r="R332" i="2"/>
  <c r="P332" i="2"/>
  <c r="U331" i="2"/>
  <c r="R331" i="2"/>
  <c r="P331" i="2"/>
  <c r="U330" i="2"/>
  <c r="R330" i="2"/>
  <c r="P330" i="2"/>
  <c r="U329" i="2"/>
  <c r="R329" i="2"/>
  <c r="P329" i="2"/>
  <c r="U328" i="2"/>
  <c r="R328" i="2"/>
  <c r="P328" i="2"/>
  <c r="U327" i="2"/>
  <c r="R327" i="2"/>
  <c r="P327" i="2"/>
  <c r="U326" i="2"/>
  <c r="R326" i="2"/>
  <c r="P326" i="2"/>
  <c r="U325" i="2"/>
  <c r="R325" i="2"/>
  <c r="P325" i="2"/>
  <c r="U324" i="2"/>
  <c r="R324" i="2"/>
  <c r="P324" i="2"/>
  <c r="U323" i="2"/>
  <c r="R323" i="2"/>
  <c r="P323" i="2"/>
  <c r="U322" i="2"/>
  <c r="R322" i="2"/>
  <c r="P322" i="2"/>
  <c r="U321" i="2"/>
  <c r="R321" i="2"/>
  <c r="P321" i="2"/>
  <c r="U320" i="2"/>
  <c r="R320" i="2"/>
  <c r="P320" i="2"/>
  <c r="U319" i="2"/>
  <c r="R319" i="2"/>
  <c r="P319" i="2"/>
  <c r="U318" i="2"/>
  <c r="R318" i="2"/>
  <c r="P318" i="2"/>
  <c r="U317" i="2"/>
  <c r="R317" i="2"/>
  <c r="P317" i="2"/>
  <c r="U316" i="2"/>
  <c r="R316" i="2"/>
  <c r="P316" i="2"/>
  <c r="U315" i="2"/>
  <c r="R315" i="2"/>
  <c r="P315" i="2"/>
  <c r="U314" i="2"/>
  <c r="R314" i="2"/>
  <c r="P314" i="2"/>
  <c r="U313" i="2"/>
  <c r="R313" i="2"/>
  <c r="P313" i="2"/>
  <c r="U312" i="2"/>
  <c r="R312" i="2"/>
  <c r="P312" i="2"/>
  <c r="U311" i="2"/>
  <c r="R311" i="2"/>
  <c r="P311" i="2"/>
  <c r="U310" i="2"/>
  <c r="R310" i="2"/>
  <c r="P310" i="2"/>
  <c r="U309" i="2"/>
  <c r="R309" i="2"/>
  <c r="P309" i="2"/>
  <c r="U308" i="2"/>
  <c r="R308" i="2"/>
  <c r="P308" i="2"/>
  <c r="U307" i="2"/>
  <c r="R307" i="2"/>
  <c r="P307" i="2"/>
  <c r="U306" i="2"/>
  <c r="R306" i="2"/>
  <c r="P306" i="2"/>
  <c r="U305" i="2"/>
  <c r="R305" i="2"/>
  <c r="P305" i="2"/>
  <c r="U304" i="2"/>
  <c r="R304" i="2"/>
  <c r="P304" i="2"/>
  <c r="U303" i="2"/>
  <c r="R303" i="2"/>
  <c r="P303" i="2"/>
  <c r="U302" i="2"/>
  <c r="R302" i="2"/>
  <c r="P302" i="2"/>
  <c r="U301" i="2"/>
  <c r="R301" i="2"/>
  <c r="P301" i="2"/>
  <c r="U300" i="2"/>
  <c r="R300" i="2"/>
  <c r="P300" i="2"/>
  <c r="U299" i="2"/>
  <c r="R299" i="2"/>
  <c r="P299" i="2"/>
  <c r="U298" i="2"/>
  <c r="R298" i="2"/>
  <c r="P298" i="2"/>
  <c r="U297" i="2"/>
  <c r="R297" i="2"/>
  <c r="P297" i="2"/>
  <c r="U296" i="2"/>
  <c r="R296" i="2"/>
  <c r="P296" i="2"/>
  <c r="U295" i="2"/>
  <c r="R295" i="2"/>
  <c r="P295" i="2"/>
  <c r="U294" i="2"/>
  <c r="R294" i="2"/>
  <c r="P294" i="2"/>
  <c r="U293" i="2"/>
  <c r="R293" i="2"/>
  <c r="P293" i="2"/>
  <c r="U292" i="2"/>
  <c r="R292" i="2"/>
  <c r="P292" i="2"/>
  <c r="U291" i="2"/>
  <c r="R291" i="2"/>
  <c r="P291" i="2"/>
  <c r="U290" i="2"/>
  <c r="R290" i="2"/>
  <c r="P290" i="2"/>
  <c r="U289" i="2"/>
  <c r="R289" i="2"/>
  <c r="P289" i="2"/>
  <c r="U288" i="2"/>
  <c r="R288" i="2"/>
  <c r="P288" i="2"/>
  <c r="U287" i="2"/>
  <c r="R287" i="2"/>
  <c r="P287" i="2"/>
  <c r="U286" i="2"/>
  <c r="R286" i="2"/>
  <c r="P286" i="2"/>
  <c r="U285" i="2"/>
  <c r="R285" i="2"/>
  <c r="P285" i="2"/>
  <c r="U284" i="2"/>
  <c r="R284" i="2"/>
  <c r="P284" i="2"/>
  <c r="U283" i="2"/>
  <c r="R283" i="2"/>
  <c r="P283" i="2"/>
  <c r="U282" i="2"/>
  <c r="R282" i="2"/>
  <c r="P282" i="2"/>
  <c r="U281" i="2"/>
  <c r="R281" i="2"/>
  <c r="P281" i="2"/>
  <c r="U280" i="2"/>
  <c r="R280" i="2"/>
  <c r="P280" i="2"/>
  <c r="U279" i="2"/>
  <c r="R279" i="2"/>
  <c r="P279" i="2"/>
  <c r="U278" i="2"/>
  <c r="R278" i="2"/>
  <c r="P278" i="2"/>
  <c r="U277" i="2"/>
  <c r="R277" i="2"/>
  <c r="P277" i="2"/>
  <c r="U276" i="2"/>
  <c r="R276" i="2"/>
  <c r="P276" i="2"/>
  <c r="U275" i="2"/>
  <c r="R275" i="2"/>
  <c r="P275" i="2"/>
  <c r="U274" i="2"/>
  <c r="R274" i="2"/>
  <c r="P274" i="2"/>
  <c r="U273" i="2"/>
  <c r="R273" i="2"/>
  <c r="P273" i="2"/>
  <c r="U272" i="2"/>
  <c r="R272" i="2"/>
  <c r="P272" i="2"/>
  <c r="U271" i="2"/>
  <c r="R271" i="2"/>
  <c r="P271" i="2"/>
  <c r="U270" i="2"/>
  <c r="R270" i="2"/>
  <c r="P270" i="2"/>
  <c r="U269" i="2"/>
  <c r="R269" i="2"/>
  <c r="P269" i="2"/>
  <c r="U268" i="2"/>
  <c r="R268" i="2"/>
  <c r="P268" i="2"/>
  <c r="U267" i="2"/>
  <c r="R267" i="2"/>
  <c r="P267" i="2"/>
  <c r="U266" i="2"/>
  <c r="R266" i="2"/>
  <c r="P266" i="2"/>
  <c r="U265" i="2"/>
  <c r="R265" i="2"/>
  <c r="P265" i="2"/>
  <c r="U264" i="2"/>
  <c r="R264" i="2"/>
  <c r="P264" i="2"/>
  <c r="U263" i="2"/>
  <c r="R263" i="2"/>
  <c r="P263" i="2"/>
  <c r="U262" i="2"/>
  <c r="R262" i="2"/>
  <c r="P262" i="2"/>
  <c r="U261" i="2"/>
  <c r="R261" i="2"/>
  <c r="P261" i="2"/>
  <c r="U260" i="2"/>
  <c r="R260" i="2"/>
  <c r="P260" i="2"/>
  <c r="U259" i="2"/>
  <c r="R259" i="2"/>
  <c r="P259" i="2"/>
  <c r="U258" i="2"/>
  <c r="R258" i="2"/>
  <c r="P258" i="2"/>
  <c r="U257" i="2"/>
  <c r="R257" i="2"/>
  <c r="P257" i="2"/>
  <c r="U256" i="2"/>
  <c r="R256" i="2"/>
  <c r="P256" i="2"/>
  <c r="U255" i="2"/>
  <c r="R255" i="2"/>
  <c r="P255" i="2"/>
  <c r="U254" i="2"/>
  <c r="R254" i="2"/>
  <c r="P254" i="2"/>
  <c r="U253" i="2"/>
  <c r="R253" i="2"/>
  <c r="P253" i="2"/>
  <c r="U252" i="2"/>
  <c r="R252" i="2"/>
  <c r="P252" i="2"/>
  <c r="U251" i="2"/>
  <c r="R251" i="2"/>
  <c r="P251" i="2"/>
  <c r="U250" i="2"/>
  <c r="R250" i="2"/>
  <c r="P250" i="2"/>
  <c r="U249" i="2"/>
  <c r="R249" i="2"/>
  <c r="P249" i="2"/>
  <c r="U248" i="2"/>
  <c r="R248" i="2"/>
  <c r="P248" i="2"/>
  <c r="U247" i="2"/>
  <c r="R247" i="2"/>
  <c r="P247" i="2"/>
  <c r="U246" i="2"/>
  <c r="R246" i="2"/>
  <c r="P246" i="2"/>
  <c r="U245" i="2"/>
  <c r="R245" i="2"/>
  <c r="P245" i="2"/>
  <c r="U244" i="2"/>
  <c r="R244" i="2"/>
  <c r="P244" i="2"/>
  <c r="U243" i="2"/>
  <c r="R243" i="2"/>
  <c r="P243" i="2"/>
  <c r="U242" i="2"/>
  <c r="R242" i="2"/>
  <c r="P242" i="2"/>
  <c r="U241" i="2"/>
  <c r="R241" i="2"/>
  <c r="P241" i="2"/>
  <c r="U240" i="2"/>
  <c r="R240" i="2"/>
  <c r="P240" i="2"/>
  <c r="U239" i="2"/>
  <c r="R239" i="2"/>
  <c r="P239" i="2"/>
  <c r="U238" i="2"/>
  <c r="R238" i="2"/>
  <c r="P238" i="2"/>
  <c r="U237" i="2"/>
  <c r="R237" i="2"/>
  <c r="P237" i="2"/>
  <c r="U236" i="2"/>
  <c r="R236" i="2"/>
  <c r="P236" i="2"/>
  <c r="U235" i="2"/>
  <c r="R235" i="2"/>
  <c r="P235" i="2"/>
  <c r="U234" i="2"/>
  <c r="R234" i="2"/>
  <c r="P234" i="2"/>
  <c r="U233" i="2"/>
  <c r="R233" i="2"/>
  <c r="P233" i="2"/>
  <c r="U232" i="2"/>
  <c r="R232" i="2"/>
  <c r="P232" i="2"/>
  <c r="U231" i="2"/>
  <c r="R231" i="2"/>
  <c r="P231" i="2"/>
  <c r="U230" i="2"/>
  <c r="R230" i="2"/>
  <c r="P230" i="2"/>
  <c r="U229" i="2"/>
  <c r="R229" i="2"/>
  <c r="P229" i="2"/>
  <c r="U228" i="2"/>
  <c r="R228" i="2"/>
  <c r="P228" i="2"/>
  <c r="U227" i="2"/>
  <c r="R227" i="2"/>
  <c r="P227" i="2"/>
  <c r="U226" i="2"/>
  <c r="R226" i="2"/>
  <c r="P226" i="2"/>
  <c r="U225" i="2"/>
  <c r="R225" i="2"/>
  <c r="P225" i="2"/>
  <c r="U224" i="2"/>
  <c r="R224" i="2"/>
  <c r="P224" i="2"/>
  <c r="U223" i="2"/>
  <c r="R223" i="2"/>
  <c r="P223" i="2"/>
  <c r="U222" i="2"/>
  <c r="R222" i="2"/>
  <c r="P222" i="2"/>
  <c r="U221" i="2"/>
  <c r="R221" i="2"/>
  <c r="P221" i="2"/>
  <c r="U220" i="2"/>
  <c r="R220" i="2"/>
  <c r="P220" i="2"/>
  <c r="U219" i="2"/>
  <c r="R219" i="2"/>
  <c r="P219" i="2"/>
  <c r="U218" i="2"/>
  <c r="R218" i="2"/>
  <c r="P218" i="2"/>
  <c r="U217" i="2"/>
  <c r="R217" i="2"/>
  <c r="P217" i="2"/>
  <c r="U216" i="2"/>
  <c r="R216" i="2"/>
  <c r="P216" i="2"/>
  <c r="U215" i="2"/>
  <c r="R215" i="2"/>
  <c r="P215" i="2"/>
  <c r="U214" i="2"/>
  <c r="R214" i="2"/>
  <c r="P214" i="2"/>
  <c r="U213" i="2"/>
  <c r="R213" i="2"/>
  <c r="P213" i="2"/>
  <c r="U212" i="2"/>
  <c r="R212" i="2"/>
  <c r="P212" i="2"/>
  <c r="U211" i="2"/>
  <c r="R211" i="2"/>
  <c r="P211" i="2"/>
  <c r="U210" i="2"/>
  <c r="R210" i="2"/>
  <c r="P210" i="2"/>
  <c r="U209" i="2"/>
  <c r="R209" i="2"/>
  <c r="P209" i="2"/>
  <c r="U208" i="2"/>
  <c r="R208" i="2"/>
  <c r="P208" i="2"/>
  <c r="U207" i="2"/>
  <c r="R207" i="2"/>
  <c r="P207" i="2"/>
  <c r="U206" i="2"/>
  <c r="R206" i="2"/>
  <c r="P206" i="2"/>
  <c r="U205" i="2"/>
  <c r="R205" i="2"/>
  <c r="P205" i="2"/>
  <c r="U204" i="2"/>
  <c r="R204" i="2"/>
  <c r="P204" i="2"/>
  <c r="U203" i="2"/>
  <c r="R203" i="2"/>
  <c r="P203" i="2"/>
  <c r="U202" i="2"/>
  <c r="R202" i="2"/>
  <c r="P202" i="2"/>
  <c r="U201" i="2"/>
  <c r="R201" i="2"/>
  <c r="P201" i="2"/>
  <c r="U200" i="2"/>
  <c r="R200" i="2"/>
  <c r="P200" i="2"/>
  <c r="U199" i="2"/>
  <c r="R199" i="2"/>
  <c r="P199" i="2"/>
  <c r="U198" i="2"/>
  <c r="R198" i="2"/>
  <c r="P198" i="2"/>
  <c r="U197" i="2"/>
  <c r="R197" i="2"/>
  <c r="P197" i="2"/>
  <c r="U196" i="2"/>
  <c r="R196" i="2"/>
  <c r="P196" i="2"/>
  <c r="U195" i="2"/>
  <c r="R195" i="2"/>
  <c r="P195" i="2"/>
  <c r="U194" i="2"/>
  <c r="R194" i="2"/>
  <c r="P194" i="2"/>
  <c r="U193" i="2"/>
  <c r="R193" i="2"/>
  <c r="P193" i="2"/>
  <c r="U192" i="2"/>
  <c r="R192" i="2"/>
  <c r="P192" i="2"/>
  <c r="U191" i="2"/>
  <c r="R191" i="2"/>
  <c r="P191" i="2"/>
  <c r="U190" i="2"/>
  <c r="R190" i="2"/>
  <c r="P190" i="2"/>
  <c r="U189" i="2"/>
  <c r="R189" i="2"/>
  <c r="P189" i="2"/>
  <c r="U188" i="2"/>
  <c r="R188" i="2"/>
  <c r="P188" i="2"/>
  <c r="U187" i="2"/>
  <c r="R187" i="2"/>
  <c r="P187" i="2"/>
  <c r="U186" i="2"/>
  <c r="R186" i="2"/>
  <c r="P186" i="2"/>
  <c r="U185" i="2"/>
  <c r="R185" i="2"/>
  <c r="P185" i="2"/>
  <c r="U184" i="2"/>
  <c r="R184" i="2"/>
  <c r="P184" i="2"/>
  <c r="U183" i="2"/>
  <c r="R183" i="2"/>
  <c r="P183" i="2"/>
  <c r="U182" i="2"/>
  <c r="R182" i="2"/>
  <c r="P182" i="2"/>
  <c r="U181" i="2"/>
  <c r="R181" i="2"/>
  <c r="P181" i="2"/>
  <c r="U180" i="2"/>
  <c r="R180" i="2"/>
  <c r="P180" i="2"/>
  <c r="U179" i="2"/>
  <c r="R179" i="2"/>
  <c r="P179" i="2"/>
  <c r="U178" i="2"/>
  <c r="R178" i="2"/>
  <c r="P178" i="2"/>
  <c r="U177" i="2"/>
  <c r="R177" i="2"/>
  <c r="P177" i="2"/>
  <c r="U176" i="2"/>
  <c r="R176" i="2"/>
  <c r="P176" i="2"/>
  <c r="U175" i="2"/>
  <c r="R175" i="2"/>
  <c r="P175" i="2"/>
  <c r="U174" i="2"/>
  <c r="R174" i="2"/>
  <c r="P174" i="2"/>
  <c r="U173" i="2"/>
  <c r="R173" i="2"/>
  <c r="P173" i="2"/>
  <c r="U172" i="2"/>
  <c r="R172" i="2"/>
  <c r="P172" i="2"/>
  <c r="U171" i="2"/>
  <c r="R171" i="2"/>
  <c r="P171" i="2"/>
  <c r="U170" i="2"/>
  <c r="R170" i="2"/>
  <c r="P170" i="2"/>
  <c r="U169" i="2"/>
  <c r="R169" i="2"/>
  <c r="P169" i="2"/>
  <c r="U168" i="2"/>
  <c r="R168" i="2"/>
  <c r="P168" i="2"/>
  <c r="U167" i="2"/>
  <c r="R167" i="2"/>
  <c r="P167" i="2"/>
  <c r="U166" i="2"/>
  <c r="R166" i="2"/>
  <c r="P166" i="2"/>
  <c r="U165" i="2"/>
  <c r="R165" i="2"/>
  <c r="P165" i="2"/>
  <c r="U164" i="2"/>
  <c r="R164" i="2"/>
  <c r="P164" i="2"/>
  <c r="U163" i="2"/>
  <c r="R163" i="2"/>
  <c r="P163" i="2"/>
  <c r="U162" i="2"/>
  <c r="R162" i="2"/>
  <c r="P162" i="2"/>
  <c r="U161" i="2"/>
  <c r="R161" i="2"/>
  <c r="P161" i="2"/>
  <c r="U160" i="2"/>
  <c r="R160" i="2"/>
  <c r="P160" i="2"/>
  <c r="U159" i="2"/>
  <c r="R159" i="2"/>
  <c r="P159" i="2"/>
  <c r="U158" i="2"/>
  <c r="R158" i="2"/>
  <c r="P158" i="2"/>
  <c r="U157" i="2"/>
  <c r="R157" i="2"/>
  <c r="P157" i="2"/>
  <c r="U156" i="2"/>
  <c r="R156" i="2"/>
  <c r="P156" i="2"/>
  <c r="U155" i="2"/>
  <c r="R155" i="2"/>
  <c r="P155" i="2"/>
  <c r="U154" i="2"/>
  <c r="R154" i="2"/>
  <c r="P154" i="2"/>
  <c r="U153" i="2"/>
  <c r="R153" i="2"/>
  <c r="P153" i="2"/>
  <c r="U152" i="2"/>
  <c r="R152" i="2"/>
  <c r="P152" i="2"/>
  <c r="U151" i="2"/>
  <c r="R151" i="2"/>
  <c r="P151" i="2"/>
  <c r="U150" i="2"/>
  <c r="R150" i="2"/>
  <c r="P150" i="2"/>
  <c r="U149" i="2"/>
  <c r="R149" i="2"/>
  <c r="P149" i="2"/>
  <c r="U148" i="2"/>
  <c r="R148" i="2"/>
  <c r="P148" i="2"/>
  <c r="U147" i="2"/>
  <c r="R147" i="2"/>
  <c r="P147" i="2"/>
  <c r="U146" i="2"/>
  <c r="R146" i="2"/>
  <c r="P146" i="2"/>
  <c r="U145" i="2"/>
  <c r="R145" i="2"/>
  <c r="P145" i="2"/>
  <c r="U144" i="2"/>
  <c r="R144" i="2"/>
  <c r="P144" i="2"/>
  <c r="U143" i="2"/>
  <c r="R143" i="2"/>
  <c r="P143" i="2"/>
  <c r="U142" i="2"/>
  <c r="R142" i="2"/>
  <c r="P142" i="2"/>
  <c r="U141" i="2"/>
  <c r="R141" i="2"/>
  <c r="P141" i="2"/>
  <c r="U140" i="2"/>
  <c r="R140" i="2"/>
  <c r="P140" i="2"/>
  <c r="U139" i="2"/>
  <c r="R139" i="2"/>
  <c r="P139" i="2"/>
  <c r="U138" i="2"/>
  <c r="R138" i="2"/>
  <c r="P138" i="2"/>
  <c r="U137" i="2"/>
  <c r="R137" i="2"/>
  <c r="P137" i="2"/>
  <c r="U136" i="2"/>
  <c r="R136" i="2"/>
  <c r="P136" i="2"/>
  <c r="U135" i="2"/>
  <c r="R135" i="2"/>
  <c r="P135" i="2"/>
  <c r="U134" i="2"/>
  <c r="R134" i="2"/>
  <c r="P134" i="2"/>
  <c r="U133" i="2"/>
  <c r="R133" i="2"/>
  <c r="P133" i="2"/>
  <c r="U132" i="2"/>
  <c r="R132" i="2"/>
  <c r="P132" i="2"/>
  <c r="U131" i="2"/>
  <c r="R131" i="2"/>
  <c r="P131" i="2"/>
  <c r="U130" i="2"/>
  <c r="R130" i="2"/>
  <c r="P130" i="2"/>
  <c r="U129" i="2"/>
  <c r="R129" i="2"/>
  <c r="P129" i="2"/>
  <c r="U128" i="2"/>
  <c r="R128" i="2"/>
  <c r="P128" i="2"/>
  <c r="U127" i="2"/>
  <c r="R127" i="2"/>
  <c r="P127" i="2"/>
  <c r="U126" i="2"/>
  <c r="R126" i="2"/>
  <c r="P126" i="2"/>
  <c r="U125" i="2"/>
  <c r="R125" i="2"/>
  <c r="P125" i="2"/>
  <c r="U124" i="2"/>
  <c r="R124" i="2"/>
  <c r="P124" i="2"/>
  <c r="U123" i="2"/>
  <c r="R123" i="2"/>
  <c r="P123" i="2"/>
  <c r="U122" i="2"/>
  <c r="R122" i="2"/>
  <c r="P122" i="2"/>
  <c r="U121" i="2"/>
  <c r="R121" i="2"/>
  <c r="P121" i="2"/>
  <c r="U120" i="2"/>
  <c r="R120" i="2"/>
  <c r="P120" i="2"/>
  <c r="U119" i="2"/>
  <c r="R119" i="2"/>
  <c r="P119" i="2"/>
  <c r="U118" i="2"/>
  <c r="R118" i="2"/>
  <c r="P118" i="2"/>
  <c r="U117" i="2"/>
  <c r="R117" i="2"/>
  <c r="P117" i="2"/>
  <c r="U116" i="2"/>
  <c r="R116" i="2"/>
  <c r="P116" i="2"/>
  <c r="U115" i="2"/>
  <c r="R115" i="2"/>
  <c r="P115" i="2"/>
  <c r="U114" i="2"/>
  <c r="R114" i="2"/>
  <c r="P114" i="2"/>
  <c r="U113" i="2"/>
  <c r="R113" i="2"/>
  <c r="P113" i="2"/>
  <c r="U112" i="2"/>
  <c r="R112" i="2"/>
  <c r="P112" i="2"/>
  <c r="U111" i="2"/>
  <c r="R111" i="2"/>
  <c r="P111" i="2"/>
  <c r="U110" i="2"/>
  <c r="R110" i="2"/>
  <c r="P110" i="2"/>
  <c r="U109" i="2"/>
  <c r="R109" i="2"/>
  <c r="P109" i="2"/>
  <c r="U108" i="2"/>
  <c r="R108" i="2"/>
  <c r="P108" i="2"/>
  <c r="U107" i="2"/>
  <c r="R107" i="2"/>
  <c r="P107" i="2"/>
  <c r="U106" i="2"/>
  <c r="R106" i="2"/>
  <c r="P106" i="2"/>
  <c r="U105" i="2"/>
  <c r="R105" i="2"/>
  <c r="P105" i="2"/>
  <c r="U104" i="2"/>
  <c r="R104" i="2"/>
  <c r="P104" i="2"/>
  <c r="U103" i="2"/>
  <c r="R103" i="2"/>
  <c r="P103" i="2"/>
  <c r="U102" i="2"/>
  <c r="R102" i="2"/>
  <c r="P102" i="2"/>
  <c r="U101" i="2"/>
  <c r="R101" i="2"/>
  <c r="P101" i="2"/>
  <c r="U100" i="2"/>
  <c r="R100" i="2"/>
  <c r="P100" i="2"/>
  <c r="U99" i="2"/>
  <c r="R99" i="2"/>
  <c r="P99" i="2"/>
  <c r="U98" i="2"/>
  <c r="R98" i="2"/>
  <c r="P98" i="2"/>
  <c r="U97" i="2"/>
  <c r="R97" i="2"/>
  <c r="P97" i="2"/>
  <c r="U96" i="2"/>
  <c r="R96" i="2"/>
  <c r="P96" i="2"/>
  <c r="U95" i="2"/>
  <c r="R95" i="2"/>
  <c r="P95" i="2"/>
  <c r="U94" i="2"/>
  <c r="R94" i="2"/>
  <c r="P94" i="2"/>
  <c r="U93" i="2"/>
  <c r="R93" i="2"/>
  <c r="P93" i="2"/>
  <c r="U92" i="2"/>
  <c r="R92" i="2"/>
  <c r="P92" i="2"/>
  <c r="U91" i="2"/>
  <c r="R91" i="2"/>
  <c r="P91" i="2"/>
  <c r="U90" i="2"/>
  <c r="R90" i="2"/>
  <c r="P90" i="2"/>
  <c r="U89" i="2"/>
  <c r="R89" i="2"/>
  <c r="P89" i="2"/>
  <c r="U88" i="2"/>
  <c r="R88" i="2"/>
  <c r="P88" i="2"/>
  <c r="U87" i="2"/>
  <c r="R87" i="2"/>
  <c r="P87" i="2"/>
  <c r="U86" i="2"/>
  <c r="R86" i="2"/>
  <c r="P86" i="2"/>
  <c r="U85" i="2"/>
  <c r="R85" i="2"/>
  <c r="P85" i="2"/>
  <c r="U84" i="2"/>
  <c r="R84" i="2"/>
  <c r="P84" i="2"/>
  <c r="U83" i="2"/>
  <c r="R83" i="2"/>
  <c r="P83" i="2"/>
  <c r="U82" i="2"/>
  <c r="R82" i="2"/>
  <c r="P82" i="2"/>
  <c r="U81" i="2"/>
  <c r="R81" i="2"/>
  <c r="P81" i="2"/>
  <c r="U80" i="2"/>
  <c r="R80" i="2"/>
  <c r="P80" i="2"/>
  <c r="U79" i="2"/>
  <c r="R79" i="2"/>
  <c r="P79" i="2"/>
  <c r="U78" i="2"/>
  <c r="R78" i="2"/>
  <c r="P78" i="2"/>
  <c r="U77" i="2"/>
  <c r="R77" i="2"/>
  <c r="P77" i="2"/>
  <c r="U76" i="2"/>
  <c r="R76" i="2"/>
  <c r="P76" i="2"/>
  <c r="U75" i="2"/>
  <c r="R75" i="2"/>
  <c r="P75" i="2"/>
  <c r="U74" i="2"/>
  <c r="R74" i="2"/>
  <c r="P74" i="2"/>
  <c r="U73" i="2"/>
  <c r="R73" i="2"/>
  <c r="P73" i="2"/>
  <c r="U72" i="2"/>
  <c r="R72" i="2"/>
  <c r="P72" i="2"/>
  <c r="U71" i="2"/>
  <c r="R71" i="2"/>
  <c r="P71" i="2"/>
  <c r="U70" i="2"/>
  <c r="R70" i="2"/>
  <c r="P70" i="2"/>
  <c r="U69" i="2"/>
  <c r="R69" i="2"/>
  <c r="P69" i="2"/>
  <c r="U68" i="2"/>
  <c r="R68" i="2"/>
  <c r="P68" i="2"/>
  <c r="U67" i="2"/>
  <c r="R67" i="2"/>
  <c r="P67" i="2"/>
  <c r="U66" i="2"/>
  <c r="R66" i="2"/>
  <c r="P66" i="2"/>
  <c r="U65" i="2"/>
  <c r="R65" i="2"/>
  <c r="P65" i="2"/>
  <c r="U64" i="2"/>
  <c r="R64" i="2"/>
  <c r="P64" i="2"/>
  <c r="U63" i="2"/>
  <c r="R63" i="2"/>
  <c r="P63" i="2"/>
  <c r="U62" i="2"/>
  <c r="R62" i="2"/>
  <c r="P62" i="2"/>
  <c r="U61" i="2"/>
  <c r="R61" i="2"/>
  <c r="P61" i="2"/>
  <c r="U60" i="2"/>
  <c r="R60" i="2"/>
  <c r="P60" i="2"/>
  <c r="U59" i="2"/>
  <c r="R59" i="2"/>
  <c r="P59" i="2"/>
  <c r="U58" i="2"/>
  <c r="R58" i="2"/>
  <c r="P58" i="2"/>
  <c r="U57" i="2"/>
  <c r="R57" i="2"/>
  <c r="P57" i="2"/>
  <c r="U56" i="2"/>
  <c r="R56" i="2"/>
  <c r="P56" i="2"/>
  <c r="U55" i="2"/>
  <c r="R55" i="2"/>
  <c r="P55" i="2"/>
  <c r="U54" i="2"/>
  <c r="R54" i="2"/>
  <c r="P54" i="2"/>
  <c r="U53" i="2"/>
  <c r="R53" i="2"/>
  <c r="P53" i="2"/>
  <c r="U52" i="2"/>
  <c r="R52" i="2"/>
  <c r="P52" i="2"/>
  <c r="U51" i="2"/>
  <c r="R51" i="2"/>
  <c r="P51" i="2"/>
  <c r="U50" i="2"/>
  <c r="R50" i="2"/>
  <c r="P50" i="2"/>
  <c r="U49" i="2"/>
  <c r="R49" i="2"/>
  <c r="P49" i="2"/>
  <c r="U48" i="2"/>
  <c r="R48" i="2"/>
  <c r="P48" i="2"/>
  <c r="U47" i="2"/>
  <c r="R47" i="2"/>
  <c r="P47" i="2"/>
  <c r="U46" i="2"/>
  <c r="R46" i="2"/>
  <c r="P46" i="2"/>
  <c r="U45" i="2"/>
  <c r="R45" i="2"/>
  <c r="P45" i="2"/>
  <c r="U44" i="2"/>
  <c r="R44" i="2"/>
  <c r="P44" i="2"/>
  <c r="U43" i="2"/>
  <c r="R43" i="2"/>
  <c r="P43" i="2"/>
  <c r="U42" i="2"/>
  <c r="R42" i="2"/>
  <c r="P42" i="2"/>
  <c r="U41" i="2"/>
  <c r="R41" i="2"/>
  <c r="P41" i="2"/>
  <c r="U40" i="2"/>
  <c r="R40" i="2"/>
  <c r="P40" i="2"/>
  <c r="U39" i="2"/>
  <c r="R39" i="2"/>
  <c r="P39" i="2"/>
  <c r="U38" i="2"/>
  <c r="R38" i="2"/>
  <c r="P38" i="2"/>
  <c r="U37" i="2"/>
  <c r="R37" i="2"/>
  <c r="P37" i="2"/>
  <c r="U36" i="2"/>
  <c r="R36" i="2"/>
  <c r="P36" i="2"/>
  <c r="U35" i="2"/>
  <c r="R35" i="2"/>
  <c r="P35" i="2"/>
  <c r="U34" i="2"/>
  <c r="R34" i="2"/>
  <c r="P34" i="2"/>
  <c r="U33" i="2"/>
  <c r="R33" i="2"/>
  <c r="P33" i="2"/>
  <c r="U32" i="2"/>
  <c r="R32" i="2"/>
  <c r="P32" i="2"/>
  <c r="U31" i="2"/>
  <c r="R31" i="2"/>
  <c r="P31" i="2"/>
  <c r="U30" i="2"/>
  <c r="R30" i="2"/>
  <c r="P30" i="2"/>
  <c r="U29" i="2"/>
  <c r="R29" i="2"/>
  <c r="P29" i="2"/>
  <c r="U28" i="2"/>
  <c r="R28" i="2"/>
  <c r="P28" i="2"/>
  <c r="U27" i="2"/>
  <c r="R27" i="2"/>
  <c r="P27" i="2"/>
  <c r="U26" i="2"/>
  <c r="R26" i="2"/>
  <c r="P26" i="2"/>
  <c r="U25" i="2"/>
  <c r="R25" i="2"/>
  <c r="P25" i="2"/>
  <c r="U24" i="2"/>
  <c r="R24" i="2"/>
  <c r="P24" i="2"/>
  <c r="U23" i="2"/>
  <c r="R23" i="2"/>
  <c r="P23" i="2"/>
  <c r="U22" i="2"/>
  <c r="R22" i="2"/>
  <c r="P22" i="2"/>
  <c r="U21" i="2"/>
  <c r="R21" i="2"/>
  <c r="P21" i="2"/>
  <c r="U20" i="2"/>
  <c r="R20" i="2"/>
  <c r="P20" i="2"/>
  <c r="U19" i="2"/>
  <c r="R19" i="2"/>
  <c r="P19" i="2"/>
  <c r="U18" i="2"/>
  <c r="R18" i="2"/>
  <c r="P18" i="2"/>
  <c r="U17" i="2"/>
  <c r="R17" i="2"/>
  <c r="P17" i="2"/>
  <c r="U16" i="2"/>
  <c r="R16" i="2"/>
  <c r="P16" i="2"/>
  <c r="U15" i="2"/>
  <c r="R15" i="2"/>
  <c r="P15" i="2"/>
  <c r="U14" i="2"/>
  <c r="R14" i="2"/>
  <c r="P14" i="2"/>
  <c r="U13" i="2"/>
  <c r="R13" i="2"/>
  <c r="P13" i="2"/>
  <c r="U12" i="2"/>
  <c r="R12" i="2"/>
  <c r="P12" i="2"/>
  <c r="U11" i="2"/>
  <c r="R11" i="2"/>
  <c r="P11" i="2"/>
  <c r="U10" i="2"/>
  <c r="R10" i="2"/>
  <c r="P10" i="2"/>
  <c r="U9" i="2"/>
  <c r="R9" i="2"/>
  <c r="P9" i="2"/>
  <c r="U8" i="2"/>
  <c r="R8" i="2"/>
  <c r="P8" i="2"/>
  <c r="U7" i="2"/>
  <c r="R7" i="2"/>
  <c r="P7" i="2"/>
  <c r="U6" i="2"/>
  <c r="R6" i="2"/>
  <c r="P6" i="2"/>
  <c r="U5" i="2"/>
  <c r="R5" i="2"/>
  <c r="P5" i="2"/>
  <c r="U4" i="2"/>
  <c r="R4" i="2"/>
  <c r="P4" i="2"/>
  <c r="U3" i="2"/>
  <c r="R3" i="2"/>
  <c r="P3" i="2"/>
  <c r="U2" i="2"/>
  <c r="R2" i="2"/>
  <c r="P2" i="2"/>
  <c r="W671" i="2" l="1"/>
  <c r="V671" i="2"/>
  <c r="L12" i="3"/>
  <c r="M12" i="3" s="1"/>
  <c r="Q67" i="6"/>
  <c r="L11" i="3"/>
  <c r="M11" i="3" s="1"/>
  <c r="Q23" i="6"/>
  <c r="L16" i="3"/>
  <c r="M16" i="3" s="1"/>
  <c r="P82" i="6"/>
  <c r="O82" i="6"/>
  <c r="N82" i="6"/>
  <c r="M82" i="6"/>
  <c r="L82" i="6"/>
  <c r="K82" i="6"/>
  <c r="J82" i="6"/>
  <c r="I82" i="6"/>
  <c r="F82" i="6"/>
  <c r="E82" i="6"/>
  <c r="D82" i="6"/>
  <c r="L8" i="3"/>
  <c r="M8" i="3" s="1"/>
  <c r="Q27" i="6"/>
  <c r="Q16" i="6"/>
  <c r="Q6" i="6"/>
  <c r="Q13" i="6"/>
  <c r="H82" i="6"/>
  <c r="Q43" i="6"/>
  <c r="Q20" i="6"/>
  <c r="Q19" i="6"/>
  <c r="G82" i="6"/>
  <c r="Q64" i="6"/>
  <c r="Q53" i="6"/>
  <c r="Q52" i="6"/>
  <c r="Q24" i="6"/>
  <c r="S6" i="7"/>
  <c r="C145" i="7" s="1"/>
  <c r="W670" i="2"/>
  <c r="V670" i="2"/>
  <c r="Q12" i="6"/>
  <c r="Q11" i="6"/>
  <c r="Q32" i="6"/>
  <c r="Q59" i="6"/>
  <c r="Q75" i="6"/>
  <c r="Q72" i="6"/>
  <c r="C82" i="6"/>
  <c r="Q15" i="6"/>
  <c r="W669" i="2"/>
  <c r="V669" i="2"/>
  <c r="Q8" i="6"/>
  <c r="L18" i="3"/>
  <c r="M18" i="3" s="1"/>
  <c r="Q51" i="6"/>
  <c r="Q50" i="6"/>
  <c r="Q62" i="6"/>
  <c r="Q49" i="6"/>
  <c r="Q34" i="6"/>
  <c r="Q54" i="6"/>
  <c r="Q45" i="6"/>
  <c r="Q36" i="6"/>
  <c r="Q69" i="6"/>
  <c r="Q65" i="6"/>
  <c r="C25" i="4"/>
  <c r="K19" i="3"/>
  <c r="Q35" i="6"/>
  <c r="Q14" i="6"/>
  <c r="Q39" i="6"/>
  <c r="Q60" i="6"/>
  <c r="Q73" i="6"/>
  <c r="Q33" i="6"/>
  <c r="Q29" i="6"/>
  <c r="Q55" i="6"/>
  <c r="Q7" i="6"/>
  <c r="Q10" i="6"/>
  <c r="W668" i="2"/>
  <c r="V668" i="2"/>
  <c r="S73" i="5"/>
  <c r="C36" i="4"/>
  <c r="S338" i="7"/>
  <c r="S329" i="7"/>
  <c r="S255" i="7"/>
  <c r="S246" i="7"/>
  <c r="S237" i="7"/>
  <c r="S228" i="7"/>
  <c r="S219" i="7"/>
  <c r="S210" i="7"/>
  <c r="S200" i="7"/>
  <c r="S190" i="7"/>
  <c r="S186" i="7"/>
  <c r="S180" i="7"/>
  <c r="S174" i="7"/>
  <c r="S167" i="7"/>
  <c r="S160" i="7"/>
  <c r="S154" i="7"/>
  <c r="S146" i="7"/>
  <c r="S140" i="7"/>
  <c r="S134" i="7"/>
  <c r="S125" i="7"/>
  <c r="S116" i="7"/>
  <c r="S106" i="7"/>
  <c r="S98" i="7"/>
  <c r="S68" i="7"/>
  <c r="S62" i="7"/>
  <c r="S51" i="7"/>
  <c r="S36" i="7"/>
  <c r="S25" i="7"/>
  <c r="S16" i="7"/>
  <c r="S71" i="5"/>
  <c r="S58" i="5"/>
  <c r="S51" i="5"/>
  <c r="S42" i="5"/>
  <c r="S32" i="5"/>
  <c r="S15" i="5"/>
  <c r="S91" i="7"/>
  <c r="S90" i="7"/>
  <c r="S89" i="7"/>
  <c r="S88" i="7"/>
  <c r="S87" i="7"/>
  <c r="S86" i="7"/>
  <c r="S85" i="7"/>
  <c r="S84" i="7"/>
  <c r="S83" i="7"/>
  <c r="S82" i="7"/>
  <c r="S81" i="7"/>
  <c r="S80" i="7"/>
  <c r="S79" i="7"/>
  <c r="S78" i="7"/>
  <c r="S77" i="7"/>
  <c r="S76" i="7"/>
  <c r="S75" i="7"/>
  <c r="S74" i="7"/>
  <c r="S66" i="7"/>
  <c r="S56" i="7"/>
  <c r="S47" i="7"/>
  <c r="S39" i="7"/>
  <c r="S29" i="7"/>
  <c r="S20" i="7"/>
  <c r="S11" i="7"/>
  <c r="S68" i="5"/>
  <c r="S59" i="5"/>
  <c r="S47" i="5"/>
  <c r="S38" i="5"/>
  <c r="S30" i="5"/>
  <c r="S16" i="5"/>
  <c r="S7" i="5"/>
  <c r="S85" i="5"/>
  <c r="S84" i="5"/>
  <c r="S80" i="5"/>
  <c r="S79" i="5"/>
  <c r="S78" i="5"/>
  <c r="S77" i="5"/>
  <c r="S76" i="5"/>
  <c r="S75" i="5"/>
  <c r="S74" i="5"/>
  <c r="S86" i="5"/>
  <c r="S339" i="7"/>
  <c r="S332" i="7"/>
  <c r="S324" i="7"/>
  <c r="S312" i="7"/>
  <c r="S305" i="7"/>
  <c r="S298" i="7"/>
  <c r="S287" i="7"/>
  <c r="S279" i="7"/>
  <c r="S271" i="7"/>
  <c r="S263" i="7"/>
  <c r="S254" i="7"/>
  <c r="S245" i="7"/>
  <c r="S235" i="7"/>
  <c r="S226" i="7"/>
  <c r="S215" i="7"/>
  <c r="S206" i="7"/>
  <c r="S197" i="7"/>
  <c r="S183" i="7"/>
  <c r="S176" i="7"/>
  <c r="S169" i="7"/>
  <c r="S162" i="7"/>
  <c r="S155" i="7"/>
  <c r="S148" i="7"/>
  <c r="S139" i="7"/>
  <c r="S132" i="7"/>
  <c r="S123" i="7"/>
  <c r="S115" i="7"/>
  <c r="S107" i="7"/>
  <c r="S97" i="7"/>
  <c r="S70" i="7"/>
  <c r="S59" i="7"/>
  <c r="S52" i="7"/>
  <c r="S42" i="7"/>
  <c r="S32" i="7"/>
  <c r="S22" i="7"/>
  <c r="S10" i="7"/>
  <c r="S67" i="5"/>
  <c r="S61" i="5"/>
  <c r="S50" i="5"/>
  <c r="S34" i="5"/>
  <c r="S25" i="5"/>
  <c r="S17" i="5"/>
  <c r="S9" i="5"/>
  <c r="S340" i="7"/>
  <c r="S333" i="7"/>
  <c r="S323" i="7"/>
  <c r="S317" i="7"/>
  <c r="S308" i="7"/>
  <c r="S300" i="7"/>
  <c r="S292" i="7"/>
  <c r="S283" i="7"/>
  <c r="S275" i="7"/>
  <c r="S267" i="7"/>
  <c r="S259" i="7"/>
  <c r="S250" i="7"/>
  <c r="S241" i="7"/>
  <c r="S232" i="7"/>
  <c r="S223" i="7"/>
  <c r="S214" i="7"/>
  <c r="S205" i="7"/>
  <c r="S196" i="7"/>
  <c r="S181" i="7"/>
  <c r="S175" i="7"/>
  <c r="S168" i="7"/>
  <c r="S161" i="7"/>
  <c r="S153" i="7"/>
  <c r="S147" i="7"/>
  <c r="S141" i="7"/>
  <c r="S133" i="7"/>
  <c r="S124" i="7"/>
  <c r="S114" i="7"/>
  <c r="S105" i="7"/>
  <c r="S96" i="7"/>
  <c r="S69" i="7"/>
  <c r="S61" i="7"/>
  <c r="S50" i="7"/>
  <c r="S40" i="7"/>
  <c r="S30" i="7"/>
  <c r="S15" i="7"/>
  <c r="S72" i="5"/>
  <c r="S57" i="5"/>
  <c r="S52" i="5"/>
  <c r="S41" i="5"/>
  <c r="S28" i="5"/>
  <c r="S21" i="5"/>
  <c r="S10" i="5"/>
  <c r="S341" i="7"/>
  <c r="S335" i="7"/>
  <c r="S325" i="7"/>
  <c r="S321" i="7"/>
  <c r="S316" i="7"/>
  <c r="S309" i="7"/>
  <c r="S301" i="7"/>
  <c r="S293" i="7"/>
  <c r="S285" i="7"/>
  <c r="S276" i="7"/>
  <c r="S268" i="7"/>
  <c r="S260" i="7"/>
  <c r="S252" i="7"/>
  <c r="S242" i="7"/>
  <c r="S234" i="7"/>
  <c r="S224" i="7"/>
  <c r="S216" i="7"/>
  <c r="S208" i="7"/>
  <c r="S198" i="7"/>
  <c r="S189" i="7"/>
  <c r="S184" i="7"/>
  <c r="S178" i="7"/>
  <c r="S172" i="7"/>
  <c r="S166" i="7"/>
  <c r="S158" i="7"/>
  <c r="S152" i="7"/>
  <c r="S144" i="7"/>
  <c r="S137" i="7"/>
  <c r="S129" i="7"/>
  <c r="S122" i="7"/>
  <c r="S113" i="7"/>
  <c r="S104" i="7"/>
  <c r="S95" i="7"/>
  <c r="S71" i="7"/>
  <c r="S57" i="7"/>
  <c r="S49" i="7"/>
  <c r="S37" i="7"/>
  <c r="S27" i="7"/>
  <c r="S19" i="7"/>
  <c r="S9" i="7"/>
  <c r="S65" i="5"/>
  <c r="S55" i="5"/>
  <c r="S45" i="5"/>
  <c r="S37" i="5"/>
  <c r="S29" i="5"/>
  <c r="S20" i="5"/>
  <c r="S6" i="5"/>
  <c r="S342" i="7"/>
  <c r="S336" i="7"/>
  <c r="S327" i="7"/>
  <c r="S320" i="7"/>
  <c r="S314" i="7"/>
  <c r="S307" i="7"/>
  <c r="S299" i="7"/>
  <c r="S291" i="7"/>
  <c r="S286" i="7"/>
  <c r="S278" i="7"/>
  <c r="S270" i="7"/>
  <c r="S262" i="7"/>
  <c r="S253" i="7"/>
  <c r="S244" i="7"/>
  <c r="S236" i="7"/>
  <c r="S227" i="7"/>
  <c r="S218" i="7"/>
  <c r="S209" i="7"/>
  <c r="S201" i="7"/>
  <c r="S192" i="7"/>
  <c r="S191" i="7"/>
  <c r="S187" i="7"/>
  <c r="S182" i="7"/>
  <c r="S177" i="7"/>
  <c r="S170" i="7"/>
  <c r="S163" i="7"/>
  <c r="S156" i="7"/>
  <c r="S149" i="7"/>
  <c r="S142" i="7"/>
  <c r="S135" i="7"/>
  <c r="S127" i="7"/>
  <c r="S119" i="7"/>
  <c r="S110" i="7"/>
  <c r="S102" i="7"/>
  <c r="S93" i="7"/>
  <c r="S64" i="7"/>
  <c r="S54" i="7"/>
  <c r="S45" i="7"/>
  <c r="S35" i="7"/>
  <c r="S26" i="7"/>
  <c r="S17" i="7"/>
  <c r="S7" i="7"/>
  <c r="S66" i="5"/>
  <c r="S60" i="5"/>
  <c r="S48" i="5"/>
  <c r="S40" i="5"/>
  <c r="S27" i="5"/>
  <c r="S22" i="5"/>
  <c r="S12" i="5"/>
  <c r="S343" i="7"/>
  <c r="S331" i="7"/>
  <c r="S315" i="7"/>
  <c r="S304" i="7"/>
  <c r="S296" i="7"/>
  <c r="S290" i="7"/>
  <c r="S281" i="7"/>
  <c r="S273" i="7"/>
  <c r="S264" i="7"/>
  <c r="S256" i="7"/>
  <c r="S247" i="7"/>
  <c r="S239" i="7"/>
  <c r="S230" i="7"/>
  <c r="S220" i="7"/>
  <c r="S211" i="7"/>
  <c r="S203" i="7"/>
  <c r="S193" i="7"/>
  <c r="S130" i="7"/>
  <c r="S118" i="7"/>
  <c r="S109" i="7"/>
  <c r="S100" i="7"/>
  <c r="S72" i="7"/>
  <c r="S63" i="7"/>
  <c r="S53" i="7"/>
  <c r="S44" i="7"/>
  <c r="S34" i="7"/>
  <c r="S24" i="7"/>
  <c r="S14" i="7"/>
  <c r="S53" i="5"/>
  <c r="S43" i="5"/>
  <c r="S33" i="5"/>
  <c r="S23" i="5"/>
  <c r="S13" i="5"/>
  <c r="S345" i="7"/>
  <c r="S334" i="7"/>
  <c r="S318" i="7"/>
  <c r="S310" i="7"/>
  <c r="S302" i="7"/>
  <c r="S294" i="7"/>
  <c r="S284" i="7"/>
  <c r="S277" i="7"/>
  <c r="S269" i="7"/>
  <c r="S261" i="7"/>
  <c r="S251" i="7"/>
  <c r="S243" i="7"/>
  <c r="S233" i="7"/>
  <c r="S225" i="7"/>
  <c r="S217" i="7"/>
  <c r="S207" i="7"/>
  <c r="S199" i="7"/>
  <c r="S188" i="7"/>
  <c r="S185" i="7"/>
  <c r="S179" i="7"/>
  <c r="S173" i="7"/>
  <c r="S165" i="7"/>
  <c r="S159" i="7"/>
  <c r="S151" i="7"/>
  <c r="S145" i="7"/>
  <c r="S138" i="7"/>
  <c r="S128" i="7"/>
  <c r="S121" i="7"/>
  <c r="S112" i="7"/>
  <c r="S103" i="7"/>
  <c r="S94" i="7"/>
  <c r="S67" i="7"/>
  <c r="S58" i="7"/>
  <c r="S46" i="7"/>
  <c r="S38" i="7"/>
  <c r="S28" i="7"/>
  <c r="S18" i="7"/>
  <c r="S8" i="7"/>
  <c r="S64" i="5"/>
  <c r="S56" i="5"/>
  <c r="S44" i="5"/>
  <c r="S36" i="5"/>
  <c r="S31" i="5"/>
  <c r="S18" i="5"/>
  <c r="S8" i="5"/>
  <c r="S344" i="7"/>
  <c r="S337" i="7"/>
  <c r="S328" i="7"/>
  <c r="S322" i="7"/>
  <c r="S313" i="7"/>
  <c r="S303" i="7"/>
  <c r="S295" i="7"/>
  <c r="S289" i="7"/>
  <c r="S282" i="7"/>
  <c r="S272" i="7"/>
  <c r="S265" i="7"/>
  <c r="S257" i="7"/>
  <c r="S248" i="7"/>
  <c r="S238" i="7"/>
  <c r="S229" i="7"/>
  <c r="S221" i="7"/>
  <c r="S212" i="7"/>
  <c r="S202" i="7"/>
  <c r="S194" i="7"/>
  <c r="S131" i="7"/>
  <c r="S120" i="7"/>
  <c r="S111" i="7"/>
  <c r="S101" i="7"/>
  <c r="S73" i="7"/>
  <c r="S60" i="7"/>
  <c r="S48" i="7"/>
  <c r="S41" i="7"/>
  <c r="S31" i="7"/>
  <c r="S21" i="7"/>
  <c r="S13" i="7"/>
  <c r="S70" i="5"/>
  <c r="S63" i="5"/>
  <c r="S54" i="5"/>
  <c r="S46" i="5"/>
  <c r="S39" i="5"/>
  <c r="S24" i="5"/>
  <c r="S14" i="5"/>
  <c r="S346" i="7"/>
  <c r="S330" i="7"/>
  <c r="S326" i="7"/>
  <c r="S319" i="7"/>
  <c r="S311" i="7"/>
  <c r="S306" i="7"/>
  <c r="S297" i="7"/>
  <c r="S288" i="7"/>
  <c r="S280" i="7"/>
  <c r="S274" i="7"/>
  <c r="S266" i="7"/>
  <c r="S258" i="7"/>
  <c r="S249" i="7"/>
  <c r="S240" i="7"/>
  <c r="S231" i="7"/>
  <c r="S222" i="7"/>
  <c r="S213" i="7"/>
  <c r="S204" i="7"/>
  <c r="S195" i="7"/>
  <c r="S171" i="7"/>
  <c r="S164" i="7"/>
  <c r="S157" i="7"/>
  <c r="S150" i="7"/>
  <c r="S143" i="7"/>
  <c r="S136" i="7"/>
  <c r="S126" i="7"/>
  <c r="S117" i="7"/>
  <c r="S108" i="7"/>
  <c r="S99" i="7"/>
  <c r="S92" i="7"/>
  <c r="S65" i="7"/>
  <c r="S55" i="7"/>
  <c r="S43" i="7"/>
  <c r="S33" i="7"/>
  <c r="S23" i="7"/>
  <c r="S12" i="7"/>
  <c r="S69" i="5"/>
  <c r="S62" i="5"/>
  <c r="S49" i="5"/>
  <c r="S35" i="5"/>
  <c r="S26" i="5"/>
  <c r="S19" i="5"/>
  <c r="S11" i="5"/>
  <c r="C27" i="9"/>
  <c r="F15" i="9"/>
  <c r="F27" i="9" s="1"/>
  <c r="D29" i="9" s="1"/>
  <c r="Q81" i="6"/>
  <c r="Q80" i="6"/>
  <c r="Q79" i="6"/>
  <c r="Q4" i="6"/>
  <c r="B82" i="6"/>
  <c r="C15" i="4"/>
  <c r="G3" i="4" a="1"/>
  <c r="G3" i="4" s="1"/>
  <c r="R3" i="4" a="1"/>
  <c r="R3" i="4" s="1"/>
  <c r="AF3" i="4" a="1"/>
  <c r="AF3" i="4" s="1"/>
  <c r="M4" i="4" a="1"/>
  <c r="M4" i="4" s="1"/>
  <c r="Z4" i="4" a="1"/>
  <c r="Z4" i="4" s="1"/>
  <c r="H5" i="4" a="1"/>
  <c r="H5" i="4" s="1"/>
  <c r="V5" i="4" a="1"/>
  <c r="V5" i="4" s="1"/>
  <c r="AH5" i="4" a="1"/>
  <c r="AH5" i="4" s="1"/>
  <c r="M6" i="4" a="1"/>
  <c r="M6" i="4" s="1"/>
  <c r="AC6" i="4" a="1"/>
  <c r="AC6" i="4" s="1"/>
  <c r="R7" i="4" a="1"/>
  <c r="R7" i="4" s="1"/>
  <c r="AF7" i="4" a="1"/>
  <c r="AF7" i="4" s="1"/>
  <c r="O8" i="4" a="1"/>
  <c r="O8" i="4" s="1"/>
  <c r="Z8" i="4" a="1"/>
  <c r="Z8" i="4" s="1"/>
  <c r="F9" i="4" a="1"/>
  <c r="F9" i="4" s="1"/>
  <c r="T9" i="4" a="1"/>
  <c r="T9" i="4" s="1"/>
  <c r="AF9" i="4" a="1"/>
  <c r="AF9" i="4" s="1"/>
  <c r="O10" i="4" a="1"/>
  <c r="O10" i="4" s="1"/>
  <c r="Z10" i="4" a="1"/>
  <c r="Z10" i="4" s="1"/>
  <c r="H11" i="4" a="1"/>
  <c r="H11" i="4" s="1"/>
  <c r="U11" i="4" a="1"/>
  <c r="U11" i="4" s="1"/>
  <c r="AE11" i="4" a="1"/>
  <c r="AE11" i="4" s="1"/>
  <c r="O12" i="4" a="1"/>
  <c r="O12" i="4" s="1"/>
  <c r="AC12" i="4" a="1"/>
  <c r="AC12" i="4" s="1"/>
  <c r="I13" i="4" a="1"/>
  <c r="I13" i="4" s="1"/>
  <c r="C10" i="1"/>
  <c r="C14" i="1"/>
  <c r="C15" i="1"/>
  <c r="C16" i="1"/>
  <c r="C21" i="1"/>
  <c r="L3" i="4" a="1"/>
  <c r="L3" i="4" s="1"/>
  <c r="W3" i="4" a="1"/>
  <c r="W3" i="4" s="1"/>
  <c r="E4" i="4" a="1"/>
  <c r="E4" i="4" s="1"/>
  <c r="Q4" i="4" a="1"/>
  <c r="Q4" i="4" s="1"/>
  <c r="AE4" i="4" a="1"/>
  <c r="AE4" i="4" s="1"/>
  <c r="L5" i="4" a="1"/>
  <c r="L5" i="4" s="1"/>
  <c r="Y5" i="4" a="1"/>
  <c r="Y5" i="4" s="1"/>
  <c r="F6" i="4" a="1"/>
  <c r="F6" i="4" s="1"/>
  <c r="U6" i="4" a="1"/>
  <c r="U6" i="4" s="1"/>
  <c r="AH6" i="4" a="1"/>
  <c r="AH6" i="4" s="1"/>
  <c r="N7" i="4" a="1"/>
  <c r="N7" i="4" s="1"/>
  <c r="Y7" i="4" a="1"/>
  <c r="Y7" i="4" s="1"/>
  <c r="H8" i="4" a="1"/>
  <c r="H8" i="4" s="1"/>
  <c r="T8" i="4" a="1"/>
  <c r="T8" i="4" s="1"/>
  <c r="AF8" i="4" a="1"/>
  <c r="AF8" i="4" s="1"/>
  <c r="L9" i="4" a="1"/>
  <c r="L9" i="4" s="1"/>
  <c r="Y9" i="4" a="1"/>
  <c r="Y9" i="4" s="1"/>
  <c r="F10" i="4" a="1"/>
  <c r="F10" i="4" s="1"/>
  <c r="R10" i="4" a="1"/>
  <c r="R10" i="4" s="1"/>
  <c r="AF10" i="4" a="1"/>
  <c r="AF10" i="4" s="1"/>
  <c r="N11" i="4" a="1"/>
  <c r="N11" i="4" s="1"/>
  <c r="AC11" i="4" a="1"/>
  <c r="AC11" i="4" s="1"/>
  <c r="N12" i="4" a="1"/>
  <c r="N12" i="4" s="1"/>
  <c r="Z12" i="4" a="1"/>
  <c r="Z12" i="4" s="1"/>
  <c r="G13" i="4" a="1"/>
  <c r="G13" i="4" s="1"/>
  <c r="V13" i="4" a="1"/>
  <c r="V13" i="4" s="1"/>
  <c r="AD13" i="4" a="1"/>
  <c r="AD13" i="4" s="1"/>
  <c r="G14" i="4" a="1"/>
  <c r="G14" i="4" s="1"/>
  <c r="O14" i="4" a="1"/>
  <c r="O14" i="4" s="1"/>
  <c r="V14" i="4" a="1"/>
  <c r="V14" i="4" s="1"/>
  <c r="AF14" i="4" a="1"/>
  <c r="AF14" i="4" s="1"/>
  <c r="J3" i="4" a="1"/>
  <c r="J3" i="4" s="1"/>
  <c r="V3" i="4" a="1"/>
  <c r="V3" i="4" s="1"/>
  <c r="D4" i="4" a="1"/>
  <c r="D4" i="4" s="1"/>
  <c r="P4" i="4" a="1"/>
  <c r="P4" i="4" s="1"/>
  <c r="AD4" i="4" a="1"/>
  <c r="AD4" i="4" s="1"/>
  <c r="J5" i="4" a="1"/>
  <c r="J5" i="4" s="1"/>
  <c r="W5" i="4" a="1"/>
  <c r="W5" i="4" s="1"/>
  <c r="D6" i="4" a="1"/>
  <c r="D6" i="4" s="1"/>
  <c r="P6" i="4" a="1"/>
  <c r="P6" i="4" s="1"/>
  <c r="AD6" i="4" a="1"/>
  <c r="AD6" i="4" s="1"/>
  <c r="J7" i="4" a="1"/>
  <c r="J7" i="4" s="1"/>
  <c r="X7" i="4" a="1"/>
  <c r="X7" i="4" s="1"/>
  <c r="F8" i="4" a="1"/>
  <c r="F8" i="4" s="1"/>
  <c r="U8" i="4" a="1"/>
  <c r="U8" i="4" s="1"/>
  <c r="E9" i="4" a="1"/>
  <c r="E9" i="4" s="1"/>
  <c r="R9" i="4" a="1"/>
  <c r="R9" i="4" s="1"/>
  <c r="G10" i="4" a="1"/>
  <c r="G10" i="4" s="1"/>
  <c r="U10" i="4" a="1"/>
  <c r="U10" i="4" s="1"/>
  <c r="AG10" i="4" a="1"/>
  <c r="AG10" i="4" s="1"/>
  <c r="M11" i="4" a="1"/>
  <c r="M11" i="4" s="1"/>
  <c r="Z11" i="4" a="1"/>
  <c r="Z11" i="4" s="1"/>
  <c r="H12" i="4" a="1"/>
  <c r="H12" i="4" s="1"/>
  <c r="T12" i="4" a="1"/>
  <c r="T12" i="4" s="1"/>
  <c r="AF12" i="4" a="1"/>
  <c r="AF12" i="4" s="1"/>
  <c r="N13" i="4" a="1"/>
  <c r="N13" i="4" s="1"/>
  <c r="W13" i="4" a="1"/>
  <c r="W13" i="4" s="1"/>
  <c r="AE13" i="4" a="1"/>
  <c r="AE13" i="4" s="1"/>
  <c r="F14" i="4" a="1"/>
  <c r="F14" i="4" s="1"/>
  <c r="N14" i="4" a="1"/>
  <c r="N14" i="4" s="1"/>
  <c r="U14" i="4" a="1"/>
  <c r="U14" i="4" s="1"/>
  <c r="X14" i="4" a="1"/>
  <c r="X14" i="4" s="1"/>
  <c r="AH14" i="4" a="1"/>
  <c r="AH14" i="4" s="1"/>
  <c r="M3" i="4" a="1"/>
  <c r="M3" i="4" s="1"/>
  <c r="X3" i="4" a="1"/>
  <c r="X3" i="4" s="1"/>
  <c r="F4" i="4" a="1"/>
  <c r="F4" i="4" s="1"/>
  <c r="R4" i="4" a="1"/>
  <c r="R4" i="4" s="1"/>
  <c r="AF4" i="4" a="1"/>
  <c r="AF4" i="4" s="1"/>
  <c r="M5" i="4" a="1"/>
  <c r="M5" i="4" s="1"/>
  <c r="AB5" i="4" a="1"/>
  <c r="AB5" i="4" s="1"/>
  <c r="H6" i="4" a="1"/>
  <c r="H6" i="4" s="1"/>
  <c r="T6" i="4" a="1"/>
  <c r="T6" i="4" s="1"/>
  <c r="D7" i="4" a="1"/>
  <c r="D7" i="4" s="1"/>
  <c r="P7" i="4" a="1"/>
  <c r="P7" i="4" s="1"/>
  <c r="AC7" i="4" a="1"/>
  <c r="AC7" i="4" s="1"/>
  <c r="I8" i="4" a="1"/>
  <c r="I8" i="4" s="1"/>
  <c r="V8" i="4" a="1"/>
  <c r="V8" i="4" s="1"/>
  <c r="D9" i="4" a="1"/>
  <c r="D9" i="4" s="1"/>
  <c r="Q9" i="4" a="1"/>
  <c r="Q9" i="4" s="1"/>
  <c r="AE9" i="4" a="1"/>
  <c r="AE9" i="4" s="1"/>
  <c r="T10" i="4" a="1"/>
  <c r="T10" i="4" s="1"/>
  <c r="AH10" i="4" a="1"/>
  <c r="AH10" i="4" s="1"/>
  <c r="O11" i="4" a="1"/>
  <c r="O11" i="4" s="1"/>
  <c r="AB11" i="4" a="1"/>
  <c r="AB11" i="4" s="1"/>
  <c r="I12" i="4" a="1"/>
  <c r="I12" i="4" s="1"/>
  <c r="V12" i="4" a="1"/>
  <c r="V12" i="4" s="1"/>
  <c r="AH12" i="4" a="1"/>
  <c r="AH12" i="4" s="1"/>
  <c r="Q13" i="4" a="1"/>
  <c r="Q13" i="4" s="1"/>
  <c r="Z13" i="4" a="1"/>
  <c r="Z13" i="4" s="1"/>
  <c r="AH13" i="4" a="1"/>
  <c r="AH13" i="4" s="1"/>
  <c r="I14" i="4" a="1"/>
  <c r="I14" i="4" s="1"/>
  <c r="R14" i="4" a="1"/>
  <c r="R14" i="4" s="1"/>
  <c r="Z14" i="4" a="1"/>
  <c r="Z14" i="4" s="1"/>
  <c r="AD14" i="4" a="1"/>
  <c r="AD14" i="4" s="1"/>
  <c r="I3" i="4" a="1"/>
  <c r="I3" i="4" s="1"/>
  <c r="U3" i="4" a="1"/>
  <c r="U3" i="4" s="1"/>
  <c r="AG3" i="4" a="1"/>
  <c r="AG3" i="4" s="1"/>
  <c r="L4" i="4" a="1"/>
  <c r="L4" i="4" s="1"/>
  <c r="Y4" i="4" a="1"/>
  <c r="Y4" i="4" s="1"/>
  <c r="F5" i="4" a="1"/>
  <c r="F5" i="4" s="1"/>
  <c r="T5" i="4" a="1"/>
  <c r="T5" i="4" s="1"/>
  <c r="AG5" i="4" a="1"/>
  <c r="AG5" i="4" s="1"/>
  <c r="N6" i="4" a="1"/>
  <c r="N6" i="4" s="1"/>
  <c r="Z6" i="4" a="1"/>
  <c r="Z6" i="4" s="1"/>
  <c r="H7" i="4" a="1"/>
  <c r="H7" i="4" s="1"/>
  <c r="W7" i="4" a="1"/>
  <c r="W7" i="4" s="1"/>
  <c r="E8" i="4" a="1"/>
  <c r="E8" i="4" s="1"/>
  <c r="N8" i="4" a="1"/>
  <c r="N8" i="4" s="1"/>
  <c r="AB8" i="4" a="1"/>
  <c r="AB8" i="4" s="1"/>
  <c r="G9" i="4" a="1"/>
  <c r="G9" i="4" s="1"/>
  <c r="U9" i="4" a="1"/>
  <c r="U9" i="4" s="1"/>
  <c r="AH9" i="4" a="1"/>
  <c r="AH9" i="4" s="1"/>
  <c r="L10" i="4" a="1"/>
  <c r="L10" i="4" s="1"/>
  <c r="AB10" i="4" a="1"/>
  <c r="AB10" i="4" s="1"/>
  <c r="I11" i="4" a="1"/>
  <c r="I11" i="4" s="1"/>
  <c r="V11" i="4" a="1"/>
  <c r="V11" i="4" s="1"/>
  <c r="AG11" i="4" a="1"/>
  <c r="AG11" i="4" s="1"/>
  <c r="L12" i="4" a="1"/>
  <c r="L12" i="4" s="1"/>
  <c r="X12" i="4" a="1"/>
  <c r="X12" i="4" s="1"/>
  <c r="D13" i="4" a="1"/>
  <c r="D13" i="4" s="1"/>
  <c r="P13" i="4" a="1"/>
  <c r="P13" i="4" s="1"/>
  <c r="X13" i="4" a="1"/>
  <c r="X13" i="4" s="1"/>
  <c r="AF13" i="4" a="1"/>
  <c r="AF13" i="4" s="1"/>
  <c r="J14" i="4" a="1"/>
  <c r="J14" i="4" s="1"/>
  <c r="AP14" i="4" s="1"/>
  <c r="P14" i="4" a="1"/>
  <c r="P14" i="4" s="1"/>
  <c r="W14" i="4" a="1"/>
  <c r="W14" i="4" s="1"/>
  <c r="AG14" i="4" a="1"/>
  <c r="AG14" i="4" s="1"/>
  <c r="N3" i="4" a="1"/>
  <c r="N3" i="4" s="1"/>
  <c r="Y3" i="4" a="1"/>
  <c r="Y3" i="4" s="1"/>
  <c r="G4" i="4" a="1"/>
  <c r="G4" i="4" s="1"/>
  <c r="U4" i="4" a="1"/>
  <c r="U4" i="4" s="1"/>
  <c r="D5" i="4" a="1"/>
  <c r="D5" i="4" s="1"/>
  <c r="Q5" i="4" a="1"/>
  <c r="Q5" i="4" s="1"/>
  <c r="AC5" i="4" a="1"/>
  <c r="AC5" i="4" s="1"/>
  <c r="G6" i="4" a="1"/>
  <c r="G6" i="4" s="1"/>
  <c r="W6" i="4" a="1"/>
  <c r="W6" i="4" s="1"/>
  <c r="AG6" i="4" a="1"/>
  <c r="AG6" i="4" s="1"/>
  <c r="M7" i="4" a="1"/>
  <c r="M7" i="4" s="1"/>
  <c r="AB7" i="4" a="1"/>
  <c r="AB7" i="4" s="1"/>
  <c r="G8" i="4" a="1"/>
  <c r="G8" i="4" s="1"/>
  <c r="R8" i="4" a="1"/>
  <c r="R8" i="4" s="1"/>
  <c r="AE8" i="4" a="1"/>
  <c r="AE8" i="4" s="1"/>
  <c r="P9" i="4" a="1"/>
  <c r="P9" i="4" s="1"/>
  <c r="AD9" i="4" a="1"/>
  <c r="AD9" i="4" s="1"/>
  <c r="J10" i="4" a="1"/>
  <c r="J10" i="4" s="1"/>
  <c r="AP10" i="4" s="1"/>
  <c r="W10" i="4" a="1"/>
  <c r="W10" i="4" s="1"/>
  <c r="E11" i="4" a="1"/>
  <c r="E11" i="4" s="1"/>
  <c r="AK11" i="4" s="1"/>
  <c r="Q11" i="4" a="1"/>
  <c r="Q11" i="4" s="1"/>
  <c r="D12" i="4" a="1"/>
  <c r="D12" i="4" s="1"/>
  <c r="P12" i="4" a="1"/>
  <c r="P12" i="4" s="1"/>
  <c r="AB12" i="4" a="1"/>
  <c r="AB12" i="4" s="1"/>
  <c r="H13" i="4" a="1"/>
  <c r="H13" i="4" s="1"/>
  <c r="AN13" i="4" s="1"/>
  <c r="U13" i="4" a="1"/>
  <c r="U13" i="4" s="1"/>
  <c r="AC13" i="4" a="1"/>
  <c r="AC13" i="4" s="1"/>
  <c r="E14" i="4" a="1"/>
  <c r="E14" i="4" s="1"/>
  <c r="L14" i="4" a="1"/>
  <c r="L14" i="4" s="1"/>
  <c r="Q14" i="4" a="1"/>
  <c r="Q14" i="4" s="1"/>
  <c r="Y14" i="4" a="1"/>
  <c r="Y14" i="4" s="1"/>
  <c r="AC14" i="4" a="1"/>
  <c r="AC14" i="4" s="1"/>
  <c r="E3" i="4" a="1"/>
  <c r="E3" i="4" s="1"/>
  <c r="Q3" i="4" a="1"/>
  <c r="Q3" i="4" s="1"/>
  <c r="AD3" i="4" a="1"/>
  <c r="AD3" i="4" s="1"/>
  <c r="J4" i="4" a="1"/>
  <c r="J4" i="4" s="1"/>
  <c r="X4" i="4" a="1"/>
  <c r="X4" i="4" s="1"/>
  <c r="G5" i="4" a="1"/>
  <c r="G5" i="4" s="1"/>
  <c r="U5" i="4" a="1"/>
  <c r="U5" i="4" s="1"/>
  <c r="AF5" i="4" a="1"/>
  <c r="AF5" i="4" s="1"/>
  <c r="L6" i="4" a="1"/>
  <c r="L6" i="4" s="1"/>
  <c r="AB6" i="4" a="1"/>
  <c r="AB6" i="4" s="1"/>
  <c r="I7" i="4" a="1"/>
  <c r="I7" i="4" s="1"/>
  <c r="V7" i="4" a="1"/>
  <c r="V7" i="4" s="1"/>
  <c r="D8" i="4" a="1"/>
  <c r="D8" i="4" s="1"/>
  <c r="P8" i="4" a="1"/>
  <c r="P8" i="4" s="1"/>
  <c r="AC8" i="4" a="1"/>
  <c r="AC8" i="4" s="1"/>
  <c r="H9" i="4" a="1"/>
  <c r="H9" i="4" s="1"/>
  <c r="V9" i="4" a="1"/>
  <c r="V9" i="4" s="1"/>
  <c r="AG9" i="4" a="1"/>
  <c r="AG9" i="4" s="1"/>
  <c r="M10" i="4" a="1"/>
  <c r="M10" i="4" s="1"/>
  <c r="X10" i="4" a="1"/>
  <c r="X10" i="4" s="1"/>
  <c r="F11" i="4" a="1"/>
  <c r="F11" i="4" s="1"/>
  <c r="R11" i="4" a="1"/>
  <c r="R11" i="4" s="1"/>
  <c r="AH11" i="4" a="1"/>
  <c r="AH11" i="4" s="1"/>
  <c r="M12" i="4" a="1"/>
  <c r="M12" i="4" s="1"/>
  <c r="Y12" i="4" a="1"/>
  <c r="Y12" i="4" s="1"/>
  <c r="F13" i="4" a="1"/>
  <c r="F13" i="4" s="1"/>
  <c r="R13" i="4" a="1"/>
  <c r="R13" i="4" s="1"/>
  <c r="AB13" i="4" a="1"/>
  <c r="AB13" i="4" s="1"/>
  <c r="D14" i="4" a="1"/>
  <c r="D14" i="4" s="1"/>
  <c r="M14" i="4" a="1"/>
  <c r="M14" i="4" s="1"/>
  <c r="T14" i="4" a="1"/>
  <c r="T14" i="4" s="1"/>
  <c r="AB14" i="4" a="1"/>
  <c r="AB14" i="4" s="1"/>
  <c r="AE14" i="4" a="1"/>
  <c r="AE14" i="4" s="1"/>
  <c r="O3" i="4" a="1"/>
  <c r="O3" i="4" s="1"/>
  <c r="AB3" i="4" a="1"/>
  <c r="AB3" i="4" s="1"/>
  <c r="T4" i="4" a="1"/>
  <c r="T4" i="4" s="1"/>
  <c r="AG4" i="4" a="1"/>
  <c r="AG4" i="4" s="1"/>
  <c r="N5" i="4" a="1"/>
  <c r="N5" i="4" s="1"/>
  <c r="AD5" i="4" a="1"/>
  <c r="AD5" i="4" s="1"/>
  <c r="I6" i="4" a="1"/>
  <c r="I6" i="4" s="1"/>
  <c r="V6" i="4" a="1"/>
  <c r="V6" i="4" s="1"/>
  <c r="AF6" i="4" a="1"/>
  <c r="AF6" i="4" s="1"/>
  <c r="O7" i="4" a="1"/>
  <c r="O7" i="4" s="1"/>
  <c r="Z7" i="4" a="1"/>
  <c r="Z7" i="4" s="1"/>
  <c r="M8" i="4" a="1"/>
  <c r="M8" i="4" s="1"/>
  <c r="Y8" i="4" a="1"/>
  <c r="Y8" i="4" s="1"/>
  <c r="J9" i="4" a="1"/>
  <c r="J9" i="4" s="1"/>
  <c r="W9" i="4" a="1"/>
  <c r="W9" i="4" s="1"/>
  <c r="E10" i="4" a="1"/>
  <c r="E10" i="4" s="1"/>
  <c r="Q10" i="4" a="1"/>
  <c r="Q10" i="4" s="1"/>
  <c r="AD10" i="4" a="1"/>
  <c r="AD10" i="4" s="1"/>
  <c r="L11" i="4" a="1"/>
  <c r="L11" i="4" s="1"/>
  <c r="Y11" i="4" a="1"/>
  <c r="Y11" i="4" s="1"/>
  <c r="G12" i="4" a="1"/>
  <c r="G12" i="4" s="1"/>
  <c r="U12" i="4" a="1"/>
  <c r="U12" i="4" s="1"/>
  <c r="AG12" i="4" a="1"/>
  <c r="AG12" i="4" s="1"/>
  <c r="O13" i="4" a="1"/>
  <c r="O13" i="4" s="1"/>
  <c r="Y13" i="4" a="1"/>
  <c r="Y13" i="4" s="1"/>
  <c r="AG13" i="4" a="1"/>
  <c r="AG13" i="4" s="1"/>
  <c r="H14" i="4" a="1"/>
  <c r="H14" i="4" s="1"/>
  <c r="AN14" i="4" s="1"/>
  <c r="D3" i="4" a="1"/>
  <c r="D3" i="4" s="1"/>
  <c r="P3" i="4" a="1"/>
  <c r="P3" i="4" s="1"/>
  <c r="AE3" i="4" a="1"/>
  <c r="AE3" i="4" s="1"/>
  <c r="I4" i="4" a="1"/>
  <c r="I4" i="4" s="1"/>
  <c r="AO4" i="4" s="1"/>
  <c r="W4" i="4" a="1"/>
  <c r="W4" i="4" s="1"/>
  <c r="E5" i="4" a="1"/>
  <c r="E5" i="4" s="1"/>
  <c r="R5" i="4" a="1"/>
  <c r="R5" i="4" s="1"/>
  <c r="AE5" i="4" a="1"/>
  <c r="AE5" i="4" s="1"/>
  <c r="J6" i="4" a="1"/>
  <c r="J6" i="4" s="1"/>
  <c r="X6" i="4" a="1"/>
  <c r="X6" i="4" s="1"/>
  <c r="E7" i="4" a="1"/>
  <c r="E7" i="4" s="1"/>
  <c r="Q7" i="4" a="1"/>
  <c r="Q7" i="4" s="1"/>
  <c r="AE7" i="4" a="1"/>
  <c r="AE7" i="4" s="1"/>
  <c r="J8" i="4" a="1"/>
  <c r="J8" i="4" s="1"/>
  <c r="W8" i="4" a="1"/>
  <c r="W8" i="4" s="1"/>
  <c r="AG8" i="4" a="1"/>
  <c r="AG8" i="4" s="1"/>
  <c r="M9" i="4" a="1"/>
  <c r="M9" i="4" s="1"/>
  <c r="Z9" i="4" a="1"/>
  <c r="Z9" i="4" s="1"/>
  <c r="N10" i="4" a="1"/>
  <c r="N10" i="4" s="1"/>
  <c r="Y10" i="4" a="1"/>
  <c r="Y10" i="4" s="1"/>
  <c r="G11" i="4" a="1"/>
  <c r="G11" i="4" s="1"/>
  <c r="T11" i="4" a="1"/>
  <c r="T11" i="4" s="1"/>
  <c r="AF11" i="4" a="1"/>
  <c r="AF11" i="4" s="1"/>
  <c r="J12" i="4" a="1"/>
  <c r="J12" i="4" s="1"/>
  <c r="W12" i="4" a="1"/>
  <c r="W12" i="4" s="1"/>
  <c r="E13" i="4" a="1"/>
  <c r="E13" i="4" s="1"/>
  <c r="T13" i="4" a="1"/>
  <c r="T13" i="4" s="1"/>
  <c r="AA13" i="4" s="1"/>
  <c r="H3" i="4" a="1"/>
  <c r="H3" i="4" s="1"/>
  <c r="AC3" i="4" a="1"/>
  <c r="AC3" i="4" s="1"/>
  <c r="O4" i="4" a="1"/>
  <c r="O4" i="4" s="1"/>
  <c r="AC4" i="4" a="1"/>
  <c r="AC4" i="4" s="1"/>
  <c r="P5" i="4" a="1"/>
  <c r="P5" i="4" s="1"/>
  <c r="Z5" i="4" a="1"/>
  <c r="Z5" i="4" s="1"/>
  <c r="O6" i="4" a="1"/>
  <c r="O6" i="4" s="1"/>
  <c r="Y6" i="4" a="1"/>
  <c r="Y6" i="4" s="1"/>
  <c r="G7" i="4" a="1"/>
  <c r="G7" i="4" s="1"/>
  <c r="U7" i="4" a="1"/>
  <c r="U7" i="4" s="1"/>
  <c r="AH7" i="4" a="1"/>
  <c r="AH7" i="4" s="1"/>
  <c r="L8" i="4" a="1"/>
  <c r="L8" i="4" s="1"/>
  <c r="X8" i="4" a="1"/>
  <c r="X8" i="4" s="1"/>
  <c r="AH8" i="4" a="1"/>
  <c r="AH8" i="4" s="1"/>
  <c r="N9" i="4" a="1"/>
  <c r="N9" i="4" s="1"/>
  <c r="AB9" i="4" a="1"/>
  <c r="AB9" i="4" s="1"/>
  <c r="I10" i="4" a="1"/>
  <c r="I10" i="4" s="1"/>
  <c r="AC10" i="4" a="1"/>
  <c r="AC10" i="4" s="1"/>
  <c r="J11" i="4" a="1"/>
  <c r="J11" i="4" s="1"/>
  <c r="X11" i="4" a="1"/>
  <c r="X11" i="4" s="1"/>
  <c r="F12" i="4" a="1"/>
  <c r="F12" i="4" s="1"/>
  <c r="R12" i="4" a="1"/>
  <c r="R12" i="4" s="1"/>
  <c r="AE12" i="4" a="1"/>
  <c r="AE12" i="4" s="1"/>
  <c r="M13" i="4" a="1"/>
  <c r="M13" i="4" s="1"/>
  <c r="F3" i="4" a="1"/>
  <c r="F3" i="4" s="1"/>
  <c r="T3" i="4" a="1"/>
  <c r="T3" i="4" s="1"/>
  <c r="AH3" i="4" a="1"/>
  <c r="AH3" i="4" s="1"/>
  <c r="N4" i="4" a="1"/>
  <c r="N4" i="4" s="1"/>
  <c r="AB4" i="4" a="1"/>
  <c r="AB4" i="4" s="1"/>
  <c r="I5" i="4" a="1"/>
  <c r="I5" i="4" s="1"/>
  <c r="X5" i="4" a="1"/>
  <c r="X5" i="4" s="1"/>
  <c r="E6" i="4" a="1"/>
  <c r="E6" i="4" s="1"/>
  <c r="Q6" i="4" a="1"/>
  <c r="Q6" i="4" s="1"/>
  <c r="F7" i="4" a="1"/>
  <c r="F7" i="4" s="1"/>
  <c r="T7" i="4" a="1"/>
  <c r="T7" i="4" s="1"/>
  <c r="AG7" i="4" a="1"/>
  <c r="AG7" i="4" s="1"/>
  <c r="Q8" i="4" a="1"/>
  <c r="Q8" i="4" s="1"/>
  <c r="AD8" i="4" a="1"/>
  <c r="AD8" i="4" s="1"/>
  <c r="I9" i="4" a="1"/>
  <c r="I9" i="4" s="1"/>
  <c r="X9" i="4" a="1"/>
  <c r="X9" i="4" s="1"/>
  <c r="D10" i="4" a="1"/>
  <c r="D10" i="4" s="1"/>
  <c r="P10" i="4" a="1"/>
  <c r="P10" i="4" s="1"/>
  <c r="AE10" i="4" a="1"/>
  <c r="AE10" i="4" s="1"/>
  <c r="W11" i="4" a="1"/>
  <c r="W11" i="4" s="1"/>
  <c r="E12" i="4" a="1"/>
  <c r="E12" i="4" s="1"/>
  <c r="Q12" i="4" a="1"/>
  <c r="Q12" i="4" s="1"/>
  <c r="AD12" i="4" a="1"/>
  <c r="AD12" i="4" s="1"/>
  <c r="L13" i="4" a="1"/>
  <c r="L13" i="4" s="1"/>
  <c r="Z3" i="4" a="1"/>
  <c r="Z3" i="4" s="1"/>
  <c r="H4" i="4" a="1"/>
  <c r="H4" i="4" s="1"/>
  <c r="AN4" i="4" s="1"/>
  <c r="V4" i="4" a="1"/>
  <c r="V4" i="4" s="1"/>
  <c r="AH4" i="4" a="1"/>
  <c r="AH4" i="4" s="1"/>
  <c r="O5" i="4" a="1"/>
  <c r="O5" i="4" s="1"/>
  <c r="R6" i="4" a="1"/>
  <c r="R6" i="4" s="1"/>
  <c r="AE6" i="4" a="1"/>
  <c r="AE6" i="4" s="1"/>
  <c r="L7" i="4" a="1"/>
  <c r="L7" i="4" s="1"/>
  <c r="S7" i="4" s="1"/>
  <c r="AD7" i="4" a="1"/>
  <c r="AD7" i="4" s="1"/>
  <c r="O9" i="4" a="1"/>
  <c r="O9" i="4" s="1"/>
  <c r="AC9" i="4" a="1"/>
  <c r="AC9" i="4" s="1"/>
  <c r="H10" i="4" a="1"/>
  <c r="H10" i="4" s="1"/>
  <c r="AN10" i="4" s="1"/>
  <c r="V10" i="4" a="1"/>
  <c r="V10" i="4" s="1"/>
  <c r="D11" i="4" a="1"/>
  <c r="D11" i="4" s="1"/>
  <c r="P11" i="4" a="1"/>
  <c r="P11" i="4" s="1"/>
  <c r="AD11" i="4" a="1"/>
  <c r="AD11" i="4" s="1"/>
  <c r="J13" i="4" a="1"/>
  <c r="J13" i="4" s="1"/>
  <c r="AP13" i="4" s="1"/>
  <c r="V667" i="2"/>
  <c r="W667" i="2"/>
  <c r="V666" i="2"/>
  <c r="W666" i="2"/>
  <c r="V665" i="2"/>
  <c r="W665" i="2"/>
  <c r="W664" i="2"/>
  <c r="V664" i="2"/>
  <c r="V663" i="2"/>
  <c r="W663" i="2"/>
  <c r="V662" i="2"/>
  <c r="W662" i="2"/>
  <c r="V661" i="2"/>
  <c r="W661" i="2"/>
  <c r="W660" i="2"/>
  <c r="V660" i="2"/>
  <c r="V659" i="2"/>
  <c r="W659" i="2"/>
  <c r="V658" i="2"/>
  <c r="W658" i="2"/>
  <c r="W657" i="2"/>
  <c r="V657" i="2"/>
  <c r="V656" i="2"/>
  <c r="W656" i="2"/>
  <c r="W655" i="2"/>
  <c r="V655" i="2"/>
  <c r="V654" i="2"/>
  <c r="W654" i="2"/>
  <c r="W653" i="2"/>
  <c r="V653" i="2"/>
  <c r="V652" i="2"/>
  <c r="W652" i="2"/>
  <c r="W651" i="2"/>
  <c r="V651" i="2"/>
  <c r="V650" i="2"/>
  <c r="W650" i="2"/>
  <c r="W649" i="2"/>
  <c r="V649" i="2"/>
  <c r="V648" i="2"/>
  <c r="W648" i="2"/>
  <c r="V647" i="2"/>
  <c r="W647" i="2"/>
  <c r="W646" i="2"/>
  <c r="V646" i="2"/>
  <c r="V645" i="2"/>
  <c r="W645" i="2"/>
  <c r="W644" i="2"/>
  <c r="V644" i="2"/>
  <c r="W643" i="2"/>
  <c r="V643" i="2"/>
  <c r="V642" i="2"/>
  <c r="W642" i="2"/>
  <c r="W641" i="2"/>
  <c r="V641" i="2"/>
  <c r="V640" i="2"/>
  <c r="W640" i="2"/>
  <c r="W639" i="2"/>
  <c r="V639" i="2"/>
  <c r="W638" i="2"/>
  <c r="V638" i="2"/>
  <c r="V637" i="2"/>
  <c r="W637" i="2"/>
  <c r="W636" i="2"/>
  <c r="V636" i="2"/>
  <c r="V635" i="2"/>
  <c r="W635" i="2"/>
  <c r="W634" i="2"/>
  <c r="V634" i="2"/>
  <c r="V633" i="2"/>
  <c r="W633" i="2"/>
  <c r="W632" i="2"/>
  <c r="V632" i="2"/>
  <c r="W631" i="2"/>
  <c r="V631" i="2"/>
  <c r="W630" i="2"/>
  <c r="V630" i="2"/>
  <c r="W629" i="2"/>
  <c r="V629" i="2"/>
  <c r="W628" i="2"/>
  <c r="V628" i="2"/>
  <c r="W627" i="2"/>
  <c r="V627" i="2"/>
  <c r="W626" i="2"/>
  <c r="V626" i="2"/>
  <c r="W625" i="2"/>
  <c r="V625" i="2"/>
  <c r="W624" i="2"/>
  <c r="V624" i="2"/>
  <c r="W623" i="2"/>
  <c r="V623" i="2"/>
  <c r="V622" i="2"/>
  <c r="W622" i="2"/>
  <c r="V621" i="2"/>
  <c r="W621" i="2"/>
  <c r="V620" i="2"/>
  <c r="W620" i="2"/>
  <c r="V619" i="2"/>
  <c r="W619" i="2"/>
  <c r="W618" i="2"/>
  <c r="V618" i="2"/>
  <c r="V617" i="2"/>
  <c r="W617" i="2"/>
  <c r="V616" i="2"/>
  <c r="W616" i="2"/>
  <c r="W615" i="2"/>
  <c r="V615" i="2"/>
  <c r="W614" i="2"/>
  <c r="V614" i="2"/>
  <c r="W613" i="2"/>
  <c r="V613" i="2"/>
  <c r="W612" i="2"/>
  <c r="V612" i="2"/>
  <c r="V611" i="2"/>
  <c r="W611" i="2"/>
  <c r="V610" i="2"/>
  <c r="W610" i="2"/>
  <c r="W609" i="2"/>
  <c r="V609" i="2"/>
  <c r="V608" i="2"/>
  <c r="W608" i="2"/>
  <c r="W607" i="2"/>
  <c r="V607" i="2"/>
  <c r="W606" i="2"/>
  <c r="V606" i="2"/>
  <c r="W605" i="2"/>
  <c r="V605" i="2"/>
  <c r="V604" i="2"/>
  <c r="W604" i="2"/>
  <c r="V603" i="2"/>
  <c r="W603" i="2"/>
  <c r="W602" i="2"/>
  <c r="V602" i="2"/>
  <c r="V601" i="2"/>
  <c r="W601" i="2"/>
  <c r="V600" i="2"/>
  <c r="W600" i="2"/>
  <c r="V599" i="2"/>
  <c r="W599" i="2"/>
  <c r="W598" i="2"/>
  <c r="V598" i="2"/>
  <c r="W597" i="2"/>
  <c r="V597" i="2"/>
  <c r="W596" i="2"/>
  <c r="V596" i="2"/>
  <c r="V595" i="2"/>
  <c r="W595" i="2"/>
  <c r="V594" i="2"/>
  <c r="W594" i="2"/>
  <c r="V593" i="2"/>
  <c r="W593" i="2"/>
  <c r="V592" i="2"/>
  <c r="W592" i="2"/>
  <c r="V591" i="2"/>
  <c r="W591" i="2"/>
  <c r="W590" i="2"/>
  <c r="V590" i="2"/>
  <c r="V589" i="2"/>
  <c r="W589" i="2"/>
  <c r="V588" i="2"/>
  <c r="W588" i="2"/>
  <c r="W587" i="2"/>
  <c r="V587" i="2"/>
  <c r="W586" i="2"/>
  <c r="V586" i="2"/>
  <c r="V585" i="2"/>
  <c r="W585" i="2"/>
  <c r="W584" i="2"/>
  <c r="V584" i="2"/>
  <c r="V583" i="2"/>
  <c r="W583" i="2"/>
  <c r="V582" i="2"/>
  <c r="W582" i="2"/>
  <c r="W581" i="2"/>
  <c r="V581" i="2"/>
  <c r="V580" i="2"/>
  <c r="W580" i="2"/>
  <c r="W579" i="2"/>
  <c r="V579" i="2"/>
  <c r="W578" i="2"/>
  <c r="V578" i="2"/>
  <c r="V577" i="2"/>
  <c r="W577" i="2"/>
  <c r="W576" i="2"/>
  <c r="V576" i="2"/>
  <c r="V575" i="2"/>
  <c r="W575" i="2"/>
  <c r="V574" i="2"/>
  <c r="W574" i="2"/>
  <c r="W573" i="2"/>
  <c r="V573" i="2"/>
  <c r="W572" i="2"/>
  <c r="V572" i="2"/>
  <c r="V571" i="2"/>
  <c r="W571" i="2"/>
  <c r="V570" i="2"/>
  <c r="W570" i="2"/>
  <c r="W569" i="2"/>
  <c r="V569" i="2"/>
  <c r="V568" i="2"/>
  <c r="W568" i="2"/>
  <c r="W567" i="2"/>
  <c r="V567" i="2"/>
  <c r="V566" i="2"/>
  <c r="W566" i="2"/>
  <c r="W565" i="2"/>
  <c r="V565" i="2"/>
  <c r="W564" i="2"/>
  <c r="V564" i="2"/>
  <c r="W563" i="2"/>
  <c r="V563" i="2"/>
  <c r="V562" i="2"/>
  <c r="W562" i="2"/>
  <c r="W561" i="2"/>
  <c r="V561" i="2"/>
  <c r="V560" i="2"/>
  <c r="W560" i="2"/>
  <c r="V559" i="2"/>
  <c r="W559" i="2"/>
  <c r="V558" i="2"/>
  <c r="W558" i="2"/>
  <c r="V557" i="2"/>
  <c r="W557" i="2"/>
  <c r="W556" i="2"/>
  <c r="V556" i="2"/>
  <c r="W555" i="2"/>
  <c r="V555" i="2"/>
  <c r="W554" i="2"/>
  <c r="V554" i="2"/>
  <c r="V553" i="2"/>
  <c r="W553" i="2"/>
  <c r="W552" i="2"/>
  <c r="V552" i="2"/>
  <c r="W551" i="2"/>
  <c r="V551" i="2"/>
  <c r="W550" i="2"/>
  <c r="V550" i="2"/>
  <c r="W549" i="2"/>
  <c r="V549" i="2"/>
  <c r="W548" i="2"/>
  <c r="V548" i="2"/>
  <c r="V547" i="2"/>
  <c r="W547" i="2"/>
  <c r="W546" i="2"/>
  <c r="V546" i="2"/>
  <c r="V545" i="2"/>
  <c r="W545" i="2"/>
  <c r="V544" i="2"/>
  <c r="W544" i="2"/>
  <c r="W543" i="2"/>
  <c r="V543" i="2"/>
  <c r="V542" i="2"/>
  <c r="W542" i="2"/>
  <c r="W541" i="2"/>
  <c r="V541" i="2"/>
  <c r="V540" i="2"/>
  <c r="W540" i="2"/>
  <c r="V539" i="2"/>
  <c r="W539" i="2"/>
  <c r="V538" i="2"/>
  <c r="W538" i="2"/>
  <c r="V537" i="2"/>
  <c r="W537" i="2"/>
  <c r="W536" i="2"/>
  <c r="V536" i="2"/>
  <c r="W535" i="2"/>
  <c r="V535" i="2"/>
  <c r="V534" i="2"/>
  <c r="W534" i="2"/>
  <c r="V533" i="2"/>
  <c r="W533" i="2"/>
  <c r="V532" i="2"/>
  <c r="W532" i="2"/>
  <c r="W531" i="2"/>
  <c r="V531" i="2"/>
  <c r="V530" i="2"/>
  <c r="W530" i="2"/>
  <c r="V529" i="2"/>
  <c r="W529" i="2"/>
  <c r="W528" i="2"/>
  <c r="V528" i="2"/>
  <c r="W527" i="2"/>
  <c r="V527" i="2"/>
  <c r="V526" i="2"/>
  <c r="W526" i="2"/>
  <c r="V525" i="2"/>
  <c r="W525" i="2"/>
  <c r="V524" i="2"/>
  <c r="W524" i="2"/>
  <c r="V523" i="2"/>
  <c r="W523" i="2"/>
  <c r="V522" i="2"/>
  <c r="W522" i="2"/>
  <c r="V521" i="2"/>
  <c r="W521" i="2"/>
  <c r="V520" i="2"/>
  <c r="W520" i="2"/>
  <c r="W519" i="2"/>
  <c r="V519" i="2"/>
  <c r="W518" i="2"/>
  <c r="V518" i="2"/>
  <c r="V517" i="2"/>
  <c r="W517" i="2"/>
  <c r="V516" i="2"/>
  <c r="W516" i="2"/>
  <c r="W515" i="2"/>
  <c r="V515" i="2"/>
  <c r="W514" i="2"/>
  <c r="V514" i="2"/>
  <c r="W513" i="2"/>
  <c r="V513" i="2"/>
  <c r="V512" i="2"/>
  <c r="W512" i="2"/>
  <c r="V511" i="2"/>
  <c r="W511" i="2"/>
  <c r="W510" i="2"/>
  <c r="V510" i="2"/>
  <c r="W509" i="2"/>
  <c r="V509" i="2"/>
  <c r="W508" i="2"/>
  <c r="V508" i="2"/>
  <c r="W507" i="2"/>
  <c r="V507" i="2"/>
  <c r="V506" i="2"/>
  <c r="W506" i="2"/>
  <c r="V505" i="2"/>
  <c r="W505" i="2"/>
  <c r="V504" i="2"/>
  <c r="W504" i="2"/>
  <c r="V503" i="2"/>
  <c r="W503" i="2"/>
  <c r="V502" i="2"/>
  <c r="W502" i="2"/>
  <c r="V501" i="2"/>
  <c r="W501" i="2"/>
  <c r="V500" i="2"/>
  <c r="W500" i="2"/>
  <c r="V499" i="2"/>
  <c r="W499" i="2"/>
  <c r="V498" i="2"/>
  <c r="W498" i="2"/>
  <c r="W497" i="2"/>
  <c r="V497" i="2"/>
  <c r="V496" i="2"/>
  <c r="W496" i="2"/>
  <c r="W495" i="2"/>
  <c r="V495" i="2"/>
  <c r="V494" i="2"/>
  <c r="W494" i="2"/>
  <c r="W493" i="2"/>
  <c r="V493" i="2"/>
  <c r="V492" i="2"/>
  <c r="W492" i="2"/>
  <c r="W491" i="2"/>
  <c r="V491" i="2"/>
  <c r="V490" i="2"/>
  <c r="W490" i="2"/>
  <c r="V489" i="2"/>
  <c r="W489" i="2"/>
  <c r="V488" i="2"/>
  <c r="W488" i="2"/>
  <c r="V487" i="2"/>
  <c r="W487" i="2"/>
  <c r="V486" i="2"/>
  <c r="W486" i="2"/>
  <c r="W485" i="2"/>
  <c r="V485" i="2"/>
  <c r="V484" i="2"/>
  <c r="W484" i="2"/>
  <c r="W483" i="2"/>
  <c r="V483" i="2"/>
  <c r="V482" i="2"/>
  <c r="W482" i="2"/>
  <c r="V481" i="2"/>
  <c r="W481" i="2"/>
  <c r="V480" i="2"/>
  <c r="W480" i="2"/>
  <c r="V479" i="2"/>
  <c r="W479" i="2"/>
  <c r="V478" i="2"/>
  <c r="W478" i="2"/>
  <c r="W477" i="2"/>
  <c r="V477" i="2"/>
  <c r="V476" i="2"/>
  <c r="W476" i="2"/>
  <c r="V475" i="2"/>
  <c r="W475" i="2"/>
  <c r="V474" i="2"/>
  <c r="W474" i="2"/>
  <c r="W473" i="2"/>
  <c r="V473" i="2"/>
  <c r="W472" i="2"/>
  <c r="V472" i="2"/>
  <c r="W471" i="2"/>
  <c r="V471" i="2"/>
  <c r="W470" i="2"/>
  <c r="V470" i="2"/>
  <c r="W469" i="2"/>
  <c r="V469" i="2"/>
  <c r="W468" i="2"/>
  <c r="V468" i="2"/>
  <c r="W467" i="2"/>
  <c r="V467" i="2"/>
  <c r="W466" i="2"/>
  <c r="V466" i="2"/>
  <c r="V465" i="2"/>
  <c r="W465" i="2"/>
  <c r="V464" i="2"/>
  <c r="W464" i="2"/>
  <c r="W463" i="2"/>
  <c r="V463" i="2"/>
  <c r="W462" i="2"/>
  <c r="V462" i="2"/>
  <c r="V461" i="2"/>
  <c r="W461" i="2"/>
  <c r="V460" i="2"/>
  <c r="W460" i="2"/>
  <c r="V459" i="2"/>
  <c r="W459" i="2"/>
  <c r="V458" i="2"/>
  <c r="W458" i="2"/>
  <c r="V457" i="2"/>
  <c r="W457" i="2"/>
  <c r="W456" i="2"/>
  <c r="V456" i="2"/>
  <c r="V455" i="2"/>
  <c r="W455" i="2"/>
  <c r="W454" i="2"/>
  <c r="V454" i="2"/>
  <c r="V453" i="2"/>
  <c r="W453" i="2"/>
  <c r="W452" i="2"/>
  <c r="V452" i="2"/>
  <c r="W451" i="2"/>
  <c r="V451" i="2"/>
  <c r="W450" i="2"/>
  <c r="V450" i="2"/>
  <c r="V449" i="2"/>
  <c r="W449" i="2"/>
  <c r="V448" i="2"/>
  <c r="W448" i="2"/>
  <c r="W447" i="2"/>
  <c r="V447" i="2"/>
  <c r="V446" i="2"/>
  <c r="W446" i="2"/>
  <c r="W445" i="2"/>
  <c r="V445" i="2"/>
  <c r="V444" i="2"/>
  <c r="W444" i="2"/>
  <c r="W443" i="2"/>
  <c r="V443" i="2"/>
  <c r="V442" i="2"/>
  <c r="W442" i="2"/>
  <c r="W441" i="2"/>
  <c r="V441" i="2"/>
  <c r="V440" i="2"/>
  <c r="W440" i="2"/>
  <c r="W439" i="2"/>
  <c r="V439" i="2"/>
  <c r="W438" i="2"/>
  <c r="V438" i="2"/>
  <c r="W437" i="2"/>
  <c r="V437" i="2"/>
  <c r="V436" i="2"/>
  <c r="W436" i="2"/>
  <c r="W435" i="2"/>
  <c r="V435" i="2"/>
  <c r="W434" i="2"/>
  <c r="V434" i="2"/>
  <c r="V433" i="2"/>
  <c r="W433" i="2"/>
  <c r="V432" i="2"/>
  <c r="W432" i="2"/>
  <c r="V431" i="2"/>
  <c r="W431" i="2"/>
  <c r="W430" i="2"/>
  <c r="V430" i="2"/>
  <c r="W429" i="2"/>
  <c r="V429" i="2"/>
  <c r="W428" i="2"/>
  <c r="V428" i="2"/>
  <c r="W427" i="2"/>
  <c r="V427" i="2"/>
  <c r="V426" i="2"/>
  <c r="W426" i="2"/>
  <c r="W425" i="2"/>
  <c r="V425" i="2"/>
  <c r="W424" i="2"/>
  <c r="V424" i="2"/>
  <c r="W423" i="2"/>
  <c r="V423" i="2"/>
  <c r="V422" i="2"/>
  <c r="W422" i="2"/>
  <c r="W421" i="2"/>
  <c r="V421" i="2"/>
  <c r="V420" i="2"/>
  <c r="W420" i="2"/>
  <c r="W419" i="2"/>
  <c r="V419" i="2"/>
  <c r="W418" i="2"/>
  <c r="V418" i="2"/>
  <c r="W417" i="2"/>
  <c r="V417" i="2"/>
  <c r="V416" i="2"/>
  <c r="W416" i="2"/>
  <c r="W415" i="2"/>
  <c r="V415" i="2"/>
  <c r="V414" i="2"/>
  <c r="W414" i="2"/>
  <c r="W413" i="2"/>
  <c r="V413" i="2"/>
  <c r="W412" i="2"/>
  <c r="V412" i="2"/>
  <c r="V411" i="2"/>
  <c r="W411" i="2"/>
  <c r="W410" i="2"/>
  <c r="V410" i="2"/>
  <c r="V409" i="2"/>
  <c r="W409" i="2"/>
  <c r="V408" i="2"/>
  <c r="W408" i="2"/>
  <c r="V407" i="2"/>
  <c r="W407" i="2"/>
  <c r="V406" i="2"/>
  <c r="W406" i="2"/>
  <c r="W405" i="2"/>
  <c r="V405" i="2"/>
  <c r="V404" i="2"/>
  <c r="W404" i="2"/>
  <c r="W403" i="2"/>
  <c r="V403" i="2"/>
  <c r="W402" i="2"/>
  <c r="V402" i="2"/>
  <c r="V401" i="2"/>
  <c r="W401" i="2"/>
  <c r="W400" i="2"/>
  <c r="V400" i="2"/>
  <c r="V399" i="2"/>
  <c r="W399" i="2"/>
  <c r="V398" i="2"/>
  <c r="W398" i="2"/>
  <c r="W397" i="2"/>
  <c r="V397" i="2"/>
  <c r="V396" i="2"/>
  <c r="W396" i="2"/>
  <c r="V395" i="2"/>
  <c r="W395" i="2"/>
  <c r="V394" i="2"/>
  <c r="W394" i="2"/>
  <c r="W393" i="2"/>
  <c r="V393" i="2"/>
  <c r="V392" i="2"/>
  <c r="W392" i="2"/>
  <c r="V391" i="2"/>
  <c r="W391" i="2"/>
  <c r="W390" i="2"/>
  <c r="V390" i="2"/>
  <c r="V389" i="2"/>
  <c r="W389" i="2"/>
  <c r="W388" i="2"/>
  <c r="V388" i="2"/>
  <c r="V387" i="2"/>
  <c r="W387" i="2"/>
  <c r="W386" i="2"/>
  <c r="V386" i="2"/>
  <c r="W385" i="2"/>
  <c r="V385" i="2"/>
  <c r="V384" i="2"/>
  <c r="W384" i="2"/>
  <c r="V383" i="2"/>
  <c r="W383" i="2"/>
  <c r="W382" i="2"/>
  <c r="V382" i="2"/>
  <c r="W381" i="2"/>
  <c r="V381" i="2"/>
  <c r="V380" i="2"/>
  <c r="W380" i="2"/>
  <c r="W379" i="2"/>
  <c r="V379" i="2"/>
  <c r="V378" i="2"/>
  <c r="W378" i="2"/>
  <c r="V377" i="2"/>
  <c r="W377" i="2"/>
  <c r="V376" i="2"/>
  <c r="W376" i="2"/>
  <c r="W375" i="2"/>
  <c r="V375" i="2"/>
  <c r="W374" i="2"/>
  <c r="V374" i="2"/>
  <c r="W373" i="2"/>
  <c r="V373" i="2"/>
  <c r="W372" i="2"/>
  <c r="V372" i="2"/>
  <c r="W371" i="2"/>
  <c r="V371" i="2"/>
  <c r="W370" i="2"/>
  <c r="V370" i="2"/>
  <c r="V369" i="2"/>
  <c r="W369" i="2"/>
  <c r="W368" i="2"/>
  <c r="V368" i="2"/>
  <c r="W367" i="2"/>
  <c r="V367" i="2"/>
  <c r="V366" i="2"/>
  <c r="W366" i="2"/>
  <c r="V365" i="2"/>
  <c r="W365" i="2"/>
  <c r="V364" i="2"/>
  <c r="W364" i="2"/>
  <c r="W363" i="2"/>
  <c r="V363" i="2"/>
  <c r="V362" i="2"/>
  <c r="W362" i="2"/>
  <c r="W361" i="2"/>
  <c r="V361" i="2"/>
  <c r="V360" i="2"/>
  <c r="W360" i="2"/>
  <c r="V359" i="2"/>
  <c r="W359" i="2"/>
  <c r="V358" i="2"/>
  <c r="W358" i="2"/>
  <c r="W357" i="2"/>
  <c r="V357" i="2"/>
  <c r="W356" i="2"/>
  <c r="V356" i="2"/>
  <c r="W355" i="2"/>
  <c r="V355" i="2"/>
  <c r="W354" i="2"/>
  <c r="V354" i="2"/>
  <c r="V353" i="2"/>
  <c r="W353" i="2"/>
  <c r="V352" i="2"/>
  <c r="W352" i="2"/>
  <c r="W351" i="2"/>
  <c r="V351" i="2"/>
  <c r="W350" i="2"/>
  <c r="V350" i="2"/>
  <c r="V349" i="2"/>
  <c r="W349" i="2"/>
  <c r="V348" i="2"/>
  <c r="W348" i="2"/>
  <c r="W347" i="2"/>
  <c r="V347" i="2"/>
  <c r="W346" i="2"/>
  <c r="V346" i="2"/>
  <c r="W345" i="2"/>
  <c r="V345" i="2"/>
  <c r="V344" i="2"/>
  <c r="W344" i="2"/>
  <c r="W343" i="2"/>
  <c r="V343" i="2"/>
  <c r="W342" i="2"/>
  <c r="V342" i="2"/>
  <c r="V341" i="2"/>
  <c r="W341" i="2"/>
  <c r="V340" i="2"/>
  <c r="W340" i="2"/>
  <c r="V339" i="2"/>
  <c r="W339" i="2"/>
  <c r="W338" i="2"/>
  <c r="V338" i="2"/>
  <c r="W337" i="2"/>
  <c r="V337" i="2"/>
  <c r="V336" i="2"/>
  <c r="W336" i="2"/>
  <c r="W335" i="2"/>
  <c r="V335" i="2"/>
  <c r="W334" i="2"/>
  <c r="V334" i="2"/>
  <c r="W333" i="2"/>
  <c r="V333" i="2"/>
  <c r="V332" i="2"/>
  <c r="W332" i="2"/>
  <c r="W331" i="2"/>
  <c r="V331" i="2"/>
  <c r="W330" i="2"/>
  <c r="V330" i="2"/>
  <c r="W329" i="2"/>
  <c r="V329" i="2"/>
  <c r="V328" i="2"/>
  <c r="W328" i="2"/>
  <c r="W327" i="2"/>
  <c r="V327" i="2"/>
  <c r="V326" i="2"/>
  <c r="W326" i="2"/>
  <c r="W325" i="2"/>
  <c r="V325" i="2"/>
  <c r="W324" i="2"/>
  <c r="V324" i="2"/>
  <c r="W323" i="2"/>
  <c r="V323" i="2"/>
  <c r="V322" i="2"/>
  <c r="W322" i="2"/>
  <c r="W321" i="2"/>
  <c r="V321" i="2"/>
  <c r="W320" i="2"/>
  <c r="V320" i="2"/>
  <c r="V319" i="2"/>
  <c r="W319" i="2"/>
  <c r="W318" i="2"/>
  <c r="V318" i="2"/>
  <c r="V317" i="2"/>
  <c r="W317" i="2"/>
  <c r="W316" i="2"/>
  <c r="V316" i="2"/>
  <c r="V315" i="2"/>
  <c r="W315" i="2"/>
  <c r="V314" i="2"/>
  <c r="W314" i="2"/>
  <c r="V313" i="2"/>
  <c r="W313" i="2"/>
  <c r="W312" i="2"/>
  <c r="V312" i="2"/>
  <c r="V311" i="2"/>
  <c r="W311" i="2"/>
  <c r="W310" i="2"/>
  <c r="V310" i="2"/>
  <c r="W309" i="2"/>
  <c r="V309" i="2"/>
  <c r="V308" i="2"/>
  <c r="W308" i="2"/>
  <c r="W307" i="2"/>
  <c r="V307" i="2"/>
  <c r="V306" i="2"/>
  <c r="W306" i="2"/>
  <c r="W305" i="2"/>
  <c r="V305" i="2"/>
  <c r="V304" i="2"/>
  <c r="W304" i="2"/>
  <c r="V303" i="2"/>
  <c r="W303" i="2"/>
  <c r="V302" i="2"/>
  <c r="W302" i="2"/>
  <c r="W301" i="2"/>
  <c r="V301" i="2"/>
  <c r="V300" i="2"/>
  <c r="W300" i="2"/>
  <c r="V299" i="2"/>
  <c r="W299" i="2"/>
  <c r="W298" i="2"/>
  <c r="V298" i="2"/>
  <c r="W297" i="2"/>
  <c r="V297" i="2"/>
  <c r="W296" i="2"/>
  <c r="V296" i="2"/>
  <c r="W295" i="2"/>
  <c r="V295" i="2"/>
  <c r="V294" i="2"/>
  <c r="W294" i="2"/>
  <c r="W293" i="2"/>
  <c r="V293" i="2"/>
  <c r="V292" i="2"/>
  <c r="W292" i="2"/>
  <c r="W291" i="2"/>
  <c r="V291" i="2"/>
  <c r="V290" i="2"/>
  <c r="W290" i="2"/>
  <c r="V289" i="2"/>
  <c r="W289" i="2"/>
  <c r="W288" i="2"/>
  <c r="V288" i="2"/>
  <c r="V287" i="2"/>
  <c r="W287" i="2"/>
  <c r="W286" i="2"/>
  <c r="V286" i="2"/>
  <c r="V285" i="2"/>
  <c r="W285" i="2"/>
  <c r="V284" i="2"/>
  <c r="W284" i="2"/>
  <c r="V283" i="2"/>
  <c r="W283" i="2"/>
  <c r="V282" i="2"/>
  <c r="W282" i="2"/>
  <c r="V281" i="2"/>
  <c r="W281" i="2"/>
  <c r="V280" i="2"/>
  <c r="W280" i="2"/>
  <c r="V279" i="2"/>
  <c r="W279" i="2"/>
  <c r="W278" i="2"/>
  <c r="V278" i="2"/>
  <c r="V277" i="2"/>
  <c r="W277" i="2"/>
  <c r="V276" i="2"/>
  <c r="W276" i="2"/>
  <c r="V275" i="2"/>
  <c r="W275" i="2"/>
  <c r="V274" i="2"/>
  <c r="W274" i="2"/>
  <c r="W273" i="2"/>
  <c r="V273" i="2"/>
  <c r="W272" i="2"/>
  <c r="V272" i="2"/>
  <c r="V271" i="2"/>
  <c r="W271" i="2"/>
  <c r="V270" i="2"/>
  <c r="W270" i="2"/>
  <c r="W269" i="2"/>
  <c r="V269" i="2"/>
  <c r="W268" i="2"/>
  <c r="V268" i="2"/>
  <c r="W267" i="2"/>
  <c r="V267" i="2"/>
  <c r="V266" i="2"/>
  <c r="W266" i="2"/>
  <c r="V265" i="2"/>
  <c r="W265" i="2"/>
  <c r="V264" i="2"/>
  <c r="W264" i="2"/>
  <c r="V263" i="2"/>
  <c r="W263" i="2"/>
  <c r="W262" i="2"/>
  <c r="V262" i="2"/>
  <c r="V261" i="2"/>
  <c r="W261" i="2"/>
  <c r="V260" i="2"/>
  <c r="W260" i="2"/>
  <c r="W259" i="2"/>
  <c r="V259" i="2"/>
  <c r="V258" i="2"/>
  <c r="W258" i="2"/>
  <c r="V257" i="2"/>
  <c r="W257" i="2"/>
  <c r="W256" i="2"/>
  <c r="V256" i="2"/>
  <c r="V255" i="2"/>
  <c r="W255" i="2"/>
  <c r="V254" i="2"/>
  <c r="W254" i="2"/>
  <c r="V253" i="2"/>
  <c r="W253" i="2"/>
  <c r="W252" i="2"/>
  <c r="V252" i="2"/>
  <c r="V251" i="2"/>
  <c r="W251" i="2"/>
  <c r="V250" i="2"/>
  <c r="W250" i="2"/>
  <c r="V249" i="2"/>
  <c r="W249" i="2"/>
  <c r="W248" i="2"/>
  <c r="V248" i="2"/>
  <c r="V247" i="2"/>
  <c r="W247" i="2"/>
  <c r="V246" i="2"/>
  <c r="W246" i="2"/>
  <c r="V245" i="2"/>
  <c r="W245" i="2"/>
  <c r="W244" i="2"/>
  <c r="V244" i="2"/>
  <c r="V243" i="2"/>
  <c r="W243" i="2"/>
  <c r="W242" i="2"/>
  <c r="V242" i="2"/>
  <c r="W241" i="2"/>
  <c r="V241" i="2"/>
  <c r="W240" i="2"/>
  <c r="V240" i="2"/>
  <c r="W239" i="2"/>
  <c r="V239" i="2"/>
  <c r="V238" i="2"/>
  <c r="W238" i="2"/>
  <c r="W237" i="2"/>
  <c r="V237" i="2"/>
  <c r="V236" i="2"/>
  <c r="W236" i="2"/>
  <c r="V235" i="2"/>
  <c r="W235" i="2"/>
  <c r="V234" i="2"/>
  <c r="W234" i="2"/>
  <c r="V233" i="2"/>
  <c r="W233" i="2"/>
  <c r="W232" i="2"/>
  <c r="V232" i="2"/>
  <c r="W231" i="2"/>
  <c r="V231" i="2"/>
  <c r="W230" i="2"/>
  <c r="V230" i="2"/>
  <c r="V229" i="2"/>
  <c r="W229" i="2"/>
  <c r="W228" i="2"/>
  <c r="V228" i="2"/>
  <c r="V227" i="2"/>
  <c r="W227" i="2"/>
  <c r="W226" i="2"/>
  <c r="V226" i="2"/>
  <c r="W225" i="2"/>
  <c r="V225" i="2"/>
  <c r="W224" i="2"/>
  <c r="V224" i="2"/>
  <c r="V223" i="2"/>
  <c r="W223" i="2"/>
  <c r="W222" i="2"/>
  <c r="V222" i="2"/>
  <c r="W221" i="2"/>
  <c r="V221" i="2"/>
  <c r="W220" i="2"/>
  <c r="V220" i="2"/>
  <c r="W219" i="2"/>
  <c r="V219" i="2"/>
  <c r="W218" i="2"/>
  <c r="V218" i="2"/>
  <c r="W217" i="2"/>
  <c r="V217" i="2"/>
  <c r="W216" i="2"/>
  <c r="V216" i="2"/>
  <c r="V215" i="2"/>
  <c r="W215" i="2"/>
  <c r="V214" i="2"/>
  <c r="W214" i="2"/>
  <c r="W213" i="2"/>
  <c r="V213" i="2"/>
  <c r="W212" i="2"/>
  <c r="V212" i="2"/>
  <c r="W211" i="2"/>
  <c r="V211" i="2"/>
  <c r="W210" i="2"/>
  <c r="V210" i="2"/>
  <c r="V209" i="2"/>
  <c r="W209" i="2"/>
  <c r="V208" i="2"/>
  <c r="W208" i="2"/>
  <c r="V207" i="2"/>
  <c r="W207" i="2"/>
  <c r="W206" i="2"/>
  <c r="V206" i="2"/>
  <c r="W205" i="2"/>
  <c r="V205" i="2"/>
  <c r="W204" i="2"/>
  <c r="V204" i="2"/>
  <c r="W203" i="2"/>
  <c r="V203" i="2"/>
  <c r="W202" i="2"/>
  <c r="V202" i="2"/>
  <c r="W201" i="2"/>
  <c r="V201" i="2"/>
  <c r="W200" i="2"/>
  <c r="V200" i="2"/>
  <c r="W199" i="2"/>
  <c r="V199" i="2"/>
  <c r="W198" i="2"/>
  <c r="V198" i="2"/>
  <c r="W197" i="2"/>
  <c r="V197" i="2"/>
  <c r="W196" i="2"/>
  <c r="V196" i="2"/>
  <c r="W195" i="2"/>
  <c r="V195" i="2"/>
  <c r="W194" i="2"/>
  <c r="V194" i="2"/>
  <c r="W193" i="2"/>
  <c r="V193" i="2"/>
  <c r="W192" i="2"/>
  <c r="V192" i="2"/>
  <c r="W191" i="2"/>
  <c r="V191" i="2"/>
  <c r="W190" i="2"/>
  <c r="V190" i="2"/>
  <c r="W189" i="2"/>
  <c r="V189" i="2"/>
  <c r="W188" i="2"/>
  <c r="V188" i="2"/>
  <c r="W187" i="2"/>
  <c r="V187" i="2"/>
  <c r="W186" i="2"/>
  <c r="V186" i="2"/>
  <c r="W185" i="2"/>
  <c r="V185" i="2"/>
  <c r="V184" i="2"/>
  <c r="W184" i="2"/>
  <c r="V183" i="2"/>
  <c r="W183" i="2"/>
  <c r="V182" i="2"/>
  <c r="W182" i="2"/>
  <c r="V181" i="2"/>
  <c r="W181" i="2"/>
  <c r="V180" i="2"/>
  <c r="W180" i="2"/>
  <c r="V179" i="2"/>
  <c r="W179" i="2"/>
  <c r="V178" i="2"/>
  <c r="W178" i="2"/>
  <c r="W177" i="2"/>
  <c r="V177" i="2"/>
  <c r="V176" i="2"/>
  <c r="W176" i="2"/>
  <c r="V175" i="2"/>
  <c r="W175" i="2"/>
  <c r="V174" i="2"/>
  <c r="W174" i="2"/>
  <c r="W173" i="2"/>
  <c r="V173" i="2"/>
  <c r="V172" i="2"/>
  <c r="W172" i="2"/>
  <c r="V171" i="2"/>
  <c r="W171" i="2"/>
  <c r="V170" i="2"/>
  <c r="W170" i="2"/>
  <c r="W169" i="2"/>
  <c r="V169" i="2"/>
  <c r="V168" i="2"/>
  <c r="W168" i="2"/>
  <c r="W167" i="2"/>
  <c r="V167" i="2"/>
  <c r="W166" i="2"/>
  <c r="V166" i="2"/>
  <c r="W165" i="2"/>
  <c r="V165" i="2"/>
  <c r="V164" i="2"/>
  <c r="W164" i="2"/>
  <c r="W163" i="2"/>
  <c r="V163" i="2"/>
  <c r="W162" i="2"/>
  <c r="V162" i="2"/>
  <c r="W161" i="2"/>
  <c r="V161" i="2"/>
  <c r="V160" i="2"/>
  <c r="W160" i="2"/>
  <c r="V159" i="2"/>
  <c r="W159" i="2"/>
  <c r="V158" i="2"/>
  <c r="W158" i="2"/>
  <c r="V157" i="2"/>
  <c r="W157" i="2"/>
  <c r="V156" i="2"/>
  <c r="W156" i="2"/>
  <c r="W155" i="2"/>
  <c r="V155" i="2"/>
  <c r="V154" i="2"/>
  <c r="W154" i="2"/>
  <c r="V153" i="2"/>
  <c r="W153" i="2"/>
  <c r="W152" i="2"/>
  <c r="V152" i="2"/>
  <c r="V151" i="2"/>
  <c r="W151" i="2"/>
  <c r="V150" i="2"/>
  <c r="W150" i="2"/>
  <c r="W149" i="2"/>
  <c r="V149" i="2"/>
  <c r="W148" i="2"/>
  <c r="V148" i="2"/>
  <c r="V147" i="2"/>
  <c r="W147" i="2"/>
  <c r="V146" i="2"/>
  <c r="W146" i="2"/>
  <c r="V145" i="2"/>
  <c r="W145" i="2"/>
  <c r="V144" i="2"/>
  <c r="W144" i="2"/>
  <c r="V143" i="2"/>
  <c r="W143" i="2"/>
  <c r="V142" i="2"/>
  <c r="W142" i="2"/>
  <c r="V141" i="2"/>
  <c r="W141" i="2"/>
  <c r="W140" i="2"/>
  <c r="V140" i="2"/>
  <c r="V139" i="2"/>
  <c r="W139" i="2"/>
  <c r="W138" i="2"/>
  <c r="V138" i="2"/>
  <c r="W137" i="2"/>
  <c r="V137" i="2"/>
  <c r="W136" i="2"/>
  <c r="V136" i="2"/>
  <c r="W135" i="2"/>
  <c r="V135" i="2"/>
  <c r="W134" i="2"/>
  <c r="V134" i="2"/>
  <c r="W133" i="2"/>
  <c r="V133" i="2"/>
  <c r="V132" i="2"/>
  <c r="W132" i="2"/>
  <c r="V131" i="2"/>
  <c r="W131" i="2"/>
  <c r="V130" i="2"/>
  <c r="W130" i="2"/>
  <c r="V129" i="2"/>
  <c r="W129" i="2"/>
  <c r="V128" i="2"/>
  <c r="W128" i="2"/>
  <c r="V127" i="2"/>
  <c r="W127" i="2"/>
  <c r="W126" i="2"/>
  <c r="V126" i="2"/>
  <c r="W125" i="2"/>
  <c r="V125" i="2"/>
  <c r="V124" i="2"/>
  <c r="W124" i="2"/>
  <c r="V123" i="2"/>
  <c r="W123" i="2"/>
  <c r="W122" i="2"/>
  <c r="V122" i="2"/>
  <c r="V121" i="2"/>
  <c r="W121" i="2"/>
  <c r="V120" i="2"/>
  <c r="W120" i="2"/>
  <c r="V119" i="2"/>
  <c r="W119" i="2"/>
  <c r="W118" i="2"/>
  <c r="V118" i="2"/>
  <c r="W117" i="2"/>
  <c r="V117" i="2"/>
  <c r="W116" i="2"/>
  <c r="V116" i="2"/>
  <c r="V115" i="2"/>
  <c r="W115" i="2"/>
  <c r="W114" i="2"/>
  <c r="V114" i="2"/>
  <c r="W113" i="2"/>
  <c r="V113" i="2"/>
  <c r="W112" i="2"/>
  <c r="V112" i="2"/>
  <c r="W111" i="2"/>
  <c r="V111" i="2"/>
  <c r="W110" i="2"/>
  <c r="V110" i="2"/>
  <c r="W109" i="2"/>
  <c r="V109" i="2"/>
  <c r="W108" i="2"/>
  <c r="V108" i="2"/>
  <c r="W107" i="2"/>
  <c r="V107" i="2"/>
  <c r="V106" i="2"/>
  <c r="W106" i="2"/>
  <c r="V105" i="2"/>
  <c r="W105" i="2"/>
  <c r="V104" i="2"/>
  <c r="W104" i="2"/>
  <c r="W103" i="2"/>
  <c r="V103" i="2"/>
  <c r="W102" i="2"/>
  <c r="V102" i="2"/>
  <c r="W101" i="2"/>
  <c r="V101" i="2"/>
  <c r="V100" i="2"/>
  <c r="W100" i="2"/>
  <c r="V99" i="2"/>
  <c r="W99" i="2"/>
  <c r="V98" i="2"/>
  <c r="W98" i="2"/>
  <c r="V97" i="2"/>
  <c r="W97" i="2"/>
  <c r="V96" i="2"/>
  <c r="W96" i="2"/>
  <c r="V95" i="2"/>
  <c r="W95" i="2"/>
  <c r="V94" i="2"/>
  <c r="W94" i="2"/>
  <c r="V93" i="2"/>
  <c r="W93" i="2"/>
  <c r="V92" i="2"/>
  <c r="W92" i="2"/>
  <c r="V91" i="2"/>
  <c r="W91" i="2"/>
  <c r="W90" i="2"/>
  <c r="V90" i="2"/>
  <c r="W89" i="2"/>
  <c r="V89" i="2"/>
  <c r="V88" i="2"/>
  <c r="W88" i="2"/>
  <c r="W87" i="2"/>
  <c r="V87" i="2"/>
  <c r="W86" i="2"/>
  <c r="V86" i="2"/>
  <c r="V85" i="2"/>
  <c r="W85" i="2"/>
  <c r="V84" i="2"/>
  <c r="W84" i="2"/>
  <c r="W83" i="2"/>
  <c r="V83" i="2"/>
  <c r="V82" i="2"/>
  <c r="W82" i="2"/>
  <c r="V81" i="2"/>
  <c r="W81" i="2"/>
  <c r="V80" i="2"/>
  <c r="W80" i="2"/>
  <c r="W79" i="2"/>
  <c r="V79" i="2"/>
  <c r="V78" i="2"/>
  <c r="W78" i="2"/>
  <c r="W77" i="2"/>
  <c r="V77" i="2"/>
  <c r="W76" i="2"/>
  <c r="V76" i="2"/>
  <c r="W75" i="2"/>
  <c r="V75" i="2"/>
  <c r="W74" i="2"/>
  <c r="V74" i="2"/>
  <c r="W73" i="2"/>
  <c r="V73" i="2"/>
  <c r="W72" i="2"/>
  <c r="V72" i="2"/>
  <c r="V71" i="2"/>
  <c r="W71" i="2"/>
  <c r="V70" i="2"/>
  <c r="W70" i="2"/>
  <c r="V69" i="2"/>
  <c r="W69" i="2"/>
  <c r="V68" i="2"/>
  <c r="W68" i="2"/>
  <c r="W67" i="2"/>
  <c r="V67" i="2"/>
  <c r="W66" i="2"/>
  <c r="V66" i="2"/>
  <c r="W65" i="2"/>
  <c r="V65" i="2"/>
  <c r="W64" i="2"/>
  <c r="V64" i="2"/>
  <c r="W63" i="2"/>
  <c r="V63" i="2"/>
  <c r="W62" i="2"/>
  <c r="V62" i="2"/>
  <c r="W61" i="2"/>
  <c r="V61" i="2"/>
  <c r="W60" i="2"/>
  <c r="V60" i="2"/>
  <c r="V59" i="2"/>
  <c r="W59" i="2"/>
  <c r="V58" i="2"/>
  <c r="W58" i="2"/>
  <c r="V57" i="2"/>
  <c r="W57" i="2"/>
  <c r="H5" i="3"/>
  <c r="I5" i="3"/>
  <c r="G5" i="3"/>
  <c r="F5" i="3"/>
  <c r="E5" i="3"/>
  <c r="D5" i="3"/>
  <c r="W56" i="2"/>
  <c r="V56" i="2"/>
  <c r="V55" i="2"/>
  <c r="W55" i="2"/>
  <c r="V54" i="2"/>
  <c r="W54" i="2"/>
  <c r="V53" i="2"/>
  <c r="W53" i="2"/>
  <c r="V52" i="2"/>
  <c r="W52" i="2"/>
  <c r="V51" i="2"/>
  <c r="W51" i="2"/>
  <c r="W50" i="2"/>
  <c r="V50" i="2"/>
  <c r="W49" i="2"/>
  <c r="V49" i="2"/>
  <c r="W48" i="2"/>
  <c r="V48" i="2"/>
  <c r="W47" i="2"/>
  <c r="V47" i="2"/>
  <c r="W46" i="2"/>
  <c r="V46" i="2"/>
  <c r="W45" i="2"/>
  <c r="V45" i="2"/>
  <c r="V44" i="2"/>
  <c r="W44" i="2"/>
  <c r="W43" i="2"/>
  <c r="V43" i="2"/>
  <c r="W42" i="2"/>
  <c r="V42" i="2"/>
  <c r="W41" i="2"/>
  <c r="V41" i="2"/>
  <c r="W40" i="2"/>
  <c r="V40" i="2"/>
  <c r="V39" i="2"/>
  <c r="W39" i="2"/>
  <c r="W38" i="2"/>
  <c r="V38" i="2"/>
  <c r="W37" i="2"/>
  <c r="V37" i="2"/>
  <c r="W36" i="2"/>
  <c r="V36" i="2"/>
  <c r="W35" i="2"/>
  <c r="V35" i="2"/>
  <c r="W34" i="2"/>
  <c r="V34" i="2"/>
  <c r="W33" i="2"/>
  <c r="V33" i="2"/>
  <c r="V32" i="2"/>
  <c r="W32" i="2"/>
  <c r="V31" i="2"/>
  <c r="W31" i="2"/>
  <c r="W30" i="2"/>
  <c r="V30" i="2"/>
  <c r="V29" i="2"/>
  <c r="W29" i="2"/>
  <c r="W28" i="2"/>
  <c r="V28" i="2"/>
  <c r="V27" i="2"/>
  <c r="W27" i="2"/>
  <c r="W26" i="2"/>
  <c r="V26" i="2"/>
  <c r="W25" i="2"/>
  <c r="V25" i="2"/>
  <c r="W24" i="2"/>
  <c r="V24" i="2"/>
  <c r="V23" i="2"/>
  <c r="W23" i="2"/>
  <c r="V22" i="2"/>
  <c r="W22" i="2"/>
  <c r="W21" i="2"/>
  <c r="V21" i="2"/>
  <c r="W20" i="2"/>
  <c r="V20" i="2"/>
  <c r="W19" i="2"/>
  <c r="V19" i="2"/>
  <c r="W18" i="2"/>
  <c r="V18" i="2"/>
  <c r="W17" i="2"/>
  <c r="V17" i="2"/>
  <c r="W16" i="2"/>
  <c r="V16" i="2"/>
  <c r="W15" i="2"/>
  <c r="V15" i="2"/>
  <c r="W14" i="2"/>
  <c r="V14" i="2"/>
  <c r="W13" i="2"/>
  <c r="V13" i="2"/>
  <c r="W12" i="2"/>
  <c r="V12" i="2"/>
  <c r="W11" i="2"/>
  <c r="V11" i="2"/>
  <c r="W10" i="2"/>
  <c r="V10" i="2"/>
  <c r="W9" i="2"/>
  <c r="V9" i="2"/>
  <c r="W8" i="2"/>
  <c r="V8" i="2"/>
  <c r="W7" i="2"/>
  <c r="V7" i="2"/>
  <c r="W6" i="2"/>
  <c r="V6" i="2"/>
  <c r="W5" i="2"/>
  <c r="V5" i="2"/>
  <c r="W4" i="2"/>
  <c r="V4" i="2"/>
  <c r="W3" i="2"/>
  <c r="V3" i="2"/>
  <c r="W2" i="2"/>
  <c r="V2" i="2"/>
  <c r="P724" i="2"/>
  <c r="P723" i="2"/>
  <c r="P721" i="2"/>
  <c r="P725" i="2"/>
  <c r="P722" i="2"/>
  <c r="P720" i="2"/>
  <c r="G4" i="3"/>
  <c r="G19" i="3" s="1"/>
  <c r="J4" i="3"/>
  <c r="J19" i="3" s="1"/>
  <c r="I4" i="3"/>
  <c r="I19" i="3" s="1"/>
  <c r="H4" i="3"/>
  <c r="H19" i="3" s="1"/>
  <c r="F4" i="3"/>
  <c r="F19" i="3" s="1"/>
  <c r="E4" i="3"/>
  <c r="E19" i="3" s="1"/>
  <c r="D4" i="3"/>
  <c r="P719" i="2"/>
  <c r="S2" i="2"/>
  <c r="AN7" i="4" l="1"/>
  <c r="AK5" i="4"/>
  <c r="L5" i="3"/>
  <c r="M5" i="3" s="1"/>
  <c r="Q82" i="6"/>
  <c r="AO5" i="4"/>
  <c r="C17" i="7"/>
  <c r="G17" i="7" s="1"/>
  <c r="C19" i="7"/>
  <c r="C20" i="7"/>
  <c r="C25" i="7"/>
  <c r="C33" i="7"/>
  <c r="C36" i="7"/>
  <c r="C37" i="7"/>
  <c r="C38" i="7"/>
  <c r="C39" i="7"/>
  <c r="C40" i="7"/>
  <c r="C41" i="7"/>
  <c r="C42" i="7"/>
  <c r="C43" i="7"/>
  <c r="C44" i="7"/>
  <c r="C52" i="7"/>
  <c r="C53" i="7"/>
  <c r="C54" i="7"/>
  <c r="C55" i="7"/>
  <c r="C56" i="7"/>
  <c r="C57" i="7"/>
  <c r="C58" i="7"/>
  <c r="C59" i="7"/>
  <c r="C60" i="7"/>
  <c r="C61" i="7"/>
  <c r="C65"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46" i="7"/>
  <c r="C148" i="7"/>
  <c r="C149"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147" i="7"/>
  <c r="C150" i="7"/>
  <c r="C151" i="7"/>
  <c r="C152" i="7"/>
  <c r="C153" i="7"/>
  <c r="C214" i="7"/>
  <c r="C215" i="7"/>
  <c r="C216" i="7"/>
  <c r="C217" i="7"/>
  <c r="C218" i="7"/>
  <c r="C219" i="7"/>
  <c r="C220" i="7"/>
  <c r="C221" i="7"/>
  <c r="C222" i="7"/>
  <c r="C223" i="7"/>
  <c r="C224" i="7"/>
  <c r="C225" i="7"/>
  <c r="C226" i="7"/>
  <c r="C227" i="7"/>
  <c r="C228" i="7"/>
  <c r="C12" i="7"/>
  <c r="C24" i="7"/>
  <c r="C27" i="7"/>
  <c r="C29" i="7"/>
  <c r="C34" i="7"/>
  <c r="C35" i="7"/>
  <c r="C16" i="7"/>
  <c r="C8" i="7"/>
  <c r="C11" i="7"/>
  <c r="C26" i="7"/>
  <c r="C28" i="7"/>
  <c r="C15" i="7"/>
  <c r="C32" i="7"/>
  <c r="C66" i="7"/>
  <c r="C121" i="7"/>
  <c r="C134" i="7"/>
  <c r="C137" i="7"/>
  <c r="C234" i="7"/>
  <c r="C243" i="7"/>
  <c r="C252" i="7"/>
  <c r="C260" i="7"/>
  <c r="C269" i="7"/>
  <c r="C277" i="7"/>
  <c r="C288" i="7"/>
  <c r="C299" i="7"/>
  <c r="C68" i="7"/>
  <c r="C125" i="7"/>
  <c r="C138" i="7"/>
  <c r="C232" i="7"/>
  <c r="C244" i="7"/>
  <c r="C256" i="7"/>
  <c r="C270" i="7"/>
  <c r="C281" i="7"/>
  <c r="C294" i="7"/>
  <c r="C304" i="7"/>
  <c r="C237" i="7"/>
  <c r="C229" i="7"/>
  <c r="C139" i="7"/>
  <c r="C124" i="7"/>
  <c r="C67" i="7"/>
  <c r="C50" i="7"/>
  <c r="C7" i="7"/>
  <c r="C297" i="7"/>
  <c r="C290" i="7"/>
  <c r="C282" i="7"/>
  <c r="C273" i="7"/>
  <c r="C263" i="7"/>
  <c r="C253" i="7"/>
  <c r="C245" i="7"/>
  <c r="C235" i="7"/>
  <c r="C130" i="7"/>
  <c r="C131" i="7"/>
  <c r="C120" i="7"/>
  <c r="C69" i="7"/>
  <c r="C49" i="7"/>
  <c r="C31" i="7"/>
  <c r="C9" i="7"/>
  <c r="C289" i="7"/>
  <c r="C249" i="7"/>
  <c r="C258" i="7"/>
  <c r="C266" i="7"/>
  <c r="C279" i="7"/>
  <c r="C298" i="7"/>
  <c r="C14" i="7"/>
  <c r="C21" i="7"/>
  <c r="C23" i="7"/>
  <c r="C47" i="7"/>
  <c r="C63" i="7"/>
  <c r="C71" i="7"/>
  <c r="C118" i="7"/>
  <c r="C129" i="7"/>
  <c r="C141" i="7"/>
  <c r="C236" i="7"/>
  <c r="C246" i="7"/>
  <c r="C255" i="7"/>
  <c r="C264" i="7"/>
  <c r="C274" i="7"/>
  <c r="C284" i="7"/>
  <c r="C292" i="7"/>
  <c r="C301" i="7"/>
  <c r="C10" i="7"/>
  <c r="C116" i="7"/>
  <c r="C122" i="7"/>
  <c r="C136" i="7"/>
  <c r="C230" i="7"/>
  <c r="C238" i="7"/>
  <c r="C247" i="7"/>
  <c r="C257" i="7"/>
  <c r="C267" i="7"/>
  <c r="C276" i="7"/>
  <c r="C286" i="7"/>
  <c r="C296" i="7"/>
  <c r="C74" i="7"/>
  <c r="C115" i="7"/>
  <c r="C123" i="7"/>
  <c r="C142" i="7"/>
  <c r="C135" i="7"/>
  <c r="C241" i="7"/>
  <c r="C254" i="7"/>
  <c r="C265" i="7"/>
  <c r="C275" i="7"/>
  <c r="C285" i="7"/>
  <c r="C295" i="7"/>
  <c r="C13" i="7"/>
  <c r="C18" i="7"/>
  <c r="C22" i="7"/>
  <c r="C45" i="7"/>
  <c r="C64" i="7"/>
  <c r="C73" i="7"/>
  <c r="C119" i="7"/>
  <c r="C133" i="7"/>
  <c r="C143" i="7"/>
  <c r="C231" i="7"/>
  <c r="C242" i="7"/>
  <c r="C251" i="7"/>
  <c r="C261" i="7"/>
  <c r="C272" i="7"/>
  <c r="C283" i="7"/>
  <c r="C291" i="7"/>
  <c r="C302" i="7"/>
  <c r="C30" i="7"/>
  <c r="C46" i="7"/>
  <c r="C51" i="7"/>
  <c r="C70" i="7"/>
  <c r="C117" i="7"/>
  <c r="C127" i="7"/>
  <c r="C144" i="7"/>
  <c r="C128" i="7"/>
  <c r="C239" i="7"/>
  <c r="C250" i="7"/>
  <c r="C262" i="7"/>
  <c r="C271" i="7"/>
  <c r="C280" i="7"/>
  <c r="C293" i="7"/>
  <c r="C303" i="7"/>
  <c r="C48" i="7"/>
  <c r="C62" i="7"/>
  <c r="C72" i="7"/>
  <c r="C126" i="7"/>
  <c r="C140" i="7"/>
  <c r="C132" i="7"/>
  <c r="C233" i="7"/>
  <c r="C240" i="7"/>
  <c r="C248" i="7"/>
  <c r="C259" i="7"/>
  <c r="C268" i="7"/>
  <c r="C278" i="7"/>
  <c r="C287" i="7"/>
  <c r="C300" i="7"/>
  <c r="C22" i="5"/>
  <c r="C23" i="5"/>
  <c r="C24" i="5"/>
  <c r="C27" i="5"/>
  <c r="C31" i="5"/>
  <c r="C41" i="5"/>
  <c r="C47" i="5"/>
  <c r="C50" i="5"/>
  <c r="C53" i="5"/>
  <c r="C60" i="5"/>
  <c r="C61" i="5"/>
  <c r="C62" i="5"/>
  <c r="C64" i="5"/>
  <c r="C66" i="5"/>
  <c r="C68" i="5"/>
  <c r="C70" i="5"/>
  <c r="C72" i="5"/>
  <c r="C73" i="5"/>
  <c r="C74" i="5"/>
  <c r="C76" i="5"/>
  <c r="C79" i="5"/>
  <c r="C81" i="5"/>
  <c r="C82" i="5"/>
  <c r="C83" i="5"/>
  <c r="C33" i="5"/>
  <c r="C34" i="5"/>
  <c r="C37" i="5"/>
  <c r="C38" i="5"/>
  <c r="C42" i="5"/>
  <c r="C43" i="5"/>
  <c r="C49" i="5"/>
  <c r="C52" i="5"/>
  <c r="C57" i="5"/>
  <c r="C58" i="5"/>
  <c r="C59" i="5"/>
  <c r="C63" i="5"/>
  <c r="C65" i="5"/>
  <c r="C67" i="5"/>
  <c r="C69" i="5"/>
  <c r="C71" i="5"/>
  <c r="C75" i="5"/>
  <c r="C77" i="5"/>
  <c r="C78" i="5"/>
  <c r="C80" i="5"/>
  <c r="C25" i="5"/>
  <c r="C26" i="5"/>
  <c r="C32" i="5"/>
  <c r="C45" i="5"/>
  <c r="C46" i="5"/>
  <c r="C48" i="5"/>
  <c r="C51" i="5"/>
  <c r="C54" i="5"/>
  <c r="C55" i="5"/>
  <c r="C56" i="5"/>
  <c r="C28" i="5"/>
  <c r="C29" i="5"/>
  <c r="C30" i="5"/>
  <c r="C35" i="5"/>
  <c r="C36" i="5"/>
  <c r="C21" i="5"/>
  <c r="C40" i="5"/>
  <c r="C44" i="5"/>
  <c r="C6" i="5"/>
  <c r="C7" i="5"/>
  <c r="C8" i="5"/>
  <c r="C9" i="5"/>
  <c r="C10" i="5"/>
  <c r="C39" i="5"/>
  <c r="C11" i="5"/>
  <c r="C12" i="5"/>
  <c r="C13" i="5"/>
  <c r="C14" i="5"/>
  <c r="C15" i="5"/>
  <c r="C16" i="5"/>
  <c r="C17" i="5"/>
  <c r="C18" i="5"/>
  <c r="C19" i="5"/>
  <c r="C20" i="5"/>
  <c r="C317" i="7"/>
  <c r="C316" i="7"/>
  <c r="C315" i="7"/>
  <c r="C314" i="7"/>
  <c r="C313" i="7"/>
  <c r="C312" i="7"/>
  <c r="C310" i="7"/>
  <c r="C309" i="7"/>
  <c r="C308" i="7"/>
  <c r="C307" i="7"/>
  <c r="C306" i="7"/>
  <c r="C305" i="7"/>
  <c r="C311" i="7"/>
  <c r="C6" i="7"/>
  <c r="C324" i="7"/>
  <c r="C323" i="7"/>
  <c r="C322" i="7"/>
  <c r="C321" i="7"/>
  <c r="C320" i="7"/>
  <c r="C319" i="7"/>
  <c r="C318" i="7"/>
  <c r="AP8" i="4"/>
  <c r="AK13" i="4"/>
  <c r="AL13" i="4"/>
  <c r="AA14" i="4"/>
  <c r="AK6" i="4"/>
  <c r="AA7" i="4"/>
  <c r="AO9" i="4"/>
  <c r="AK12" i="4"/>
  <c r="S13" i="4"/>
  <c r="Z15" i="4"/>
  <c r="AP12" i="4"/>
  <c r="AK7" i="4"/>
  <c r="AK10" i="4"/>
  <c r="D17" i="7"/>
  <c r="E17" i="7" s="1"/>
  <c r="D145" i="7"/>
  <c r="E145" i="7" s="1"/>
  <c r="F145" i="7"/>
  <c r="G145" i="7"/>
  <c r="H145" i="7"/>
  <c r="I145" i="7"/>
  <c r="J145" i="7"/>
  <c r="K145" i="7"/>
  <c r="L145" i="7"/>
  <c r="M145" i="7"/>
  <c r="N145" i="7"/>
  <c r="O145" i="7"/>
  <c r="P145" i="7"/>
  <c r="AM3" i="4"/>
  <c r="G15" i="4"/>
  <c r="S3" i="4"/>
  <c r="L15" i="4"/>
  <c r="AP3" i="4"/>
  <c r="J15" i="4"/>
  <c r="K4" i="4"/>
  <c r="AJ4" i="4"/>
  <c r="AJ6" i="4"/>
  <c r="K6" i="4"/>
  <c r="K7" i="4"/>
  <c r="AJ7" i="4"/>
  <c r="K9" i="4"/>
  <c r="AJ9" i="4"/>
  <c r="AO3" i="4"/>
  <c r="I15" i="4"/>
  <c r="AJ13" i="4"/>
  <c r="K13" i="4"/>
  <c r="AJ5" i="4"/>
  <c r="K5" i="4"/>
  <c r="AJ12" i="4"/>
  <c r="K12" i="4"/>
  <c r="AK3" i="4"/>
  <c r="E15" i="4"/>
  <c r="AJ8" i="4"/>
  <c r="K8" i="4"/>
  <c r="K14" i="4"/>
  <c r="AJ14" i="4"/>
  <c r="AB15" i="4"/>
  <c r="AI3" i="4"/>
  <c r="AJ3" i="4"/>
  <c r="D15" i="4"/>
  <c r="K3" i="4"/>
  <c r="H15" i="4"/>
  <c r="AN3" i="4"/>
  <c r="AL3" i="4"/>
  <c r="F15" i="4"/>
  <c r="T15" i="4"/>
  <c r="AA3" i="4"/>
  <c r="AJ10" i="4"/>
  <c r="K10" i="4"/>
  <c r="AJ11" i="4"/>
  <c r="K11" i="4"/>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N41" i="8"/>
  <c r="N42" i="8"/>
  <c r="N43" i="8"/>
  <c r="N44" i="8"/>
  <c r="N45" i="8"/>
  <c r="N46" i="8"/>
  <c r="N47" i="8"/>
  <c r="N48" i="8"/>
  <c r="N49" i="8"/>
  <c r="N50" i="8"/>
  <c r="N51" i="8"/>
  <c r="N52" i="8"/>
  <c r="N53" i="8"/>
  <c r="N54" i="8"/>
  <c r="N55" i="8"/>
  <c r="N56" i="8"/>
  <c r="N57" i="8"/>
  <c r="N58" i="8"/>
  <c r="N59" i="8"/>
  <c r="N60" i="8"/>
  <c r="N61" i="8"/>
  <c r="N62" i="8"/>
  <c r="N63" i="8"/>
  <c r="N64" i="8"/>
  <c r="N65" i="8"/>
  <c r="N66" i="8"/>
  <c r="N67" i="8"/>
  <c r="N68" i="8"/>
  <c r="N69" i="8"/>
  <c r="N70" i="8"/>
  <c r="N71" i="8"/>
  <c r="N72" i="8"/>
  <c r="N73" i="8"/>
  <c r="N74" i="8"/>
  <c r="N75" i="8"/>
  <c r="N76" i="8"/>
  <c r="N77" i="8"/>
  <c r="N78" i="8"/>
  <c r="N79" i="8"/>
  <c r="N80" i="8"/>
  <c r="N81" i="8"/>
  <c r="N82" i="8"/>
  <c r="N83" i="8"/>
  <c r="N84" i="8"/>
  <c r="N85" i="8"/>
  <c r="N86" i="8"/>
  <c r="N87" i="8"/>
  <c r="N88" i="8"/>
  <c r="N89" i="8"/>
  <c r="N90" i="8"/>
  <c r="N91" i="8"/>
  <c r="N92" i="8"/>
  <c r="N93" i="8"/>
  <c r="N94" i="8"/>
  <c r="N95" i="8"/>
  <c r="N96" i="8"/>
  <c r="N97" i="8"/>
  <c r="N98" i="8"/>
  <c r="N99" i="8"/>
  <c r="N100" i="8"/>
  <c r="N101" i="8"/>
  <c r="N102" i="8"/>
  <c r="N103" i="8"/>
  <c r="N104" i="8"/>
  <c r="N105" i="8"/>
  <c r="N106" i="8"/>
  <c r="N107" i="8"/>
  <c r="N108" i="8"/>
  <c r="N109" i="8"/>
  <c r="N110" i="8"/>
  <c r="N111" i="8"/>
  <c r="N112" i="8"/>
  <c r="N113" i="8"/>
  <c r="N114" i="8"/>
  <c r="N115" i="8"/>
  <c r="N116" i="8"/>
  <c r="N117" i="8"/>
  <c r="N118" i="8"/>
  <c r="N119" i="8"/>
  <c r="N120" i="8"/>
  <c r="N121" i="8"/>
  <c r="N122" i="8"/>
  <c r="N123" i="8"/>
  <c r="N124" i="8"/>
  <c r="N125" i="8"/>
  <c r="N126" i="8"/>
  <c r="N127" i="8"/>
  <c r="N128" i="8"/>
  <c r="N129" i="8"/>
  <c r="N130" i="8"/>
  <c r="N131" i="8"/>
  <c r="N132" i="8"/>
  <c r="N133" i="8"/>
  <c r="N134" i="8"/>
  <c r="N135" i="8"/>
  <c r="N136" i="8"/>
  <c r="N137" i="8"/>
  <c r="N138" i="8"/>
  <c r="N139" i="8"/>
  <c r="N140" i="8"/>
  <c r="N141" i="8"/>
  <c r="N142" i="8"/>
  <c r="N143" i="8"/>
  <c r="N144" i="8"/>
  <c r="N145" i="8"/>
  <c r="N146" i="8"/>
  <c r="N147" i="8"/>
  <c r="N148" i="8"/>
  <c r="N149" i="8"/>
  <c r="N150" i="8"/>
  <c r="N151" i="8"/>
  <c r="N152" i="8"/>
  <c r="N153" i="8"/>
  <c r="N154" i="8"/>
  <c r="N155" i="8"/>
  <c r="N156" i="8"/>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N184" i="8"/>
  <c r="N185" i="8"/>
  <c r="N186" i="8"/>
  <c r="N187" i="8"/>
  <c r="N188" i="8"/>
  <c r="N189" i="8"/>
  <c r="N190" i="8"/>
  <c r="N191" i="8"/>
  <c r="N192" i="8"/>
  <c r="N193" i="8"/>
  <c r="N194" i="8"/>
  <c r="N195" i="8"/>
  <c r="N196" i="8"/>
  <c r="N197" i="8"/>
  <c r="N198" i="8"/>
  <c r="N199" i="8"/>
  <c r="N200" i="8"/>
  <c r="N201" i="8"/>
  <c r="N202" i="8"/>
  <c r="N203" i="8"/>
  <c r="N204" i="8"/>
  <c r="N205" i="8"/>
  <c r="N206" i="8"/>
  <c r="N207" i="8"/>
  <c r="N208" i="8"/>
  <c r="N209" i="8"/>
  <c r="N210" i="8"/>
  <c r="N211" i="8"/>
  <c r="N212" i="8"/>
  <c r="N213" i="8"/>
  <c r="N214" i="8"/>
  <c r="N215" i="8"/>
  <c r="N216" i="8"/>
  <c r="N217" i="8"/>
  <c r="N218" i="8"/>
  <c r="N219" i="8"/>
  <c r="N220" i="8"/>
  <c r="N221" i="8"/>
  <c r="N222" i="8"/>
  <c r="N223" i="8"/>
  <c r="N224" i="8"/>
  <c r="N225" i="8"/>
  <c r="N226" i="8"/>
  <c r="N227" i="8"/>
  <c r="N228" i="8"/>
  <c r="N229" i="8"/>
  <c r="N230" i="8"/>
  <c r="N231" i="8"/>
  <c r="N232" i="8"/>
  <c r="N233" i="8"/>
  <c r="N234" i="8"/>
  <c r="N235" i="8"/>
  <c r="N236" i="8"/>
  <c r="N237" i="8"/>
  <c r="N238" i="8"/>
  <c r="N239" i="8"/>
  <c r="N240" i="8"/>
  <c r="N241" i="8"/>
  <c r="N242" i="8"/>
  <c r="N243" i="8"/>
  <c r="N244" i="8"/>
  <c r="N245" i="8"/>
  <c r="N246" i="8"/>
  <c r="N247" i="8"/>
  <c r="N248" i="8"/>
  <c r="N249" i="8"/>
  <c r="N250" i="8"/>
  <c r="N251" i="8"/>
  <c r="N252" i="8"/>
  <c r="N253" i="8"/>
  <c r="N254" i="8"/>
  <c r="N255" i="8"/>
  <c r="N256" i="8"/>
  <c r="N257" i="8"/>
  <c r="N258" i="8"/>
  <c r="N259" i="8"/>
  <c r="N260" i="8"/>
  <c r="N261" i="8"/>
  <c r="N262" i="8"/>
  <c r="N263" i="8"/>
  <c r="N264" i="8"/>
  <c r="N265" i="8"/>
  <c r="N266" i="8"/>
  <c r="N267" i="8"/>
  <c r="N268" i="8"/>
  <c r="N269" i="8"/>
  <c r="N270" i="8"/>
  <c r="N271" i="8"/>
  <c r="N272" i="8"/>
  <c r="N273" i="8"/>
  <c r="N274" i="8"/>
  <c r="N275" i="8"/>
  <c r="N276" i="8"/>
  <c r="N277" i="8"/>
  <c r="N278" i="8"/>
  <c r="N279" i="8"/>
  <c r="N280" i="8"/>
  <c r="N281" i="8"/>
  <c r="N282" i="8"/>
  <c r="N283" i="8"/>
  <c r="N284" i="8"/>
  <c r="N285" i="8"/>
  <c r="N286" i="8"/>
  <c r="N287" i="8"/>
  <c r="N288" i="8"/>
  <c r="N289" i="8"/>
  <c r="N290" i="8"/>
  <c r="N291" i="8"/>
  <c r="N292" i="8"/>
  <c r="N293" i="8"/>
  <c r="N294" i="8"/>
  <c r="N295" i="8"/>
  <c r="N296" i="8"/>
  <c r="N297" i="8"/>
  <c r="N298" i="8"/>
  <c r="N299" i="8"/>
  <c r="N300" i="8"/>
  <c r="N301" i="8"/>
  <c r="N302" i="8"/>
  <c r="N303" i="8"/>
  <c r="N304" i="8"/>
  <c r="N305" i="8"/>
  <c r="N306" i="8"/>
  <c r="N307" i="8"/>
  <c r="N308" i="8"/>
  <c r="N309" i="8"/>
  <c r="N310" i="8"/>
  <c r="N311" i="8"/>
  <c r="N312" i="8"/>
  <c r="N313" i="8"/>
  <c r="N314" i="8"/>
  <c r="N315" i="8"/>
  <c r="N316" i="8"/>
  <c r="N317" i="8"/>
  <c r="N318" i="8"/>
  <c r="N319" i="8"/>
  <c r="N320" i="8"/>
  <c r="N321" i="8"/>
  <c r="N322" i="8"/>
  <c r="N323" i="8"/>
  <c r="N324" i="8"/>
  <c r="N325" i="8"/>
  <c r="N326" i="8"/>
  <c r="N327" i="8"/>
  <c r="N328" i="8"/>
  <c r="N329" i="8"/>
  <c r="N330" i="8"/>
  <c r="N331" i="8"/>
  <c r="N332" i="8"/>
  <c r="N333" i="8"/>
  <c r="N334" i="8"/>
  <c r="N335" i="8"/>
  <c r="N336" i="8"/>
  <c r="N337" i="8"/>
  <c r="N338" i="8"/>
  <c r="N339" i="8"/>
  <c r="N340" i="8"/>
  <c r="N341" i="8"/>
  <c r="N342" i="8"/>
  <c r="N343" i="8"/>
  <c r="N344" i="8"/>
  <c r="N345" i="8"/>
  <c r="N346" i="8"/>
  <c r="N347" i="8"/>
  <c r="N348" i="8"/>
  <c r="N349" i="8"/>
  <c r="N350" i="8"/>
  <c r="N351" i="8"/>
  <c r="N352" i="8"/>
  <c r="N353" i="8"/>
  <c r="N354" i="8"/>
  <c r="N355" i="8"/>
  <c r="N356" i="8"/>
  <c r="N357" i="8"/>
  <c r="N358" i="8"/>
  <c r="N359" i="8"/>
  <c r="N360" i="8"/>
  <c r="N361" i="8"/>
  <c r="N362" i="8"/>
  <c r="N363" i="8"/>
  <c r="N364" i="8"/>
  <c r="N365" i="8"/>
  <c r="N366" i="8"/>
  <c r="N367" i="8"/>
  <c r="N368" i="8"/>
  <c r="N369" i="8"/>
  <c r="N370" i="8"/>
  <c r="N371" i="8"/>
  <c r="N372" i="8"/>
  <c r="N373" i="8"/>
  <c r="N374" i="8"/>
  <c r="N375" i="8"/>
  <c r="N376" i="8"/>
  <c r="N377" i="8"/>
  <c r="N378" i="8"/>
  <c r="N379" i="8"/>
  <c r="N380" i="8"/>
  <c r="N381" i="8"/>
  <c r="N382" i="8"/>
  <c r="N383" i="8"/>
  <c r="N384" i="8"/>
  <c r="N385" i="8"/>
  <c r="N386" i="8"/>
  <c r="N387" i="8"/>
  <c r="N388" i="8"/>
  <c r="N389" i="8"/>
  <c r="N390" i="8"/>
  <c r="N391" i="8"/>
  <c r="N392" i="8"/>
  <c r="N393" i="8"/>
  <c r="N394" i="8"/>
  <c r="N395" i="8"/>
  <c r="N396" i="8"/>
  <c r="N397" i="8"/>
  <c r="N398" i="8"/>
  <c r="N399" i="8"/>
  <c r="N400" i="8"/>
  <c r="N401" i="8"/>
  <c r="N402" i="8"/>
  <c r="N403" i="8"/>
  <c r="N404" i="8"/>
  <c r="N405" i="8"/>
  <c r="N406" i="8"/>
  <c r="N407" i="8"/>
  <c r="N408" i="8"/>
  <c r="L9" i="8"/>
  <c r="L10" i="8"/>
  <c r="L11" i="8"/>
  <c r="L12" i="8"/>
  <c r="L13" i="8"/>
  <c r="L14" i="8"/>
  <c r="L15" i="8"/>
  <c r="L16" i="8"/>
  <c r="L17" i="8"/>
  <c r="L18" i="8"/>
  <c r="L19" i="8"/>
  <c r="L20" i="8"/>
  <c r="L21" i="8"/>
  <c r="L22" i="8"/>
  <c r="L23" i="8"/>
  <c r="L24" i="8"/>
  <c r="L25" i="8"/>
  <c r="L26" i="8"/>
  <c r="L27" i="8"/>
  <c r="L28" i="8"/>
  <c r="L29" i="8"/>
  <c r="L30" i="8"/>
  <c r="L31" i="8"/>
  <c r="L32" i="8"/>
  <c r="L33" i="8"/>
  <c r="L34" i="8"/>
  <c r="L35" i="8"/>
  <c r="L36" i="8"/>
  <c r="L37" i="8"/>
  <c r="L38" i="8"/>
  <c r="L4" i="3"/>
  <c r="D19" i="3"/>
  <c r="AL10" i="4"/>
  <c r="AL8" i="4"/>
  <c r="AA12" i="4"/>
  <c r="AN6" i="4"/>
  <c r="AA5" i="4"/>
  <c r="AI13" i="4"/>
  <c r="R15" i="4"/>
  <c r="AK4" i="4"/>
  <c r="AN8" i="4"/>
  <c r="AL14" i="4"/>
  <c r="AI5" i="4"/>
  <c r="AI10" i="4"/>
  <c r="AN11" i="4"/>
  <c r="AN12" i="4"/>
  <c r="M15" i="4"/>
  <c r="AO12" i="4"/>
  <c r="AM6" i="4"/>
  <c r="AK14" i="4"/>
  <c r="O15" i="4"/>
  <c r="AO8" i="4"/>
  <c r="AA10" i="4"/>
  <c r="S4" i="4"/>
  <c r="AK8" i="4"/>
  <c r="Y15" i="4"/>
  <c r="AI7" i="4"/>
  <c r="AA4" i="4"/>
  <c r="AM5" i="4"/>
  <c r="S6" i="4"/>
  <c r="AI6" i="4"/>
  <c r="AO7" i="4"/>
  <c r="AN9" i="4"/>
  <c r="AL11" i="4"/>
  <c r="AP6" i="4"/>
  <c r="AM7" i="4"/>
  <c r="S8" i="4"/>
  <c r="AI9" i="4"/>
  <c r="AO10" i="4"/>
  <c r="AP11" i="4"/>
  <c r="AL12" i="4"/>
  <c r="AH15" i="4"/>
  <c r="AI4" i="4"/>
  <c r="AA9" i="4"/>
  <c r="AO13" i="4"/>
  <c r="AL6" i="4"/>
  <c r="S9" i="4"/>
  <c r="AK9" i="4"/>
  <c r="AI8" i="4"/>
  <c r="S12" i="4"/>
  <c r="N15" i="4"/>
  <c r="AI14" i="4"/>
  <c r="AF15" i="4"/>
  <c r="AL9" i="4"/>
  <c r="W15" i="4"/>
  <c r="AM14" i="4"/>
  <c r="AM10" i="4"/>
  <c r="AL4" i="4"/>
  <c r="AG15" i="4"/>
  <c r="P15" i="4"/>
  <c r="AM11" i="4"/>
  <c r="S5" i="4"/>
  <c r="V15" i="4"/>
  <c r="AP7" i="4"/>
  <c r="AL5" i="4"/>
  <c r="AM9" i="4"/>
  <c r="AM8" i="4"/>
  <c r="AD15" i="4"/>
  <c r="AP9" i="4"/>
  <c r="AA11" i="4"/>
  <c r="U15" i="4"/>
  <c r="AO11" i="4"/>
  <c r="S14" i="4"/>
  <c r="AP4" i="4"/>
  <c r="AN5" i="4"/>
  <c r="AM13" i="4"/>
  <c r="AP5" i="4"/>
  <c r="AA6" i="4"/>
  <c r="AO14" i="4"/>
  <c r="S10" i="4"/>
  <c r="S11" i="4"/>
  <c r="AE15" i="4"/>
  <c r="AC15" i="4"/>
  <c r="P726" i="2"/>
  <c r="AA8" i="4"/>
  <c r="X15" i="4"/>
  <c r="AI11" i="4"/>
  <c r="AM4" i="4"/>
  <c r="AI12" i="4"/>
  <c r="Q15" i="4"/>
  <c r="AO6" i="4"/>
  <c r="AM12" i="4"/>
  <c r="AL7" i="4"/>
  <c r="C19" i="1"/>
  <c r="C13" i="1"/>
  <c r="C18" i="1"/>
  <c r="C17" i="1"/>
  <c r="H17" i="7" l="1"/>
  <c r="F17" i="7"/>
  <c r="I17" i="7"/>
  <c r="J17" i="7"/>
  <c r="K17" i="7"/>
  <c r="L17" i="7"/>
  <c r="M17" i="7"/>
  <c r="N17" i="7"/>
  <c r="O17" i="7"/>
  <c r="P17" i="7"/>
  <c r="D19" i="7"/>
  <c r="E19" i="7" s="1"/>
  <c r="F19" i="7"/>
  <c r="G19" i="7"/>
  <c r="H19" i="7"/>
  <c r="I19" i="7"/>
  <c r="J19" i="7"/>
  <c r="K19" i="7"/>
  <c r="L19" i="7"/>
  <c r="M19" i="7"/>
  <c r="N19" i="7"/>
  <c r="O19" i="7"/>
  <c r="P19" i="7"/>
  <c r="K20" i="7"/>
  <c r="D20" i="7"/>
  <c r="E20" i="7" s="1"/>
  <c r="F20" i="7"/>
  <c r="G20" i="7"/>
  <c r="H20" i="7"/>
  <c r="I20" i="7"/>
  <c r="J20" i="7"/>
  <c r="P20" i="7"/>
  <c r="O20" i="7"/>
  <c r="N20" i="7"/>
  <c r="M20" i="7"/>
  <c r="L20" i="7"/>
  <c r="J25" i="7"/>
  <c r="K25" i="7"/>
  <c r="L25" i="7"/>
  <c r="M25" i="7"/>
  <c r="N25" i="7"/>
  <c r="O25" i="7"/>
  <c r="P25" i="7"/>
  <c r="D25" i="7"/>
  <c r="E25" i="7" s="1"/>
  <c r="F25" i="7"/>
  <c r="G25" i="7"/>
  <c r="H25" i="7"/>
  <c r="I25" i="7"/>
  <c r="K33" i="7"/>
  <c r="J33" i="7"/>
  <c r="I33" i="7"/>
  <c r="H33" i="7"/>
  <c r="G33" i="7"/>
  <c r="F33" i="7"/>
  <c r="O33" i="7"/>
  <c r="P33" i="7"/>
  <c r="N33" i="7"/>
  <c r="D33" i="7"/>
  <c r="E33" i="7" s="1"/>
  <c r="M33" i="7"/>
  <c r="L33" i="7"/>
  <c r="D36" i="7"/>
  <c r="E36" i="7" s="1"/>
  <c r="F36" i="7"/>
  <c r="K24" i="7"/>
  <c r="D24" i="7"/>
  <c r="E24" i="7" s="1"/>
  <c r="I24" i="7"/>
  <c r="J24" i="7"/>
  <c r="G24" i="7"/>
  <c r="F24" i="7"/>
  <c r="P24" i="7"/>
  <c r="H24" i="7"/>
  <c r="N24" i="7"/>
  <c r="O24" i="7"/>
  <c r="M24" i="7"/>
  <c r="L24" i="7"/>
  <c r="K27" i="7"/>
  <c r="F27" i="7"/>
  <c r="D27" i="7"/>
  <c r="E27" i="7" s="1"/>
  <c r="G27" i="7"/>
  <c r="H27" i="7"/>
  <c r="I27" i="7"/>
  <c r="J27" i="7"/>
  <c r="L27" i="7"/>
  <c r="M27" i="7"/>
  <c r="N27" i="7"/>
  <c r="O27" i="7"/>
  <c r="P27" i="7"/>
  <c r="N29" i="7"/>
  <c r="F29" i="7"/>
  <c r="K29" i="7"/>
  <c r="H29" i="7"/>
  <c r="I29" i="7"/>
  <c r="J29" i="7"/>
  <c r="L29" i="7"/>
  <c r="P29" i="7"/>
  <c r="M29" i="7"/>
  <c r="O29" i="7"/>
  <c r="G29" i="7"/>
  <c r="D29" i="7"/>
  <c r="E29" i="7" s="1"/>
  <c r="I34" i="7"/>
  <c r="G34" i="7"/>
  <c r="F34" i="7"/>
  <c r="J34" i="7"/>
  <c r="L34" i="7"/>
  <c r="K34" i="7"/>
  <c r="D34" i="7"/>
  <c r="E34" i="7" s="1"/>
  <c r="M34" i="7"/>
  <c r="N34" i="7"/>
  <c r="O34" i="7"/>
  <c r="P34" i="7"/>
  <c r="H34" i="7"/>
  <c r="K35" i="7"/>
  <c r="J35" i="7"/>
  <c r="I35" i="7"/>
  <c r="H35" i="7"/>
  <c r="F35" i="7"/>
  <c r="D35" i="7"/>
  <c r="E35" i="7" s="1"/>
  <c r="G35" i="7"/>
  <c r="P35" i="7"/>
  <c r="O35" i="7"/>
  <c r="N35" i="7"/>
  <c r="M35" i="7"/>
  <c r="L35" i="7"/>
  <c r="F26" i="7"/>
  <c r="D26" i="7"/>
  <c r="E26" i="7" s="1"/>
  <c r="O26" i="7"/>
  <c r="H26" i="7"/>
  <c r="M26" i="7"/>
  <c r="L26" i="7"/>
  <c r="K26" i="7"/>
  <c r="J26" i="7"/>
  <c r="P26" i="7"/>
  <c r="I26" i="7"/>
  <c r="N26" i="7"/>
  <c r="G26" i="7"/>
  <c r="D28" i="7"/>
  <c r="E28" i="7" s="1"/>
  <c r="F28" i="7"/>
  <c r="G28" i="7"/>
  <c r="I28" i="7"/>
  <c r="J28" i="7"/>
  <c r="K28" i="7"/>
  <c r="L28" i="7"/>
  <c r="M28" i="7"/>
  <c r="N28" i="7"/>
  <c r="O28" i="7"/>
  <c r="P28" i="7"/>
  <c r="H28" i="7"/>
  <c r="L32" i="7"/>
  <c r="D32" i="7"/>
  <c r="E32" i="7" s="1"/>
  <c r="F32" i="7"/>
  <c r="G32" i="7"/>
  <c r="H32" i="7"/>
  <c r="I32" i="7"/>
  <c r="J32" i="7"/>
  <c r="K32" i="7"/>
  <c r="M32" i="7"/>
  <c r="N32" i="7"/>
  <c r="O32" i="7"/>
  <c r="P32" i="7"/>
  <c r="M31" i="7"/>
  <c r="J31" i="7"/>
  <c r="G31" i="7"/>
  <c r="O31" i="7"/>
  <c r="D31" i="7"/>
  <c r="E31" i="7" s="1"/>
  <c r="F31" i="7"/>
  <c r="H31" i="7"/>
  <c r="I31" i="7"/>
  <c r="P31" i="7"/>
  <c r="K31" i="7"/>
  <c r="L31" i="7"/>
  <c r="N31" i="7"/>
  <c r="F21" i="7"/>
  <c r="G21" i="7"/>
  <c r="H21" i="7"/>
  <c r="I21" i="7"/>
  <c r="L21" i="7"/>
  <c r="J21" i="7"/>
  <c r="K21" i="7"/>
  <c r="M21" i="7"/>
  <c r="O21" i="7"/>
  <c r="P21" i="7"/>
  <c r="D21" i="7"/>
  <c r="E21" i="7" s="1"/>
  <c r="N21" i="7"/>
  <c r="N23" i="7"/>
  <c r="M23" i="7"/>
  <c r="L23" i="7"/>
  <c r="J23" i="7"/>
  <c r="F23" i="7"/>
  <c r="I23" i="7"/>
  <c r="H23" i="7"/>
  <c r="K23" i="7"/>
  <c r="G23" i="7"/>
  <c r="D23" i="7"/>
  <c r="E23" i="7" s="1"/>
  <c r="P23" i="7"/>
  <c r="O23" i="7"/>
  <c r="P18" i="7"/>
  <c r="O18" i="7"/>
  <c r="N18" i="7"/>
  <c r="L18" i="7"/>
  <c r="K18" i="7"/>
  <c r="J18" i="7"/>
  <c r="I18" i="7"/>
  <c r="H18" i="7"/>
  <c r="G18" i="7"/>
  <c r="F18" i="7"/>
  <c r="D18" i="7"/>
  <c r="E18" i="7" s="1"/>
  <c r="M18" i="7"/>
  <c r="O22" i="7"/>
  <c r="N22" i="7"/>
  <c r="M22" i="7"/>
  <c r="L22" i="7"/>
  <c r="K22" i="7"/>
  <c r="J22" i="7"/>
  <c r="I22" i="7"/>
  <c r="H22" i="7"/>
  <c r="G22" i="7"/>
  <c r="F22" i="7"/>
  <c r="D22" i="7"/>
  <c r="E22" i="7" s="1"/>
  <c r="P22" i="7"/>
  <c r="P30" i="7"/>
  <c r="O30" i="7"/>
  <c r="G30" i="7"/>
  <c r="N30" i="7"/>
  <c r="M30" i="7"/>
  <c r="L30" i="7"/>
  <c r="K30" i="7"/>
  <c r="J30" i="7"/>
  <c r="I30" i="7"/>
  <c r="H30" i="7"/>
  <c r="F30" i="7"/>
  <c r="D30" i="7"/>
  <c r="E30" i="7" s="1"/>
  <c r="G36" i="7"/>
  <c r="P36" i="7"/>
  <c r="O36" i="7"/>
  <c r="N36" i="7"/>
  <c r="M36" i="7"/>
  <c r="L36" i="7"/>
  <c r="K36" i="7"/>
  <c r="J36" i="7"/>
  <c r="I36" i="7"/>
  <c r="H36" i="7"/>
  <c r="L37" i="7"/>
  <c r="F37" i="7"/>
  <c r="D37" i="7"/>
  <c r="E37" i="7" s="1"/>
  <c r="O37" i="7"/>
  <c r="P37" i="7"/>
  <c r="M37" i="7"/>
  <c r="N37" i="7"/>
  <c r="K37" i="7"/>
  <c r="J37" i="7"/>
  <c r="I37" i="7"/>
  <c r="H37" i="7"/>
  <c r="G37" i="7"/>
  <c r="P38" i="7"/>
  <c r="K38" i="7"/>
  <c r="O38" i="7"/>
  <c r="N38" i="7"/>
  <c r="M38" i="7"/>
  <c r="L38" i="7"/>
  <c r="I38" i="7"/>
  <c r="J38" i="7"/>
  <c r="H38" i="7"/>
  <c r="G38" i="7"/>
  <c r="F38" i="7"/>
  <c r="D38" i="7"/>
  <c r="E38" i="7" s="1"/>
  <c r="I39" i="7"/>
  <c r="O39" i="7"/>
  <c r="N39" i="7"/>
  <c r="M39" i="7"/>
  <c r="L39" i="7"/>
  <c r="K39" i="7"/>
  <c r="J39" i="7"/>
  <c r="H39" i="7"/>
  <c r="G39" i="7"/>
  <c r="F39" i="7"/>
  <c r="D39" i="7"/>
  <c r="E39" i="7" s="1"/>
  <c r="P39" i="7"/>
  <c r="P40" i="7"/>
  <c r="M40" i="7"/>
  <c r="L40" i="7"/>
  <c r="K40" i="7"/>
  <c r="J40" i="7"/>
  <c r="N40" i="7"/>
  <c r="I40" i="7"/>
  <c r="H40" i="7"/>
  <c r="G40" i="7"/>
  <c r="F40" i="7"/>
  <c r="D40" i="7"/>
  <c r="E40" i="7" s="1"/>
  <c r="O40" i="7"/>
  <c r="D41" i="7"/>
  <c r="E41" i="7" s="1"/>
  <c r="F41" i="7"/>
  <c r="G41" i="7"/>
  <c r="H41" i="7"/>
  <c r="I41" i="7"/>
  <c r="K41" i="7"/>
  <c r="L41" i="7"/>
  <c r="M41" i="7"/>
  <c r="N41" i="7"/>
  <c r="J41" i="7"/>
  <c r="P41" i="7"/>
  <c r="O41" i="7"/>
  <c r="D42" i="7"/>
  <c r="E42" i="7" s="1"/>
  <c r="F42" i="7"/>
  <c r="G42" i="7"/>
  <c r="H42" i="7"/>
  <c r="I42" i="7"/>
  <c r="J42" i="7"/>
  <c r="K42" i="7"/>
  <c r="M42" i="7"/>
  <c r="N42" i="7"/>
  <c r="O42" i="7"/>
  <c r="P42" i="7"/>
  <c r="L42" i="7"/>
  <c r="D43" i="7"/>
  <c r="E43" i="7" s="1"/>
  <c r="F43" i="7"/>
  <c r="G43" i="7"/>
  <c r="H43" i="7"/>
  <c r="I43" i="7"/>
  <c r="J43" i="7"/>
  <c r="K43" i="7"/>
  <c r="L43" i="7"/>
  <c r="M43" i="7"/>
  <c r="N43" i="7"/>
  <c r="O43" i="7"/>
  <c r="P43" i="7"/>
  <c r="J44" i="7"/>
  <c r="H44" i="7"/>
  <c r="G44" i="7"/>
  <c r="O44" i="7"/>
  <c r="F44" i="7"/>
  <c r="D44" i="7"/>
  <c r="E44" i="7" s="1"/>
  <c r="I44" i="7"/>
  <c r="P44" i="7"/>
  <c r="N44" i="7"/>
  <c r="M44" i="7"/>
  <c r="L44" i="7"/>
  <c r="K44" i="7"/>
  <c r="O52" i="7"/>
  <c r="P52" i="7"/>
  <c r="K52" i="7"/>
  <c r="F52" i="7"/>
  <c r="L52" i="7"/>
  <c r="D52" i="7"/>
  <c r="E52" i="7" s="1"/>
  <c r="I52" i="7"/>
  <c r="J52" i="7"/>
  <c r="H52" i="7"/>
  <c r="G52" i="7"/>
  <c r="M52" i="7"/>
  <c r="N52" i="7"/>
  <c r="G53" i="7"/>
  <c r="F53" i="7"/>
  <c r="P53" i="7"/>
  <c r="O53" i="7"/>
  <c r="N53" i="7"/>
  <c r="M53" i="7"/>
  <c r="L53" i="7"/>
  <c r="K53" i="7"/>
  <c r="J53" i="7"/>
  <c r="I53" i="7"/>
  <c r="H53" i="7"/>
  <c r="D53" i="7"/>
  <c r="E53" i="7" s="1"/>
  <c r="F54" i="7"/>
  <c r="I54" i="7"/>
  <c r="D54" i="7"/>
  <c r="E54" i="7" s="1"/>
  <c r="K54" i="7"/>
  <c r="L54" i="7"/>
  <c r="M54" i="7"/>
  <c r="N54" i="7"/>
  <c r="H54" i="7"/>
  <c r="J54" i="7"/>
  <c r="P54" i="7"/>
  <c r="G54" i="7"/>
  <c r="O54" i="7"/>
  <c r="F55" i="7"/>
  <c r="G55" i="7"/>
  <c r="H55" i="7"/>
  <c r="I55" i="7"/>
  <c r="J55" i="7"/>
  <c r="K55" i="7"/>
  <c r="L55" i="7"/>
  <c r="M55" i="7"/>
  <c r="N55" i="7"/>
  <c r="O55" i="7"/>
  <c r="P55" i="7"/>
  <c r="D55" i="7"/>
  <c r="E55" i="7" s="1"/>
  <c r="G56" i="7"/>
  <c r="H56" i="7"/>
  <c r="P56" i="7"/>
  <c r="I56" i="7"/>
  <c r="J56" i="7"/>
  <c r="K56" i="7"/>
  <c r="L56" i="7"/>
  <c r="D56" i="7"/>
  <c r="E56" i="7" s="1"/>
  <c r="M56" i="7"/>
  <c r="N56" i="7"/>
  <c r="O56" i="7"/>
  <c r="F56" i="7"/>
  <c r="D57" i="7"/>
  <c r="E57" i="7" s="1"/>
  <c r="F57" i="7"/>
  <c r="G57" i="7"/>
  <c r="H57" i="7"/>
  <c r="I57" i="7"/>
  <c r="J57" i="7"/>
  <c r="K57" i="7"/>
  <c r="L57" i="7"/>
  <c r="M57" i="7"/>
  <c r="O57" i="7"/>
  <c r="P57" i="7"/>
  <c r="N57" i="7"/>
  <c r="H58" i="7"/>
  <c r="I58" i="7"/>
  <c r="K58" i="7"/>
  <c r="L58" i="7"/>
  <c r="M58" i="7"/>
  <c r="N58" i="7"/>
  <c r="O58" i="7"/>
  <c r="P58" i="7"/>
  <c r="J58" i="7"/>
  <c r="D58" i="7"/>
  <c r="E58" i="7" s="1"/>
  <c r="F58" i="7"/>
  <c r="G58" i="7"/>
  <c r="K59" i="7"/>
  <c r="P59" i="7"/>
  <c r="O59" i="7"/>
  <c r="N59" i="7"/>
  <c r="M59" i="7"/>
  <c r="L59" i="7"/>
  <c r="D59" i="7"/>
  <c r="E59" i="7" s="1"/>
  <c r="J59" i="7"/>
  <c r="I59" i="7"/>
  <c r="H59" i="7"/>
  <c r="G59" i="7"/>
  <c r="F59" i="7"/>
  <c r="G60" i="7"/>
  <c r="M60" i="7"/>
  <c r="O60" i="7"/>
  <c r="P60" i="7"/>
  <c r="H60" i="7"/>
  <c r="D60" i="7"/>
  <c r="E60" i="7" s="1"/>
  <c r="N60" i="7"/>
  <c r="K60" i="7"/>
  <c r="F60" i="7"/>
  <c r="L60" i="7"/>
  <c r="I60" i="7"/>
  <c r="J60" i="7"/>
  <c r="P61" i="7"/>
  <c r="F61" i="7"/>
  <c r="D61" i="7"/>
  <c r="E61" i="7" s="1"/>
  <c r="O61" i="7"/>
  <c r="N61" i="7"/>
  <c r="M61" i="7"/>
  <c r="L61" i="7"/>
  <c r="K61" i="7"/>
  <c r="J61" i="7"/>
  <c r="I61" i="7"/>
  <c r="H61" i="7"/>
  <c r="G61" i="7"/>
  <c r="D65" i="7"/>
  <c r="F65" i="7"/>
  <c r="M65" i="7"/>
  <c r="N65" i="7"/>
  <c r="O65" i="7"/>
  <c r="P65" i="7"/>
  <c r="K65" i="7"/>
  <c r="L65" i="7"/>
  <c r="J65" i="7"/>
  <c r="I65" i="7"/>
  <c r="H65" i="7"/>
  <c r="G65" i="7"/>
  <c r="E65" i="7"/>
  <c r="O75" i="7"/>
  <c r="N75" i="7"/>
  <c r="M75" i="7"/>
  <c r="L75" i="7"/>
  <c r="K75" i="7"/>
  <c r="I75" i="7"/>
  <c r="H75" i="7"/>
  <c r="G75" i="7"/>
  <c r="F75" i="7"/>
  <c r="D75" i="7"/>
  <c r="E75" i="7" s="1"/>
  <c r="J75" i="7"/>
  <c r="P75" i="7"/>
  <c r="P76" i="7"/>
  <c r="D76" i="7"/>
  <c r="J76" i="7"/>
  <c r="O76" i="7"/>
  <c r="N76" i="7"/>
  <c r="M76" i="7"/>
  <c r="L76" i="7"/>
  <c r="K76" i="7"/>
  <c r="I76" i="7"/>
  <c r="H76" i="7"/>
  <c r="G76" i="7"/>
  <c r="F76" i="7"/>
  <c r="E76" i="7"/>
  <c r="D77" i="7"/>
  <c r="E77" i="7" s="1"/>
  <c r="F77" i="7"/>
  <c r="G77" i="7"/>
  <c r="H77" i="7"/>
  <c r="I77" i="7"/>
  <c r="M77" i="7"/>
  <c r="L77" i="7"/>
  <c r="K77" i="7"/>
  <c r="J77" i="7"/>
  <c r="P77" i="7"/>
  <c r="O77" i="7"/>
  <c r="N77" i="7"/>
  <c r="N78" i="7"/>
  <c r="I78" i="7"/>
  <c r="P78" i="7"/>
  <c r="D78" i="7"/>
  <c r="E78" i="7" s="1"/>
  <c r="F78" i="7"/>
  <c r="H78" i="7"/>
  <c r="J78" i="7"/>
  <c r="O78" i="7"/>
  <c r="K78" i="7"/>
  <c r="G78" i="7"/>
  <c r="L78" i="7"/>
  <c r="M78" i="7"/>
  <c r="D79" i="7"/>
  <c r="E79" i="7" s="1"/>
  <c r="G79" i="7"/>
  <c r="P79" i="7"/>
  <c r="O79" i="7"/>
  <c r="N79" i="7"/>
  <c r="M79" i="7"/>
  <c r="L79" i="7"/>
  <c r="K79" i="7"/>
  <c r="J79" i="7"/>
  <c r="I79" i="7"/>
  <c r="H79" i="7"/>
  <c r="F79" i="7"/>
  <c r="N80" i="7"/>
  <c r="P80" i="7"/>
  <c r="D80" i="7"/>
  <c r="E80" i="7" s="1"/>
  <c r="J80" i="7"/>
  <c r="F80" i="7"/>
  <c r="G80" i="7"/>
  <c r="H80" i="7"/>
  <c r="I80" i="7"/>
  <c r="K80" i="7"/>
  <c r="M80" i="7"/>
  <c r="L80" i="7"/>
  <c r="O80" i="7"/>
  <c r="D81" i="7"/>
  <c r="E81" i="7" s="1"/>
  <c r="F81" i="7"/>
  <c r="G81" i="7"/>
  <c r="H81" i="7"/>
  <c r="I81" i="7"/>
  <c r="J81" i="7"/>
  <c r="K81" i="7"/>
  <c r="L81" i="7"/>
  <c r="M81" i="7"/>
  <c r="N81" i="7"/>
  <c r="O81" i="7"/>
  <c r="P81" i="7"/>
  <c r="M82" i="7"/>
  <c r="I82" i="7"/>
  <c r="G82" i="7"/>
  <c r="P82" i="7"/>
  <c r="H82" i="7"/>
  <c r="J82" i="7"/>
  <c r="L82" i="7"/>
  <c r="D82" i="7"/>
  <c r="E82" i="7" s="1"/>
  <c r="F82" i="7"/>
  <c r="N82" i="7"/>
  <c r="O82" i="7"/>
  <c r="K82" i="7"/>
  <c r="L83" i="7"/>
  <c r="N83" i="7"/>
  <c r="P83" i="7"/>
  <c r="O83" i="7"/>
  <c r="M83" i="7"/>
  <c r="D83" i="7"/>
  <c r="E83" i="7" s="1"/>
  <c r="F83" i="7"/>
  <c r="G83" i="7"/>
  <c r="H83" i="7"/>
  <c r="I83" i="7"/>
  <c r="J83" i="7"/>
  <c r="K83" i="7"/>
  <c r="F84" i="7"/>
  <c r="I84" i="7"/>
  <c r="J84" i="7"/>
  <c r="K84" i="7"/>
  <c r="L84" i="7"/>
  <c r="M84" i="7"/>
  <c r="N84" i="7"/>
  <c r="P84" i="7"/>
  <c r="O84" i="7"/>
  <c r="G84" i="7"/>
  <c r="H84" i="7"/>
  <c r="D84" i="7"/>
  <c r="E84" i="7" s="1"/>
  <c r="J85" i="7"/>
  <c r="P85" i="7"/>
  <c r="O85" i="7"/>
  <c r="D85" i="7"/>
  <c r="E85" i="7" s="1"/>
  <c r="F85" i="7"/>
  <c r="G85" i="7"/>
  <c r="H85" i="7"/>
  <c r="I85" i="7"/>
  <c r="N85" i="7"/>
  <c r="M85" i="7"/>
  <c r="L85" i="7"/>
  <c r="K85" i="7"/>
  <c r="K86" i="7"/>
  <c r="L86" i="7"/>
  <c r="M86" i="7"/>
  <c r="N86" i="7"/>
  <c r="O86" i="7"/>
  <c r="P86" i="7"/>
  <c r="J86" i="7"/>
  <c r="H86" i="7"/>
  <c r="I86" i="7"/>
  <c r="F86" i="7"/>
  <c r="D86" i="7"/>
  <c r="E86" i="7" s="1"/>
  <c r="G86" i="7"/>
  <c r="J87" i="7"/>
  <c r="K87" i="7"/>
  <c r="I87" i="7"/>
  <c r="H87" i="7"/>
  <c r="G87" i="7"/>
  <c r="F87" i="7"/>
  <c r="D87" i="7"/>
  <c r="E87" i="7" s="1"/>
  <c r="L87" i="7"/>
  <c r="M87" i="7"/>
  <c r="N87" i="7"/>
  <c r="O87" i="7"/>
  <c r="P87" i="7"/>
  <c r="J88" i="7"/>
  <c r="N88" i="7"/>
  <c r="O88" i="7"/>
  <c r="P88" i="7"/>
  <c r="I88" i="7"/>
  <c r="K88" i="7"/>
  <c r="L88" i="7"/>
  <c r="H88" i="7"/>
  <c r="M88" i="7"/>
  <c r="G88" i="7"/>
  <c r="F88" i="7"/>
  <c r="D88" i="7"/>
  <c r="E88" i="7" s="1"/>
  <c r="D89" i="7"/>
  <c r="E89" i="7" s="1"/>
  <c r="F89" i="7"/>
  <c r="H89" i="7"/>
  <c r="O89" i="7"/>
  <c r="N89" i="7"/>
  <c r="L89" i="7"/>
  <c r="K89" i="7"/>
  <c r="I89" i="7"/>
  <c r="J89" i="7"/>
  <c r="P89" i="7"/>
  <c r="M89" i="7"/>
  <c r="G89" i="7"/>
  <c r="H90" i="7"/>
  <c r="I90" i="7"/>
  <c r="D90" i="7"/>
  <c r="E90" i="7" s="1"/>
  <c r="F90" i="7"/>
  <c r="J90" i="7"/>
  <c r="K90" i="7"/>
  <c r="L90" i="7"/>
  <c r="M90" i="7"/>
  <c r="N90" i="7"/>
  <c r="G90" i="7"/>
  <c r="P90" i="7"/>
  <c r="O90" i="7"/>
  <c r="O91" i="7"/>
  <c r="J91" i="7"/>
  <c r="K91" i="7"/>
  <c r="G91" i="7"/>
  <c r="P91" i="7"/>
  <c r="L91" i="7"/>
  <c r="H91" i="7"/>
  <c r="F91" i="7"/>
  <c r="D91" i="7"/>
  <c r="E91" i="7" s="1"/>
  <c r="M91" i="7"/>
  <c r="N91" i="7"/>
  <c r="I91" i="7"/>
  <c r="I92" i="7"/>
  <c r="J92" i="7"/>
  <c r="K92" i="7"/>
  <c r="L92" i="7"/>
  <c r="M92" i="7"/>
  <c r="N92" i="7"/>
  <c r="O92" i="7"/>
  <c r="P92" i="7"/>
  <c r="G92" i="7"/>
  <c r="D92" i="7"/>
  <c r="E92" i="7" s="1"/>
  <c r="F92" i="7"/>
  <c r="H92" i="7"/>
  <c r="F93" i="7"/>
  <c r="L93" i="7"/>
  <c r="P93" i="7"/>
  <c r="N93" i="7"/>
  <c r="O93" i="7"/>
  <c r="M93" i="7"/>
  <c r="D93" i="7"/>
  <c r="E93" i="7" s="1"/>
  <c r="G93" i="7"/>
  <c r="H93" i="7"/>
  <c r="I93" i="7"/>
  <c r="J93" i="7"/>
  <c r="K93" i="7"/>
  <c r="N94" i="7"/>
  <c r="J94" i="7"/>
  <c r="I94" i="7"/>
  <c r="H94" i="7"/>
  <c r="L94" i="7"/>
  <c r="O94" i="7"/>
  <c r="M94" i="7"/>
  <c r="F94" i="7"/>
  <c r="G94" i="7"/>
  <c r="D94" i="7"/>
  <c r="E94" i="7" s="1"/>
  <c r="P94" i="7"/>
  <c r="K94" i="7"/>
  <c r="N95" i="7"/>
  <c r="F95" i="7"/>
  <c r="P95" i="7"/>
  <c r="L95" i="7"/>
  <c r="J95" i="7"/>
  <c r="K95" i="7"/>
  <c r="G95" i="7"/>
  <c r="D95" i="7"/>
  <c r="E95" i="7" s="1"/>
  <c r="O95" i="7"/>
  <c r="M95" i="7"/>
  <c r="I95" i="7"/>
  <c r="H95" i="7"/>
  <c r="M96" i="7"/>
  <c r="D96" i="7"/>
  <c r="E96" i="7" s="1"/>
  <c r="O96" i="7"/>
  <c r="H96" i="7"/>
  <c r="J96" i="7"/>
  <c r="N96" i="7"/>
  <c r="L96" i="7"/>
  <c r="P96" i="7"/>
  <c r="F96" i="7"/>
  <c r="G96" i="7"/>
  <c r="I96" i="7"/>
  <c r="K96" i="7"/>
  <c r="O97" i="7"/>
  <c r="D97" i="7"/>
  <c r="E97" i="7" s="1"/>
  <c r="F97" i="7"/>
  <c r="G97" i="7"/>
  <c r="H97" i="7"/>
  <c r="I97" i="7"/>
  <c r="J97" i="7"/>
  <c r="K97" i="7"/>
  <c r="L97" i="7"/>
  <c r="M97" i="7"/>
  <c r="N97" i="7"/>
  <c r="P97" i="7"/>
  <c r="J98" i="7"/>
  <c r="G98" i="7"/>
  <c r="H98" i="7"/>
  <c r="I98" i="7"/>
  <c r="M98" i="7"/>
  <c r="L98" i="7"/>
  <c r="K98" i="7"/>
  <c r="P98" i="7"/>
  <c r="D98" i="7"/>
  <c r="E98" i="7" s="1"/>
  <c r="O98" i="7"/>
  <c r="F98" i="7"/>
  <c r="N98" i="7"/>
  <c r="O99" i="7"/>
  <c r="P99" i="7"/>
  <c r="J99" i="7"/>
  <c r="K99" i="7"/>
  <c r="L99" i="7"/>
  <c r="M99" i="7"/>
  <c r="N99" i="7"/>
  <c r="D99" i="7"/>
  <c r="E99" i="7" s="1"/>
  <c r="F99" i="7"/>
  <c r="G99" i="7"/>
  <c r="H99" i="7"/>
  <c r="I99" i="7"/>
  <c r="D100" i="7"/>
  <c r="E100" i="7" s="1"/>
  <c r="F100" i="7"/>
  <c r="G100" i="7"/>
  <c r="H100" i="7"/>
  <c r="N100" i="7"/>
  <c r="L100" i="7"/>
  <c r="K100" i="7"/>
  <c r="J100" i="7"/>
  <c r="I100" i="7"/>
  <c r="P100" i="7"/>
  <c r="O100" i="7"/>
  <c r="M100" i="7"/>
  <c r="N101" i="7"/>
  <c r="O101" i="7"/>
  <c r="P101" i="7"/>
  <c r="D101" i="7"/>
  <c r="E101" i="7" s="1"/>
  <c r="F101" i="7"/>
  <c r="G101" i="7"/>
  <c r="H101" i="7"/>
  <c r="I101" i="7"/>
  <c r="J101" i="7"/>
  <c r="K101" i="7"/>
  <c r="L101" i="7"/>
  <c r="M101" i="7"/>
  <c r="P102" i="7"/>
  <c r="O102" i="7"/>
  <c r="N102" i="7"/>
  <c r="M102" i="7"/>
  <c r="L102" i="7"/>
  <c r="K102" i="7"/>
  <c r="H102" i="7"/>
  <c r="J102" i="7"/>
  <c r="D102" i="7"/>
  <c r="E102" i="7" s="1"/>
  <c r="I102" i="7"/>
  <c r="G102" i="7"/>
  <c r="F102" i="7"/>
  <c r="D103" i="7"/>
  <c r="E103" i="7" s="1"/>
  <c r="F103" i="7"/>
  <c r="G103" i="7"/>
  <c r="H103" i="7"/>
  <c r="J103" i="7"/>
  <c r="K103" i="7"/>
  <c r="M103" i="7"/>
  <c r="N103" i="7"/>
  <c r="O103" i="7"/>
  <c r="P103" i="7"/>
  <c r="I103" i="7"/>
  <c r="L103" i="7"/>
  <c r="K104" i="7"/>
  <c r="J104" i="7"/>
  <c r="I104" i="7"/>
  <c r="H104" i="7"/>
  <c r="G104" i="7"/>
  <c r="F104" i="7"/>
  <c r="L104" i="7"/>
  <c r="D104" i="7"/>
  <c r="E104" i="7" s="1"/>
  <c r="N104" i="7"/>
  <c r="M104" i="7"/>
  <c r="P104" i="7"/>
  <c r="O104" i="7"/>
  <c r="I105" i="7"/>
  <c r="J105" i="7"/>
  <c r="D105" i="7"/>
  <c r="K105" i="7"/>
  <c r="L105" i="7"/>
  <c r="M105" i="7"/>
  <c r="N105" i="7"/>
  <c r="P105" i="7"/>
  <c r="O105" i="7"/>
  <c r="E105" i="7"/>
  <c r="F105" i="7"/>
  <c r="G105" i="7"/>
  <c r="H105" i="7"/>
  <c r="D106" i="7"/>
  <c r="E106" i="7" s="1"/>
  <c r="F106" i="7"/>
  <c r="G106" i="7"/>
  <c r="H106" i="7"/>
  <c r="I106" i="7"/>
  <c r="P106" i="7"/>
  <c r="O106" i="7"/>
  <c r="N106" i="7"/>
  <c r="M106" i="7"/>
  <c r="J106" i="7"/>
  <c r="L106" i="7"/>
  <c r="K106" i="7"/>
  <c r="M107" i="7"/>
  <c r="L107" i="7"/>
  <c r="K107" i="7"/>
  <c r="J107" i="7"/>
  <c r="H107" i="7"/>
  <c r="G107" i="7"/>
  <c r="F107" i="7"/>
  <c r="D107" i="7"/>
  <c r="E107" i="7" s="1"/>
  <c r="I107" i="7"/>
  <c r="P107" i="7"/>
  <c r="O107" i="7"/>
  <c r="N107" i="7"/>
  <c r="G108" i="7"/>
  <c r="L108" i="7"/>
  <c r="J108" i="7"/>
  <c r="D108" i="7"/>
  <c r="E108" i="7" s="1"/>
  <c r="F108" i="7"/>
  <c r="H108" i="7"/>
  <c r="I108" i="7"/>
  <c r="M108" i="7"/>
  <c r="O108" i="7"/>
  <c r="P108" i="7"/>
  <c r="N108" i="7"/>
  <c r="K108" i="7"/>
  <c r="P109" i="7"/>
  <c r="D109" i="7"/>
  <c r="O109" i="7"/>
  <c r="N109" i="7"/>
  <c r="M109" i="7"/>
  <c r="L109" i="7"/>
  <c r="K109" i="7"/>
  <c r="J109" i="7"/>
  <c r="I109" i="7"/>
  <c r="H109" i="7"/>
  <c r="G109" i="7"/>
  <c r="F109" i="7"/>
  <c r="E109" i="7"/>
  <c r="K110" i="7"/>
  <c r="D110" i="7"/>
  <c r="E110" i="7" s="1"/>
  <c r="F110" i="7"/>
  <c r="G110" i="7"/>
  <c r="H110" i="7"/>
  <c r="I110" i="7"/>
  <c r="J110" i="7"/>
  <c r="L110" i="7"/>
  <c r="M110" i="7"/>
  <c r="N110" i="7"/>
  <c r="O110" i="7"/>
  <c r="P110" i="7"/>
  <c r="J111" i="7"/>
  <c r="K111" i="7"/>
  <c r="G111" i="7"/>
  <c r="F111" i="7"/>
  <c r="P111" i="7"/>
  <c r="O111" i="7"/>
  <c r="H111" i="7"/>
  <c r="N111" i="7"/>
  <c r="M111" i="7"/>
  <c r="L111" i="7"/>
  <c r="I111" i="7"/>
  <c r="D111" i="7"/>
  <c r="E111" i="7" s="1"/>
  <c r="O112" i="7"/>
  <c r="N112" i="7"/>
  <c r="G112" i="7"/>
  <c r="F112" i="7"/>
  <c r="D112" i="7"/>
  <c r="E112" i="7" s="1"/>
  <c r="M112" i="7"/>
  <c r="L112" i="7"/>
  <c r="K112" i="7"/>
  <c r="J112" i="7"/>
  <c r="I112" i="7"/>
  <c r="H112" i="7"/>
  <c r="P112" i="7"/>
  <c r="D113" i="7"/>
  <c r="E113" i="7" s="1"/>
  <c r="F113" i="7"/>
  <c r="G113" i="7"/>
  <c r="H113" i="7"/>
  <c r="I113" i="7"/>
  <c r="J113" i="7"/>
  <c r="K113" i="7"/>
  <c r="L113" i="7"/>
  <c r="M113" i="7"/>
  <c r="N113" i="7"/>
  <c r="O113" i="7"/>
  <c r="P113" i="7"/>
  <c r="J114" i="7"/>
  <c r="I114" i="7"/>
  <c r="H114" i="7"/>
  <c r="G114" i="7"/>
  <c r="P114" i="7"/>
  <c r="O114" i="7"/>
  <c r="N114" i="7"/>
  <c r="M114" i="7"/>
  <c r="L114" i="7"/>
  <c r="K114" i="7"/>
  <c r="D114" i="7"/>
  <c r="E114" i="7" s="1"/>
  <c r="F114" i="7"/>
  <c r="I146" i="7"/>
  <c r="L146" i="7"/>
  <c r="M146" i="7"/>
  <c r="O146" i="7"/>
  <c r="P146" i="7"/>
  <c r="N146" i="7"/>
  <c r="K146" i="7"/>
  <c r="H146" i="7"/>
  <c r="D146" i="7"/>
  <c r="E146" i="7" s="1"/>
  <c r="G146" i="7"/>
  <c r="J146" i="7"/>
  <c r="F146" i="7"/>
  <c r="K148" i="7"/>
  <c r="M148" i="7"/>
  <c r="P148" i="7"/>
  <c r="O148" i="7"/>
  <c r="F148" i="7"/>
  <c r="I148" i="7"/>
  <c r="G148" i="7"/>
  <c r="D148" i="7"/>
  <c r="E148" i="7" s="1"/>
  <c r="H148" i="7"/>
  <c r="J148" i="7"/>
  <c r="L148" i="7"/>
  <c r="N148" i="7"/>
  <c r="F149" i="7"/>
  <c r="O149" i="7"/>
  <c r="N149" i="7"/>
  <c r="M149" i="7"/>
  <c r="K149" i="7"/>
  <c r="P149" i="7"/>
  <c r="D149" i="7"/>
  <c r="E149" i="7" s="1"/>
  <c r="H149" i="7"/>
  <c r="J149" i="7"/>
  <c r="L149" i="7"/>
  <c r="I149" i="7"/>
  <c r="G149" i="7"/>
  <c r="N154" i="7"/>
  <c r="L154" i="7"/>
  <c r="I154" i="7"/>
  <c r="G154" i="7"/>
  <c r="F154" i="7"/>
  <c r="O154" i="7"/>
  <c r="H154" i="7"/>
  <c r="K154" i="7"/>
  <c r="J154" i="7"/>
  <c r="M154" i="7"/>
  <c r="D154" i="7"/>
  <c r="E154" i="7" s="1"/>
  <c r="P154" i="7"/>
  <c r="F155" i="7"/>
  <c r="J155" i="7"/>
  <c r="O155" i="7"/>
  <c r="M155" i="7"/>
  <c r="D155" i="7"/>
  <c r="E155" i="7" s="1"/>
  <c r="I155" i="7"/>
  <c r="H155" i="7"/>
  <c r="L155" i="7"/>
  <c r="P155" i="7"/>
  <c r="N155" i="7"/>
  <c r="K155" i="7"/>
  <c r="G155" i="7"/>
  <c r="H156" i="7"/>
  <c r="N156" i="7"/>
  <c r="G156" i="7"/>
  <c r="P156" i="7"/>
  <c r="L156" i="7"/>
  <c r="J156" i="7"/>
  <c r="F156" i="7"/>
  <c r="D156" i="7"/>
  <c r="E156" i="7" s="1"/>
  <c r="I156" i="7"/>
  <c r="K156" i="7"/>
  <c r="M156" i="7"/>
  <c r="O156" i="7"/>
  <c r="J157" i="7"/>
  <c r="G157" i="7"/>
  <c r="D157" i="7"/>
  <c r="F157" i="7"/>
  <c r="H157" i="7"/>
  <c r="L157" i="7"/>
  <c r="P157" i="7"/>
  <c r="N157" i="7"/>
  <c r="O157" i="7"/>
  <c r="M157" i="7"/>
  <c r="E157" i="7"/>
  <c r="I157" i="7"/>
  <c r="K157" i="7"/>
  <c r="G158" i="7"/>
  <c r="J158" i="7"/>
  <c r="N158" i="7"/>
  <c r="I158" i="7"/>
  <c r="K158" i="7"/>
  <c r="M158" i="7"/>
  <c r="P158" i="7"/>
  <c r="F158" i="7"/>
  <c r="D158" i="7"/>
  <c r="E158" i="7" s="1"/>
  <c r="H158" i="7"/>
  <c r="L158" i="7"/>
  <c r="O158" i="7"/>
  <c r="L159" i="7"/>
  <c r="I159" i="7"/>
  <c r="F159" i="7"/>
  <c r="P159" i="7"/>
  <c r="M159" i="7"/>
  <c r="J159" i="7"/>
  <c r="H159" i="7"/>
  <c r="D159" i="7"/>
  <c r="E159" i="7" s="1"/>
  <c r="O159" i="7"/>
  <c r="G159" i="7"/>
  <c r="K159" i="7"/>
  <c r="N159" i="7"/>
  <c r="L160" i="7"/>
  <c r="O160" i="7"/>
  <c r="M160" i="7"/>
  <c r="F160" i="7"/>
  <c r="H160" i="7"/>
  <c r="K160" i="7"/>
  <c r="N160" i="7"/>
  <c r="P160" i="7"/>
  <c r="I160" i="7"/>
  <c r="D160" i="7"/>
  <c r="E160" i="7" s="1"/>
  <c r="G160" i="7"/>
  <c r="J160" i="7"/>
  <c r="I161" i="7"/>
  <c r="G161" i="7"/>
  <c r="F161" i="7"/>
  <c r="P161" i="7"/>
  <c r="M161" i="7"/>
  <c r="J161" i="7"/>
  <c r="D161" i="7"/>
  <c r="E161" i="7" s="1"/>
  <c r="K161" i="7"/>
  <c r="O161" i="7"/>
  <c r="H161" i="7"/>
  <c r="L161" i="7"/>
  <c r="N161" i="7"/>
  <c r="D162" i="7"/>
  <c r="E162" i="7" s="1"/>
  <c r="H162" i="7"/>
  <c r="I162" i="7"/>
  <c r="M162" i="7"/>
  <c r="P162" i="7"/>
  <c r="L162" i="7"/>
  <c r="O162" i="7"/>
  <c r="J162" i="7"/>
  <c r="N162" i="7"/>
  <c r="K162" i="7"/>
  <c r="F162" i="7"/>
  <c r="G162" i="7"/>
  <c r="L163" i="7"/>
  <c r="O163" i="7"/>
  <c r="K163" i="7"/>
  <c r="H163" i="7"/>
  <c r="F163" i="7"/>
  <c r="P163" i="7"/>
  <c r="N163" i="7"/>
  <c r="I163" i="7"/>
  <c r="D163" i="7"/>
  <c r="E163" i="7" s="1"/>
  <c r="G163" i="7"/>
  <c r="J163" i="7"/>
  <c r="M163" i="7"/>
  <c r="F164" i="7"/>
  <c r="G164" i="7"/>
  <c r="M164" i="7"/>
  <c r="O164" i="7"/>
  <c r="P164" i="7"/>
  <c r="I164" i="7"/>
  <c r="J164" i="7"/>
  <c r="D164" i="7"/>
  <c r="E164" i="7" s="1"/>
  <c r="L164" i="7"/>
  <c r="H164" i="7"/>
  <c r="K164" i="7"/>
  <c r="N164" i="7"/>
  <c r="H165" i="7"/>
  <c r="M165" i="7"/>
  <c r="J165" i="7"/>
  <c r="L165" i="7"/>
  <c r="G165" i="7"/>
  <c r="I165" i="7"/>
  <c r="F165" i="7"/>
  <c r="D165" i="7"/>
  <c r="E165" i="7" s="1"/>
  <c r="O165" i="7"/>
  <c r="P165" i="7"/>
  <c r="K165" i="7"/>
  <c r="N165" i="7"/>
  <c r="F166" i="7"/>
  <c r="J166" i="7"/>
  <c r="M166" i="7"/>
  <c r="D166" i="7"/>
  <c r="E166" i="7" s="1"/>
  <c r="P166" i="7"/>
  <c r="N166" i="7"/>
  <c r="L166" i="7"/>
  <c r="I166" i="7"/>
  <c r="G166" i="7"/>
  <c r="O166" i="7"/>
  <c r="H166" i="7"/>
  <c r="K166" i="7"/>
  <c r="H167" i="7"/>
  <c r="M167" i="7"/>
  <c r="P167" i="7"/>
  <c r="F167" i="7"/>
  <c r="K167" i="7"/>
  <c r="N167" i="7"/>
  <c r="G167" i="7"/>
  <c r="I167" i="7"/>
  <c r="L167" i="7"/>
  <c r="O167" i="7"/>
  <c r="J167" i="7"/>
  <c r="D167" i="7"/>
  <c r="E167" i="7" s="1"/>
  <c r="H168" i="7"/>
  <c r="I168" i="7"/>
  <c r="N168" i="7"/>
  <c r="G168" i="7"/>
  <c r="K168" i="7"/>
  <c r="O168" i="7"/>
  <c r="L168" i="7"/>
  <c r="F168" i="7"/>
  <c r="J168" i="7"/>
  <c r="M168" i="7"/>
  <c r="P168" i="7"/>
  <c r="D168" i="7"/>
  <c r="E168" i="7" s="1"/>
  <c r="F169" i="7"/>
  <c r="G169" i="7"/>
  <c r="J169" i="7"/>
  <c r="M169" i="7"/>
  <c r="P169" i="7"/>
  <c r="L169" i="7"/>
  <c r="O169" i="7"/>
  <c r="N169" i="7"/>
  <c r="D169" i="7"/>
  <c r="E169" i="7" s="1"/>
  <c r="K169" i="7"/>
  <c r="H169" i="7"/>
  <c r="I169" i="7"/>
  <c r="O170" i="7"/>
  <c r="F170" i="7"/>
  <c r="G170" i="7"/>
  <c r="I170" i="7"/>
  <c r="H170" i="7"/>
  <c r="D170" i="7"/>
  <c r="E170" i="7" s="1"/>
  <c r="P170" i="7"/>
  <c r="N170" i="7"/>
  <c r="M170" i="7"/>
  <c r="L170" i="7"/>
  <c r="K170" i="7"/>
  <c r="J170" i="7"/>
  <c r="M171" i="7"/>
  <c r="H171" i="7"/>
  <c r="G171" i="7"/>
  <c r="F171" i="7"/>
  <c r="D171" i="7"/>
  <c r="E171" i="7" s="1"/>
  <c r="I171" i="7"/>
  <c r="J171" i="7"/>
  <c r="P171" i="7"/>
  <c r="O171" i="7"/>
  <c r="N171" i="7"/>
  <c r="L171" i="7"/>
  <c r="K171" i="7"/>
  <c r="L172" i="7"/>
  <c r="K172" i="7"/>
  <c r="H172" i="7"/>
  <c r="J172" i="7"/>
  <c r="I172" i="7"/>
  <c r="D172" i="7"/>
  <c r="E172" i="7" s="1"/>
  <c r="G172" i="7"/>
  <c r="N172" i="7"/>
  <c r="M172" i="7"/>
  <c r="F172" i="7"/>
  <c r="P172" i="7"/>
  <c r="O172" i="7"/>
  <c r="H173" i="7"/>
  <c r="J173" i="7"/>
  <c r="N173" i="7"/>
  <c r="M173" i="7"/>
  <c r="K173" i="7"/>
  <c r="F173" i="7"/>
  <c r="L173" i="7"/>
  <c r="G173" i="7"/>
  <c r="P173" i="7"/>
  <c r="O173" i="7"/>
  <c r="D173" i="7"/>
  <c r="E173" i="7" s="1"/>
  <c r="I173" i="7"/>
  <c r="N174" i="7"/>
  <c r="F174" i="7"/>
  <c r="P174" i="7"/>
  <c r="O174" i="7"/>
  <c r="M174" i="7"/>
  <c r="L174" i="7"/>
  <c r="K174" i="7"/>
  <c r="J174" i="7"/>
  <c r="I174" i="7"/>
  <c r="H174" i="7"/>
  <c r="G174" i="7"/>
  <c r="D174" i="7"/>
  <c r="E174" i="7" s="1"/>
  <c r="I175" i="7"/>
  <c r="G175" i="7"/>
  <c r="H175" i="7"/>
  <c r="J175" i="7"/>
  <c r="K175" i="7"/>
  <c r="L175" i="7"/>
  <c r="M175" i="7"/>
  <c r="N175" i="7"/>
  <c r="O175" i="7"/>
  <c r="P175" i="7"/>
  <c r="D175" i="7"/>
  <c r="E175" i="7" s="1"/>
  <c r="F175" i="7"/>
  <c r="P176" i="7"/>
  <c r="I176" i="7"/>
  <c r="H176" i="7"/>
  <c r="L176" i="7"/>
  <c r="D176" i="7"/>
  <c r="E176" i="7" s="1"/>
  <c r="F176" i="7"/>
  <c r="G176" i="7"/>
  <c r="M176" i="7"/>
  <c r="N176" i="7"/>
  <c r="K176" i="7"/>
  <c r="O176" i="7"/>
  <c r="J176" i="7"/>
  <c r="O177" i="7"/>
  <c r="D177" i="7"/>
  <c r="E177" i="7" s="1"/>
  <c r="F177" i="7"/>
  <c r="N177" i="7"/>
  <c r="M177" i="7"/>
  <c r="L177" i="7"/>
  <c r="K177" i="7"/>
  <c r="J177" i="7"/>
  <c r="I177" i="7"/>
  <c r="H177" i="7"/>
  <c r="G177" i="7"/>
  <c r="P177" i="7"/>
  <c r="H178" i="7"/>
  <c r="M178" i="7"/>
  <c r="J178" i="7"/>
  <c r="K178" i="7"/>
  <c r="P178" i="7"/>
  <c r="N178" i="7"/>
  <c r="D178" i="7"/>
  <c r="E178" i="7" s="1"/>
  <c r="F178" i="7"/>
  <c r="I178" i="7"/>
  <c r="O178" i="7"/>
  <c r="G178" i="7"/>
  <c r="L178" i="7"/>
  <c r="J179" i="7"/>
  <c r="G179" i="7"/>
  <c r="F179" i="7"/>
  <c r="D179" i="7"/>
  <c r="E179" i="7" s="1"/>
  <c r="H179" i="7"/>
  <c r="I179" i="7"/>
  <c r="K179" i="7"/>
  <c r="L179" i="7"/>
  <c r="M179" i="7"/>
  <c r="N179" i="7"/>
  <c r="O179" i="7"/>
  <c r="P179" i="7"/>
  <c r="I180" i="7"/>
  <c r="N180" i="7"/>
  <c r="G180" i="7"/>
  <c r="J180" i="7"/>
  <c r="O180" i="7"/>
  <c r="P180" i="7"/>
  <c r="K180" i="7"/>
  <c r="L180" i="7"/>
  <c r="H180" i="7"/>
  <c r="M180" i="7"/>
  <c r="D180" i="7"/>
  <c r="E180" i="7" s="1"/>
  <c r="F180" i="7"/>
  <c r="L181" i="7"/>
  <c r="M181" i="7"/>
  <c r="D181" i="7"/>
  <c r="E181" i="7" s="1"/>
  <c r="N181" i="7"/>
  <c r="F181" i="7"/>
  <c r="G181" i="7"/>
  <c r="H181" i="7"/>
  <c r="I181" i="7"/>
  <c r="J181" i="7"/>
  <c r="K181" i="7"/>
  <c r="O181" i="7"/>
  <c r="P181" i="7"/>
  <c r="F182" i="7"/>
  <c r="D182" i="7"/>
  <c r="E182" i="7" s="1"/>
  <c r="G182" i="7"/>
  <c r="N182" i="7"/>
  <c r="H182" i="7"/>
  <c r="I182" i="7"/>
  <c r="J182" i="7"/>
  <c r="K182" i="7"/>
  <c r="L182" i="7"/>
  <c r="M182" i="7"/>
  <c r="P182" i="7"/>
  <c r="O182" i="7"/>
  <c r="D183" i="7"/>
  <c r="E183" i="7" s="1"/>
  <c r="H183" i="7"/>
  <c r="F183" i="7"/>
  <c r="K183" i="7"/>
  <c r="L183" i="7"/>
  <c r="J183" i="7"/>
  <c r="N183" i="7"/>
  <c r="I183" i="7"/>
  <c r="O183" i="7"/>
  <c r="P183" i="7"/>
  <c r="M183" i="7"/>
  <c r="G183" i="7"/>
  <c r="K184" i="7"/>
  <c r="I184" i="7"/>
  <c r="H184" i="7"/>
  <c r="G184" i="7"/>
  <c r="F184" i="7"/>
  <c r="D184" i="7"/>
  <c r="E184" i="7" s="1"/>
  <c r="J184" i="7"/>
  <c r="P184" i="7"/>
  <c r="O184" i="7"/>
  <c r="N184" i="7"/>
  <c r="M184" i="7"/>
  <c r="L184" i="7"/>
  <c r="D185" i="7"/>
  <c r="E185" i="7" s="1"/>
  <c r="F185" i="7"/>
  <c r="G185" i="7"/>
  <c r="H185" i="7"/>
  <c r="I185" i="7"/>
  <c r="J185" i="7"/>
  <c r="K185" i="7"/>
  <c r="L185" i="7"/>
  <c r="M185" i="7"/>
  <c r="N185" i="7"/>
  <c r="O185" i="7"/>
  <c r="P185" i="7"/>
  <c r="G186" i="7"/>
  <c r="H186" i="7"/>
  <c r="I186" i="7"/>
  <c r="J186" i="7"/>
  <c r="K186" i="7"/>
  <c r="L186" i="7"/>
  <c r="M186" i="7"/>
  <c r="N186" i="7"/>
  <c r="O186" i="7"/>
  <c r="P186" i="7"/>
  <c r="D186" i="7"/>
  <c r="E186" i="7" s="1"/>
  <c r="F186" i="7"/>
  <c r="N187" i="7"/>
  <c r="M187" i="7"/>
  <c r="D187" i="7"/>
  <c r="E187" i="7" s="1"/>
  <c r="L187" i="7"/>
  <c r="K187" i="7"/>
  <c r="J187" i="7"/>
  <c r="H187" i="7"/>
  <c r="P187" i="7"/>
  <c r="O187" i="7"/>
  <c r="F187" i="7"/>
  <c r="G187" i="7"/>
  <c r="I187" i="7"/>
  <c r="J188" i="7"/>
  <c r="I188" i="7"/>
  <c r="H188" i="7"/>
  <c r="G188" i="7"/>
  <c r="F188" i="7"/>
  <c r="D188" i="7"/>
  <c r="E188" i="7" s="1"/>
  <c r="M188" i="7"/>
  <c r="P188" i="7"/>
  <c r="O188" i="7"/>
  <c r="N188" i="7"/>
  <c r="L188" i="7"/>
  <c r="K188" i="7"/>
  <c r="F189" i="7"/>
  <c r="G189" i="7"/>
  <c r="M189" i="7"/>
  <c r="L189" i="7"/>
  <c r="K189" i="7"/>
  <c r="J189" i="7"/>
  <c r="I189" i="7"/>
  <c r="H189" i="7"/>
  <c r="P189" i="7"/>
  <c r="O189" i="7"/>
  <c r="D189" i="7"/>
  <c r="E189" i="7" s="1"/>
  <c r="N189" i="7"/>
  <c r="D190" i="7"/>
  <c r="E190" i="7" s="1"/>
  <c r="G190" i="7"/>
  <c r="H190" i="7"/>
  <c r="I190" i="7"/>
  <c r="J190" i="7"/>
  <c r="K190" i="7"/>
  <c r="F190" i="7"/>
  <c r="L190" i="7"/>
  <c r="M190" i="7"/>
  <c r="N190" i="7"/>
  <c r="O190" i="7"/>
  <c r="P190" i="7"/>
  <c r="N191" i="7"/>
  <c r="O191" i="7"/>
  <c r="D191" i="7"/>
  <c r="E191" i="7" s="1"/>
  <c r="F191" i="7"/>
  <c r="G191" i="7"/>
  <c r="H191" i="7"/>
  <c r="I191" i="7"/>
  <c r="J191" i="7"/>
  <c r="K191" i="7"/>
  <c r="L191" i="7"/>
  <c r="M191" i="7"/>
  <c r="P191" i="7"/>
  <c r="J192" i="7"/>
  <c r="K192" i="7"/>
  <c r="L192" i="7"/>
  <c r="M192" i="7"/>
  <c r="N192" i="7"/>
  <c r="O192" i="7"/>
  <c r="P192" i="7"/>
  <c r="H192" i="7"/>
  <c r="D192" i="7"/>
  <c r="E192" i="7" s="1"/>
  <c r="F192" i="7"/>
  <c r="G192" i="7"/>
  <c r="I192" i="7"/>
  <c r="F193" i="7"/>
  <c r="G193" i="7"/>
  <c r="H193" i="7"/>
  <c r="I193" i="7"/>
  <c r="J193" i="7"/>
  <c r="K193" i="7"/>
  <c r="L193" i="7"/>
  <c r="N193" i="7"/>
  <c r="M193" i="7"/>
  <c r="P193" i="7"/>
  <c r="O193" i="7"/>
  <c r="D193" i="7"/>
  <c r="E193" i="7" s="1"/>
  <c r="H194" i="7"/>
  <c r="I194" i="7"/>
  <c r="J194" i="7"/>
  <c r="K194" i="7"/>
  <c r="L194" i="7"/>
  <c r="M194" i="7"/>
  <c r="N194" i="7"/>
  <c r="O194" i="7"/>
  <c r="P194" i="7"/>
  <c r="F194" i="7"/>
  <c r="G194" i="7"/>
  <c r="D194" i="7"/>
  <c r="E194" i="7" s="1"/>
  <c r="L195" i="7"/>
  <c r="K195" i="7"/>
  <c r="G195" i="7"/>
  <c r="I195" i="7"/>
  <c r="D195" i="7"/>
  <c r="E195" i="7" s="1"/>
  <c r="O195" i="7"/>
  <c r="H195" i="7"/>
  <c r="F195" i="7"/>
  <c r="P195" i="7"/>
  <c r="N195" i="7"/>
  <c r="M195" i="7"/>
  <c r="J195" i="7"/>
  <c r="O196" i="7"/>
  <c r="P196" i="7"/>
  <c r="L196" i="7"/>
  <c r="D196" i="7"/>
  <c r="E196" i="7" s="1"/>
  <c r="F196" i="7"/>
  <c r="G196" i="7"/>
  <c r="H196" i="7"/>
  <c r="I196" i="7"/>
  <c r="J196" i="7"/>
  <c r="K196" i="7"/>
  <c r="M196" i="7"/>
  <c r="N196" i="7"/>
  <c r="H197" i="7"/>
  <c r="I197" i="7"/>
  <c r="J197" i="7"/>
  <c r="K197" i="7"/>
  <c r="L197" i="7"/>
  <c r="M197" i="7"/>
  <c r="N197" i="7"/>
  <c r="O197" i="7"/>
  <c r="D197" i="7"/>
  <c r="E197" i="7" s="1"/>
  <c r="P197" i="7"/>
  <c r="G197" i="7"/>
  <c r="F197" i="7"/>
  <c r="L198" i="7"/>
  <c r="P198" i="7"/>
  <c r="O198" i="7"/>
  <c r="N198" i="7"/>
  <c r="M198" i="7"/>
  <c r="K198" i="7"/>
  <c r="J198" i="7"/>
  <c r="H198" i="7"/>
  <c r="D198" i="7"/>
  <c r="E198" i="7" s="1"/>
  <c r="F198" i="7"/>
  <c r="G198" i="7"/>
  <c r="I198" i="7"/>
  <c r="J199" i="7"/>
  <c r="I199" i="7"/>
  <c r="H199" i="7"/>
  <c r="G199" i="7"/>
  <c r="F199" i="7"/>
  <c r="D199" i="7"/>
  <c r="E199" i="7" s="1"/>
  <c r="O199" i="7"/>
  <c r="N199" i="7"/>
  <c r="M199" i="7"/>
  <c r="P199" i="7"/>
  <c r="L199" i="7"/>
  <c r="K199" i="7"/>
  <c r="P200" i="7"/>
  <c r="O200" i="7"/>
  <c r="N200" i="7"/>
  <c r="M200" i="7"/>
  <c r="L200" i="7"/>
  <c r="K200" i="7"/>
  <c r="J200" i="7"/>
  <c r="I200" i="7"/>
  <c r="D200" i="7"/>
  <c r="E200" i="7" s="1"/>
  <c r="F200" i="7"/>
  <c r="G200" i="7"/>
  <c r="H200" i="7"/>
  <c r="J201" i="7"/>
  <c r="L201" i="7"/>
  <c r="I201" i="7"/>
  <c r="D201" i="7"/>
  <c r="E201" i="7" s="1"/>
  <c r="F201" i="7"/>
  <c r="G201" i="7"/>
  <c r="H201" i="7"/>
  <c r="K201" i="7"/>
  <c r="M201" i="7"/>
  <c r="N201" i="7"/>
  <c r="O201" i="7"/>
  <c r="P201" i="7"/>
  <c r="N202" i="7"/>
  <c r="I202" i="7"/>
  <c r="J202" i="7"/>
  <c r="M202" i="7"/>
  <c r="L202" i="7"/>
  <c r="O202" i="7"/>
  <c r="K202" i="7"/>
  <c r="D202" i="7"/>
  <c r="E202" i="7" s="1"/>
  <c r="F202" i="7"/>
  <c r="G202" i="7"/>
  <c r="P202" i="7"/>
  <c r="H202" i="7"/>
  <c r="D203" i="7"/>
  <c r="J203" i="7"/>
  <c r="K203" i="7"/>
  <c r="L203" i="7"/>
  <c r="M203" i="7"/>
  <c r="N203" i="7"/>
  <c r="O203" i="7"/>
  <c r="P203" i="7"/>
  <c r="E203" i="7"/>
  <c r="F203" i="7"/>
  <c r="G203" i="7"/>
  <c r="I203" i="7"/>
  <c r="H203" i="7"/>
  <c r="P204" i="7"/>
  <c r="O204" i="7"/>
  <c r="N204" i="7"/>
  <c r="M204" i="7"/>
  <c r="L204" i="7"/>
  <c r="I204" i="7"/>
  <c r="F204" i="7"/>
  <c r="G204" i="7"/>
  <c r="H204" i="7"/>
  <c r="J204" i="7"/>
  <c r="K204" i="7"/>
  <c r="D204" i="7"/>
  <c r="E204" i="7" s="1"/>
  <c r="F205" i="7"/>
  <c r="D205" i="7"/>
  <c r="E205" i="7" s="1"/>
  <c r="P205" i="7"/>
  <c r="O205" i="7"/>
  <c r="G205" i="7"/>
  <c r="N205" i="7"/>
  <c r="M205" i="7"/>
  <c r="L205" i="7"/>
  <c r="J205" i="7"/>
  <c r="I205" i="7"/>
  <c r="H205" i="7"/>
  <c r="K205" i="7"/>
  <c r="J206" i="7"/>
  <c r="P206" i="7"/>
  <c r="D206" i="7"/>
  <c r="E206" i="7" s="1"/>
  <c r="F206" i="7"/>
  <c r="G206" i="7"/>
  <c r="H206" i="7"/>
  <c r="I206" i="7"/>
  <c r="K206" i="7"/>
  <c r="L206" i="7"/>
  <c r="M206" i="7"/>
  <c r="N206" i="7"/>
  <c r="O206" i="7"/>
  <c r="H207" i="7"/>
  <c r="I207" i="7"/>
  <c r="J207" i="7"/>
  <c r="K207" i="7"/>
  <c r="L207" i="7"/>
  <c r="M207" i="7"/>
  <c r="N207" i="7"/>
  <c r="P207" i="7"/>
  <c r="O207" i="7"/>
  <c r="D207" i="7"/>
  <c r="E207" i="7" s="1"/>
  <c r="F207" i="7"/>
  <c r="G207" i="7"/>
  <c r="P208" i="7"/>
  <c r="D208" i="7"/>
  <c r="E208" i="7" s="1"/>
  <c r="M208" i="7"/>
  <c r="F208" i="7"/>
  <c r="G208" i="7"/>
  <c r="H208" i="7"/>
  <c r="O208" i="7"/>
  <c r="N208" i="7"/>
  <c r="L208" i="7"/>
  <c r="K208" i="7"/>
  <c r="J208" i="7"/>
  <c r="I208" i="7"/>
  <c r="N209" i="7"/>
  <c r="D209" i="7"/>
  <c r="E209" i="7" s="1"/>
  <c r="M209" i="7"/>
  <c r="L209" i="7"/>
  <c r="K209" i="7"/>
  <c r="H209" i="7"/>
  <c r="I209" i="7"/>
  <c r="J209" i="7"/>
  <c r="F209" i="7"/>
  <c r="G209" i="7"/>
  <c r="P209" i="7"/>
  <c r="O209" i="7"/>
  <c r="K210" i="7"/>
  <c r="J210" i="7"/>
  <c r="I210" i="7"/>
  <c r="H210" i="7"/>
  <c r="G210" i="7"/>
  <c r="D210" i="7"/>
  <c r="E210" i="7" s="1"/>
  <c r="F210" i="7"/>
  <c r="P210" i="7"/>
  <c r="O210" i="7"/>
  <c r="N210" i="7"/>
  <c r="M210" i="7"/>
  <c r="L210" i="7"/>
  <c r="O211" i="7"/>
  <c r="G211" i="7"/>
  <c r="N211" i="7"/>
  <c r="M211" i="7"/>
  <c r="L211" i="7"/>
  <c r="J211" i="7"/>
  <c r="D211" i="7"/>
  <c r="E211" i="7" s="1"/>
  <c r="F211" i="7"/>
  <c r="K211" i="7"/>
  <c r="P211" i="7"/>
  <c r="I211" i="7"/>
  <c r="H211" i="7"/>
  <c r="F212" i="7"/>
  <c r="J212" i="7"/>
  <c r="K212" i="7"/>
  <c r="L212" i="7"/>
  <c r="M212" i="7"/>
  <c r="N212" i="7"/>
  <c r="G212" i="7"/>
  <c r="H212" i="7"/>
  <c r="I212" i="7"/>
  <c r="O212" i="7"/>
  <c r="D212" i="7"/>
  <c r="E212" i="7" s="1"/>
  <c r="P212" i="7"/>
  <c r="O213" i="7"/>
  <c r="N213" i="7"/>
  <c r="M213" i="7"/>
  <c r="L213" i="7"/>
  <c r="K213" i="7"/>
  <c r="J213" i="7"/>
  <c r="I213" i="7"/>
  <c r="H213" i="7"/>
  <c r="G213" i="7"/>
  <c r="D213" i="7"/>
  <c r="E213" i="7" s="1"/>
  <c r="F213" i="7"/>
  <c r="P213" i="7"/>
  <c r="L147" i="7"/>
  <c r="M147" i="7"/>
  <c r="N147" i="7"/>
  <c r="O147" i="7"/>
  <c r="P147" i="7"/>
  <c r="D147" i="7"/>
  <c r="E147" i="7" s="1"/>
  <c r="G147" i="7"/>
  <c r="F147" i="7"/>
  <c r="H147" i="7"/>
  <c r="I147" i="7"/>
  <c r="J147" i="7"/>
  <c r="K147" i="7"/>
  <c r="H150" i="7"/>
  <c r="P150" i="7"/>
  <c r="G150" i="7"/>
  <c r="F150" i="7"/>
  <c r="D150" i="7"/>
  <c r="E150" i="7" s="1"/>
  <c r="M150" i="7"/>
  <c r="O150" i="7"/>
  <c r="N150" i="7"/>
  <c r="L150" i="7"/>
  <c r="K150" i="7"/>
  <c r="J150" i="7"/>
  <c r="I150" i="7"/>
  <c r="O151" i="7"/>
  <c r="F151" i="7"/>
  <c r="I151" i="7"/>
  <c r="J151" i="7"/>
  <c r="K151" i="7"/>
  <c r="L151" i="7"/>
  <c r="M151" i="7"/>
  <c r="N151" i="7"/>
  <c r="D151" i="7"/>
  <c r="E151" i="7" s="1"/>
  <c r="P151" i="7"/>
  <c r="H151" i="7"/>
  <c r="G151" i="7"/>
  <c r="G152" i="7"/>
  <c r="F152" i="7"/>
  <c r="D152" i="7"/>
  <c r="E152" i="7" s="1"/>
  <c r="L152" i="7"/>
  <c r="J152" i="7"/>
  <c r="P152" i="7"/>
  <c r="O152" i="7"/>
  <c r="K152" i="7"/>
  <c r="I152" i="7"/>
  <c r="H152" i="7"/>
  <c r="M152" i="7"/>
  <c r="N152" i="7"/>
  <c r="H153" i="7"/>
  <c r="I153" i="7"/>
  <c r="J153" i="7"/>
  <c r="K153" i="7"/>
  <c r="M153" i="7"/>
  <c r="N153" i="7"/>
  <c r="P153" i="7"/>
  <c r="O153" i="7"/>
  <c r="D153" i="7"/>
  <c r="E153" i="7" s="1"/>
  <c r="F153" i="7"/>
  <c r="G153" i="7"/>
  <c r="L153" i="7"/>
  <c r="F214" i="7"/>
  <c r="J214" i="7"/>
  <c r="D214" i="7"/>
  <c r="E214" i="7" s="1"/>
  <c r="M214" i="7"/>
  <c r="O214" i="7"/>
  <c r="P214" i="7"/>
  <c r="N214" i="7"/>
  <c r="L214" i="7"/>
  <c r="K214" i="7"/>
  <c r="I214" i="7"/>
  <c r="H214" i="7"/>
  <c r="G214" i="7"/>
  <c r="J215" i="7"/>
  <c r="I215" i="7"/>
  <c r="P215" i="7"/>
  <c r="F215" i="7"/>
  <c r="N215" i="7"/>
  <c r="O215" i="7"/>
  <c r="L215" i="7"/>
  <c r="K215" i="7"/>
  <c r="H215" i="7"/>
  <c r="D215" i="7"/>
  <c r="E215" i="7" s="1"/>
  <c r="G215" i="7"/>
  <c r="M215" i="7"/>
  <c r="P216" i="7"/>
  <c r="G216" i="7"/>
  <c r="M216" i="7"/>
  <c r="K216" i="7"/>
  <c r="O216" i="7"/>
  <c r="L216" i="7"/>
  <c r="I216" i="7"/>
  <c r="F216" i="7"/>
  <c r="H216" i="7"/>
  <c r="J216" i="7"/>
  <c r="D216" i="7"/>
  <c r="E216" i="7" s="1"/>
  <c r="N216" i="7"/>
  <c r="J217" i="7"/>
  <c r="H217" i="7"/>
  <c r="F217" i="7"/>
  <c r="P217" i="7"/>
  <c r="O217" i="7"/>
  <c r="N217" i="7"/>
  <c r="M217" i="7"/>
  <c r="K217" i="7"/>
  <c r="I217" i="7"/>
  <c r="G217" i="7"/>
  <c r="D217" i="7"/>
  <c r="E217" i="7" s="1"/>
  <c r="L217" i="7"/>
  <c r="I218" i="7"/>
  <c r="K218" i="7"/>
  <c r="O218" i="7"/>
  <c r="D218" i="7"/>
  <c r="E218" i="7"/>
  <c r="F218" i="7"/>
  <c r="G218" i="7"/>
  <c r="H218" i="7"/>
  <c r="J218" i="7"/>
  <c r="L218" i="7"/>
  <c r="M218" i="7"/>
  <c r="N218" i="7"/>
  <c r="P218" i="7"/>
  <c r="L219" i="7"/>
  <c r="K219" i="7"/>
  <c r="O219" i="7"/>
  <c r="M219" i="7"/>
  <c r="N219" i="7"/>
  <c r="P219" i="7"/>
  <c r="F219" i="7"/>
  <c r="D219" i="7"/>
  <c r="E219" i="7"/>
  <c r="G219" i="7"/>
  <c r="H219" i="7"/>
  <c r="I219" i="7"/>
  <c r="J219" i="7"/>
  <c r="O220" i="7"/>
  <c r="N220" i="7"/>
  <c r="M220" i="7"/>
  <c r="L220" i="7"/>
  <c r="K220" i="7"/>
  <c r="J220" i="7"/>
  <c r="I220" i="7"/>
  <c r="H220" i="7"/>
  <c r="G220" i="7"/>
  <c r="F220" i="7"/>
  <c r="D220" i="7"/>
  <c r="E220" i="7" s="1"/>
  <c r="P220" i="7"/>
  <c r="L221" i="7"/>
  <c r="K221" i="7"/>
  <c r="J221" i="7"/>
  <c r="I221" i="7"/>
  <c r="H221" i="7"/>
  <c r="G221" i="7"/>
  <c r="N221" i="7"/>
  <c r="F221" i="7"/>
  <c r="O221" i="7"/>
  <c r="D221" i="7"/>
  <c r="E221" i="7" s="1"/>
  <c r="P221" i="7"/>
  <c r="M221" i="7"/>
  <c r="G222" i="7"/>
  <c r="H222" i="7"/>
  <c r="I222" i="7"/>
  <c r="J222" i="7"/>
  <c r="K222" i="7"/>
  <c r="L222" i="7"/>
  <c r="M222" i="7"/>
  <c r="N222" i="7"/>
  <c r="O222" i="7"/>
  <c r="P222" i="7"/>
  <c r="F222" i="7"/>
  <c r="D222" i="7"/>
  <c r="E222" i="7" s="1"/>
  <c r="I223" i="7"/>
  <c r="J223" i="7"/>
  <c r="H223" i="7"/>
  <c r="G223" i="7"/>
  <c r="F223" i="7"/>
  <c r="D223" i="7"/>
  <c r="E223" i="7" s="1"/>
  <c r="K223" i="7"/>
  <c r="L223" i="7"/>
  <c r="M223" i="7"/>
  <c r="N223" i="7"/>
  <c r="O223" i="7"/>
  <c r="P223" i="7"/>
  <c r="D224" i="7"/>
  <c r="E224" i="7" s="1"/>
  <c r="F224" i="7"/>
  <c r="G224" i="7"/>
  <c r="H224" i="7"/>
  <c r="I224" i="7"/>
  <c r="K224" i="7"/>
  <c r="J224" i="7"/>
  <c r="L224" i="7"/>
  <c r="M224" i="7"/>
  <c r="N224" i="7"/>
  <c r="O224" i="7"/>
  <c r="P224" i="7"/>
  <c r="I225" i="7"/>
  <c r="H225" i="7"/>
  <c r="G225" i="7"/>
  <c r="F225" i="7"/>
  <c r="D225" i="7"/>
  <c r="E225" i="7" s="1"/>
  <c r="J225" i="7"/>
  <c r="O225" i="7"/>
  <c r="N225" i="7"/>
  <c r="M225" i="7"/>
  <c r="L225" i="7"/>
  <c r="K225" i="7"/>
  <c r="P225" i="7"/>
  <c r="K226" i="7"/>
  <c r="L226" i="7"/>
  <c r="M226" i="7"/>
  <c r="N226" i="7"/>
  <c r="P226" i="7"/>
  <c r="O226" i="7"/>
  <c r="D226" i="7"/>
  <c r="E226" i="7" s="1"/>
  <c r="F226" i="7"/>
  <c r="G226" i="7"/>
  <c r="H226" i="7"/>
  <c r="I226" i="7"/>
  <c r="J226" i="7"/>
  <c r="K227" i="7"/>
  <c r="L227" i="7"/>
  <c r="M227" i="7"/>
  <c r="N227" i="7"/>
  <c r="P227" i="7"/>
  <c r="O227" i="7"/>
  <c r="D227" i="7"/>
  <c r="E227" i="7" s="1"/>
  <c r="F227" i="7"/>
  <c r="G227" i="7"/>
  <c r="H227" i="7"/>
  <c r="I227" i="7"/>
  <c r="J227" i="7"/>
  <c r="I228" i="7"/>
  <c r="J228" i="7"/>
  <c r="H228" i="7"/>
  <c r="O228" i="7"/>
  <c r="N228" i="7"/>
  <c r="M228" i="7"/>
  <c r="P228" i="7"/>
  <c r="L228" i="7"/>
  <c r="K228" i="7"/>
  <c r="G228" i="7"/>
  <c r="F228" i="7"/>
  <c r="D228" i="7"/>
  <c r="E228" i="7" s="1"/>
  <c r="L12" i="7"/>
  <c r="H12" i="7"/>
  <c r="O12" i="7"/>
  <c r="D12" i="7"/>
  <c r="E12" i="7" s="1"/>
  <c r="F12" i="7"/>
  <c r="G12" i="7"/>
  <c r="I12" i="7"/>
  <c r="J12" i="7"/>
  <c r="K12" i="7"/>
  <c r="M12" i="7"/>
  <c r="N12" i="7"/>
  <c r="P12" i="7"/>
  <c r="F16" i="7"/>
  <c r="G16" i="7"/>
  <c r="H16" i="7"/>
  <c r="I16" i="7"/>
  <c r="K16" i="7"/>
  <c r="L16" i="7"/>
  <c r="M16" i="7"/>
  <c r="P16" i="7"/>
  <c r="O16" i="7"/>
  <c r="J16" i="7"/>
  <c r="N16" i="7"/>
  <c r="D16" i="7"/>
  <c r="E16" i="7" s="1"/>
  <c r="D8" i="7"/>
  <c r="E8" i="7" s="1"/>
  <c r="F8" i="7"/>
  <c r="N8" i="7"/>
  <c r="I8" i="7"/>
  <c r="J8" i="7"/>
  <c r="K8" i="7"/>
  <c r="L8" i="7"/>
  <c r="M8" i="7"/>
  <c r="P8" i="7"/>
  <c r="O8" i="7"/>
  <c r="H8" i="7"/>
  <c r="G8" i="7"/>
  <c r="K11" i="7"/>
  <c r="J11" i="7"/>
  <c r="H11" i="7"/>
  <c r="G11" i="7"/>
  <c r="F11" i="7"/>
  <c r="D11" i="7"/>
  <c r="E11" i="7" s="1"/>
  <c r="I11" i="7"/>
  <c r="P11" i="7"/>
  <c r="O11" i="7"/>
  <c r="N11" i="7"/>
  <c r="M11" i="7"/>
  <c r="L11" i="7"/>
  <c r="J15" i="7"/>
  <c r="N15" i="7"/>
  <c r="D15" i="7"/>
  <c r="E15" i="7" s="1"/>
  <c r="O15" i="7"/>
  <c r="G15" i="7"/>
  <c r="H15" i="7"/>
  <c r="I15" i="7"/>
  <c r="F15" i="7"/>
  <c r="P15" i="7"/>
  <c r="K15" i="7"/>
  <c r="L15" i="7"/>
  <c r="M15" i="7"/>
  <c r="J66" i="7"/>
  <c r="K66" i="7"/>
  <c r="M66" i="7"/>
  <c r="N66" i="7"/>
  <c r="O66" i="7"/>
  <c r="L66" i="7"/>
  <c r="P66" i="7"/>
  <c r="D66" i="7"/>
  <c r="E66" i="7" s="1"/>
  <c r="F66" i="7"/>
  <c r="H66" i="7"/>
  <c r="I66" i="7"/>
  <c r="G66" i="7"/>
  <c r="N121" i="7"/>
  <c r="G121" i="7"/>
  <c r="H121" i="7"/>
  <c r="K121" i="7"/>
  <c r="M121" i="7"/>
  <c r="P121" i="7"/>
  <c r="J121" i="7"/>
  <c r="L121" i="7"/>
  <c r="F121" i="7"/>
  <c r="I121" i="7"/>
  <c r="O121" i="7"/>
  <c r="D121" i="7"/>
  <c r="E121" i="7" s="1"/>
  <c r="K134" i="7"/>
  <c r="F134" i="7"/>
  <c r="G134" i="7"/>
  <c r="J134" i="7"/>
  <c r="P134" i="7"/>
  <c r="M134" i="7"/>
  <c r="O134" i="7"/>
  <c r="I134" i="7"/>
  <c r="H134" i="7"/>
  <c r="D134" i="7"/>
  <c r="E134" i="7" s="1"/>
  <c r="L134" i="7"/>
  <c r="N134" i="7"/>
  <c r="D137" i="7"/>
  <c r="E137" i="7" s="1"/>
  <c r="F137" i="7"/>
  <c r="G137" i="7"/>
  <c r="H137" i="7"/>
  <c r="I137" i="7"/>
  <c r="K137" i="7"/>
  <c r="L137" i="7"/>
  <c r="M137" i="7"/>
  <c r="N137" i="7"/>
  <c r="O137" i="7"/>
  <c r="J137" i="7"/>
  <c r="P137" i="7"/>
  <c r="K234" i="7"/>
  <c r="J234" i="7"/>
  <c r="I234" i="7"/>
  <c r="H234" i="7"/>
  <c r="G234" i="7"/>
  <c r="F234" i="7"/>
  <c r="L234" i="7"/>
  <c r="O234" i="7"/>
  <c r="N234" i="7"/>
  <c r="M234" i="7"/>
  <c r="D234" i="7"/>
  <c r="E234" i="7" s="1"/>
  <c r="P234" i="7"/>
  <c r="L243" i="7"/>
  <c r="G243" i="7"/>
  <c r="K243" i="7"/>
  <c r="J243" i="7"/>
  <c r="D243" i="7"/>
  <c r="E243" i="7" s="1"/>
  <c r="P243" i="7"/>
  <c r="O243" i="7"/>
  <c r="M243" i="7"/>
  <c r="F243" i="7"/>
  <c r="N243" i="7"/>
  <c r="I243" i="7"/>
  <c r="H243" i="7"/>
  <c r="F252" i="7"/>
  <c r="M252" i="7"/>
  <c r="N252" i="7"/>
  <c r="O252" i="7"/>
  <c r="P252" i="7"/>
  <c r="L252" i="7"/>
  <c r="K252" i="7"/>
  <c r="J252" i="7"/>
  <c r="I252" i="7"/>
  <c r="H252" i="7"/>
  <c r="G252" i="7"/>
  <c r="D252" i="7"/>
  <c r="E252" i="7" s="1"/>
  <c r="D260" i="7"/>
  <c r="E260" i="7" s="1"/>
  <c r="F260" i="7"/>
  <c r="G260" i="7"/>
  <c r="H260" i="7"/>
  <c r="I260" i="7"/>
  <c r="J260" i="7"/>
  <c r="N260" i="7"/>
  <c r="M260" i="7"/>
  <c r="L260" i="7"/>
  <c r="P260" i="7"/>
  <c r="O260" i="7"/>
  <c r="K260" i="7"/>
  <c r="M269" i="7"/>
  <c r="F269" i="7"/>
  <c r="P269" i="7"/>
  <c r="O269" i="7"/>
  <c r="N269" i="7"/>
  <c r="L269" i="7"/>
  <c r="K269" i="7"/>
  <c r="J269" i="7"/>
  <c r="I269" i="7"/>
  <c r="H269" i="7"/>
  <c r="G269" i="7"/>
  <c r="D269" i="7"/>
  <c r="E269" i="7" s="1"/>
  <c r="M277" i="7"/>
  <c r="N277" i="7"/>
  <c r="P277" i="7"/>
  <c r="D277" i="7"/>
  <c r="E277" i="7" s="1"/>
  <c r="F277" i="7"/>
  <c r="G277" i="7"/>
  <c r="J277" i="7"/>
  <c r="H277" i="7"/>
  <c r="I277" i="7"/>
  <c r="K277" i="7"/>
  <c r="O277" i="7"/>
  <c r="L277" i="7"/>
  <c r="N288" i="7"/>
  <c r="O288" i="7"/>
  <c r="K288" i="7"/>
  <c r="D288" i="7"/>
  <c r="E288" i="7" s="1"/>
  <c r="I288" i="7"/>
  <c r="M288" i="7"/>
  <c r="L288" i="7"/>
  <c r="F288" i="7"/>
  <c r="P288" i="7"/>
  <c r="H288" i="7"/>
  <c r="J288" i="7"/>
  <c r="G288" i="7"/>
  <c r="J68" i="7"/>
  <c r="K68" i="7"/>
  <c r="L68" i="7"/>
  <c r="M68" i="7"/>
  <c r="N68" i="7"/>
  <c r="O68" i="7"/>
  <c r="P68" i="7"/>
  <c r="G68" i="7"/>
  <c r="D68" i="7"/>
  <c r="E68" i="7"/>
  <c r="F68" i="7"/>
  <c r="H68" i="7"/>
  <c r="I68" i="7"/>
  <c r="M125" i="7"/>
  <c r="J125" i="7"/>
  <c r="F125" i="7"/>
  <c r="I125" i="7"/>
  <c r="K125" i="7"/>
  <c r="N125" i="7"/>
  <c r="G125" i="7"/>
  <c r="H125" i="7"/>
  <c r="D125" i="7"/>
  <c r="E125" i="7" s="1"/>
  <c r="L125" i="7"/>
  <c r="P125" i="7"/>
  <c r="O125" i="7"/>
  <c r="H138" i="7"/>
  <c r="K138" i="7"/>
  <c r="J138" i="7"/>
  <c r="P138" i="7"/>
  <c r="N138" i="7"/>
  <c r="L138" i="7"/>
  <c r="G138" i="7"/>
  <c r="D138" i="7"/>
  <c r="E138" i="7" s="1"/>
  <c r="F138" i="7"/>
  <c r="I138" i="7"/>
  <c r="O138" i="7"/>
  <c r="M138" i="7"/>
  <c r="M232" i="7"/>
  <c r="L232" i="7"/>
  <c r="N232" i="7"/>
  <c r="O232" i="7"/>
  <c r="G232" i="7"/>
  <c r="P232" i="7"/>
  <c r="H232" i="7"/>
  <c r="D232" i="7"/>
  <c r="E232" i="7" s="1"/>
  <c r="F232" i="7"/>
  <c r="I232" i="7"/>
  <c r="J232" i="7"/>
  <c r="K232" i="7"/>
  <c r="K244" i="7"/>
  <c r="D244" i="7"/>
  <c r="E244" i="7" s="1"/>
  <c r="F244" i="7"/>
  <c r="G244" i="7"/>
  <c r="H244" i="7"/>
  <c r="I244" i="7"/>
  <c r="J244" i="7"/>
  <c r="L244" i="7"/>
  <c r="M244" i="7"/>
  <c r="N244" i="7"/>
  <c r="O244" i="7"/>
  <c r="P244" i="7"/>
  <c r="K256" i="7"/>
  <c r="D256" i="7"/>
  <c r="E256" i="7" s="1"/>
  <c r="F256" i="7"/>
  <c r="G256" i="7"/>
  <c r="H256" i="7"/>
  <c r="I256" i="7"/>
  <c r="P256" i="7"/>
  <c r="N256" i="7"/>
  <c r="O256" i="7"/>
  <c r="J256" i="7"/>
  <c r="M256" i="7"/>
  <c r="L256" i="7"/>
  <c r="F270" i="7"/>
  <c r="D270" i="7"/>
  <c r="E270" i="7" s="1"/>
  <c r="P270" i="7"/>
  <c r="O270" i="7"/>
  <c r="N270" i="7"/>
  <c r="M270" i="7"/>
  <c r="L270" i="7"/>
  <c r="K270" i="7"/>
  <c r="J270" i="7"/>
  <c r="I270" i="7"/>
  <c r="H270" i="7"/>
  <c r="G270" i="7"/>
  <c r="N281" i="7"/>
  <c r="O281" i="7"/>
  <c r="P281" i="7"/>
  <c r="F281" i="7"/>
  <c r="D281" i="7"/>
  <c r="E281" i="7" s="1"/>
  <c r="G281" i="7"/>
  <c r="H281" i="7"/>
  <c r="I281" i="7"/>
  <c r="J281" i="7"/>
  <c r="K281" i="7"/>
  <c r="L281" i="7"/>
  <c r="M281" i="7"/>
  <c r="F294" i="7"/>
  <c r="H294" i="7"/>
  <c r="I294" i="7"/>
  <c r="D294" i="7"/>
  <c r="E294" i="7" s="1"/>
  <c r="G294" i="7"/>
  <c r="P237" i="7"/>
  <c r="I237" i="7"/>
  <c r="K237" i="7"/>
  <c r="J237" i="7"/>
  <c r="N237" i="7"/>
  <c r="O237" i="7"/>
  <c r="M237" i="7"/>
  <c r="L237" i="7"/>
  <c r="H237" i="7"/>
  <c r="G237" i="7"/>
  <c r="F237" i="7"/>
  <c r="D237" i="7"/>
  <c r="E237" i="7" s="1"/>
  <c r="J229" i="7"/>
  <c r="L229" i="7"/>
  <c r="N229" i="7"/>
  <c r="O229" i="7"/>
  <c r="F229" i="7"/>
  <c r="K229" i="7"/>
  <c r="M229" i="7"/>
  <c r="P229" i="7"/>
  <c r="H229" i="7"/>
  <c r="I229" i="7"/>
  <c r="G229" i="7"/>
  <c r="D229" i="7"/>
  <c r="E229" i="7" s="1"/>
  <c r="F139" i="7"/>
  <c r="K139" i="7"/>
  <c r="J139" i="7"/>
  <c r="N139" i="7"/>
  <c r="D139" i="7"/>
  <c r="E139" i="7" s="1"/>
  <c r="G139" i="7"/>
  <c r="P139" i="7"/>
  <c r="L139" i="7"/>
  <c r="O139" i="7"/>
  <c r="M139" i="7"/>
  <c r="H139" i="7"/>
  <c r="I139" i="7"/>
  <c r="P124" i="7"/>
  <c r="G124" i="7"/>
  <c r="F124" i="7"/>
  <c r="O124" i="7"/>
  <c r="L124" i="7"/>
  <c r="I124" i="7"/>
  <c r="D124" i="7"/>
  <c r="E124" i="7" s="1"/>
  <c r="H124" i="7"/>
  <c r="J124" i="7"/>
  <c r="K124" i="7"/>
  <c r="N124" i="7"/>
  <c r="M124" i="7"/>
  <c r="L67" i="7"/>
  <c r="K67" i="7"/>
  <c r="O67" i="7"/>
  <c r="N67" i="7"/>
  <c r="P67" i="7"/>
  <c r="F67" i="7"/>
  <c r="G67" i="7"/>
  <c r="M67" i="7"/>
  <c r="D67" i="7"/>
  <c r="E67" i="7" s="1"/>
  <c r="I67" i="7"/>
  <c r="J67" i="7"/>
  <c r="H67" i="7"/>
  <c r="J50" i="7"/>
  <c r="K50" i="7"/>
  <c r="L50" i="7"/>
  <c r="P50" i="7"/>
  <c r="M50" i="7"/>
  <c r="N50" i="7"/>
  <c r="O50" i="7"/>
  <c r="G50" i="7"/>
  <c r="D50" i="7"/>
  <c r="E50" i="7" s="1"/>
  <c r="F50" i="7"/>
  <c r="H50" i="7"/>
  <c r="I50" i="7"/>
  <c r="L7" i="7"/>
  <c r="K7" i="7"/>
  <c r="J7" i="7"/>
  <c r="I7" i="7"/>
  <c r="H7" i="7"/>
  <c r="F7" i="7"/>
  <c r="D7" i="7"/>
  <c r="E7" i="7" s="1"/>
  <c r="P7" i="7"/>
  <c r="O7" i="7"/>
  <c r="N7" i="7"/>
  <c r="G7" i="7"/>
  <c r="M7" i="7"/>
  <c r="D290" i="7"/>
  <c r="E290" i="7" s="1"/>
  <c r="P290" i="7"/>
  <c r="L290" i="7"/>
  <c r="M290" i="7"/>
  <c r="J290" i="7"/>
  <c r="H290" i="7"/>
  <c r="K290" i="7"/>
  <c r="O290" i="7"/>
  <c r="F290" i="7"/>
  <c r="I290" i="7"/>
  <c r="G290" i="7"/>
  <c r="N290" i="7"/>
  <c r="J282" i="7"/>
  <c r="K282" i="7"/>
  <c r="L282" i="7"/>
  <c r="M282" i="7"/>
  <c r="N282" i="7"/>
  <c r="O282" i="7"/>
  <c r="P282" i="7"/>
  <c r="D282" i="7"/>
  <c r="E282" i="7" s="1"/>
  <c r="F282" i="7"/>
  <c r="G282" i="7"/>
  <c r="H282" i="7"/>
  <c r="I282" i="7"/>
  <c r="I273" i="7"/>
  <c r="K273" i="7"/>
  <c r="L273" i="7"/>
  <c r="M273" i="7"/>
  <c r="N273" i="7"/>
  <c r="O273" i="7"/>
  <c r="P273" i="7"/>
  <c r="D273" i="7"/>
  <c r="E273" i="7" s="1"/>
  <c r="F273" i="7"/>
  <c r="G273" i="7"/>
  <c r="H273" i="7"/>
  <c r="J273" i="7"/>
  <c r="M263" i="7"/>
  <c r="L263" i="7"/>
  <c r="K263" i="7"/>
  <c r="I263" i="7"/>
  <c r="H263" i="7"/>
  <c r="G263" i="7"/>
  <c r="F263" i="7"/>
  <c r="D263" i="7"/>
  <c r="E263" i="7" s="1"/>
  <c r="P263" i="7"/>
  <c r="O263" i="7"/>
  <c r="N263" i="7"/>
  <c r="J263" i="7"/>
  <c r="P253" i="7"/>
  <c r="F253" i="7"/>
  <c r="D253" i="7"/>
  <c r="E253" i="7" s="1"/>
  <c r="G253" i="7"/>
  <c r="H253" i="7"/>
  <c r="I253" i="7"/>
  <c r="J253" i="7"/>
  <c r="K253" i="7"/>
  <c r="L253" i="7"/>
  <c r="M253" i="7"/>
  <c r="N253" i="7"/>
  <c r="O253" i="7"/>
  <c r="G245" i="7"/>
  <c r="H245" i="7"/>
  <c r="F245" i="7"/>
  <c r="D245" i="7"/>
  <c r="E245" i="7" s="1"/>
  <c r="P245" i="7"/>
  <c r="O245" i="7"/>
  <c r="N245" i="7"/>
  <c r="M245" i="7"/>
  <c r="L245" i="7"/>
  <c r="K245" i="7"/>
  <c r="J245" i="7"/>
  <c r="I245" i="7"/>
  <c r="I235" i="7"/>
  <c r="F235" i="7"/>
  <c r="G235" i="7"/>
  <c r="H235" i="7"/>
  <c r="J235" i="7"/>
  <c r="K235" i="7"/>
  <c r="L235" i="7"/>
  <c r="M235" i="7"/>
  <c r="N235" i="7"/>
  <c r="O235" i="7"/>
  <c r="P235" i="7"/>
  <c r="D235" i="7"/>
  <c r="E235" i="7" s="1"/>
  <c r="P130" i="7"/>
  <c r="O130" i="7"/>
  <c r="L130" i="7"/>
  <c r="N130" i="7"/>
  <c r="M130" i="7"/>
  <c r="K130" i="7"/>
  <c r="J130" i="7"/>
  <c r="I130" i="7"/>
  <c r="H130" i="7"/>
  <c r="F130" i="7"/>
  <c r="D130" i="7"/>
  <c r="E130" i="7" s="1"/>
  <c r="G130" i="7"/>
  <c r="O131" i="7"/>
  <c r="N131" i="7"/>
  <c r="K131" i="7"/>
  <c r="F131" i="7"/>
  <c r="J131" i="7"/>
  <c r="M131" i="7"/>
  <c r="I131" i="7"/>
  <c r="L131" i="7"/>
  <c r="D131" i="7"/>
  <c r="E131" i="7" s="1"/>
  <c r="P131" i="7"/>
  <c r="G131" i="7"/>
  <c r="H131" i="7"/>
  <c r="O120" i="7"/>
  <c r="I120" i="7"/>
  <c r="P120" i="7"/>
  <c r="F120" i="7"/>
  <c r="D120" i="7"/>
  <c r="E120" i="7" s="1"/>
  <c r="G120" i="7"/>
  <c r="J120" i="7"/>
  <c r="K120" i="7"/>
  <c r="M120" i="7"/>
  <c r="N120" i="7"/>
  <c r="L120" i="7"/>
  <c r="H120" i="7"/>
  <c r="D69" i="7"/>
  <c r="E69" i="7" s="1"/>
  <c r="F69" i="7"/>
  <c r="G69" i="7"/>
  <c r="P69" i="7"/>
  <c r="O69" i="7"/>
  <c r="M69" i="7"/>
  <c r="H69" i="7"/>
  <c r="N69" i="7"/>
  <c r="I69" i="7"/>
  <c r="K69" i="7"/>
  <c r="J69" i="7"/>
  <c r="L69" i="7"/>
  <c r="F49" i="7"/>
  <c r="I49" i="7"/>
  <c r="H49" i="7"/>
  <c r="D49" i="7"/>
  <c r="E49" i="7" s="1"/>
  <c r="G49" i="7"/>
  <c r="P49" i="7"/>
  <c r="N49" i="7"/>
  <c r="O49" i="7"/>
  <c r="K49" i="7"/>
  <c r="L49" i="7"/>
  <c r="M49" i="7"/>
  <c r="J49" i="7"/>
  <c r="K9" i="7"/>
  <c r="L9" i="7"/>
  <c r="O9" i="7"/>
  <c r="M9" i="7"/>
  <c r="J9" i="7"/>
  <c r="N9" i="7"/>
  <c r="D9" i="7"/>
  <c r="E9" i="7" s="1"/>
  <c r="F9" i="7"/>
  <c r="P9" i="7"/>
  <c r="G9" i="7"/>
  <c r="H9" i="7"/>
  <c r="I9" i="7"/>
  <c r="D289" i="7"/>
  <c r="E289" i="7" s="1"/>
  <c r="I289" i="7"/>
  <c r="M289" i="7"/>
  <c r="P289" i="7"/>
  <c r="N289" i="7"/>
  <c r="H289" i="7"/>
  <c r="F289" i="7"/>
  <c r="G289" i="7"/>
  <c r="K289" i="7"/>
  <c r="O289" i="7"/>
  <c r="L289" i="7"/>
  <c r="J289" i="7"/>
  <c r="N249" i="7"/>
  <c r="P249" i="7"/>
  <c r="D249" i="7"/>
  <c r="E249" i="7" s="1"/>
  <c r="F249" i="7"/>
  <c r="O249" i="7"/>
  <c r="G249" i="7"/>
  <c r="H249" i="7"/>
  <c r="I249" i="7"/>
  <c r="J249" i="7"/>
  <c r="K249" i="7"/>
  <c r="L249" i="7"/>
  <c r="M249" i="7"/>
  <c r="L258" i="7"/>
  <c r="M258" i="7"/>
  <c r="N258" i="7"/>
  <c r="O258" i="7"/>
  <c r="P258" i="7"/>
  <c r="G258" i="7"/>
  <c r="F258" i="7"/>
  <c r="D258" i="7"/>
  <c r="E258" i="7" s="1"/>
  <c r="K258" i="7"/>
  <c r="J258" i="7"/>
  <c r="I258" i="7"/>
  <c r="H258" i="7"/>
  <c r="D266" i="7"/>
  <c r="E266" i="7" s="1"/>
  <c r="G266" i="7"/>
  <c r="P266" i="7"/>
  <c r="O266" i="7"/>
  <c r="N266" i="7"/>
  <c r="M266" i="7"/>
  <c r="L266" i="7"/>
  <c r="K266" i="7"/>
  <c r="J266" i="7"/>
  <c r="I266" i="7"/>
  <c r="H266" i="7"/>
  <c r="F266" i="7"/>
  <c r="N279" i="7"/>
  <c r="H279" i="7"/>
  <c r="I279" i="7"/>
  <c r="J279" i="7"/>
  <c r="D279" i="7"/>
  <c r="E279" i="7" s="1"/>
  <c r="F279" i="7"/>
  <c r="G279" i="7"/>
  <c r="O279" i="7"/>
  <c r="L279" i="7"/>
  <c r="K279" i="7"/>
  <c r="M279" i="7"/>
  <c r="P279" i="7"/>
  <c r="O14" i="7"/>
  <c r="M14" i="7"/>
  <c r="D14" i="7"/>
  <c r="E14" i="7" s="1"/>
  <c r="K14" i="7"/>
  <c r="P14" i="7"/>
  <c r="F14" i="7"/>
  <c r="N14" i="7"/>
  <c r="L14" i="7"/>
  <c r="J14" i="7"/>
  <c r="I14" i="7"/>
  <c r="H14" i="7"/>
  <c r="G14" i="7"/>
  <c r="I47" i="7"/>
  <c r="O47" i="7"/>
  <c r="N47" i="7"/>
  <c r="J47" i="7"/>
  <c r="L47" i="7"/>
  <c r="K47" i="7"/>
  <c r="M47" i="7"/>
  <c r="D47" i="7"/>
  <c r="E47" i="7" s="1"/>
  <c r="F47" i="7"/>
  <c r="H47" i="7"/>
  <c r="G47" i="7"/>
  <c r="P47" i="7"/>
  <c r="H63" i="7"/>
  <c r="F63" i="7"/>
  <c r="K63" i="7"/>
  <c r="L63" i="7"/>
  <c r="P63" i="7"/>
  <c r="O63" i="7"/>
  <c r="M63" i="7"/>
  <c r="D63" i="7"/>
  <c r="E63" i="7" s="1"/>
  <c r="J63" i="7"/>
  <c r="I63" i="7"/>
  <c r="N63" i="7"/>
  <c r="G63" i="7"/>
  <c r="H71" i="7"/>
  <c r="D71" i="7"/>
  <c r="G71" i="7"/>
  <c r="I71" i="7"/>
  <c r="J71" i="7"/>
  <c r="K71" i="7"/>
  <c r="L71" i="7"/>
  <c r="M71" i="7"/>
  <c r="N71" i="7"/>
  <c r="O71" i="7"/>
  <c r="E71" i="7"/>
  <c r="P71" i="7"/>
  <c r="F71" i="7"/>
  <c r="H118" i="7"/>
  <c r="D118" i="7"/>
  <c r="E118" i="7" s="1"/>
  <c r="O118" i="7"/>
  <c r="K118" i="7"/>
  <c r="G118" i="7"/>
  <c r="P118" i="7"/>
  <c r="N118" i="7"/>
  <c r="L118" i="7"/>
  <c r="I118" i="7"/>
  <c r="F118" i="7"/>
  <c r="J118" i="7"/>
  <c r="M118" i="7"/>
  <c r="F129" i="7"/>
  <c r="P129" i="7"/>
  <c r="G129" i="7"/>
  <c r="M129" i="7"/>
  <c r="J129" i="7"/>
  <c r="D129" i="7"/>
  <c r="E129" i="7" s="1"/>
  <c r="K129" i="7"/>
  <c r="H129" i="7"/>
  <c r="I129" i="7"/>
  <c r="L129" i="7"/>
  <c r="O129" i="7"/>
  <c r="N129" i="7"/>
  <c r="G141" i="7"/>
  <c r="M141" i="7"/>
  <c r="O141" i="7"/>
  <c r="P141" i="7"/>
  <c r="N141" i="7"/>
  <c r="L141" i="7"/>
  <c r="K141" i="7"/>
  <c r="J141" i="7"/>
  <c r="I141" i="7"/>
  <c r="H141" i="7"/>
  <c r="F141" i="7"/>
  <c r="D141" i="7"/>
  <c r="E141" i="7" s="1"/>
  <c r="H236" i="7"/>
  <c r="I236" i="7"/>
  <c r="J236" i="7"/>
  <c r="K236" i="7"/>
  <c r="P236" i="7"/>
  <c r="G236" i="7"/>
  <c r="O236" i="7"/>
  <c r="N236" i="7"/>
  <c r="L236" i="7"/>
  <c r="M236" i="7"/>
  <c r="D236" i="7"/>
  <c r="E236" i="7" s="1"/>
  <c r="F236" i="7"/>
  <c r="L246" i="7"/>
  <c r="H246" i="7"/>
  <c r="G246" i="7"/>
  <c r="D246" i="7"/>
  <c r="E246" i="7" s="1"/>
  <c r="K246" i="7"/>
  <c r="F246" i="7"/>
  <c r="J246" i="7"/>
  <c r="P246" i="7"/>
  <c r="O246" i="7"/>
  <c r="I246" i="7"/>
  <c r="N246" i="7"/>
  <c r="M246" i="7"/>
  <c r="D255" i="7"/>
  <c r="E255" i="7" s="1"/>
  <c r="J255" i="7"/>
  <c r="I255" i="7"/>
  <c r="F255" i="7"/>
  <c r="P255" i="7"/>
  <c r="N255" i="7"/>
  <c r="M255" i="7"/>
  <c r="L255" i="7"/>
  <c r="K255" i="7"/>
  <c r="H255" i="7"/>
  <c r="G255" i="7"/>
  <c r="O255" i="7"/>
  <c r="D264" i="7"/>
  <c r="E264" i="7" s="1"/>
  <c r="J264" i="7"/>
  <c r="I264" i="7"/>
  <c r="H264" i="7"/>
  <c r="L264" i="7"/>
  <c r="K264" i="7"/>
  <c r="N264" i="7"/>
  <c r="O264" i="7"/>
  <c r="P264" i="7"/>
  <c r="G264" i="7"/>
  <c r="F264" i="7"/>
  <c r="M264" i="7"/>
  <c r="F274" i="7"/>
  <c r="G274" i="7"/>
  <c r="H274" i="7"/>
  <c r="I274" i="7"/>
  <c r="J274" i="7"/>
  <c r="K274" i="7"/>
  <c r="L274" i="7"/>
  <c r="M274" i="7"/>
  <c r="N274" i="7"/>
  <c r="P274" i="7"/>
  <c r="O274" i="7"/>
  <c r="D274" i="7"/>
  <c r="E274" i="7"/>
  <c r="D284" i="7"/>
  <c r="E284" i="7" s="1"/>
  <c r="O284" i="7"/>
  <c r="P284" i="7"/>
  <c r="L284" i="7"/>
  <c r="G284" i="7"/>
  <c r="J284" i="7"/>
  <c r="M284" i="7"/>
  <c r="I284" i="7"/>
  <c r="H284" i="7"/>
  <c r="N284" i="7"/>
  <c r="K284" i="7"/>
  <c r="F284" i="7"/>
  <c r="J292" i="7"/>
  <c r="N292" i="7"/>
  <c r="O292" i="7"/>
  <c r="L292" i="7"/>
  <c r="D292" i="7"/>
  <c r="E292" i="7" s="1"/>
  <c r="I292" i="7"/>
  <c r="P292" i="7"/>
  <c r="K292" i="7"/>
  <c r="H292" i="7"/>
  <c r="M292" i="7"/>
  <c r="F292" i="7"/>
  <c r="G292" i="7"/>
  <c r="F10" i="7"/>
  <c r="D10" i="7"/>
  <c r="E10" i="7" s="1"/>
  <c r="N10" i="7"/>
  <c r="O10" i="7"/>
  <c r="P10" i="7"/>
  <c r="H10" i="7"/>
  <c r="M10" i="7"/>
  <c r="L10" i="7"/>
  <c r="K10" i="7"/>
  <c r="J10" i="7"/>
  <c r="I10" i="7"/>
  <c r="G10" i="7"/>
  <c r="N116" i="7"/>
  <c r="D116" i="7"/>
  <c r="E116" i="7" s="1"/>
  <c r="P116" i="7"/>
  <c r="O116" i="7"/>
  <c r="M116" i="7"/>
  <c r="L116" i="7"/>
  <c r="K116" i="7"/>
  <c r="J116" i="7"/>
  <c r="I116" i="7"/>
  <c r="H116" i="7"/>
  <c r="G116" i="7"/>
  <c r="F116" i="7"/>
  <c r="I122" i="7"/>
  <c r="L122" i="7"/>
  <c r="D122" i="7"/>
  <c r="E122" i="7" s="1"/>
  <c r="O122" i="7"/>
  <c r="F122" i="7"/>
  <c r="M122" i="7"/>
  <c r="K122" i="7"/>
  <c r="N122" i="7"/>
  <c r="G122" i="7"/>
  <c r="P122" i="7"/>
  <c r="J122" i="7"/>
  <c r="H122" i="7"/>
  <c r="L136" i="7"/>
  <c r="J136" i="7"/>
  <c r="M136" i="7"/>
  <c r="O136" i="7"/>
  <c r="N136" i="7"/>
  <c r="K136" i="7"/>
  <c r="I136" i="7"/>
  <c r="G136" i="7"/>
  <c r="H136" i="7"/>
  <c r="F136" i="7"/>
  <c r="P136" i="7"/>
  <c r="D136" i="7"/>
  <c r="E136" i="7" s="1"/>
  <c r="K230" i="7"/>
  <c r="H230" i="7"/>
  <c r="I230" i="7"/>
  <c r="J230" i="7"/>
  <c r="L230" i="7"/>
  <c r="M230" i="7"/>
  <c r="N230" i="7"/>
  <c r="O230" i="7"/>
  <c r="P230" i="7"/>
  <c r="D230" i="7"/>
  <c r="E230" i="7" s="1"/>
  <c r="F230" i="7"/>
  <c r="G230" i="7"/>
  <c r="H238" i="7"/>
  <c r="G238" i="7"/>
  <c r="F238" i="7"/>
  <c r="D238" i="7"/>
  <c r="E238" i="7" s="1"/>
  <c r="M238" i="7"/>
  <c r="L238" i="7"/>
  <c r="K238" i="7"/>
  <c r="J238" i="7"/>
  <c r="I238" i="7"/>
  <c r="P238" i="7"/>
  <c r="O238" i="7"/>
  <c r="N238" i="7"/>
  <c r="G247" i="7"/>
  <c r="P247" i="7"/>
  <c r="O247" i="7"/>
  <c r="N247" i="7"/>
  <c r="L247" i="7"/>
  <c r="K247" i="7"/>
  <c r="J247" i="7"/>
  <c r="I247" i="7"/>
  <c r="H247" i="7"/>
  <c r="M247" i="7"/>
  <c r="F247" i="7"/>
  <c r="D247" i="7"/>
  <c r="E247" i="7" s="1"/>
  <c r="K257" i="7"/>
  <c r="L257" i="7"/>
  <c r="M257" i="7"/>
  <c r="N257" i="7"/>
  <c r="O257" i="7"/>
  <c r="P257" i="7"/>
  <c r="D257" i="7"/>
  <c r="E257" i="7"/>
  <c r="F257" i="7"/>
  <c r="G257" i="7"/>
  <c r="H257" i="7"/>
  <c r="I257" i="7"/>
  <c r="J257" i="7"/>
  <c r="M267" i="7"/>
  <c r="L267" i="7"/>
  <c r="H267" i="7"/>
  <c r="J267" i="7"/>
  <c r="K267" i="7"/>
  <c r="I267" i="7"/>
  <c r="D267" i="7"/>
  <c r="E267" i="7" s="1"/>
  <c r="G267" i="7"/>
  <c r="F267" i="7"/>
  <c r="N267" i="7"/>
  <c r="O267" i="7"/>
  <c r="P267" i="7"/>
  <c r="P276" i="7"/>
  <c r="L276" i="7"/>
  <c r="M276" i="7"/>
  <c r="O276" i="7"/>
  <c r="D276" i="7"/>
  <c r="E276" i="7" s="1"/>
  <c r="F276" i="7"/>
  <c r="G276" i="7"/>
  <c r="H276" i="7"/>
  <c r="I276" i="7"/>
  <c r="J276" i="7"/>
  <c r="K276" i="7"/>
  <c r="N276" i="7"/>
  <c r="F286" i="7"/>
  <c r="J286" i="7"/>
  <c r="M286" i="7"/>
  <c r="L286" i="7"/>
  <c r="O286" i="7"/>
  <c r="H286" i="7"/>
  <c r="N286" i="7"/>
  <c r="G286" i="7"/>
  <c r="I286" i="7"/>
  <c r="K286" i="7"/>
  <c r="P286" i="7"/>
  <c r="D286" i="7"/>
  <c r="E286" i="7" s="1"/>
  <c r="H74" i="7"/>
  <c r="O74" i="7"/>
  <c r="P74" i="7"/>
  <c r="K74" i="7"/>
  <c r="J74" i="7"/>
  <c r="I74" i="7"/>
  <c r="G74" i="7"/>
  <c r="F74" i="7"/>
  <c r="M74" i="7"/>
  <c r="D74" i="7"/>
  <c r="E74" i="7" s="1"/>
  <c r="N74" i="7"/>
  <c r="L74" i="7"/>
  <c r="J115" i="7"/>
  <c r="K115" i="7"/>
  <c r="L115" i="7"/>
  <c r="M115" i="7"/>
  <c r="N115" i="7"/>
  <c r="O115" i="7"/>
  <c r="H115" i="7"/>
  <c r="F115" i="7"/>
  <c r="G115" i="7"/>
  <c r="D115" i="7"/>
  <c r="E115" i="7" s="1"/>
  <c r="P115" i="7"/>
  <c r="I115" i="7"/>
  <c r="I123" i="7"/>
  <c r="K123" i="7"/>
  <c r="L123" i="7"/>
  <c r="O123" i="7"/>
  <c r="M123" i="7"/>
  <c r="N123" i="7"/>
  <c r="J123" i="7"/>
  <c r="G123" i="7"/>
  <c r="F123" i="7"/>
  <c r="D123" i="7"/>
  <c r="E123" i="7" s="1"/>
  <c r="P123" i="7"/>
  <c r="H123" i="7"/>
  <c r="F142" i="7"/>
  <c r="N142" i="7"/>
  <c r="O142" i="7"/>
  <c r="L142" i="7"/>
  <c r="J142" i="7"/>
  <c r="G142" i="7"/>
  <c r="D142" i="7"/>
  <c r="E142" i="7" s="1"/>
  <c r="H142" i="7"/>
  <c r="K142" i="7"/>
  <c r="P142" i="7"/>
  <c r="M142" i="7"/>
  <c r="I142" i="7"/>
  <c r="H135" i="7"/>
  <c r="I135" i="7"/>
  <c r="J135" i="7"/>
  <c r="K135" i="7"/>
  <c r="N135" i="7"/>
  <c r="O135" i="7"/>
  <c r="M135" i="7"/>
  <c r="P135" i="7"/>
  <c r="L135" i="7"/>
  <c r="D135" i="7"/>
  <c r="E135" i="7" s="1"/>
  <c r="F135" i="7"/>
  <c r="G135" i="7"/>
  <c r="L241" i="7"/>
  <c r="G241" i="7"/>
  <c r="F241" i="7"/>
  <c r="D241" i="7"/>
  <c r="E241" i="7" s="1"/>
  <c r="K241" i="7"/>
  <c r="P241" i="7"/>
  <c r="O241" i="7"/>
  <c r="M241" i="7"/>
  <c r="N241" i="7"/>
  <c r="H241" i="7"/>
  <c r="I241" i="7"/>
  <c r="J241" i="7"/>
  <c r="H254" i="7"/>
  <c r="G254" i="7"/>
  <c r="L254" i="7"/>
  <c r="M254" i="7"/>
  <c r="F254" i="7"/>
  <c r="D254" i="7"/>
  <c r="E254" i="7" s="1"/>
  <c r="N254" i="7"/>
  <c r="O254" i="7"/>
  <c r="P254" i="7"/>
  <c r="K254" i="7"/>
  <c r="J254" i="7"/>
  <c r="I254" i="7"/>
  <c r="I265" i="7"/>
  <c r="F265" i="7"/>
  <c r="G265" i="7"/>
  <c r="L265" i="7"/>
  <c r="O265" i="7"/>
  <c r="H265" i="7"/>
  <c r="D265" i="7"/>
  <c r="E265" i="7" s="1"/>
  <c r="N265" i="7"/>
  <c r="P265" i="7"/>
  <c r="M265" i="7"/>
  <c r="K265" i="7"/>
  <c r="J265" i="7"/>
  <c r="G275" i="7"/>
  <c r="D275" i="7"/>
  <c r="E275" i="7" s="1"/>
  <c r="F275" i="7"/>
  <c r="P275" i="7"/>
  <c r="O275" i="7"/>
  <c r="N275" i="7"/>
  <c r="M275" i="7"/>
  <c r="L275" i="7"/>
  <c r="K275" i="7"/>
  <c r="J275" i="7"/>
  <c r="I275" i="7"/>
  <c r="H275" i="7"/>
  <c r="P285" i="7"/>
  <c r="K285" i="7"/>
  <c r="J285" i="7"/>
  <c r="N285" i="7"/>
  <c r="H285" i="7"/>
  <c r="M285" i="7"/>
  <c r="L285" i="7"/>
  <c r="F285" i="7"/>
  <c r="G285" i="7"/>
  <c r="I285" i="7"/>
  <c r="O285" i="7"/>
  <c r="D285" i="7"/>
  <c r="E285" i="7" s="1"/>
  <c r="D13" i="7"/>
  <c r="E13" i="7" s="1"/>
  <c r="N13" i="7"/>
  <c r="H13" i="7"/>
  <c r="I13" i="7"/>
  <c r="J13" i="7"/>
  <c r="K13" i="7"/>
  <c r="L13" i="7"/>
  <c r="M13" i="7"/>
  <c r="G13" i="7"/>
  <c r="F13" i="7"/>
  <c r="O13" i="7"/>
  <c r="P13" i="7"/>
  <c r="N45" i="7"/>
  <c r="L45" i="7"/>
  <c r="K45" i="7"/>
  <c r="J45" i="7"/>
  <c r="I45" i="7"/>
  <c r="H45" i="7"/>
  <c r="G45" i="7"/>
  <c r="F45" i="7"/>
  <c r="D45" i="7"/>
  <c r="E45" i="7" s="1"/>
  <c r="P45" i="7"/>
  <c r="O45" i="7"/>
  <c r="M45" i="7"/>
  <c r="H64" i="7"/>
  <c r="G64" i="7"/>
  <c r="F64" i="7"/>
  <c r="I64" i="7"/>
  <c r="D64" i="7"/>
  <c r="E64" i="7" s="1"/>
  <c r="N73" i="7"/>
  <c r="O73" i="7"/>
  <c r="P73" i="7"/>
  <c r="L73" i="7"/>
  <c r="D73" i="7"/>
  <c r="E73" i="7"/>
  <c r="F73" i="7"/>
  <c r="G73" i="7"/>
  <c r="H73" i="7"/>
  <c r="I73" i="7"/>
  <c r="J73" i="7"/>
  <c r="K73" i="7"/>
  <c r="M73" i="7"/>
  <c r="L119" i="7"/>
  <c r="I119" i="7"/>
  <c r="N119" i="7"/>
  <c r="J119" i="7"/>
  <c r="D119" i="7"/>
  <c r="E119" i="7" s="1"/>
  <c r="H119" i="7"/>
  <c r="F119" i="7"/>
  <c r="G119" i="7"/>
  <c r="M119" i="7"/>
  <c r="O119" i="7"/>
  <c r="P119" i="7"/>
  <c r="K119" i="7"/>
  <c r="N133" i="7"/>
  <c r="L133" i="7"/>
  <c r="D133" i="7"/>
  <c r="E133" i="7" s="1"/>
  <c r="G133" i="7"/>
  <c r="J133" i="7"/>
  <c r="O133" i="7"/>
  <c r="P133" i="7"/>
  <c r="M133" i="7"/>
  <c r="K133" i="7"/>
  <c r="H133" i="7"/>
  <c r="I133" i="7"/>
  <c r="F133" i="7"/>
  <c r="N143" i="7"/>
  <c r="M143" i="7"/>
  <c r="P143" i="7"/>
  <c r="D143" i="7"/>
  <c r="E143" i="7" s="1"/>
  <c r="F143" i="7"/>
  <c r="G143" i="7"/>
  <c r="H143" i="7"/>
  <c r="I143" i="7"/>
  <c r="J143" i="7"/>
  <c r="K143" i="7"/>
  <c r="L143" i="7"/>
  <c r="O143" i="7"/>
  <c r="O231" i="7"/>
  <c r="P231" i="7"/>
  <c r="I231" i="7"/>
  <c r="H231" i="7"/>
  <c r="F231" i="7"/>
  <c r="D231" i="7"/>
  <c r="E231" i="7" s="1"/>
  <c r="G231" i="7"/>
  <c r="K231" i="7"/>
  <c r="L231" i="7"/>
  <c r="M231" i="7"/>
  <c r="N231" i="7"/>
  <c r="J231" i="7"/>
  <c r="F242" i="7"/>
  <c r="K242" i="7"/>
  <c r="O242" i="7"/>
  <c r="L242" i="7"/>
  <c r="M242" i="7"/>
  <c r="H242" i="7"/>
  <c r="P242" i="7"/>
  <c r="J242" i="7"/>
  <c r="I242" i="7"/>
  <c r="D242" i="7"/>
  <c r="E242" i="7" s="1"/>
  <c r="G242" i="7"/>
  <c r="N242" i="7"/>
  <c r="K251" i="7"/>
  <c r="I251" i="7"/>
  <c r="J251" i="7"/>
  <c r="D251" i="7"/>
  <c r="E251" i="7" s="1"/>
  <c r="F251" i="7"/>
  <c r="P251" i="7"/>
  <c r="G251" i="7"/>
  <c r="H251" i="7"/>
  <c r="L251" i="7"/>
  <c r="O251" i="7"/>
  <c r="N251" i="7"/>
  <c r="M251" i="7"/>
  <c r="G261" i="7"/>
  <c r="J261" i="7"/>
  <c r="D261" i="7"/>
  <c r="E261" i="7"/>
  <c r="F261" i="7"/>
  <c r="H261" i="7"/>
  <c r="I261" i="7"/>
  <c r="K261" i="7"/>
  <c r="L261" i="7"/>
  <c r="M261" i="7"/>
  <c r="N261" i="7"/>
  <c r="O261" i="7"/>
  <c r="P261" i="7"/>
  <c r="I272" i="7"/>
  <c r="O272" i="7"/>
  <c r="P272" i="7"/>
  <c r="N272" i="7"/>
  <c r="L272" i="7"/>
  <c r="D272" i="7"/>
  <c r="E272" i="7"/>
  <c r="F272" i="7"/>
  <c r="H272" i="7"/>
  <c r="G272" i="7"/>
  <c r="J272" i="7"/>
  <c r="K272" i="7"/>
  <c r="M272" i="7"/>
  <c r="L283" i="7"/>
  <c r="K283" i="7"/>
  <c r="H283" i="7"/>
  <c r="G283" i="7"/>
  <c r="P283" i="7"/>
  <c r="F283" i="7"/>
  <c r="D283" i="7"/>
  <c r="E283" i="7" s="1"/>
  <c r="N283" i="7"/>
  <c r="M283" i="7"/>
  <c r="I283" i="7"/>
  <c r="J283" i="7"/>
  <c r="O283" i="7"/>
  <c r="G291" i="7"/>
  <c r="M291" i="7"/>
  <c r="J291" i="7"/>
  <c r="I291" i="7"/>
  <c r="N291" i="7"/>
  <c r="H291" i="7"/>
  <c r="O291" i="7"/>
  <c r="L291" i="7"/>
  <c r="F291" i="7"/>
  <c r="K291" i="7"/>
  <c r="P291" i="7"/>
  <c r="D291" i="7"/>
  <c r="E291" i="7" s="1"/>
  <c r="P46" i="7"/>
  <c r="O46" i="7"/>
  <c r="N46" i="7"/>
  <c r="I46" i="7"/>
  <c r="L46" i="7"/>
  <c r="J46" i="7"/>
  <c r="D46" i="7"/>
  <c r="E46" i="7" s="1"/>
  <c r="F46" i="7"/>
  <c r="G46" i="7"/>
  <c r="H46" i="7"/>
  <c r="M46" i="7"/>
  <c r="K46" i="7"/>
  <c r="G51" i="7"/>
  <c r="D51" i="7"/>
  <c r="E51" i="7" s="1"/>
  <c r="F51" i="7"/>
  <c r="H51" i="7"/>
  <c r="I51" i="7"/>
  <c r="P51" i="7"/>
  <c r="O51" i="7"/>
  <c r="J51" i="7"/>
  <c r="K51" i="7"/>
  <c r="L51" i="7"/>
  <c r="M51" i="7"/>
  <c r="N51" i="7"/>
  <c r="I70" i="7"/>
  <c r="H70" i="7"/>
  <c r="G70" i="7"/>
  <c r="F70" i="7"/>
  <c r="D70" i="7"/>
  <c r="E70" i="7" s="1"/>
  <c r="K70" i="7"/>
  <c r="P70" i="7"/>
  <c r="O70" i="7"/>
  <c r="N70" i="7"/>
  <c r="M70" i="7"/>
  <c r="L70" i="7"/>
  <c r="J70" i="7"/>
  <c r="L117" i="7"/>
  <c r="J117" i="7"/>
  <c r="I117" i="7"/>
  <c r="H117" i="7"/>
  <c r="G117" i="7"/>
  <c r="D117" i="7"/>
  <c r="E117" i="7" s="1"/>
  <c r="K117" i="7"/>
  <c r="O117" i="7"/>
  <c r="N117" i="7"/>
  <c r="P117" i="7"/>
  <c r="M117" i="7"/>
  <c r="F117" i="7"/>
  <c r="F127" i="7"/>
  <c r="M127" i="7"/>
  <c r="G127" i="7"/>
  <c r="J127" i="7"/>
  <c r="L127" i="7"/>
  <c r="O127" i="7"/>
  <c r="H127" i="7"/>
  <c r="D127" i="7"/>
  <c r="E127" i="7" s="1"/>
  <c r="I127" i="7"/>
  <c r="K127" i="7"/>
  <c r="N127" i="7"/>
  <c r="P127" i="7"/>
  <c r="I144" i="7"/>
  <c r="P144" i="7"/>
  <c r="O144" i="7"/>
  <c r="K144" i="7"/>
  <c r="H144" i="7"/>
  <c r="F144" i="7"/>
  <c r="D144" i="7"/>
  <c r="E144" i="7" s="1"/>
  <c r="M144" i="7"/>
  <c r="J144" i="7"/>
  <c r="G144" i="7"/>
  <c r="L144" i="7"/>
  <c r="N144" i="7"/>
  <c r="F128" i="7"/>
  <c r="G128" i="7"/>
  <c r="D128" i="7"/>
  <c r="E128" i="7" s="1"/>
  <c r="L128" i="7"/>
  <c r="M128" i="7"/>
  <c r="H128" i="7"/>
  <c r="I128" i="7"/>
  <c r="J128" i="7"/>
  <c r="N128" i="7"/>
  <c r="O128" i="7"/>
  <c r="P128" i="7"/>
  <c r="K128" i="7"/>
  <c r="F239" i="7"/>
  <c r="G239" i="7"/>
  <c r="L239" i="7"/>
  <c r="J239" i="7"/>
  <c r="N239" i="7"/>
  <c r="O239" i="7"/>
  <c r="K239" i="7"/>
  <c r="M239" i="7"/>
  <c r="H239" i="7"/>
  <c r="I239" i="7"/>
  <c r="P239" i="7"/>
  <c r="D239" i="7"/>
  <c r="E239" i="7" s="1"/>
  <c r="N250" i="7"/>
  <c r="M250" i="7"/>
  <c r="K250" i="7"/>
  <c r="F250" i="7"/>
  <c r="P250" i="7"/>
  <c r="J250" i="7"/>
  <c r="G250" i="7"/>
  <c r="L250" i="7"/>
  <c r="H250" i="7"/>
  <c r="I250" i="7"/>
  <c r="O250" i="7"/>
  <c r="D250" i="7"/>
  <c r="E250" i="7" s="1"/>
  <c r="D262" i="7"/>
  <c r="E262" i="7" s="1"/>
  <c r="P262" i="7"/>
  <c r="F262" i="7"/>
  <c r="G262" i="7"/>
  <c r="H262" i="7"/>
  <c r="I262" i="7"/>
  <c r="J262" i="7"/>
  <c r="K262" i="7"/>
  <c r="L262" i="7"/>
  <c r="M262" i="7"/>
  <c r="N262" i="7"/>
  <c r="O262" i="7"/>
  <c r="H271" i="7"/>
  <c r="P271" i="7"/>
  <c r="O271" i="7"/>
  <c r="K271" i="7"/>
  <c r="L271" i="7"/>
  <c r="M271" i="7"/>
  <c r="N271" i="7"/>
  <c r="J271" i="7"/>
  <c r="I271" i="7"/>
  <c r="D271" i="7"/>
  <c r="E271" i="7" s="1"/>
  <c r="F271" i="7"/>
  <c r="G271" i="7"/>
  <c r="L280" i="7"/>
  <c r="M280" i="7"/>
  <c r="N280" i="7"/>
  <c r="O280" i="7"/>
  <c r="P280" i="7"/>
  <c r="H280" i="7"/>
  <c r="G280" i="7"/>
  <c r="F280" i="7"/>
  <c r="D280" i="7"/>
  <c r="E280" i="7" s="1"/>
  <c r="I280" i="7"/>
  <c r="J280" i="7"/>
  <c r="K280" i="7"/>
  <c r="K293" i="7"/>
  <c r="N293" i="7"/>
  <c r="P293" i="7"/>
  <c r="M293" i="7"/>
  <c r="G293" i="7"/>
  <c r="L293" i="7"/>
  <c r="J293" i="7"/>
  <c r="D293" i="7"/>
  <c r="E293" i="7" s="1"/>
  <c r="I293" i="7"/>
  <c r="F293" i="7"/>
  <c r="H293" i="7"/>
  <c r="O293" i="7"/>
  <c r="D48" i="7"/>
  <c r="E48" i="7" s="1"/>
  <c r="K48" i="7"/>
  <c r="N48" i="7"/>
  <c r="J48" i="7"/>
  <c r="I48" i="7"/>
  <c r="H48" i="7"/>
  <c r="M48" i="7"/>
  <c r="F48" i="7"/>
  <c r="L48" i="7"/>
  <c r="O48" i="7"/>
  <c r="P48" i="7"/>
  <c r="G48" i="7"/>
  <c r="O62" i="7"/>
  <c r="N62" i="7"/>
  <c r="M62" i="7"/>
  <c r="I62" i="7"/>
  <c r="G62" i="7"/>
  <c r="F62" i="7"/>
  <c r="D62" i="7"/>
  <c r="E62" i="7" s="1"/>
  <c r="H62" i="7"/>
  <c r="J62" i="7"/>
  <c r="K62" i="7"/>
  <c r="L62" i="7"/>
  <c r="P62" i="7"/>
  <c r="F72" i="7"/>
  <c r="G72" i="7"/>
  <c r="H72" i="7"/>
  <c r="I72" i="7"/>
  <c r="J72" i="7"/>
  <c r="K72" i="7"/>
  <c r="M72" i="7"/>
  <c r="N72" i="7"/>
  <c r="O72" i="7"/>
  <c r="P72" i="7"/>
  <c r="L72" i="7"/>
  <c r="D72" i="7"/>
  <c r="E72" i="7" s="1"/>
  <c r="M126" i="7"/>
  <c r="I126" i="7"/>
  <c r="P126" i="7"/>
  <c r="L126" i="7"/>
  <c r="K126" i="7"/>
  <c r="G126" i="7"/>
  <c r="H126" i="7"/>
  <c r="D126" i="7"/>
  <c r="E126" i="7" s="1"/>
  <c r="F126" i="7"/>
  <c r="N126" i="7"/>
  <c r="O126" i="7"/>
  <c r="J126" i="7"/>
  <c r="G140" i="7"/>
  <c r="M140" i="7"/>
  <c r="H140" i="7"/>
  <c r="N140" i="7"/>
  <c r="J140" i="7"/>
  <c r="L140" i="7"/>
  <c r="O140" i="7"/>
  <c r="F140" i="7"/>
  <c r="D140" i="7"/>
  <c r="E140" i="7" s="1"/>
  <c r="I140" i="7"/>
  <c r="P140" i="7"/>
  <c r="K140" i="7"/>
  <c r="J132" i="7"/>
  <c r="G132" i="7"/>
  <c r="M132" i="7"/>
  <c r="N132" i="7"/>
  <c r="O132" i="7"/>
  <c r="P132" i="7"/>
  <c r="I132" i="7"/>
  <c r="F132" i="7"/>
  <c r="D132" i="7"/>
  <c r="E132" i="7" s="1"/>
  <c r="L132" i="7"/>
  <c r="K132" i="7"/>
  <c r="H132" i="7"/>
  <c r="P233" i="7"/>
  <c r="G233" i="7"/>
  <c r="O233" i="7"/>
  <c r="N233" i="7"/>
  <c r="M233" i="7"/>
  <c r="I233" i="7"/>
  <c r="D233" i="7"/>
  <c r="E233" i="7" s="1"/>
  <c r="J233" i="7"/>
  <c r="H233" i="7"/>
  <c r="F233" i="7"/>
  <c r="K233" i="7"/>
  <c r="L233" i="7"/>
  <c r="J240" i="7"/>
  <c r="P240" i="7"/>
  <c r="L240" i="7"/>
  <c r="O240" i="7"/>
  <c r="N240" i="7"/>
  <c r="D240" i="7"/>
  <c r="E240" i="7" s="1"/>
  <c r="F240" i="7"/>
  <c r="K240" i="7"/>
  <c r="G240" i="7"/>
  <c r="H240" i="7"/>
  <c r="I240" i="7"/>
  <c r="M240" i="7"/>
  <c r="K248" i="7"/>
  <c r="J248" i="7"/>
  <c r="H248" i="7"/>
  <c r="I248" i="7"/>
  <c r="G248" i="7"/>
  <c r="F248" i="7"/>
  <c r="D248" i="7"/>
  <c r="E248" i="7" s="1"/>
  <c r="P248" i="7"/>
  <c r="O248" i="7"/>
  <c r="N248" i="7"/>
  <c r="M248" i="7"/>
  <c r="L248" i="7"/>
  <c r="F259" i="7"/>
  <c r="G259" i="7"/>
  <c r="H259" i="7"/>
  <c r="I259" i="7"/>
  <c r="J259" i="7"/>
  <c r="K259" i="7"/>
  <c r="L259" i="7"/>
  <c r="M259" i="7"/>
  <c r="N259" i="7"/>
  <c r="O259" i="7"/>
  <c r="P259" i="7"/>
  <c r="D259" i="7"/>
  <c r="E259" i="7"/>
  <c r="O268" i="7"/>
  <c r="P268" i="7"/>
  <c r="D268" i="7"/>
  <c r="E268" i="7"/>
  <c r="F268" i="7"/>
  <c r="G268" i="7"/>
  <c r="I268" i="7"/>
  <c r="J268" i="7"/>
  <c r="K268" i="7"/>
  <c r="L268" i="7"/>
  <c r="H268" i="7"/>
  <c r="M268" i="7"/>
  <c r="N268" i="7"/>
  <c r="P278" i="7"/>
  <c r="N278" i="7"/>
  <c r="M278" i="7"/>
  <c r="L278" i="7"/>
  <c r="K278" i="7"/>
  <c r="D278" i="7"/>
  <c r="E278" i="7" s="1"/>
  <c r="H278" i="7"/>
  <c r="G278" i="7"/>
  <c r="F278" i="7"/>
  <c r="O278" i="7"/>
  <c r="I278" i="7"/>
  <c r="J278" i="7"/>
  <c r="P287" i="7"/>
  <c r="M287" i="7"/>
  <c r="I287" i="7"/>
  <c r="F287" i="7"/>
  <c r="K287" i="7"/>
  <c r="G287" i="7"/>
  <c r="D287" i="7"/>
  <c r="E287" i="7" s="1"/>
  <c r="N287" i="7"/>
  <c r="L287" i="7"/>
  <c r="J287" i="7"/>
  <c r="O287" i="7"/>
  <c r="H287" i="7"/>
  <c r="M299" i="7"/>
  <c r="K299" i="7"/>
  <c r="J299" i="7"/>
  <c r="I299" i="7"/>
  <c r="H299" i="7"/>
  <c r="G299" i="7"/>
  <c r="F299" i="7"/>
  <c r="O299" i="7"/>
  <c r="D299" i="7"/>
  <c r="E299" i="7" s="1"/>
  <c r="P299" i="7"/>
  <c r="L299" i="7"/>
  <c r="N299" i="7"/>
  <c r="J294" i="7"/>
  <c r="K294" i="7"/>
  <c r="L294" i="7"/>
  <c r="O294" i="7"/>
  <c r="M294" i="7"/>
  <c r="P294" i="7"/>
  <c r="N294" i="7"/>
  <c r="D304" i="7"/>
  <c r="F304" i="7"/>
  <c r="N304" i="7"/>
  <c r="M304" i="7"/>
  <c r="L304" i="7"/>
  <c r="K304" i="7"/>
  <c r="J304" i="7"/>
  <c r="I304" i="7"/>
  <c r="O304" i="7"/>
  <c r="G304" i="7"/>
  <c r="P304" i="7"/>
  <c r="E304" i="7"/>
  <c r="H304" i="7"/>
  <c r="D297" i="7"/>
  <c r="E297" i="7" s="1"/>
  <c r="I297" i="7"/>
  <c r="K297" i="7"/>
  <c r="G297" i="7"/>
  <c r="H297" i="7"/>
  <c r="L297" i="7"/>
  <c r="M297" i="7"/>
  <c r="N297" i="7"/>
  <c r="O297" i="7"/>
  <c r="P297" i="7"/>
  <c r="F297" i="7"/>
  <c r="J297" i="7"/>
  <c r="L298" i="7"/>
  <c r="M298" i="7"/>
  <c r="N298" i="7"/>
  <c r="P298" i="7"/>
  <c r="D298" i="7"/>
  <c r="E298" i="7" s="1"/>
  <c r="F298" i="7"/>
  <c r="O298" i="7"/>
  <c r="H298" i="7"/>
  <c r="K298" i="7"/>
  <c r="I298" i="7"/>
  <c r="J298" i="7"/>
  <c r="G298" i="7"/>
  <c r="L301" i="7"/>
  <c r="M301" i="7"/>
  <c r="N301" i="7"/>
  <c r="O301" i="7"/>
  <c r="J301" i="7"/>
  <c r="I301" i="7"/>
  <c r="H301" i="7"/>
  <c r="K301" i="7"/>
  <c r="F301" i="7"/>
  <c r="P301" i="7"/>
  <c r="G301" i="7"/>
  <c r="D301" i="7"/>
  <c r="E301" i="7" s="1"/>
  <c r="M296" i="7"/>
  <c r="D296" i="7"/>
  <c r="E296" i="7" s="1"/>
  <c r="F296" i="7"/>
  <c r="G296" i="7"/>
  <c r="H296" i="7"/>
  <c r="I296" i="7"/>
  <c r="N296" i="7"/>
  <c r="J296" i="7"/>
  <c r="K296" i="7"/>
  <c r="L296" i="7"/>
  <c r="O296" i="7"/>
  <c r="P296" i="7"/>
  <c r="N295" i="7"/>
  <c r="O295" i="7"/>
  <c r="P295" i="7"/>
  <c r="F295" i="7"/>
  <c r="K295" i="7"/>
  <c r="D295" i="7"/>
  <c r="E295" i="7" s="1"/>
  <c r="M295" i="7"/>
  <c r="G295" i="7"/>
  <c r="H295" i="7"/>
  <c r="I295" i="7"/>
  <c r="J295" i="7"/>
  <c r="L295" i="7"/>
  <c r="M64" i="7"/>
  <c r="P64" i="7"/>
  <c r="O64" i="7"/>
  <c r="N64" i="7"/>
  <c r="L64" i="7"/>
  <c r="K64" i="7"/>
  <c r="J64" i="7"/>
  <c r="K302" i="7"/>
  <c r="F302" i="7"/>
  <c r="H302" i="7"/>
  <c r="M302" i="7"/>
  <c r="L302" i="7"/>
  <c r="J302" i="7"/>
  <c r="I302" i="7"/>
  <c r="D302" i="7"/>
  <c r="E302" i="7" s="1"/>
  <c r="G302" i="7"/>
  <c r="N302" i="7"/>
  <c r="O302" i="7"/>
  <c r="P302" i="7"/>
  <c r="D303" i="7"/>
  <c r="E303" i="7"/>
  <c r="F303" i="7"/>
  <c r="G303" i="7"/>
  <c r="H303" i="7"/>
  <c r="I303" i="7"/>
  <c r="J303" i="7"/>
  <c r="K303" i="7"/>
  <c r="L303" i="7"/>
  <c r="M303" i="7"/>
  <c r="N303" i="7"/>
  <c r="O303" i="7"/>
  <c r="P303" i="7"/>
  <c r="M300" i="7"/>
  <c r="N300" i="7"/>
  <c r="O300" i="7"/>
  <c r="D300" i="7"/>
  <c r="E300" i="7" s="1"/>
  <c r="F300" i="7"/>
  <c r="G300" i="7"/>
  <c r="H300" i="7"/>
  <c r="I300" i="7"/>
  <c r="P300" i="7"/>
  <c r="J300" i="7"/>
  <c r="K300" i="7"/>
  <c r="L300" i="7"/>
  <c r="K22" i="5"/>
  <c r="J22" i="5"/>
  <c r="I22" i="5"/>
  <c r="H22" i="5"/>
  <c r="G22" i="5"/>
  <c r="F22" i="5"/>
  <c r="D22" i="5"/>
  <c r="E22" i="5" s="1"/>
  <c r="P22" i="5"/>
  <c r="O22" i="5"/>
  <c r="N22" i="5"/>
  <c r="M22" i="5"/>
  <c r="L22" i="5"/>
  <c r="P23" i="5"/>
  <c r="O23" i="5"/>
  <c r="N23" i="5"/>
  <c r="M23" i="5"/>
  <c r="L23" i="5"/>
  <c r="K23" i="5"/>
  <c r="J23" i="5"/>
  <c r="I23" i="5"/>
  <c r="G23" i="5"/>
  <c r="F23" i="5"/>
  <c r="D23" i="5"/>
  <c r="E23" i="5" s="1"/>
  <c r="H23" i="5"/>
  <c r="J24" i="5"/>
  <c r="K24" i="5"/>
  <c r="M24" i="5"/>
  <c r="N24" i="5"/>
  <c r="O24" i="5"/>
  <c r="P24" i="5"/>
  <c r="L24" i="5"/>
  <c r="D24" i="5"/>
  <c r="E24" i="5" s="1"/>
  <c r="F24" i="5"/>
  <c r="G24" i="5"/>
  <c r="H24" i="5"/>
  <c r="I24" i="5"/>
  <c r="K27" i="5"/>
  <c r="J27" i="5"/>
  <c r="I27" i="5"/>
  <c r="H27" i="5"/>
  <c r="G27" i="5"/>
  <c r="F27" i="5"/>
  <c r="D27" i="5"/>
  <c r="E27" i="5" s="1"/>
  <c r="P27" i="5"/>
  <c r="M27" i="5"/>
  <c r="N27" i="5"/>
  <c r="L27" i="5"/>
  <c r="O27" i="5"/>
  <c r="I31" i="5"/>
  <c r="H31" i="5"/>
  <c r="D31" i="5"/>
  <c r="E31" i="5" s="1"/>
  <c r="G31" i="5"/>
  <c r="P31" i="5"/>
  <c r="O31" i="5"/>
  <c r="N31" i="5"/>
  <c r="M31" i="5"/>
  <c r="F31" i="5"/>
  <c r="L31" i="5"/>
  <c r="K31" i="5"/>
  <c r="J31" i="5"/>
  <c r="F41" i="5"/>
  <c r="L41" i="5"/>
  <c r="K41" i="5"/>
  <c r="J41" i="5"/>
  <c r="I41" i="5"/>
  <c r="H41" i="5"/>
  <c r="G41" i="5"/>
  <c r="M41" i="5"/>
  <c r="N41" i="5"/>
  <c r="D41" i="5"/>
  <c r="E41" i="5" s="1"/>
  <c r="O41" i="5"/>
  <c r="P41" i="5"/>
  <c r="L47" i="5"/>
  <c r="P47" i="5"/>
  <c r="N47" i="5"/>
  <c r="M47" i="5"/>
  <c r="K47" i="5"/>
  <c r="J47" i="5"/>
  <c r="I47" i="5"/>
  <c r="O47" i="5"/>
  <c r="G47" i="5"/>
  <c r="F47" i="5"/>
  <c r="D47" i="5"/>
  <c r="E47" i="5" s="1"/>
  <c r="H47" i="5"/>
  <c r="L50" i="5"/>
  <c r="K50" i="5"/>
  <c r="I50" i="5"/>
  <c r="H50" i="5"/>
  <c r="G50" i="5"/>
  <c r="F50" i="5"/>
  <c r="J50" i="5"/>
  <c r="P50" i="5"/>
  <c r="O50" i="5"/>
  <c r="N50" i="5"/>
  <c r="D50" i="5"/>
  <c r="E50" i="5" s="1"/>
  <c r="M50" i="5"/>
  <c r="J53" i="5"/>
  <c r="D53" i="5"/>
  <c r="E53" i="5" s="1"/>
  <c r="F53" i="5"/>
  <c r="H53" i="5"/>
  <c r="I53" i="5"/>
  <c r="K53" i="5"/>
  <c r="L53" i="5"/>
  <c r="N53" i="5"/>
  <c r="M53" i="5"/>
  <c r="G53" i="5"/>
  <c r="O53" i="5"/>
  <c r="P53" i="5"/>
  <c r="J60" i="5"/>
  <c r="K60" i="5"/>
  <c r="L60" i="5"/>
  <c r="N60" i="5"/>
  <c r="O60" i="5"/>
  <c r="P60" i="5"/>
  <c r="D60" i="5"/>
  <c r="E60" i="5" s="1"/>
  <c r="F60" i="5"/>
  <c r="G60" i="5"/>
  <c r="H60" i="5"/>
  <c r="I60" i="5"/>
  <c r="M60" i="5"/>
  <c r="L61" i="5"/>
  <c r="K61" i="5"/>
  <c r="J61" i="5"/>
  <c r="H61" i="5"/>
  <c r="G61" i="5"/>
  <c r="F61" i="5"/>
  <c r="D61" i="5"/>
  <c r="E61" i="5" s="1"/>
  <c r="I61" i="5"/>
  <c r="P61" i="5"/>
  <c r="O61" i="5"/>
  <c r="N61" i="5"/>
  <c r="M61" i="5"/>
  <c r="G62" i="5"/>
  <c r="P62" i="5"/>
  <c r="J62" i="5"/>
  <c r="I62" i="5"/>
  <c r="N62" i="5"/>
  <c r="K62" i="5"/>
  <c r="H62" i="5"/>
  <c r="F62" i="5"/>
  <c r="D62" i="5"/>
  <c r="E62" i="5" s="1"/>
  <c r="O62" i="5"/>
  <c r="M62" i="5"/>
  <c r="L62" i="5"/>
  <c r="H64" i="5"/>
  <c r="F64" i="5"/>
  <c r="G64" i="5"/>
  <c r="I64" i="5"/>
  <c r="J64" i="5"/>
  <c r="K64" i="5"/>
  <c r="M64" i="5"/>
  <c r="N64" i="5"/>
  <c r="O64" i="5"/>
  <c r="P64" i="5"/>
  <c r="D64" i="5"/>
  <c r="E64" i="5" s="1"/>
  <c r="L64" i="5"/>
  <c r="D66" i="5"/>
  <c r="E66" i="5" s="1"/>
  <c r="M66" i="5"/>
  <c r="L66" i="5"/>
  <c r="P66" i="5"/>
  <c r="N66" i="5"/>
  <c r="K66" i="5"/>
  <c r="O66" i="5"/>
  <c r="J66" i="5"/>
  <c r="I66" i="5"/>
  <c r="H66" i="5"/>
  <c r="G66" i="5"/>
  <c r="F66" i="5"/>
  <c r="G68" i="5"/>
  <c r="F68" i="5"/>
  <c r="P68" i="5"/>
  <c r="O68" i="5"/>
  <c r="N68" i="5"/>
  <c r="D68" i="5"/>
  <c r="E68" i="5" s="1"/>
  <c r="M68" i="5"/>
  <c r="L68" i="5"/>
  <c r="K68" i="5"/>
  <c r="J68" i="5"/>
  <c r="H68" i="5"/>
  <c r="I68" i="5"/>
  <c r="K70" i="5"/>
  <c r="I70" i="5"/>
  <c r="D70" i="5"/>
  <c r="E70" i="5" s="1"/>
  <c r="H70" i="5"/>
  <c r="F70" i="5"/>
  <c r="J70" i="5"/>
  <c r="G70" i="5"/>
  <c r="P70" i="5"/>
  <c r="O70" i="5"/>
  <c r="N70" i="5"/>
  <c r="M70" i="5"/>
  <c r="L70" i="5"/>
  <c r="I72" i="5"/>
  <c r="F72" i="5"/>
  <c r="P72" i="5"/>
  <c r="O72" i="5"/>
  <c r="N72" i="5"/>
  <c r="M72" i="5"/>
  <c r="L72" i="5"/>
  <c r="K72" i="5"/>
  <c r="J72" i="5"/>
  <c r="H72" i="5"/>
  <c r="D72" i="5"/>
  <c r="E72" i="5" s="1"/>
  <c r="G72" i="5"/>
  <c r="P73" i="5"/>
  <c r="O73" i="5"/>
  <c r="N73" i="5"/>
  <c r="M73" i="5"/>
  <c r="L73" i="5"/>
  <c r="J73" i="5"/>
  <c r="I73" i="5"/>
  <c r="H73" i="5"/>
  <c r="G73" i="5"/>
  <c r="F73" i="5"/>
  <c r="D73" i="5"/>
  <c r="E73" i="5" s="1"/>
  <c r="K73" i="5"/>
  <c r="I74" i="5"/>
  <c r="J74" i="5"/>
  <c r="H74" i="5"/>
  <c r="F74" i="5"/>
  <c r="L74" i="5"/>
  <c r="D74" i="5"/>
  <c r="E74" i="5" s="1"/>
  <c r="P74" i="5"/>
  <c r="G74" i="5"/>
  <c r="N74" i="5"/>
  <c r="K74" i="5"/>
  <c r="O74" i="5"/>
  <c r="M74" i="5"/>
  <c r="P76" i="5"/>
  <c r="O76" i="5"/>
  <c r="M76" i="5"/>
  <c r="D76" i="5"/>
  <c r="E76" i="5" s="1"/>
  <c r="F76" i="5"/>
  <c r="G76" i="5"/>
  <c r="H76" i="5"/>
  <c r="J76" i="5"/>
  <c r="K76" i="5"/>
  <c r="L76" i="5"/>
  <c r="N76" i="5"/>
  <c r="I76" i="5"/>
  <c r="N79" i="5"/>
  <c r="M79" i="5"/>
  <c r="L79" i="5"/>
  <c r="K79" i="5"/>
  <c r="I79" i="5"/>
  <c r="H79" i="5"/>
  <c r="G79" i="5"/>
  <c r="F79" i="5"/>
  <c r="D79" i="5"/>
  <c r="E79" i="5" s="1"/>
  <c r="O79" i="5"/>
  <c r="J79" i="5"/>
  <c r="P79" i="5"/>
  <c r="O81" i="5"/>
  <c r="P81" i="5"/>
  <c r="I81" i="5"/>
  <c r="K81" i="5"/>
  <c r="L81" i="5"/>
  <c r="M81" i="5"/>
  <c r="N81" i="5"/>
  <c r="D81" i="5"/>
  <c r="E81" i="5" s="1"/>
  <c r="F81" i="5"/>
  <c r="G81" i="5"/>
  <c r="H81" i="5"/>
  <c r="J81" i="5"/>
  <c r="M85" i="5" s="1"/>
  <c r="D82" i="5"/>
  <c r="E82" i="5" s="1"/>
  <c r="F82" i="5"/>
  <c r="G82" i="5"/>
  <c r="H82" i="5"/>
  <c r="I82" i="5"/>
  <c r="K82" i="5"/>
  <c r="M82" i="5"/>
  <c r="N82" i="5"/>
  <c r="O82" i="5"/>
  <c r="L82" i="5"/>
  <c r="J82" i="5"/>
  <c r="P82" i="5"/>
  <c r="G83" i="5"/>
  <c r="J83" i="5"/>
  <c r="K83" i="5"/>
  <c r="N83" i="5"/>
  <c r="D83" i="5"/>
  <c r="E83" i="5" s="1"/>
  <c r="F83" i="5"/>
  <c r="P83" i="5"/>
  <c r="H83" i="5"/>
  <c r="O83" i="5"/>
  <c r="M83" i="5"/>
  <c r="L83" i="5"/>
  <c r="I83" i="5"/>
  <c r="K33" i="5"/>
  <c r="L33" i="5"/>
  <c r="N33" i="5"/>
  <c r="P33" i="5"/>
  <c r="M33" i="5"/>
  <c r="H33" i="5"/>
  <c r="D33" i="5"/>
  <c r="E33" i="5" s="1"/>
  <c r="O33" i="5"/>
  <c r="F33" i="5"/>
  <c r="G33" i="5"/>
  <c r="I33" i="5"/>
  <c r="J33" i="5"/>
  <c r="L34" i="5"/>
  <c r="F34" i="5"/>
  <c r="O34" i="5"/>
  <c r="I34" i="5"/>
  <c r="M34" i="5"/>
  <c r="H34" i="5"/>
  <c r="G34" i="5"/>
  <c r="K34" i="5"/>
  <c r="D34" i="5"/>
  <c r="E34" i="5" s="1"/>
  <c r="J34" i="5"/>
  <c r="P34" i="5"/>
  <c r="N34" i="5"/>
  <c r="F37" i="5"/>
  <c r="H37" i="5"/>
  <c r="J37" i="5"/>
  <c r="K37" i="5"/>
  <c r="N37" i="5"/>
  <c r="O37" i="5"/>
  <c r="P37" i="5"/>
  <c r="M37" i="5"/>
  <c r="I37" i="5"/>
  <c r="G37" i="5"/>
  <c r="D37" i="5"/>
  <c r="E37" i="5" s="1"/>
  <c r="L37" i="5"/>
  <c r="F38" i="5"/>
  <c r="H38" i="5"/>
  <c r="K38" i="5"/>
  <c r="N38" i="5"/>
  <c r="P38" i="5"/>
  <c r="J38" i="5"/>
  <c r="O38" i="5"/>
  <c r="D38" i="5"/>
  <c r="E38" i="5" s="1"/>
  <c r="G38" i="5"/>
  <c r="I38" i="5"/>
  <c r="L38" i="5"/>
  <c r="M38" i="5"/>
  <c r="N42" i="5"/>
  <c r="P42" i="5"/>
  <c r="I42" i="5"/>
  <c r="O42" i="5"/>
  <c r="F42" i="5"/>
  <c r="H42" i="5"/>
  <c r="K42" i="5"/>
  <c r="D42" i="5"/>
  <c r="E42" i="5" s="1"/>
  <c r="G42" i="5"/>
  <c r="J42" i="5"/>
  <c r="M42" i="5"/>
  <c r="L42" i="5"/>
  <c r="M43" i="5"/>
  <c r="J43" i="5"/>
  <c r="H43" i="5"/>
  <c r="D43" i="5"/>
  <c r="E43" i="5" s="1"/>
  <c r="P43" i="5"/>
  <c r="F43" i="5"/>
  <c r="G43" i="5"/>
  <c r="I43" i="5"/>
  <c r="K43" i="5"/>
  <c r="L43" i="5"/>
  <c r="N43" i="5"/>
  <c r="O43" i="5"/>
  <c r="F49" i="5"/>
  <c r="K49" i="5"/>
  <c r="J49" i="5"/>
  <c r="P49" i="5"/>
  <c r="I49" i="5"/>
  <c r="H49" i="5"/>
  <c r="G49" i="5"/>
  <c r="O49" i="5"/>
  <c r="D49" i="5"/>
  <c r="E49" i="5" s="1"/>
  <c r="N49" i="5"/>
  <c r="M49" i="5"/>
  <c r="L49" i="5"/>
  <c r="P52" i="5"/>
  <c r="O52" i="5"/>
  <c r="N52" i="5"/>
  <c r="M52" i="5"/>
  <c r="L52" i="5"/>
  <c r="K52" i="5"/>
  <c r="J52" i="5"/>
  <c r="H52" i="5"/>
  <c r="G52" i="5"/>
  <c r="F52" i="5"/>
  <c r="D52" i="5"/>
  <c r="E52" i="5" s="1"/>
  <c r="I52" i="5"/>
  <c r="I57" i="5"/>
  <c r="J57" i="5"/>
  <c r="K57" i="5"/>
  <c r="L57" i="5"/>
  <c r="M57" i="5"/>
  <c r="N57" i="5"/>
  <c r="O57" i="5"/>
  <c r="P57" i="5"/>
  <c r="H57" i="5"/>
  <c r="F57" i="5"/>
  <c r="G57" i="5"/>
  <c r="D57" i="5"/>
  <c r="E57" i="5" s="1"/>
  <c r="G58" i="5"/>
  <c r="I58" i="5"/>
  <c r="K58" i="5"/>
  <c r="L58" i="5"/>
  <c r="N58" i="5"/>
  <c r="D58" i="5"/>
  <c r="E58" i="5" s="1"/>
  <c r="F58" i="5"/>
  <c r="H58" i="5"/>
  <c r="J58" i="5"/>
  <c r="M58" i="5"/>
  <c r="O58" i="5"/>
  <c r="P58" i="5"/>
  <c r="I59" i="5"/>
  <c r="F59" i="5"/>
  <c r="N59" i="5"/>
  <c r="M59" i="5"/>
  <c r="D59" i="5"/>
  <c r="E59" i="5" s="1"/>
  <c r="G59" i="5"/>
  <c r="H59" i="5"/>
  <c r="J59" i="5"/>
  <c r="L59" i="5"/>
  <c r="O59" i="5"/>
  <c r="P59" i="5"/>
  <c r="K59" i="5"/>
  <c r="K63" i="5"/>
  <c r="L63" i="5"/>
  <c r="M63" i="5"/>
  <c r="N63" i="5"/>
  <c r="F63" i="5"/>
  <c r="O63" i="5"/>
  <c r="P63" i="5"/>
  <c r="D63" i="5"/>
  <c r="E63" i="5" s="1"/>
  <c r="G63" i="5"/>
  <c r="H63" i="5"/>
  <c r="I63" i="5"/>
  <c r="J63" i="5"/>
  <c r="K65" i="5"/>
  <c r="L65" i="5"/>
  <c r="M65" i="5"/>
  <c r="N65" i="5"/>
  <c r="O65" i="5"/>
  <c r="P65" i="5"/>
  <c r="D65" i="5"/>
  <c r="E65" i="5" s="1"/>
  <c r="F65" i="5"/>
  <c r="G65" i="5"/>
  <c r="H65" i="5"/>
  <c r="I65" i="5"/>
  <c r="J65" i="5"/>
  <c r="I67" i="5"/>
  <c r="D67" i="5"/>
  <c r="E67" i="5" s="1"/>
  <c r="F67" i="5"/>
  <c r="G67" i="5"/>
  <c r="H67" i="5"/>
  <c r="J67" i="5"/>
  <c r="K67" i="5"/>
  <c r="L67" i="5"/>
  <c r="M67" i="5"/>
  <c r="N67" i="5"/>
  <c r="O67" i="5"/>
  <c r="P67" i="5"/>
  <c r="N69" i="5"/>
  <c r="O69" i="5"/>
  <c r="P69" i="5"/>
  <c r="L69" i="5"/>
  <c r="F69" i="5"/>
  <c r="M69" i="5"/>
  <c r="D69" i="5"/>
  <c r="E69" i="5" s="1"/>
  <c r="G69" i="5"/>
  <c r="H69" i="5"/>
  <c r="I69" i="5"/>
  <c r="J69" i="5"/>
  <c r="K69" i="5"/>
  <c r="H71" i="5"/>
  <c r="G71" i="5"/>
  <c r="F71" i="5"/>
  <c r="D71" i="5"/>
  <c r="E71" i="5" s="1"/>
  <c r="P71" i="5"/>
  <c r="O71" i="5"/>
  <c r="N71" i="5"/>
  <c r="M71" i="5"/>
  <c r="L71" i="5"/>
  <c r="K71" i="5"/>
  <c r="J71" i="5"/>
  <c r="I71" i="5"/>
  <c r="L75" i="5"/>
  <c r="K75" i="5"/>
  <c r="P75" i="5"/>
  <c r="M75" i="5"/>
  <c r="N75" i="5"/>
  <c r="D75" i="5"/>
  <c r="E75" i="5" s="1"/>
  <c r="F75" i="5"/>
  <c r="G75" i="5"/>
  <c r="H75" i="5"/>
  <c r="O75" i="5"/>
  <c r="I75" i="5"/>
  <c r="J75" i="5"/>
  <c r="M77" i="5"/>
  <c r="N77" i="5"/>
  <c r="D77" i="5"/>
  <c r="E77" i="5" s="1"/>
  <c r="O77" i="5"/>
  <c r="K77" i="5"/>
  <c r="F77" i="5"/>
  <c r="G77" i="5"/>
  <c r="H77" i="5"/>
  <c r="I77" i="5"/>
  <c r="J77" i="5"/>
  <c r="L77" i="5"/>
  <c r="P77" i="5"/>
  <c r="F78" i="5"/>
  <c r="D78" i="5"/>
  <c r="E78" i="5" s="1"/>
  <c r="G78" i="5"/>
  <c r="H78" i="5"/>
  <c r="I78" i="5"/>
  <c r="J78" i="5"/>
  <c r="K78" i="5"/>
  <c r="L78" i="5"/>
  <c r="M78" i="5"/>
  <c r="N78" i="5"/>
  <c r="O78" i="5"/>
  <c r="P78" i="5"/>
  <c r="K80" i="5"/>
  <c r="L80" i="5"/>
  <c r="M80" i="5"/>
  <c r="N80" i="5"/>
  <c r="O80" i="5"/>
  <c r="P80" i="5"/>
  <c r="D80" i="5"/>
  <c r="E80" i="5" s="1"/>
  <c r="F80" i="5"/>
  <c r="G80" i="5"/>
  <c r="H80" i="5"/>
  <c r="I80" i="5"/>
  <c r="J80" i="5"/>
  <c r="L25" i="5"/>
  <c r="M25" i="5"/>
  <c r="N25" i="5"/>
  <c r="O25" i="5"/>
  <c r="P25" i="5"/>
  <c r="H25" i="5"/>
  <c r="D25" i="5"/>
  <c r="E25" i="5" s="1"/>
  <c r="F25" i="5"/>
  <c r="G25" i="5"/>
  <c r="I25" i="5"/>
  <c r="J25" i="5"/>
  <c r="K25" i="5"/>
  <c r="F26" i="5"/>
  <c r="M26" i="5"/>
  <c r="J26" i="5"/>
  <c r="K26" i="5"/>
  <c r="D26" i="5"/>
  <c r="E26" i="5" s="1"/>
  <c r="G26" i="5"/>
  <c r="H26" i="5"/>
  <c r="I26" i="5"/>
  <c r="P26" i="5"/>
  <c r="O26" i="5"/>
  <c r="L26" i="5"/>
  <c r="N26" i="5"/>
  <c r="I32" i="5"/>
  <c r="J32" i="5"/>
  <c r="L32" i="5"/>
  <c r="H32" i="5"/>
  <c r="G32" i="5"/>
  <c r="F32" i="5"/>
  <c r="D32" i="5"/>
  <c r="E32" i="5" s="1"/>
  <c r="K32" i="5"/>
  <c r="M32" i="5"/>
  <c r="N32" i="5"/>
  <c r="O32" i="5"/>
  <c r="P32" i="5"/>
  <c r="P45" i="5"/>
  <c r="O45" i="5"/>
  <c r="N45" i="5"/>
  <c r="G45" i="5"/>
  <c r="D45" i="5"/>
  <c r="E45" i="5" s="1"/>
  <c r="F45" i="5"/>
  <c r="H45" i="5"/>
  <c r="I45" i="5"/>
  <c r="J45" i="5"/>
  <c r="K45" i="5"/>
  <c r="L45" i="5"/>
  <c r="M45" i="5"/>
  <c r="N46" i="5"/>
  <c r="L46" i="5"/>
  <c r="K46" i="5"/>
  <c r="J46" i="5"/>
  <c r="I46" i="5"/>
  <c r="H46" i="5"/>
  <c r="G46" i="5"/>
  <c r="F46" i="5"/>
  <c r="O46" i="5"/>
  <c r="D46" i="5"/>
  <c r="E46" i="5" s="1"/>
  <c r="P46" i="5"/>
  <c r="M46" i="5"/>
  <c r="P48" i="5"/>
  <c r="G48" i="5"/>
  <c r="D48" i="5"/>
  <c r="E48" i="5" s="1"/>
  <c r="F48" i="5"/>
  <c r="H48" i="5"/>
  <c r="I48" i="5"/>
  <c r="J48" i="5"/>
  <c r="K48" i="5"/>
  <c r="L48" i="5"/>
  <c r="M48" i="5"/>
  <c r="N48" i="5"/>
  <c r="O48" i="5"/>
  <c r="J51" i="5"/>
  <c r="P51" i="5"/>
  <c r="O51" i="5"/>
  <c r="N51" i="5"/>
  <c r="M51" i="5"/>
  <c r="L51" i="5"/>
  <c r="K51" i="5"/>
  <c r="I51" i="5"/>
  <c r="H51" i="5"/>
  <c r="G51" i="5"/>
  <c r="F51" i="5"/>
  <c r="D51" i="5"/>
  <c r="E51" i="5" s="1"/>
  <c r="J54" i="5"/>
  <c r="I54" i="5"/>
  <c r="H54" i="5"/>
  <c r="G54" i="5"/>
  <c r="F54" i="5"/>
  <c r="D54" i="5"/>
  <c r="E54" i="5" s="1"/>
  <c r="L54" i="5"/>
  <c r="K54" i="5"/>
  <c r="M54" i="5"/>
  <c r="N54" i="5"/>
  <c r="O54" i="5"/>
  <c r="P54" i="5"/>
  <c r="H55" i="5"/>
  <c r="G55" i="5"/>
  <c r="F55" i="5"/>
  <c r="D55" i="5"/>
  <c r="E55" i="5" s="1"/>
  <c r="I55" i="5"/>
  <c r="M55" i="5"/>
  <c r="P55" i="5"/>
  <c r="O55" i="5"/>
  <c r="N55" i="5"/>
  <c r="L55" i="5"/>
  <c r="K55" i="5"/>
  <c r="J55" i="5"/>
  <c r="D56" i="5"/>
  <c r="E56" i="5" s="1"/>
  <c r="H56" i="5"/>
  <c r="K56" i="5"/>
  <c r="O56" i="5"/>
  <c r="G56" i="5"/>
  <c r="I56" i="5"/>
  <c r="J56" i="5"/>
  <c r="M56" i="5"/>
  <c r="P56" i="5"/>
  <c r="N56" i="5"/>
  <c r="F56" i="5"/>
  <c r="L56" i="5"/>
  <c r="D28" i="5"/>
  <c r="E28" i="5" s="1"/>
  <c r="F28" i="5"/>
  <c r="J28" i="5"/>
  <c r="N28" i="5"/>
  <c r="M28" i="5"/>
  <c r="O28" i="5"/>
  <c r="K28" i="5"/>
  <c r="G28" i="5"/>
  <c r="H28" i="5"/>
  <c r="I28" i="5"/>
  <c r="L28" i="5"/>
  <c r="P28" i="5"/>
  <c r="N29" i="5"/>
  <c r="F29" i="5"/>
  <c r="P29" i="5"/>
  <c r="O29" i="5"/>
  <c r="K29" i="5"/>
  <c r="G29" i="5"/>
  <c r="I29" i="5"/>
  <c r="M29" i="5"/>
  <c r="H29" i="5"/>
  <c r="D29" i="5"/>
  <c r="E29" i="5" s="1"/>
  <c r="L29" i="5"/>
  <c r="J29" i="5"/>
  <c r="L30" i="5"/>
  <c r="F30" i="5"/>
  <c r="H30" i="5"/>
  <c r="D30" i="5"/>
  <c r="E30" i="5" s="1"/>
  <c r="P30" i="5"/>
  <c r="N30" i="5"/>
  <c r="K30" i="5"/>
  <c r="M30" i="5"/>
  <c r="O30" i="5"/>
  <c r="J30" i="5"/>
  <c r="I30" i="5"/>
  <c r="G30" i="5"/>
  <c r="O35" i="5"/>
  <c r="K35" i="5"/>
  <c r="H35" i="5"/>
  <c r="P35" i="5"/>
  <c r="N35" i="5"/>
  <c r="L35" i="5"/>
  <c r="J35" i="5"/>
  <c r="I35" i="5"/>
  <c r="G35" i="5"/>
  <c r="F35" i="5"/>
  <c r="D35" i="5"/>
  <c r="E35" i="5" s="1"/>
  <c r="M35" i="5"/>
  <c r="L36" i="5"/>
  <c r="P36" i="5"/>
  <c r="M36" i="5"/>
  <c r="I36" i="5"/>
  <c r="K36" i="5"/>
  <c r="H36" i="5"/>
  <c r="D36" i="5"/>
  <c r="E36" i="5" s="1"/>
  <c r="F36" i="5"/>
  <c r="J36" i="5"/>
  <c r="N36" i="5"/>
  <c r="O36" i="5"/>
  <c r="G36" i="5"/>
  <c r="N21" i="5"/>
  <c r="P21" i="5"/>
  <c r="I21" i="5"/>
  <c r="H21" i="5"/>
  <c r="G21" i="5"/>
  <c r="O21" i="5"/>
  <c r="M21" i="5"/>
  <c r="L21" i="5"/>
  <c r="D21" i="5"/>
  <c r="E21" i="5" s="1"/>
  <c r="K21" i="5"/>
  <c r="F21" i="5"/>
  <c r="J21" i="5"/>
  <c r="G40" i="5"/>
  <c r="I40" i="5"/>
  <c r="D40" i="5"/>
  <c r="E40" i="5" s="1"/>
  <c r="F40" i="5"/>
  <c r="H40" i="5"/>
  <c r="J40" i="5"/>
  <c r="L40" i="5"/>
  <c r="M40" i="5"/>
  <c r="O40" i="5"/>
  <c r="K40" i="5"/>
  <c r="N40" i="5"/>
  <c r="P40" i="5"/>
  <c r="N44" i="5"/>
  <c r="J44" i="5"/>
  <c r="F44" i="5"/>
  <c r="H44" i="5"/>
  <c r="D44" i="5"/>
  <c r="E44" i="5" s="1"/>
  <c r="G44" i="5"/>
  <c r="K44" i="5"/>
  <c r="M44" i="5"/>
  <c r="P44" i="5"/>
  <c r="I44" i="5"/>
  <c r="L44" i="5"/>
  <c r="O44" i="5"/>
  <c r="P6" i="5"/>
  <c r="N6" i="5"/>
  <c r="L6" i="5"/>
  <c r="J6" i="5"/>
  <c r="G6" i="5"/>
  <c r="F6" i="5"/>
  <c r="M6" i="5"/>
  <c r="K6" i="5"/>
  <c r="H6" i="5"/>
  <c r="D6" i="5"/>
  <c r="E6" i="5" s="1"/>
  <c r="I6" i="5"/>
  <c r="O6" i="5"/>
  <c r="F7" i="5"/>
  <c r="L7" i="5"/>
  <c r="I7" i="5"/>
  <c r="H7" i="5"/>
  <c r="K7" i="5"/>
  <c r="J7" i="5"/>
  <c r="G7" i="5"/>
  <c r="D7" i="5"/>
  <c r="E7" i="5" s="1"/>
  <c r="M7" i="5"/>
  <c r="N7" i="5"/>
  <c r="O7" i="5"/>
  <c r="P7" i="5"/>
  <c r="D8" i="5"/>
  <c r="I8" i="5"/>
  <c r="H8" i="5"/>
  <c r="J8" i="5"/>
  <c r="K8" i="5"/>
  <c r="L8" i="5"/>
  <c r="M8" i="5"/>
  <c r="N8" i="5"/>
  <c r="O8" i="5"/>
  <c r="P8" i="5"/>
  <c r="F8" i="5"/>
  <c r="E8" i="5"/>
  <c r="G8" i="5"/>
  <c r="G9" i="5"/>
  <c r="P9" i="5"/>
  <c r="O9" i="5"/>
  <c r="N9" i="5"/>
  <c r="M9" i="5"/>
  <c r="I9" i="5"/>
  <c r="K9" i="5"/>
  <c r="J9" i="5"/>
  <c r="F9" i="5"/>
  <c r="H9" i="5"/>
  <c r="D9" i="5"/>
  <c r="E9" i="5" s="1"/>
  <c r="L9" i="5"/>
  <c r="J10" i="5"/>
  <c r="I10" i="5"/>
  <c r="H10" i="5"/>
  <c r="F10" i="5"/>
  <c r="D10" i="5"/>
  <c r="E10" i="5" s="1"/>
  <c r="G10" i="5"/>
  <c r="P10" i="5"/>
  <c r="O10" i="5"/>
  <c r="N10" i="5"/>
  <c r="M10" i="5"/>
  <c r="L10" i="5"/>
  <c r="K10" i="5"/>
  <c r="F39" i="5"/>
  <c r="O39" i="5"/>
  <c r="M39" i="5"/>
  <c r="I39" i="5"/>
  <c r="K39" i="5"/>
  <c r="D39" i="5"/>
  <c r="E39" i="5" s="1"/>
  <c r="P39" i="5"/>
  <c r="N39" i="5"/>
  <c r="L39" i="5"/>
  <c r="J39" i="5"/>
  <c r="H39" i="5"/>
  <c r="G39" i="5"/>
  <c r="D11" i="5"/>
  <c r="E11" i="5" s="1"/>
  <c r="F11" i="5"/>
  <c r="P11" i="5"/>
  <c r="O11" i="5"/>
  <c r="N11" i="5"/>
  <c r="M11" i="5"/>
  <c r="L11" i="5"/>
  <c r="K11" i="5"/>
  <c r="J11" i="5"/>
  <c r="I11" i="5"/>
  <c r="H11" i="5"/>
  <c r="G11" i="5"/>
  <c r="O12" i="5"/>
  <c r="P12" i="5"/>
  <c r="N12" i="5"/>
  <c r="M12" i="5"/>
  <c r="L12" i="5"/>
  <c r="K12" i="5"/>
  <c r="J12" i="5"/>
  <c r="I12" i="5"/>
  <c r="H12" i="5"/>
  <c r="G12" i="5"/>
  <c r="F12" i="5"/>
  <c r="D12" i="5"/>
  <c r="E12" i="5" s="1"/>
  <c r="I13" i="5"/>
  <c r="J13" i="5"/>
  <c r="K13" i="5"/>
  <c r="L13" i="5"/>
  <c r="N13" i="5"/>
  <c r="O13" i="5"/>
  <c r="P13" i="5"/>
  <c r="M13" i="5"/>
  <c r="D13" i="5"/>
  <c r="E13" i="5" s="1"/>
  <c r="F13" i="5"/>
  <c r="G13" i="5"/>
  <c r="H13" i="5"/>
  <c r="P14" i="5"/>
  <c r="K14" i="5"/>
  <c r="L14" i="5"/>
  <c r="M14" i="5"/>
  <c r="N14" i="5"/>
  <c r="O14" i="5"/>
  <c r="D14" i="5"/>
  <c r="E14" i="5" s="1"/>
  <c r="F14" i="5"/>
  <c r="H14" i="5"/>
  <c r="I14" i="5"/>
  <c r="J14" i="5"/>
  <c r="G14" i="5"/>
  <c r="K15" i="5"/>
  <c r="L15" i="5"/>
  <c r="M15" i="5"/>
  <c r="N15" i="5"/>
  <c r="O15" i="5"/>
  <c r="P15" i="5"/>
  <c r="H15" i="5"/>
  <c r="I15" i="5"/>
  <c r="G15" i="5"/>
  <c r="F15" i="5"/>
  <c r="D15" i="5"/>
  <c r="E15" i="5" s="1"/>
  <c r="J15" i="5"/>
  <c r="K16" i="5"/>
  <c r="J16" i="5"/>
  <c r="I16" i="5"/>
  <c r="H16" i="5"/>
  <c r="G16" i="5"/>
  <c r="F16" i="5"/>
  <c r="D16" i="5"/>
  <c r="E16" i="5" s="1"/>
  <c r="N16" i="5"/>
  <c r="O16" i="5"/>
  <c r="P16" i="5"/>
  <c r="M16" i="5"/>
  <c r="L16" i="5"/>
  <c r="H17" i="5"/>
  <c r="I17" i="5"/>
  <c r="J17" i="5"/>
  <c r="K17" i="5"/>
  <c r="L17" i="5"/>
  <c r="M17" i="5"/>
  <c r="N17" i="5"/>
  <c r="O17" i="5"/>
  <c r="P17" i="5"/>
  <c r="D17" i="5"/>
  <c r="E17" i="5" s="1"/>
  <c r="F17" i="5"/>
  <c r="G17" i="5"/>
  <c r="I18" i="5"/>
  <c r="J18" i="5"/>
  <c r="K18" i="5"/>
  <c r="L18" i="5"/>
  <c r="M18" i="5"/>
  <c r="N18" i="5"/>
  <c r="O18" i="5"/>
  <c r="H18" i="5"/>
  <c r="D18" i="5"/>
  <c r="E18" i="5" s="1"/>
  <c r="F18" i="5"/>
  <c r="G18" i="5"/>
  <c r="P18" i="5"/>
  <c r="I19" i="5"/>
  <c r="J19" i="5"/>
  <c r="K19" i="5"/>
  <c r="L19" i="5"/>
  <c r="M19" i="5"/>
  <c r="N19" i="5"/>
  <c r="O19" i="5"/>
  <c r="H19" i="5"/>
  <c r="P19" i="5"/>
  <c r="D19" i="5"/>
  <c r="E19" i="5" s="1"/>
  <c r="F19" i="5"/>
  <c r="G19" i="5"/>
  <c r="K20" i="5"/>
  <c r="J20" i="5"/>
  <c r="I20" i="5"/>
  <c r="H20" i="5"/>
  <c r="G20" i="5"/>
  <c r="F20" i="5"/>
  <c r="D20" i="5"/>
  <c r="E20" i="5" s="1"/>
  <c r="P20" i="5"/>
  <c r="O20" i="5"/>
  <c r="N20" i="5"/>
  <c r="M20" i="5"/>
  <c r="L20" i="5"/>
  <c r="K317" i="7"/>
  <c r="J317" i="7"/>
  <c r="I317" i="7"/>
  <c r="G317" i="7"/>
  <c r="F317" i="7"/>
  <c r="E317" i="7"/>
  <c r="M317" i="7"/>
  <c r="D317" i="7"/>
  <c r="L317" i="7"/>
  <c r="N317" i="7"/>
  <c r="O317" i="7"/>
  <c r="P317" i="7"/>
  <c r="H317" i="7"/>
  <c r="P316" i="7"/>
  <c r="O316" i="7"/>
  <c r="N316" i="7"/>
  <c r="M316" i="7"/>
  <c r="K316" i="7"/>
  <c r="J316" i="7"/>
  <c r="I316" i="7"/>
  <c r="H316" i="7"/>
  <c r="G316" i="7"/>
  <c r="F316" i="7"/>
  <c r="E316" i="7"/>
  <c r="L316" i="7"/>
  <c r="D316" i="7"/>
  <c r="E315" i="7"/>
  <c r="J315" i="7"/>
  <c r="I315" i="7"/>
  <c r="H315" i="7"/>
  <c r="G315" i="7"/>
  <c r="F315" i="7"/>
  <c r="N315" i="7"/>
  <c r="D315" i="7"/>
  <c r="P315" i="7"/>
  <c r="O315" i="7"/>
  <c r="M315" i="7"/>
  <c r="L315" i="7"/>
  <c r="K315" i="7"/>
  <c r="K314" i="7"/>
  <c r="O314" i="7"/>
  <c r="D314" i="7"/>
  <c r="P314" i="7"/>
  <c r="E314" i="7"/>
  <c r="F314" i="7"/>
  <c r="G314" i="7"/>
  <c r="H314" i="7"/>
  <c r="I314" i="7"/>
  <c r="J314" i="7"/>
  <c r="L314" i="7"/>
  <c r="M314" i="7"/>
  <c r="N314" i="7"/>
  <c r="K313" i="7"/>
  <c r="D313" i="7"/>
  <c r="E313" i="7"/>
  <c r="F313" i="7"/>
  <c r="O313" i="7"/>
  <c r="N313" i="7"/>
  <c r="M313" i="7"/>
  <c r="L313" i="7"/>
  <c r="J313" i="7"/>
  <c r="I313" i="7"/>
  <c r="H313" i="7"/>
  <c r="G313" i="7"/>
  <c r="P313" i="7"/>
  <c r="D312" i="7"/>
  <c r="P312" i="7"/>
  <c r="O312" i="7"/>
  <c r="N312" i="7"/>
  <c r="M312" i="7"/>
  <c r="L312" i="7"/>
  <c r="K312" i="7"/>
  <c r="J312" i="7"/>
  <c r="I312" i="7"/>
  <c r="H312" i="7"/>
  <c r="G312" i="7"/>
  <c r="F312" i="7"/>
  <c r="E312" i="7"/>
  <c r="I310" i="7"/>
  <c r="H310" i="7"/>
  <c r="G310" i="7"/>
  <c r="F310" i="7"/>
  <c r="E310" i="7"/>
  <c r="K310" i="7"/>
  <c r="D310" i="7"/>
  <c r="O310" i="7"/>
  <c r="J310" i="7"/>
  <c r="L310" i="7"/>
  <c r="M310" i="7"/>
  <c r="P310" i="7"/>
  <c r="N310" i="7"/>
  <c r="P309" i="7"/>
  <c r="O309" i="7"/>
  <c r="N309" i="7"/>
  <c r="M309" i="7"/>
  <c r="L309" i="7"/>
  <c r="K309" i="7"/>
  <c r="J309" i="7"/>
  <c r="I309" i="7"/>
  <c r="H309" i="7"/>
  <c r="G309" i="7"/>
  <c r="F309" i="7"/>
  <c r="D309" i="7"/>
  <c r="E309" i="7"/>
  <c r="M308" i="7"/>
  <c r="L308" i="7"/>
  <c r="K308" i="7"/>
  <c r="J308" i="7"/>
  <c r="I308" i="7"/>
  <c r="H308" i="7"/>
  <c r="G308" i="7"/>
  <c r="F308" i="7"/>
  <c r="E308" i="7"/>
  <c r="D308" i="7"/>
  <c r="P308" i="7"/>
  <c r="O308" i="7"/>
  <c r="N308" i="7"/>
  <c r="J307" i="7"/>
  <c r="D307" i="7"/>
  <c r="E307" i="7"/>
  <c r="F307" i="7"/>
  <c r="G307" i="7"/>
  <c r="H307" i="7"/>
  <c r="I307" i="7"/>
  <c r="K307" i="7"/>
  <c r="L307" i="7"/>
  <c r="M307" i="7"/>
  <c r="P307" i="7"/>
  <c r="O307" i="7"/>
  <c r="N307" i="7"/>
  <c r="G306" i="7"/>
  <c r="H306" i="7"/>
  <c r="J306" i="7"/>
  <c r="K306" i="7"/>
  <c r="L306" i="7"/>
  <c r="M306" i="7"/>
  <c r="O306" i="7"/>
  <c r="P306" i="7"/>
  <c r="I306" i="7"/>
  <c r="D306" i="7"/>
  <c r="E306" i="7"/>
  <c r="F306" i="7"/>
  <c r="N306" i="7"/>
  <c r="E305" i="7"/>
  <c r="D305" i="7"/>
  <c r="G305" i="7"/>
  <c r="H305" i="7"/>
  <c r="I305" i="7"/>
  <c r="J305" i="7"/>
  <c r="K305" i="7"/>
  <c r="L305" i="7"/>
  <c r="F305" i="7"/>
  <c r="M305" i="7"/>
  <c r="N305" i="7"/>
  <c r="O305" i="7"/>
  <c r="P305" i="7"/>
  <c r="L311" i="7"/>
  <c r="D311" i="7"/>
  <c r="E311" i="7"/>
  <c r="F311" i="7"/>
  <c r="G311" i="7"/>
  <c r="H311" i="7"/>
  <c r="I311" i="7"/>
  <c r="J311" i="7"/>
  <c r="K311" i="7"/>
  <c r="M311" i="7"/>
  <c r="N311" i="7"/>
  <c r="O311" i="7"/>
  <c r="P311" i="7"/>
  <c r="P6" i="7"/>
  <c r="J6" i="7"/>
  <c r="I6" i="7"/>
  <c r="H6" i="7"/>
  <c r="G6" i="7"/>
  <c r="K6" i="7"/>
  <c r="O6" i="7"/>
  <c r="N6" i="7"/>
  <c r="M6" i="7"/>
  <c r="L6" i="7"/>
  <c r="F6" i="7"/>
  <c r="D6" i="7"/>
  <c r="E6" i="7" s="1"/>
  <c r="M324" i="7"/>
  <c r="F324" i="7"/>
  <c r="G324" i="7"/>
  <c r="D324" i="7"/>
  <c r="E324" i="7"/>
  <c r="H324" i="7"/>
  <c r="I324" i="7"/>
  <c r="J324" i="7"/>
  <c r="K324" i="7"/>
  <c r="L324" i="7"/>
  <c r="N324" i="7"/>
  <c r="O324" i="7"/>
  <c r="P324" i="7"/>
  <c r="N323" i="7"/>
  <c r="O323" i="7"/>
  <c r="P323" i="7"/>
  <c r="M323" i="7"/>
  <c r="F323" i="7"/>
  <c r="J323" i="7"/>
  <c r="K323" i="7"/>
  <c r="D323" i="7"/>
  <c r="E323" i="7"/>
  <c r="G323" i="7"/>
  <c r="L323" i="7"/>
  <c r="H323" i="7"/>
  <c r="I323" i="7"/>
  <c r="F322" i="7"/>
  <c r="D322" i="7"/>
  <c r="G322" i="7"/>
  <c r="I322" i="7"/>
  <c r="J322" i="7"/>
  <c r="K322" i="7"/>
  <c r="P322" i="7"/>
  <c r="O322" i="7"/>
  <c r="N322" i="7"/>
  <c r="H322" i="7"/>
  <c r="M322" i="7"/>
  <c r="L322" i="7"/>
  <c r="E322" i="7"/>
  <c r="E321" i="7"/>
  <c r="D321" i="7"/>
  <c r="P321" i="7"/>
  <c r="O321" i="7"/>
  <c r="N321" i="7"/>
  <c r="M321" i="7"/>
  <c r="L321" i="7"/>
  <c r="K321" i="7"/>
  <c r="J321" i="7"/>
  <c r="I321" i="7"/>
  <c r="H321" i="7"/>
  <c r="G321" i="7"/>
  <c r="F321" i="7"/>
  <c r="L320" i="7"/>
  <c r="F320" i="7"/>
  <c r="E320" i="7"/>
  <c r="D320" i="7"/>
  <c r="J320" i="7"/>
  <c r="K320" i="7"/>
  <c r="G320" i="7"/>
  <c r="M320" i="7"/>
  <c r="N320" i="7"/>
  <c r="O320" i="7"/>
  <c r="P320" i="7"/>
  <c r="H320" i="7"/>
  <c r="I320" i="7"/>
  <c r="E319" i="7"/>
  <c r="I319" i="7"/>
  <c r="H319" i="7"/>
  <c r="L319" i="7"/>
  <c r="K319" i="7"/>
  <c r="J319" i="7"/>
  <c r="M319" i="7"/>
  <c r="G319" i="7"/>
  <c r="D319" i="7"/>
  <c r="F319" i="7"/>
  <c r="P319" i="7"/>
  <c r="O319" i="7"/>
  <c r="N319" i="7"/>
  <c r="M318" i="7"/>
  <c r="L318" i="7"/>
  <c r="K318" i="7"/>
  <c r="J318" i="7"/>
  <c r="I318" i="7"/>
  <c r="H318" i="7"/>
  <c r="D318" i="7"/>
  <c r="G318" i="7"/>
  <c r="F318" i="7"/>
  <c r="E318" i="7"/>
  <c r="N318" i="7"/>
  <c r="O318" i="7"/>
  <c r="P318" i="7"/>
  <c r="AQ3" i="4"/>
  <c r="AR3" i="4" s="1"/>
  <c r="AJ15" i="4"/>
  <c r="B9" i="8"/>
  <c r="C9" i="8"/>
  <c r="D9" i="8"/>
  <c r="E9" i="8"/>
  <c r="F9" i="8"/>
  <c r="G9" i="8"/>
  <c r="H9" i="8"/>
  <c r="I9" i="8"/>
  <c r="J9" i="8"/>
  <c r="B10" i="8"/>
  <c r="C10" i="8"/>
  <c r="D10" i="8"/>
  <c r="E10" i="8"/>
  <c r="F10" i="8"/>
  <c r="G10" i="8"/>
  <c r="H10" i="8"/>
  <c r="I10" i="8"/>
  <c r="J10" i="8"/>
  <c r="B11" i="8"/>
  <c r="C11" i="8"/>
  <c r="D11" i="8"/>
  <c r="E11" i="8"/>
  <c r="F11" i="8"/>
  <c r="G11" i="8"/>
  <c r="H11" i="8"/>
  <c r="I11" i="8"/>
  <c r="J11" i="8"/>
  <c r="B12" i="8"/>
  <c r="C12" i="8"/>
  <c r="D12" i="8"/>
  <c r="E12" i="8"/>
  <c r="F12" i="8"/>
  <c r="G12" i="8"/>
  <c r="H12" i="8"/>
  <c r="I12" i="8"/>
  <c r="J12" i="8"/>
  <c r="B13" i="8"/>
  <c r="C13" i="8"/>
  <c r="D13" i="8"/>
  <c r="E13" i="8"/>
  <c r="F13" i="8"/>
  <c r="G13" i="8"/>
  <c r="H13" i="8"/>
  <c r="I13" i="8"/>
  <c r="J13" i="8"/>
  <c r="B14" i="8"/>
  <c r="C14" i="8"/>
  <c r="D14" i="8"/>
  <c r="E14" i="8"/>
  <c r="F14" i="8"/>
  <c r="G14" i="8"/>
  <c r="H14" i="8"/>
  <c r="I14" i="8"/>
  <c r="J14" i="8"/>
  <c r="B15" i="8"/>
  <c r="C15" i="8"/>
  <c r="D15" i="8"/>
  <c r="E15" i="8"/>
  <c r="F15" i="8"/>
  <c r="G15" i="8"/>
  <c r="H15" i="8"/>
  <c r="I15" i="8"/>
  <c r="J15" i="8"/>
  <c r="B16" i="8"/>
  <c r="C16" i="8"/>
  <c r="D16" i="8"/>
  <c r="E16" i="8"/>
  <c r="F16" i="8"/>
  <c r="G16" i="8"/>
  <c r="H16" i="8"/>
  <c r="I16" i="8"/>
  <c r="J16" i="8"/>
  <c r="B17" i="8"/>
  <c r="C17" i="8"/>
  <c r="D17" i="8"/>
  <c r="E17" i="8"/>
  <c r="F17" i="8"/>
  <c r="G17" i="8"/>
  <c r="H17" i="8"/>
  <c r="I17" i="8"/>
  <c r="J17" i="8"/>
  <c r="B18" i="8"/>
  <c r="C18" i="8"/>
  <c r="D18" i="8"/>
  <c r="E18" i="8"/>
  <c r="F18" i="8"/>
  <c r="G18" i="8"/>
  <c r="H18" i="8"/>
  <c r="I18" i="8"/>
  <c r="J18" i="8"/>
  <c r="B19" i="8"/>
  <c r="C19" i="8"/>
  <c r="D19" i="8"/>
  <c r="E19" i="8"/>
  <c r="F19" i="8"/>
  <c r="G19" i="8"/>
  <c r="H19" i="8"/>
  <c r="I19" i="8"/>
  <c r="J19" i="8"/>
  <c r="B20" i="8"/>
  <c r="C20" i="8"/>
  <c r="D20" i="8"/>
  <c r="E20" i="8"/>
  <c r="F20" i="8"/>
  <c r="G20" i="8"/>
  <c r="H20" i="8"/>
  <c r="I20" i="8"/>
  <c r="J20" i="8"/>
  <c r="B21" i="8"/>
  <c r="C21" i="8"/>
  <c r="D21" i="8"/>
  <c r="E21" i="8"/>
  <c r="F21" i="8"/>
  <c r="G21" i="8"/>
  <c r="H21" i="8"/>
  <c r="I21" i="8"/>
  <c r="J21" i="8"/>
  <c r="B22" i="8"/>
  <c r="C22" i="8"/>
  <c r="D22" i="8"/>
  <c r="E22" i="8"/>
  <c r="F22" i="8"/>
  <c r="G22" i="8"/>
  <c r="H22" i="8"/>
  <c r="I22" i="8"/>
  <c r="J22" i="8"/>
  <c r="B23" i="8"/>
  <c r="C23" i="8"/>
  <c r="D23" i="8"/>
  <c r="E23" i="8"/>
  <c r="F23" i="8"/>
  <c r="G23" i="8"/>
  <c r="H23" i="8"/>
  <c r="I23" i="8"/>
  <c r="J23" i="8"/>
  <c r="B24" i="8"/>
  <c r="C24" i="8"/>
  <c r="D24" i="8"/>
  <c r="E24" i="8"/>
  <c r="F24" i="8"/>
  <c r="G24" i="8"/>
  <c r="H24" i="8"/>
  <c r="I24" i="8"/>
  <c r="J24" i="8"/>
  <c r="B25" i="8"/>
  <c r="C25" i="8"/>
  <c r="D25" i="8"/>
  <c r="E25" i="8"/>
  <c r="F25" i="8"/>
  <c r="G25" i="8"/>
  <c r="H25" i="8"/>
  <c r="I25" i="8"/>
  <c r="J25" i="8"/>
  <c r="B26" i="8"/>
  <c r="C26" i="8"/>
  <c r="D26" i="8"/>
  <c r="E26" i="8"/>
  <c r="F26" i="8"/>
  <c r="G26" i="8"/>
  <c r="H26" i="8"/>
  <c r="I26" i="8"/>
  <c r="J26" i="8"/>
  <c r="B27" i="8"/>
  <c r="C27" i="8"/>
  <c r="D27" i="8"/>
  <c r="E27" i="8"/>
  <c r="F27" i="8"/>
  <c r="G27" i="8"/>
  <c r="H27" i="8"/>
  <c r="I27" i="8"/>
  <c r="J27" i="8"/>
  <c r="B28" i="8"/>
  <c r="C28" i="8"/>
  <c r="D28" i="8"/>
  <c r="E28" i="8"/>
  <c r="F28" i="8"/>
  <c r="G28" i="8"/>
  <c r="H28" i="8"/>
  <c r="I28" i="8"/>
  <c r="J28" i="8"/>
  <c r="B29" i="8"/>
  <c r="C29" i="8"/>
  <c r="D29" i="8"/>
  <c r="E29" i="8"/>
  <c r="F29" i="8"/>
  <c r="G29" i="8"/>
  <c r="H29" i="8"/>
  <c r="I29" i="8"/>
  <c r="J29" i="8"/>
  <c r="B30" i="8"/>
  <c r="C30" i="8"/>
  <c r="D30" i="8"/>
  <c r="E30" i="8"/>
  <c r="F30" i="8"/>
  <c r="G30" i="8"/>
  <c r="H30" i="8"/>
  <c r="I30" i="8"/>
  <c r="J30" i="8"/>
  <c r="B31" i="8"/>
  <c r="C31" i="8"/>
  <c r="D31" i="8"/>
  <c r="E31" i="8"/>
  <c r="F31" i="8"/>
  <c r="G31" i="8"/>
  <c r="H31" i="8"/>
  <c r="I31" i="8"/>
  <c r="J31" i="8"/>
  <c r="B32" i="8"/>
  <c r="C32" i="8"/>
  <c r="D32" i="8"/>
  <c r="E32" i="8"/>
  <c r="F32" i="8"/>
  <c r="G32" i="8"/>
  <c r="H32" i="8"/>
  <c r="I32" i="8"/>
  <c r="J32" i="8"/>
  <c r="B33" i="8"/>
  <c r="C33" i="8"/>
  <c r="D33" i="8"/>
  <c r="E33" i="8"/>
  <c r="F33" i="8"/>
  <c r="G33" i="8"/>
  <c r="H33" i="8"/>
  <c r="I33" i="8"/>
  <c r="J33" i="8"/>
  <c r="B34" i="8"/>
  <c r="C34" i="8"/>
  <c r="D34" i="8"/>
  <c r="E34" i="8"/>
  <c r="F34" i="8"/>
  <c r="G34" i="8"/>
  <c r="H34" i="8"/>
  <c r="I34" i="8"/>
  <c r="J34" i="8"/>
  <c r="B35" i="8"/>
  <c r="C35" i="8"/>
  <c r="D35" i="8"/>
  <c r="E35" i="8"/>
  <c r="F35" i="8"/>
  <c r="G35" i="8"/>
  <c r="H35" i="8"/>
  <c r="I35" i="8"/>
  <c r="J35" i="8"/>
  <c r="B36" i="8"/>
  <c r="C36" i="8"/>
  <c r="D36" i="8"/>
  <c r="E36" i="8"/>
  <c r="F36" i="8"/>
  <c r="G36" i="8"/>
  <c r="H36" i="8"/>
  <c r="I36" i="8"/>
  <c r="J36" i="8"/>
  <c r="B37" i="8"/>
  <c r="C37" i="8"/>
  <c r="D37" i="8"/>
  <c r="E37" i="8"/>
  <c r="F37" i="8"/>
  <c r="G37" i="8"/>
  <c r="H37" i="8"/>
  <c r="I37" i="8"/>
  <c r="J37" i="8"/>
  <c r="B38" i="8"/>
  <c r="C38" i="8"/>
  <c r="D38" i="8"/>
  <c r="E38" i="8"/>
  <c r="F38" i="8"/>
  <c r="G38" i="8"/>
  <c r="H38" i="8"/>
  <c r="I38" i="8"/>
  <c r="J38" i="8"/>
  <c r="M4" i="3"/>
  <c r="L19" i="3"/>
  <c r="M19" i="3" s="1"/>
  <c r="AM15" i="4"/>
  <c r="S15" i="4"/>
  <c r="AP15" i="4"/>
  <c r="AQ4" i="4"/>
  <c r="AR4" i="4" s="1"/>
  <c r="AQ6" i="4"/>
  <c r="AR6" i="4" s="1"/>
  <c r="AQ7" i="4"/>
  <c r="AR7" i="4" s="1"/>
  <c r="AQ9" i="4"/>
  <c r="AR9" i="4" s="1"/>
  <c r="AO15" i="4"/>
  <c r="AQ13" i="4"/>
  <c r="AR13" i="4" s="1"/>
  <c r="AQ5" i="4"/>
  <c r="AR5" i="4" s="1"/>
  <c r="AQ12" i="4"/>
  <c r="AR12" i="4" s="1"/>
  <c r="AK15" i="4"/>
  <c r="AQ8" i="4"/>
  <c r="AR8" i="4" s="1"/>
  <c r="AQ14" i="4"/>
  <c r="AR14" i="4" s="1"/>
  <c r="AI15" i="4"/>
  <c r="K15" i="4"/>
  <c r="AN15" i="4"/>
  <c r="AL15" i="4"/>
  <c r="AA15" i="4"/>
  <c r="AQ10" i="4"/>
  <c r="AR10" i="4" s="1"/>
  <c r="AQ11" i="4"/>
  <c r="AR11" i="4" s="1"/>
  <c r="G85" i="5" l="1"/>
  <c r="AR15" i="4"/>
  <c r="AR16" i="4" s="1"/>
  <c r="AQ1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5" authorId="0" shapeId="0" xr:uid="{00000000-0006-0000-0700-000001000000}">
      <text>
        <r>
          <rPr>
            <sz val="10"/>
            <rFont val="Arial"/>
            <family val="2"/>
          </rPr>
          <t>Açılır oktan bir araştırmacı seçin. Liste Başvuru sayfasındaki SORUMLUSU sütunundan otomatik oluşturulur.</t>
        </r>
      </text>
    </comment>
  </commentList>
</comments>
</file>

<file path=xl/sharedStrings.xml><?xml version="1.0" encoding="utf-8"?>
<sst xmlns="http://schemas.openxmlformats.org/spreadsheetml/2006/main" count="13377" uniqueCount="6025">
  <si>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</si>
  <si>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</si>
  <si>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</si>
  <si>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</si>
  <si>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</si>
  <si>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</si>
  <si>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</si>
  <si>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</si>
  <si>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</si>
  <si>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</si>
  <si>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</si>
  <si>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</si>
  <si>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</si>
  <si>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</si>
  <si>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</si>
  <si>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</si>
  <si>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</si>
  <si>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</si>
  <si>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</si>
  <si>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</si>
  <si>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</si>
  <si>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</si>
  <si>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</si>
  <si>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</si>
  <si>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</si>
  <si>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</si>
  <si>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</si>
  <si>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</si>
  <si>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</si>
  <si>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</si>
  <si>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</si>
  <si>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</si>
  <si>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</si>
  <si>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</si>
  <si>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</si>
  <si>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</si>
  <si>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</si>
  <si>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</si>
  <si>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</si>
  <si>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</si>
  <si>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</si>
  <si>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</si>
  <si>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</si>
  <si>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</si>
  <si>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</si>
  <si>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</si>
  <si>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</si>
  <si>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</si>
  <si>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</si>
  <si>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</si>
  <si>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</si>
  <si>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</si>
  <si>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</si>
  <si>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</si>
  <si>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</si>
  <si>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</si>
  <si>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</si>
  <si>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</si>
  <si>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YRD_SIRA_ADI</t>
  </si>
  <si>
    <t>YRD_ANAHTAR</t>
  </si>
  <si>
    <t>YRD_BENZERSİZ_SIRA</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</si>
  <si>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</si>
  <si>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</si>
  <si>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</si>
  <si>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</si>
  <si>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</si>
  <si>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</si>
  <si>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</si>
  <si>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</si>
  <si>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</si>
  <si>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</si>
  <si>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</si>
  <si>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</si>
  <si>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</si>
  <si>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</si>
  <si>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</si>
  <si>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</si>
  <si>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</si>
  <si>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</si>
  <si>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</si>
  <si>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</si>
  <si>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</si>
  <si>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</si>
  <si>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</si>
  <si>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</si>
  <si>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</si>
  <si>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</si>
  <si>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</si>
  <si>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</si>
  <si>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</si>
  <si>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</si>
  <si>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</si>
  <si>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</si>
  <si>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</si>
  <si>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</si>
  <si>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</si>
  <si>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</si>
  <si>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</si>
  <si>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</si>
  <si>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</si>
  <si>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</si>
  <si>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</si>
  <si>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</si>
  <si>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</si>
  <si>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</si>
  <si>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</si>
  <si>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</si>
  <si>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</si>
  <si>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</si>
  <si>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</si>
  <si>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</si>
  <si>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</si>
  <si>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</si>
  <si>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</si>
  <si>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</si>
  <si>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</si>
  <si>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</si>
  <si>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</si>
  <si>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</si>
  <si>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</si>
  <si>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</si>
  <si>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</si>
  <si>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</si>
  <si>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</si>
  <si>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</si>
  <si>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</si>
  <si>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</si>
  <si>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</si>
  <si>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</si>
  <si>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</si>
  <si>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</si>
  <si>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</si>
  <si>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</si>
  <si>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</si>
  <si>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</si>
  <si>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</si>
  <si>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</si>
  <si>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</si>
  <si>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</si>
  <si>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</si>
  <si>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</si>
  <si>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</si>
  <si>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</si>
  <si>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</si>
  <si>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</si>
  <si>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</si>
  <si>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</si>
  <si>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</si>
  <si>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</si>
  <si>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</si>
  <si>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</si>
  <si>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</si>
  <si>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</si>
  <si>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</si>
  <si>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</si>
  <si>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</si>
  <si>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</si>
  <si>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</si>
  <si>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</si>
  <si>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</si>
  <si>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</si>
  <si>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</si>
  <si>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</si>
  <si>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</si>
  <si>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</si>
  <si>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</si>
  <si>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</si>
  <si>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</si>
  <si>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</si>
  <si>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</si>
  <si>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</si>
  <si>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</si>
  <si>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</si>
  <si>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</si>
  <si>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</si>
  <si>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</si>
  <si>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</si>
  <si>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</si>
  <si>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</si>
  <si>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</si>
  <si>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</si>
  <si>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</si>
  <si>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</si>
  <si>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</si>
  <si>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</si>
  <si>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</si>
  <si>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</si>
  <si>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</si>
  <si>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</si>
  <si>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</si>
  <si>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</si>
  <si>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</si>
  <si>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</si>
  <si>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</si>
  <si>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</si>
  <si>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</si>
  <si>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</si>
  <si>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</si>
  <si>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</si>
  <si>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</si>
  <si>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</si>
  <si>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</si>
  <si>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</si>
  <si>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</si>
  <si>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</si>
  <si>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</si>
  <si>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</si>
  <si>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</si>
  <si>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</si>
  <si>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</si>
  <si>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</si>
  <si>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</si>
  <si>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</si>
  <si>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</si>
  <si>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</si>
  <si>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</si>
  <si>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</si>
  <si>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</si>
  <si>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</si>
  <si>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</si>
  <si>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</si>
  <si>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</si>
  <si>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</si>
  <si>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</si>
  <si>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</si>
  <si>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</si>
  <si>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</si>
  <si>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</si>
  <si>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</si>
  <si>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</si>
  <si>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</si>
  <si>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</si>
  <si>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</si>
  <si>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</si>
  <si>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</si>
  <si>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</si>
  <si>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</si>
  <si>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</si>
  <si>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</si>
  <si>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</si>
  <si>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</si>
  <si>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</si>
  <si>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</si>
  <si>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</si>
  <si>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</si>
  <si>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</si>
  <si>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</si>
  <si>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</si>
  <si>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</si>
  <si>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</si>
  <si>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</si>
  <si>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</si>
  <si>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</si>
  <si>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</si>
  <si>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</si>
  <si>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</si>
  <si>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</si>
  <si>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</si>
  <si>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</si>
  <si>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</si>
  <si>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</si>
  <si>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</si>
  <si>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</si>
  <si>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</si>
  <si>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</si>
  <si>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</si>
  <si>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</si>
  <si>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</si>
  <si>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</si>
  <si>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</si>
  <si>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</si>
  <si>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</si>
  <si>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</si>
  <si>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</si>
  <si>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</si>
  <si>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</si>
  <si>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</si>
  <si>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</si>
  <si>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</si>
  <si>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</si>
  <si>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</si>
  <si>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</si>
  <si>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</si>
  <si>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</si>
  <si>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</si>
  <si>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</si>
  <si>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</si>
  <si>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</si>
  <si>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</si>
  <si>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</si>
  <si>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</si>
  <si>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</si>
  <si>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</si>
  <si>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</si>
  <si>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</si>
  <si>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</si>
  <si>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</si>
  <si>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</si>
  <si>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</si>
  <si>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</si>
  <si>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</si>
  <si>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</si>
  <si>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</si>
  <si>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</si>
  <si>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</si>
  <si>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</si>
  <si>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</si>
  <si>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</si>
  <si>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</si>
  <si>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</si>
  <si>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</si>
  <si>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</si>
  <si>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</si>
  <si>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</si>
  <si>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</si>
  <si>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</si>
  <si>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</si>
  <si>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</si>
  <si>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</si>
  <si>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</si>
  <si>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</si>
  <si>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</si>
  <si>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</si>
  <si>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</si>
  <si>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</si>
  <si>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</si>
  <si>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</si>
  <si>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</si>
  <si>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</si>
  <si>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</si>
  <si>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</si>
  <si>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</si>
  <si>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</si>
  <si>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</si>
  <si>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</si>
  <si>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</si>
  <si>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</si>
  <si>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</si>
  <si>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</si>
  <si>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</si>
  <si>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</si>
  <si>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</si>
  <si>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</si>
  <si>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</si>
  <si>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</si>
  <si>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</si>
  <si>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</si>
  <si>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</si>
  <si>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</si>
  <si>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</si>
  <si>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</si>
  <si>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</si>
  <si>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</si>
  <si>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</si>
  <si>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</si>
  <si>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</si>
  <si>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</si>
  <si>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</si>
  <si>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</si>
  <si>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</si>
  <si>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</si>
  <si>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</si>
  <si>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</si>
  <si>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</si>
  <si>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</si>
  <si>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</si>
  <si>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</si>
  <si>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</si>
  <si>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</si>
  <si>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</si>
  <si>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</si>
  <si>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</si>
  <si>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</si>
  <si>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</si>
  <si>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</si>
  <si>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</si>
  <si>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</si>
  <si>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</si>
  <si>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</si>
  <si>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</si>
  <si>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</si>
  <si>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</si>
  <si>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</si>
  <si>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</si>
  <si>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</si>
  <si>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</si>
  <si>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</si>
  <si>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</si>
  <si>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</si>
  <si>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</si>
  <si>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</si>
  <si>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</si>
  <si>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</si>
  <si>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</si>
  <si>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</si>
  <si>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</si>
  <si>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</si>
  <si>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</si>
  <si>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</si>
  <si>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</si>
  <si>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</si>
  <si>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</si>
  <si>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</si>
  <si>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</si>
  <si>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</si>
  <si>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</si>
  <si>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</si>
  <si>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</si>
  <si>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</si>
  <si>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</si>
  <si>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</si>
  <si>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</si>
  <si>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</si>
  <si>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</si>
  <si>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</si>
  <si>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</si>
  <si>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</si>
  <si>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</si>
  <si>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</si>
  <si>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</si>
  <si>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</si>
  <si>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</si>
  <si>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</si>
  <si>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</si>
  <si>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</si>
  <si>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</si>
  <si>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</si>
  <si>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</si>
  <si>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</si>
  <si>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</si>
  <si>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</si>
  <si>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</si>
  <si>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</si>
  <si>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</si>
  <si>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</si>
  <si>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</si>
  <si>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</si>
  <si>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</si>
  <si>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</si>
  <si>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</si>
  <si>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</si>
  <si>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</si>
  <si>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</si>
  <si>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</si>
  <si>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</si>
  <si>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</si>
  <si>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</si>
  <si>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</si>
  <si>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</si>
  <si>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</si>
  <si>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</si>
  <si>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</si>
  <si>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</si>
  <si>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</si>
  <si>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</si>
  <si>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</si>
  <si>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</si>
  <si>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</si>
  <si>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</si>
  <si>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</si>
  <si>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</si>
  <si>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</si>
  <si>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</si>
  <si>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</si>
  <si>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</si>
  <si>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</si>
  <si>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</si>
  <si>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</si>
  <si>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</si>
  <si>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</si>
  <si>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</si>
  <si>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</si>
  <si>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</si>
  <si>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</si>
  <si>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</si>
  <si>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</si>
  <si>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</si>
  <si>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</si>
  <si>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</si>
  <si>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</si>
  <si>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</si>
  <si>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</si>
  <si>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</si>
  <si>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</si>
  <si>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</si>
  <si>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</si>
  <si>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</si>
  <si>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</si>
  <si>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</si>
  <si>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</si>
  <si>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</si>
  <si>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</si>
  <si>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</si>
  <si>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</si>
  <si>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</si>
  <si>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</si>
  <si>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</si>
  <si>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</si>
  <si>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</si>
  <si>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</si>
  <si>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</si>
  <si>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</si>
  <si>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</si>
  <si>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</si>
  <si>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</si>
  <si>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</si>
  <si>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</si>
  <si>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</si>
  <si>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</si>
  <si>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</si>
  <si>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</si>
  <si>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</si>
  <si>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</si>
  <si>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</si>
  <si>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</si>
  <si>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</si>
  <si>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</si>
  <si>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</si>
  <si>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</si>
  <si>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</si>
  <si>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</si>
  <si>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</si>
  <si>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</si>
  <si>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</si>
  <si>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</si>
  <si>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</si>
  <si>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</si>
  <si>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</si>
  <si>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</si>
  <si>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</si>
  <si>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</si>
  <si>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</si>
  <si>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</si>
  <si>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</si>
  <si>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</si>
  <si>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</si>
  <si>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</si>
  <si>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</si>
  <si>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</si>
  <si>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</si>
  <si>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</si>
  <si>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</si>
  <si>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</si>
  <si>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</si>
  <si>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</si>
  <si>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</si>
  <si>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</si>
  <si>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</si>
  <si>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</si>
  <si>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</si>
  <si>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</si>
  <si>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</si>
  <si>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</si>
  <si>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</si>
  <si>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</si>
  <si>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</si>
  <si>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</si>
  <si>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</si>
  <si>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</si>
  <si>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</si>
  <si>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</si>
  <si>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</si>
  <si>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</si>
  <si>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</si>
  <si>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</si>
  <si>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</si>
  <si>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</si>
  <si>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</si>
  <si>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</si>
  <si>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</si>
  <si>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</si>
  <si>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</si>
  <si>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</si>
  <si>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</si>
  <si>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</si>
  <si>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</si>
  <si>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</si>
  <si>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</si>
  <si>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</si>
  <si>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</si>
  <si>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</si>
  <si>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</si>
  <si>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</si>
  <si>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</si>
  <si>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</si>
  <si>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</si>
  <si>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</si>
  <si>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</si>
  <si>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</si>
  <si>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</si>
  <si>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</si>
  <si>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</si>
  <si>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</si>
  <si>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</si>
  <si>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</si>
  <si>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</si>
  <si>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</si>
  <si>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</si>
  <si>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</si>
  <si>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</si>
  <si>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</si>
  <si>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</si>
  <si>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</si>
  <si>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</si>
  <si>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</si>
  <si>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</si>
  <si>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</si>
  <si>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</si>
  <si>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</si>
  <si>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</si>
  <si>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</si>
  <si>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</si>
  <si>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</si>
  <si>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</si>
  <si>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</si>
  <si>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</si>
  <si>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</si>
  <si>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</si>
  <si>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</si>
  <si>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</si>
  <si>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</si>
  <si>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</si>
  <si>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</si>
  <si>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</si>
  <si>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</si>
  <si>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</si>
  <si>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</si>
  <si>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</si>
  <si>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</si>
  <si>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</si>
  <si>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</si>
  <si>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</si>
  <si>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</si>
  <si>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</si>
  <si>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</si>
  <si>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</si>
  <si>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</si>
  <si>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</si>
  <si>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</si>
  <si>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</si>
  <si>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</si>
  <si>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</si>
  <si>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</si>
  <si>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</si>
  <si>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</si>
  <si>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</si>
  <si>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</si>
  <si>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</si>
  <si>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</si>
  <si>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</si>
  <si>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</si>
  <si>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</si>
  <si>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</si>
  <si>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</si>
  <si>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</si>
  <si>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</si>
  <si>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</si>
  <si>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</si>
  <si>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</si>
  <si>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</si>
  <si>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</si>
  <si>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</si>
  <si>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</si>
  <si>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</si>
  <si>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</si>
  <si>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</si>
  <si>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</si>
  <si>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</si>
  <si>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</si>
  <si>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</si>
  <si>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</si>
  <si>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</si>
  <si>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</si>
  <si>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</si>
  <si>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</si>
  <si>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</si>
  <si>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</si>
  <si>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</si>
  <si>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</si>
  <si>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</si>
  <si>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</si>
  <si>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</si>
  <si>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</si>
  <si>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</si>
  <si>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</si>
  <si>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</si>
  <si>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</si>
  <si>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</si>
  <si>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</si>
  <si>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</si>
  <si>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</si>
  <si>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</si>
  <si>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</si>
  <si>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</si>
  <si>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</si>
  <si>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</si>
  <si>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</si>
  <si>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</si>
  <si>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</si>
  <si>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</si>
  <si>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</si>
  <si>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</si>
  <si>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</si>
  <si>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</si>
  <si>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</si>
  <si>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</si>
  <si>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</si>
  <si>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</si>
  <si>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</si>
  <si>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</si>
  <si>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</si>
  <si>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</si>
  <si>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</si>
  <si>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</si>
  <si>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</si>
  <si>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</si>
  <si>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</si>
  <si>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</si>
  <si>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</si>
  <si>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</si>
  <si>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</si>
  <si>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</si>
  <si>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</si>
  <si>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</si>
  <si>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</si>
  <si>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</si>
  <si>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</si>
  <si>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</si>
  <si>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</si>
  <si>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</si>
  <si>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</si>
  <si>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</si>
  <si>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</si>
  <si>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</si>
  <si>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</si>
  <si>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</si>
  <si>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</si>
  <si>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</si>
  <si>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</si>
  <si>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</si>
  <si>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</si>
  <si>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</si>
  <si>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</si>
  <si>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</si>
  <si>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</si>
  <si>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</si>
  <si>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</si>
  <si>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</si>
  <si>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</si>
  <si>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</si>
  <si>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</si>
  <si>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</si>
  <si>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</si>
  <si>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</si>
  <si>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</si>
  <si>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</si>
  <si>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</si>
  <si>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</si>
  <si>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</si>
  <si>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</si>
  <si>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</si>
  <si>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</si>
  <si>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</si>
  <si>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</si>
  <si>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</si>
  <si>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</si>
  <si>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</si>
  <si>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</si>
  <si>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</si>
  <si>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</si>
  <si>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</si>
  <si>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</si>
  <si>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</si>
  <si>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</si>
  <si>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</si>
  <si>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</si>
  <si>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</si>
  <si>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</si>
  <si>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</si>
  <si>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</si>
  <si>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</si>
  <si>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</si>
  <si>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</si>
  <si>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</si>
  <si>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</si>
  <si>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</si>
  <si>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</si>
  <si>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</si>
  <si>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</si>
  <si>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</si>
  <si>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</si>
  <si>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</si>
  <si>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</si>
  <si>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</si>
  <si>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</si>
  <si>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</si>
  <si>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</si>
  <si>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</si>
  <si>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</si>
  <si>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</si>
  <si>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</si>
  <si>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</si>
  <si>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</si>
  <si>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</si>
  <si>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</si>
  <si>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</si>
  <si>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</si>
  <si>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</si>
  <si>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</si>
  <si>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</si>
  <si>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</si>
  <si>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</si>
  <si>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</si>
  <si>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</si>
  <si>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</si>
  <si>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</si>
  <si>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</si>
  <si>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</si>
  <si>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</si>
  <si>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</si>
  <si>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</si>
  <si>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</si>
  <si>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</si>
  <si>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</si>
  <si>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</si>
  <si>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</si>
  <si>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</si>
  <si>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</si>
  <si>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</si>
  <si>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</si>
  <si>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</si>
  <si>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</si>
  <si>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</si>
  <si>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</si>
  <si>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</si>
  <si>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</si>
  <si>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</si>
  <si>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</si>
  <si>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</si>
  <si>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</si>
  <si>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</si>
  <si>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</si>
  <si>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</si>
  <si>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</si>
  <si>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</si>
  <si>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</si>
  <si>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</si>
  <si>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</si>
  <si>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</si>
  <si>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</si>
  <si>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</si>
  <si>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</si>
  <si>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</si>
  <si>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</si>
  <si>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</si>
  <si>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</si>
  <si>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</si>
  <si>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</si>
  <si>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</si>
  <si>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</si>
  <si>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</si>
  <si>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</si>
  <si>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</si>
  <si>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</si>
  <si>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</si>
  <si>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</si>
  <si>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</si>
  <si>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</si>
  <si>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</si>
  <si>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</si>
  <si>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</si>
  <si>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</si>
  <si>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</si>
  <si>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</si>
  <si>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</si>
  <si>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</si>
  <si>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</si>
  <si>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</si>
  <si>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</si>
  <si>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</si>
  <si>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</si>
  <si>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</si>
  <si>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</si>
  <si>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</si>
  <si>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</si>
  <si>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</si>
  <si>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</si>
  <si>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</si>
  <si>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</si>
  <si>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</si>
  <si>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</si>
  <si>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</si>
  <si>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</si>
  <si>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</si>
  <si>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</si>
  <si>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</si>
  <si>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</si>
  <si>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</si>
  <si>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</si>
  <si>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</si>
  <si>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</si>
  <si>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</si>
  <si>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</si>
  <si>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</si>
  <si>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</si>
  <si>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</si>
  <si>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</si>
  <si>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</si>
  <si>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</si>
  <si>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</si>
  <si>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</si>
  <si>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</si>
  <si>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</si>
  <si>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</si>
  <si>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</si>
  <si>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</si>
  <si>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</si>
  <si>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</si>
  <si>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</si>
  <si>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</si>
  <si>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</si>
  <si>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</si>
  <si>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</si>
  <si>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</si>
  <si>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</si>
  <si>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</si>
  <si>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</si>
  <si>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</si>
  <si>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</si>
  <si>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</si>
  <si>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</si>
  <si>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</si>
  <si>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</si>
  <si>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</si>
  <si>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</si>
  <si>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</si>
  <si>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</si>
  <si>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</si>
  <si>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</si>
  <si>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</si>
  <si>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</si>
  <si>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</si>
  <si>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</si>
  <si>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</si>
  <si>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</si>
  <si>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</si>
  <si>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</si>
  <si>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</si>
  <si>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</si>
  <si>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</si>
  <si>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</si>
  <si>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</si>
  <si>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</si>
  <si>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</si>
  <si>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</si>
  <si>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</si>
  <si>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</si>
  <si>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</si>
  <si>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</si>
  <si>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</si>
  <si>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</si>
  <si>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</si>
  <si>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</si>
  <si>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</si>
  <si>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</si>
  <si>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</si>
  <si>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</si>
  <si>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</si>
  <si>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</si>
  <si>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</si>
  <si>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</si>
  <si>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</si>
  <si>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</si>
  <si>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</si>
  <si>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</si>
  <si>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</si>
  <si>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</si>
  <si>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</si>
  <si>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</si>
  <si>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</si>
  <si>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</si>
  <si>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</si>
  <si>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</si>
  <si>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</si>
  <si>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</si>
  <si>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</si>
  <si>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</si>
  <si>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</si>
  <si>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</si>
  <si>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</si>
  <si>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</si>
  <si>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</si>
  <si>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</si>
  <si>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</si>
  <si>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</si>
  <si>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</si>
  <si>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</si>
  <si>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</si>
  <si>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</si>
  <si>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</si>
  <si>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</si>
  <si>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</si>
  <si>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</si>
  <si>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</si>
  <si>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</si>
  <si>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</si>
  <si>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</si>
  <si>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</si>
  <si>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</si>
  <si>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</si>
  <si>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</si>
  <si>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</si>
  <si>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</si>
  <si>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</si>
  <si>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</si>
  <si>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</si>
  <si>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</si>
  <si>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</si>
  <si>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</si>
  <si>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</si>
  <si>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</si>
  <si>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</si>
  <si>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</si>
  <si>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</si>
  <si>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</si>
  <si>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</si>
  <si>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</si>
  <si>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</si>
  <si>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</si>
  <si>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</si>
  <si>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</si>
  <si>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</si>
  <si>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</si>
  <si>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</si>
  <si>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</si>
  <si>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</si>
  <si>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</si>
  <si>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</si>
  <si>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</si>
  <si>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</si>
  <si>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</si>
  <si>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</si>
  <si>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</si>
  <si>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</si>
  <si>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</si>
  <si>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</si>
  <si>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</si>
  <si>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</si>
  <si>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</si>
  <si>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</si>
  <si>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</si>
  <si>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</si>
  <si>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</si>
  <si>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</si>
  <si>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</si>
  <si>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</si>
  <si>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</si>
  <si>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</si>
  <si>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</si>
  <si>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</si>
  <si>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</si>
  <si>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</si>
  <si>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</si>
  <si>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</si>
  <si>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</si>
  <si>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</si>
  <si>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</si>
  <si>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</si>
  <si>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</si>
  <si>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</si>
  <si>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</si>
  <si>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</si>
  <si>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</si>
  <si>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</si>
  <si>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</si>
  <si>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</si>
  <si>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</si>
  <si>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</si>
  <si>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</si>
  <si>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</si>
  <si>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</si>
  <si>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</si>
  <si>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</si>
  <si>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</si>
  <si>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</si>
  <si>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</si>
  <si>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</si>
  <si>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</si>
  <si>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</si>
  <si>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</si>
  <si>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</si>
  <si>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</si>
  <si>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</si>
  <si>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</si>
  <si>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</si>
  <si>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</si>
  <si>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</si>
  <si>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</si>
  <si>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</si>
  <si>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</si>
  <si>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</si>
  <si>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</si>
  <si>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</si>
  <si>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</si>
  <si>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</si>
  <si>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</si>
  <si>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</si>
  <si>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</si>
  <si>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</si>
  <si>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</si>
  <si>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</si>
  <si>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</si>
  <si>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</si>
  <si>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</si>
  <si>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</si>
  <si>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</si>
  <si>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</si>
  <si>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</si>
  <si>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</si>
  <si>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</si>
  <si>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</si>
  <si>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</si>
  <si>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</si>
  <si>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</si>
  <si>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</si>
  <si>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</si>
  <si>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</si>
  <si>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</si>
  <si>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</si>
  <si>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</si>
  <si>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</si>
  <si>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</si>
  <si>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</si>
  <si>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</si>
  <si>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</si>
  <si>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</si>
  <si>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</si>
  <si>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</si>
  <si>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</si>
  <si>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</si>
  <si>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</si>
  <si>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</si>
  <si>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</si>
  <si>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</si>
  <si>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</si>
  <si>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</si>
  <si>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</si>
  <si>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</si>
  <si>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</si>
  <si>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</si>
  <si>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</si>
  <si>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</si>
  <si>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</si>
  <si>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</si>
  <si>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</si>
  <si>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</si>
  <si>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</si>
  <si>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</si>
  <si>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</si>
  <si>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</si>
  <si>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</si>
  <si>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</si>
  <si>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</si>
  <si>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</si>
  <si>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</si>
  <si>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</si>
  <si>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</si>
  <si>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</si>
  <si>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</si>
  <si>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</si>
  <si>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</si>
  <si>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</si>
  <si>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</si>
  <si>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</si>
  <si>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</si>
  <si>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</si>
  <si>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</si>
  <si>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</si>
  <si>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</si>
  <si>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</si>
  <si>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</si>
  <si>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</si>
  <si>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</si>
  <si>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</si>
  <si>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</si>
  <si>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</si>
  <si>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</si>
  <si>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</si>
  <si>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</si>
  <si>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</si>
  <si>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</si>
  <si>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</si>
  <si>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</si>
  <si>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</si>
  <si>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</si>
  <si>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</si>
  <si>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</si>
  <si>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</si>
  <si>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</si>
  <si>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</si>
  <si>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</si>
  <si>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</si>
  <si>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</si>
  <si>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</si>
  <si>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</si>
  <si>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</si>
  <si>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</si>
  <si>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</si>
  <si>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</si>
  <si>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</si>
  <si>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</si>
  <si>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</si>
  <si>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</si>
  <si>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</si>
  <si>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</si>
  <si>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</si>
  <si>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</si>
  <si>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</si>
  <si>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</si>
  <si>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</si>
  <si>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</si>
  <si>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</si>
  <si>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</si>
  <si>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</si>
  <si>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</si>
  <si>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</si>
  <si>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</si>
  <si>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</si>
  <si>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</si>
  <si>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</si>
  <si>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</si>
  <si>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</si>
  <si>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</si>
  <si>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</si>
  <si>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</si>
  <si>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</si>
  <si>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</si>
  <si>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</si>
  <si>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</si>
  <si>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</si>
  <si>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</si>
  <si>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</si>
  <si>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</si>
  <si>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</si>
  <si>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</si>
  <si>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</si>
  <si>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</si>
  <si>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</si>
  <si>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</si>
  <si>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</si>
  <si>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</si>
  <si>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</si>
  <si>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</si>
  <si>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</si>
  <si>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</si>
  <si>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</si>
  <si>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</si>
  <si>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</si>
  <si>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</si>
  <si>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</si>
  <si>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</si>
  <si>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</si>
  <si>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</si>
  <si>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</si>
  <si>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</si>
  <si>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</si>
  <si>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</si>
  <si>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</si>
  <si>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</si>
  <si>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</si>
  <si>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</si>
  <si>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</si>
  <si>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</si>
  <si>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</si>
  <si>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</si>
  <si>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</si>
  <si>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</si>
  <si>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</si>
  <si>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</si>
  <si>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</si>
  <si>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</si>
  <si>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</si>
  <si>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</si>
  <si>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</si>
  <si>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</si>
  <si>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</si>
  <si>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</si>
  <si>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</si>
  <si>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</si>
  <si>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</si>
  <si>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</si>
  <si>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</si>
  <si>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</si>
  <si>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</si>
  <si>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</si>
  <si>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</si>
  <si>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</si>
  <si>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</si>
  <si>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</si>
  <si>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</si>
  <si>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</si>
  <si>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</si>
  <si>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</si>
  <si>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</si>
  <si>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</si>
  <si>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</si>
  <si>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</si>
  <si>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</si>
  <si>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</si>
  <si>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</si>
  <si>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</si>
  <si>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</si>
  <si>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</si>
  <si>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</si>
  <si>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</si>
  <si>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</si>
  <si>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</si>
  <si>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</si>
  <si>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</si>
  <si>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</si>
  <si>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</si>
  <si>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</si>
  <si>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</si>
  <si>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</si>
  <si>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</si>
  <si>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</si>
  <si>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</si>
  <si>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</si>
  <si>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</si>
  <si>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</si>
  <si>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</si>
  <si>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</si>
  <si>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</si>
  <si>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</si>
  <si>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</si>
  <si>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</si>
  <si>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</si>
  <si>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</si>
  <si>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</si>
  <si>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</si>
  <si>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</si>
  <si>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</si>
  <si>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</si>
  <si>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</si>
  <si>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</si>
  <si>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</si>
  <si>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</si>
  <si>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</si>
  <si>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</si>
  <si>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</si>
  <si>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</si>
  <si>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</si>
  <si>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</si>
  <si>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</si>
  <si>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</si>
  <si>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</si>
  <si>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</si>
  <si>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</si>
  <si>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</si>
  <si>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</si>
  <si>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</si>
  <si>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</si>
  <si>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</si>
  <si>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</si>
  <si>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</si>
  <si>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</si>
  <si>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</si>
  <si>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</si>
  <si>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</si>
  <si>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</si>
  <si>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</si>
  <si>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</si>
  <si>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</si>
  <si>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</si>
  <si>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</si>
  <si>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</si>
  <si>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</si>
  <si>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</si>
  <si>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</si>
  <si>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</si>
  <si>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</si>
  <si>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</si>
  <si>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</si>
  <si>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</si>
  <si>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</si>
  <si>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</si>
  <si>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</si>
  <si>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</si>
  <si>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</si>
  <si>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</si>
  <si>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</si>
  <si>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</si>
  <si>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</si>
  <si>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</si>
  <si>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</si>
  <si>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</si>
  <si>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</si>
  <si>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</si>
  <si>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</si>
  <si>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</si>
  <si>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</si>
  <si>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</si>
  <si>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</si>
  <si>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</si>
  <si>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</si>
  <si>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</si>
  <si>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</si>
  <si>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</si>
  <si>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</si>
  <si>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</si>
  <si>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</si>
  <si>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</si>
  <si>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</si>
  <si>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</si>
  <si>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</si>
  <si>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</si>
  <si>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</si>
  <si>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</si>
  <si>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</si>
  <si>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</si>
  <si>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</si>
  <si>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</si>
  <si>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</si>
  <si>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</si>
  <si>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</si>
  <si>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</si>
  <si>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</si>
  <si>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</si>
  <si>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</si>
  <si>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</si>
  <si>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</si>
  <si>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</si>
  <si>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</si>
  <si>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</si>
  <si>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</si>
  <si>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</si>
  <si>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</si>
  <si>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</si>
  <si>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</si>
  <si>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</si>
  <si>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</si>
  <si>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</si>
  <si>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</si>
  <si>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</si>
  <si>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</si>
  <si>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</si>
  <si>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</si>
  <si>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</si>
  <si>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</si>
  <si>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</si>
  <si>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</si>
  <si>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</si>
  <si>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</si>
  <si>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</si>
  <si>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</si>
  <si>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</si>
  <si>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</si>
  <si>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</si>
  <si>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</si>
  <si>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</si>
  <si>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</si>
  <si>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</si>
  <si>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</si>
  <si>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</si>
  <si>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</si>
  <si>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</si>
  <si>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</si>
  <si>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</si>
  <si>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</si>
  <si>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</si>
  <si>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</si>
  <si>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</si>
  <si>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</si>
  <si>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</si>
  <si>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</si>
  <si>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</si>
  <si>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</si>
  <si>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</si>
  <si>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</si>
  <si>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</si>
  <si>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</si>
  <si>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</si>
  <si>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</si>
  <si>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</si>
  <si>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</si>
  <si>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</si>
  <si>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</si>
  <si>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</si>
  <si>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</si>
  <si>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</si>
  <si>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</si>
  <si>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</si>
  <si>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</si>
  <si>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</si>
  <si>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</si>
  <si>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</si>
  <si>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</si>
  <si>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</si>
  <si>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</si>
  <si>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</si>
  <si>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</si>
  <si>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</si>
  <si>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</si>
  <si>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</si>
  <si>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</si>
  <si>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</si>
  <si>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</si>
  <si>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</si>
  <si>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</si>
  <si>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</si>
  <si>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</si>
  <si>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</si>
  <si>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</si>
  <si>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</si>
  <si>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</si>
  <si>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</si>
  <si>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</si>
  <si>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</si>
  <si>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</si>
  <si>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</si>
  <si>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</si>
  <si>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</si>
  <si>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</si>
  <si>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</si>
  <si>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</si>
  <si>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</si>
  <si>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</si>
  <si>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</si>
  <si>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</si>
  <si>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</si>
  <si>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</si>
  <si>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</si>
  <si>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</si>
  <si>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</si>
  <si>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</si>
  <si>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</si>
  <si>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</si>
  <si>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</si>
  <si>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</si>
  <si>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</si>
  <si>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</si>
  <si>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</si>
  <si>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</si>
  <si>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</si>
  <si>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</si>
  <si>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</si>
  <si>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</si>
  <si>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</si>
  <si>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</si>
  <si>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</si>
  <si>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</si>
  <si>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</si>
  <si>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</si>
  <si>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</si>
  <si>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</si>
  <si>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</si>
  <si>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</si>
  <si>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</si>
  <si>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</si>
  <si>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</si>
  <si>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</si>
  <si>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</si>
  <si>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</si>
  <si>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</si>
  <si>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</si>
  <si>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</si>
  <si>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</si>
  <si>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</si>
  <si>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</si>
  <si>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</si>
  <si>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</si>
  <si>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</si>
  <si>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</si>
  <si>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</si>
  <si>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</si>
  <si>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</si>
  <si>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</si>
  <si>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</si>
  <si>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</si>
  <si>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</si>
  <si>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</si>
  <si>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</si>
  <si>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</si>
  <si>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</si>
  <si>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</si>
  <si>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</si>
  <si>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</si>
  <si>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</si>
  <si>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</si>
  <si>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</si>
  <si>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</si>
  <si>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</si>
  <si>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</si>
  <si>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</si>
  <si>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</si>
  <si>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</si>
  <si>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</si>
  <si>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</si>
  <si>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</si>
  <si>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</si>
  <si>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</si>
  <si>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</si>
  <si>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</si>
  <si>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</si>
  <si>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</si>
  <si>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</si>
  <si>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</si>
  <si>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</si>
  <si>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</si>
  <si>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</si>
  <si>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</si>
  <si>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</si>
  <si>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</si>
  <si>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</si>
  <si>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</si>
  <si>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</si>
  <si>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</si>
  <si>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</si>
  <si>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</si>
  <si>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</si>
  <si>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</si>
  <si>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</si>
  <si>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</si>
  <si>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</si>
  <si>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</si>
  <si>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</si>
  <si>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</si>
  <si>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</si>
  <si>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</si>
  <si>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</si>
  <si>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</si>
  <si>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</si>
  <si>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</si>
  <si>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</si>
  <si>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</si>
  <si>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</si>
  <si>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</si>
  <si>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</si>
  <si>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</si>
  <si>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</si>
  <si>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</si>
  <si>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</si>
  <si>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</si>
  <si>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</si>
  <si>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</si>
  <si>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</si>
  <si>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</si>
  <si>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</si>
  <si>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</si>
  <si>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</si>
  <si>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</si>
  <si>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</si>
  <si>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</si>
  <si>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</si>
  <si>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</si>
  <si>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</si>
  <si>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</si>
  <si>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</si>
  <si>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</si>
  <si>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</si>
  <si>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</si>
  <si>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</si>
  <si>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</si>
  <si>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</si>
  <si>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</si>
  <si>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</si>
  <si>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</si>
  <si>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</si>
  <si>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</si>
  <si>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</si>
  <si>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</si>
  <si>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</si>
  <si>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</si>
  <si>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</si>
  <si>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</si>
  <si>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</si>
  <si>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</si>
  <si>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</si>
  <si>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</si>
  <si>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</si>
  <si>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</si>
  <si>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</si>
  <si>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</si>
  <si>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</si>
  <si>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</si>
  <si>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</si>
  <si>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</si>
  <si>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</si>
  <si>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</si>
  <si>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</si>
  <si>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</si>
  <si>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</si>
  <si>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</si>
  <si>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</si>
  <si>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</si>
  <si>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</si>
  <si>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</si>
  <si>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</si>
  <si>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</si>
  <si>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</si>
  <si>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</si>
  <si>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</si>
  <si>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</si>
  <si>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</si>
  <si>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</si>
  <si>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</si>
  <si>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</si>
  <si>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</si>
  <si>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</si>
  <si>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</si>
  <si>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</si>
  <si>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</si>
  <si>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</si>
  <si>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</si>
  <si>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</si>
  <si>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</si>
  <si>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</si>
  <si>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</si>
  <si>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</si>
  <si>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</si>
  <si>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</si>
  <si>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</si>
  <si>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</si>
  <si>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</si>
  <si>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</si>
  <si>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</si>
  <si>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</si>
  <si>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</si>
  <si>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</si>
  <si>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</si>
  <si>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</si>
  <si>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</si>
  <si>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</si>
  <si>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</si>
  <si>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</si>
  <si>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</si>
  <si>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</si>
  <si>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</si>
  <si>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</si>
  <si>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</si>
  <si>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</si>
  <si>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</si>
  <si>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</si>
  <si>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</si>
  <si>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</si>
  <si>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</si>
  <si>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</si>
  <si>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</si>
  <si>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</si>
  <si>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</si>
  <si>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</si>
  <si>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</si>
  <si>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</si>
  <si>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</si>
  <si>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</si>
  <si>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</si>
  <si>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</si>
  <si>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</si>
  <si>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</si>
  <si>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</si>
  <si>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</si>
  <si>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</si>
  <si>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</si>
  <si>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</si>
  <si>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</si>
  <si>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</si>
  <si>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</si>
  <si>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</si>
  <si>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</si>
  <si>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</si>
  <si>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</si>
  <si>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</si>
  <si>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</si>
  <si>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</si>
  <si>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</si>
  <si>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</si>
  <si>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</si>
  <si>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</si>
  <si>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</si>
  <si>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</si>
  <si>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</si>
  <si>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</si>
  <si>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</si>
  <si>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</si>
  <si>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</si>
  <si>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</si>
  <si>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</si>
  <si>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</si>
  <si>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</si>
  <si>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</si>
  <si>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</si>
  <si>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</si>
  <si>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</si>
  <si>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</si>
  <si>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</si>
  <si>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</si>
  <si>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</si>
  <si>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</si>
  <si>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</si>
  <si>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</si>
  <si>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</si>
  <si>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</si>
  <si>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</si>
  <si>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</si>
  <si>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</si>
  <si>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</si>
  <si>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</si>
  <si>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</si>
  <si>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</si>
  <si>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</si>
  <si>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</si>
  <si>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</si>
  <si>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</si>
  <si>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</si>
  <si>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</si>
  <si>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</si>
  <si>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</si>
  <si>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</si>
  <si>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</si>
  <si>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</si>
  <si>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</si>
  <si>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</si>
  <si>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</si>
  <si>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</si>
  <si>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</si>
  <si>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</si>
  <si>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</si>
  <si>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</si>
  <si>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</si>
  <si>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</si>
  <si>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</si>
  <si>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</si>
  <si>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</si>
  <si>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</si>
  <si>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</si>
  <si>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</si>
  <si>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</si>
  <si>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</si>
  <si>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</si>
  <si>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</si>
  <si>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</si>
  <si>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</si>
  <si>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</si>
  <si>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</si>
  <si>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</si>
  <si>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</si>
  <si>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</si>
  <si>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</si>
  <si>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</si>
  <si>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</si>
  <si>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</si>
  <si>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</si>
  <si>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</si>
  <si>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</si>
  <si>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</si>
  <si>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</si>
  <si>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</si>
  <si>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</si>
  <si>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</si>
  <si>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</si>
  <si>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</si>
  <si>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</si>
  <si>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</si>
  <si>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</si>
  <si>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</si>
  <si>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</si>
  <si>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</si>
  <si>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</si>
  <si>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</si>
  <si>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</si>
  <si>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</si>
  <si>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</si>
  <si>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</si>
  <si>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</si>
  <si>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</si>
  <si>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</si>
  <si>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</si>
  <si>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</si>
  <si>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</si>
  <si>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</si>
  <si>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</si>
  <si>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</si>
  <si>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</si>
  <si>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</si>
  <si>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</si>
  <si>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</si>
  <si>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</si>
  <si>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</si>
  <si>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</si>
  <si>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</si>
  <si>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</si>
  <si>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</si>
  <si>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</si>
  <si>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</si>
  <si>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</si>
  <si>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</si>
  <si>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</si>
  <si>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</si>
  <si>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</si>
  <si>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</si>
  <si>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</si>
  <si>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</si>
  <si>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</si>
  <si>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</si>
  <si>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</si>
  <si>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</si>
  <si>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</si>
  <si>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</si>
  <si>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</si>
  <si>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</si>
  <si>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</si>
  <si>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</si>
  <si>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</si>
  <si>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</si>
  <si>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</si>
  <si>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</si>
  <si>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</si>
  <si>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</si>
  <si>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</si>
  <si>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</si>
  <si>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</si>
  <si>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</si>
  <si>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</si>
  <si>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</si>
  <si>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</si>
  <si>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</si>
  <si>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</si>
  <si>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</si>
  <si>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</si>
  <si>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</si>
  <si>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</si>
  <si>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</si>
  <si>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</si>
  <si>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</si>
  <si>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</si>
  <si>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</si>
  <si>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</si>
  <si>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</si>
  <si>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</si>
  <si>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</si>
  <si>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</si>
  <si>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</si>
  <si>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</si>
  <si>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</si>
  <si>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</si>
  <si>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</si>
  <si>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</si>
  <si>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</si>
  <si>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</si>
  <si>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</si>
  <si>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</si>
  <si>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</si>
  <si>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</si>
  <si>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</si>
  <si>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</si>
  <si>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</si>
  <si>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</si>
  <si>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</si>
  <si>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</si>
  <si>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</si>
  <si>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</si>
  <si>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</si>
  <si>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</si>
  <si>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</si>
  <si>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</si>
  <si>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</si>
  <si>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</si>
  <si>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</si>
  <si>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</si>
  <si>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</si>
  <si>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</si>
  <si>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</si>
  <si>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</si>
  <si>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</si>
  <si>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</si>
  <si>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</si>
  <si>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</si>
  <si>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</si>
  <si>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</si>
  <si>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</si>
  <si>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</si>
  <si>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</si>
  <si>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</si>
  <si>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</si>
  <si>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</si>
  <si>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</si>
  <si>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</si>
  <si>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</si>
  <si>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</si>
  <si>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</si>
  <si>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</si>
  <si>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</si>
  <si>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</si>
  <si>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</si>
  <si>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</si>
  <si>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</si>
  <si>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</si>
  <si>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</si>
  <si>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</si>
  <si>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</si>
  <si>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</si>
  <si>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</si>
  <si>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</si>
  <si>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</si>
  <si>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</si>
  <si>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</si>
  <si>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</si>
  <si>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</si>
  <si>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</si>
  <si>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</si>
  <si>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</si>
  <si>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</si>
  <si>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</si>
  <si>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</si>
  <si>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</si>
  <si>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</si>
  <si>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</si>
  <si>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</si>
  <si>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</si>
  <si>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</si>
  <si>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</si>
  <si>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</si>
  <si>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</si>
  <si>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</si>
  <si>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</si>
  <si>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</si>
  <si>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</si>
  <si>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</si>
  <si>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</si>
  <si>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</si>
  <si>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</si>
  <si>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</si>
  <si>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</si>
  <si>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</si>
  <si>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</si>
  <si>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</si>
  <si>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</si>
  <si>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</si>
  <si>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</si>
  <si>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</si>
  <si>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</si>
  <si>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</si>
  <si>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</si>
  <si>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</si>
  <si>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</si>
  <si>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</si>
  <si>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</si>
  <si>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</si>
  <si>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</si>
  <si>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</si>
  <si>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</si>
  <si>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</si>
  <si>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</si>
  <si>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</si>
  <si>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</si>
  <si>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</si>
  <si>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</si>
  <si>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</si>
  <si>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</si>
  <si>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</si>
  <si>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</si>
  <si>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</si>
  <si>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</si>
  <si>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</si>
  <si>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</si>
  <si>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</si>
  <si>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</si>
  <si>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</si>
  <si>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</si>
  <si>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</si>
  <si>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</si>
  <si>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</si>
  <si>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</si>
  <si>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</si>
  <si>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</si>
  <si>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</si>
  <si>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</si>
  <si>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</si>
  <si>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</si>
  <si>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</si>
  <si>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</si>
  <si>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</si>
  <si>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</si>
  <si>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</si>
  <si>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</si>
  <si>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</si>
  <si>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</si>
  <si>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</si>
  <si>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</si>
  <si>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</si>
  <si>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</si>
  <si>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</si>
  <si>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</si>
  <si>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</si>
  <si>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</si>
  <si>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</si>
  <si>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</si>
  <si>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</si>
  <si>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</si>
  <si>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</si>
  <si>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</si>
  <si>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</si>
  <si>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</si>
  <si>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</si>
  <si>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</si>
  <si>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</si>
  <si>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</si>
  <si>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</si>
  <si>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</si>
  <si>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</si>
  <si>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</si>
  <si>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</si>
  <si>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</si>
  <si>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</si>
  <si>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</si>
  <si>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</si>
  <si>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</si>
  <si>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</si>
  <si>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</si>
  <si>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</si>
  <si>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</si>
  <si>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</si>
  <si>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</si>
  <si>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</si>
  <si>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</si>
  <si>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</si>
  <si>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</si>
  <si>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</si>
  <si>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</si>
  <si>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</si>
  <si>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</si>
  <si>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</si>
  <si>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</si>
  <si>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</si>
  <si>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</si>
  <si>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</si>
  <si>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</si>
  <si>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</si>
  <si>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</si>
  <si>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</si>
  <si>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</si>
  <si>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</si>
  <si>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</si>
  <si>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</si>
  <si>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</si>
  <si>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</si>
  <si>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</si>
  <si>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</si>
  <si>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</si>
  <si>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</si>
  <si>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</si>
  <si>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</si>
  <si>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</si>
  <si>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</si>
  <si>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</si>
  <si>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</si>
  <si>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</si>
  <si>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</si>
  <si>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</si>
  <si>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</si>
  <si>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</si>
  <si>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</si>
  <si>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</si>
  <si>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</si>
  <si>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</si>
  <si>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</si>
  <si>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</si>
  <si>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</si>
  <si>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</si>
  <si>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</si>
  <si>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</si>
  <si>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</si>
  <si>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</si>
  <si>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</si>
  <si>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</si>
  <si>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</si>
  <si>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</si>
  <si>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</si>
  <si>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</si>
  <si>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</si>
  <si>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</si>
  <si>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</si>
  <si>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</si>
  <si>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</si>
  <si>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</si>
  <si>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</si>
  <si>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</si>
  <si>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</si>
  <si>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</si>
  <si>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</si>
  <si>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</si>
  <si>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</si>
  <si>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</si>
  <si>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</si>
  <si>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</si>
  <si>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</si>
  <si>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</si>
  <si>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</si>
  <si>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</si>
  <si>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</si>
  <si>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</si>
  <si>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</si>
  <si>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</si>
  <si>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</si>
  <si>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</si>
  <si>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</si>
  <si>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</si>
  <si>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</si>
  <si>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</si>
  <si>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</si>
  <si>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</si>
  <si>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</si>
  <si>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</si>
  <si>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</si>
  <si>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</si>
  <si>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</si>
  <si>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</si>
  <si>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</si>
  <si>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</si>
  <si>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</si>
  <si>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</si>
  <si>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</si>
  <si>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</si>
  <si>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</si>
  <si>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</si>
  <si>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</si>
  <si>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</si>
  <si>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</si>
  <si>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</si>
  <si>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</si>
  <si>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</si>
  <si>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</si>
  <si>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</si>
  <si>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</si>
  <si>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</si>
  <si>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</si>
  <si>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</si>
  <si>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</si>
  <si>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</si>
  <si>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</si>
  <si>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</si>
  <si>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</si>
  <si>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</si>
  <si>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</si>
  <si>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</si>
  <si>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</si>
  <si>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</si>
  <si>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</si>
  <si>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</si>
  <si>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</si>
  <si>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</si>
  <si>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</si>
  <si>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</si>
  <si>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</si>
  <si>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</si>
  <si>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</si>
  <si>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</si>
  <si>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</si>
  <si>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</si>
  <si>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</si>
  <si>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</si>
  <si>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</si>
  <si>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</si>
  <si>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</si>
  <si>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</si>
  <si>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</si>
  <si>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</si>
  <si>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</si>
  <si>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</si>
  <si>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</si>
  <si>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</si>
  <si>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</si>
  <si>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</si>
  <si>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</si>
  <si>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</si>
  <si>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</si>
  <si>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</si>
  <si>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</si>
  <si>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</si>
  <si>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</si>
  <si>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</si>
  <si>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</si>
  <si>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</si>
  <si>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</si>
  <si>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</si>
  <si>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</si>
  <si>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</si>
  <si>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</si>
  <si>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</si>
  <si>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</si>
  <si>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</si>
  <si>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</si>
  <si>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</si>
  <si>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</si>
  <si>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</si>
  <si>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</si>
  <si>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</si>
  <si>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</si>
  <si>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</si>
  <si>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</si>
  <si>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</si>
  <si>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</si>
  <si>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</si>
  <si>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</si>
  <si>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</si>
  <si>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</si>
  <si>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</si>
  <si>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</si>
  <si>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</si>
  <si>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</si>
  <si>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</si>
  <si>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</si>
  <si>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</si>
  <si>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</si>
  <si>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</si>
  <si>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</si>
  <si>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</si>
  <si>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</si>
  <si>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</si>
  <si>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</si>
  <si>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</si>
  <si>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</si>
  <si>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</si>
  <si>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</si>
  <si>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</si>
  <si>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</si>
  <si>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</si>
  <si>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</si>
  <si>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</si>
  <si>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</si>
  <si>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</si>
  <si>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</si>
  <si>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</si>
  <si>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</si>
  <si>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</si>
  <si>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</si>
  <si>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</si>
  <si>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</si>
  <si>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</si>
  <si>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</si>
  <si>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</si>
  <si>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</si>
  <si>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</si>
  <si>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</si>
  <si>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</si>
  <si>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</si>
  <si>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</si>
  <si>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</si>
  <si>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</si>
  <si>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</si>
  <si>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</si>
  <si>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</si>
  <si>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</si>
  <si>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</si>
  <si>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</si>
  <si>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</si>
  <si>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</si>
  <si>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</si>
  <si>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</si>
  <si>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</si>
  <si>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</si>
  <si>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</si>
  <si>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</si>
  <si>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</si>
  <si>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</si>
  <si>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</si>
  <si>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</si>
  <si>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</si>
  <si>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</si>
  <si>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</si>
  <si>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</si>
  <si>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</si>
  <si>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</si>
  <si>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</si>
  <si>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</si>
  <si>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</si>
  <si>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</si>
  <si>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</si>
  <si>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</si>
  <si>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</si>
  <si>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</si>
  <si>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</si>
  <si>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</si>
  <si>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</si>
  <si>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</si>
  <si>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</si>
  <si>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</si>
  <si>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</si>
  <si>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</si>
  <si>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</si>
  <si>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</si>
  <si>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</si>
  <si>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</si>
  <si>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</si>
  <si>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</si>
  <si>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</si>
  <si>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</si>
  <si>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</si>
  <si>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</si>
  <si>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</si>
  <si>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</si>
  <si>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</si>
  <si>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</si>
  <si>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</si>
  <si>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</si>
  <si>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</si>
  <si>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</si>
  <si>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</si>
  <si>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</si>
  <si>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</si>
  <si>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</si>
  <si>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</si>
  <si>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</si>
  <si>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</si>
  <si>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</si>
  <si>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</si>
  <si>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</si>
  <si>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</si>
  <si>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</si>
  <si>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</si>
  <si>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</si>
  <si>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</si>
  <si>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</si>
  <si>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</si>
  <si>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</si>
  <si>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</si>
  <si>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</si>
  <si>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</si>
  <si>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</si>
  <si>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</si>
  <si>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</si>
  <si>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</si>
  <si>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</si>
  <si>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</si>
  <si>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</si>
  <si>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</si>
  <si>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</si>
  <si>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</si>
  <si>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</si>
  <si>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</si>
  <si>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</si>
  <si>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</si>
  <si>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</si>
  <si>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</si>
  <si>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</si>
  <si>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</si>
  <si>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</si>
  <si>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</si>
  <si>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</si>
  <si>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</si>
  <si>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</si>
  <si>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</si>
  <si>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</si>
  <si>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</si>
  <si>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</si>
  <si>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</si>
  <si>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</si>
  <si>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</si>
  <si>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</si>
  <si>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</si>
  <si>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</si>
  <si>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</si>
  <si>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</si>
  <si>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</si>
  <si>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</si>
  <si>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</si>
  <si>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</si>
  <si>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</si>
  <si>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</si>
  <si>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</si>
  <si>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</si>
  <si>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</si>
  <si>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</si>
  <si>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</si>
  <si>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</si>
  <si>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</si>
  <si>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</si>
  <si>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</si>
  <si>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</si>
  <si>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</si>
  <si>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</si>
  <si>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</si>
  <si>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</si>
  <si>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</si>
  <si>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</si>
  <si>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</si>
  <si>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</si>
  <si>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</si>
  <si>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</si>
  <si>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</si>
  <si>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</si>
  <si>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</si>
  <si>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</si>
  <si>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</si>
  <si>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</si>
  <si>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</si>
  <si>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</si>
  <si>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</si>
  <si>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</si>
  <si>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</si>
  <si>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</si>
  <si>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</si>
  <si>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</si>
  <si>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</si>
  <si>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</si>
  <si>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</si>
  <si>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</si>
  <si>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</si>
  <si>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</si>
  <si>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</si>
  <si>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</si>
  <si>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</si>
  <si>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</si>
  <si>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</si>
  <si>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</si>
  <si>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</si>
  <si>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</si>
  <si>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</si>
  <si>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</si>
  <si>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</si>
  <si>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</si>
  <si>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</si>
  <si>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</si>
  <si>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</si>
  <si>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</si>
  <si>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</si>
  <si>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</si>
  <si>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</si>
  <si>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</si>
  <si>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</si>
  <si>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</si>
  <si>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</si>
  <si>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</si>
  <si>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</si>
  <si>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</si>
  <si>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</si>
  <si>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</si>
  <si>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</si>
  <si>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</si>
  <si>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</si>
  <si>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</si>
  <si>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</si>
  <si>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</si>
  <si>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</si>
  <si>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</si>
  <si>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</si>
  <si>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</si>
  <si>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</si>
  <si>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</si>
  <si>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</si>
  <si>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</si>
  <si>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</si>
  <si>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</si>
  <si>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</si>
  <si>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</si>
  <si>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</si>
  <si>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</si>
  <si>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</si>
  <si>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</si>
  <si>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</si>
  <si>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</si>
  <si>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</si>
  <si>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</si>
  <si>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</si>
  <si>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</si>
  <si>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</si>
  <si>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</si>
  <si>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</si>
  <si>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</si>
  <si>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</si>
  <si>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</si>
  <si>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</si>
  <si>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</si>
  <si>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</si>
  <si>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</si>
  <si>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</si>
  <si>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</si>
  <si>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</si>
  <si>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</si>
  <si>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</si>
  <si>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</si>
  <si>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</si>
  <si>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</si>
  <si>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</si>
  <si>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</si>
  <si>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</si>
  <si>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</si>
  <si>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</si>
  <si>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</si>
  <si>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</si>
  <si>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</si>
  <si>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</si>
  <si>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</si>
  <si>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</si>
  <si>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</si>
  <si>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</si>
  <si>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</si>
  <si>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</si>
  <si>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</si>
  <si>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</si>
  <si>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</si>
  <si>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</si>
  <si>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</si>
  <si>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</si>
  <si>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</si>
  <si>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</si>
  <si>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</si>
  <si>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</si>
  <si>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</si>
  <si>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</si>
  <si>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</si>
  <si>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</si>
  <si>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</si>
  <si>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</si>
  <si>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</si>
  <si>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</si>
  <si>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</si>
  <si>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</si>
  <si>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</si>
  <si>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</si>
  <si>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</si>
  <si>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</si>
  <si>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</si>
  <si>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</si>
  <si>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</si>
  <si>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</si>
  <si>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</si>
  <si>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</si>
  <si>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</si>
  <si>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</si>
  <si>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</si>
  <si>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</si>
  <si>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</si>
  <si>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</si>
  <si>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</si>
  <si>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</si>
  <si>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</si>
  <si>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</si>
  <si>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</si>
  <si>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</si>
  <si>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</si>
  <si>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</si>
  <si>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</si>
  <si>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</si>
  <si>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</si>
  <si>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</si>
  <si>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</si>
  <si>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</si>
  <si>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</si>
  <si>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</si>
  <si>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</si>
  <si>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</si>
  <si>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</si>
  <si>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</si>
  <si>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</si>
  <si>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</si>
  <si>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</si>
  <si>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</si>
  <si>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</si>
  <si>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</si>
  <si>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</si>
  <si>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</si>
  <si>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</si>
  <si>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</si>
  <si>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</si>
  <si>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</si>
  <si>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</si>
  <si>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</si>
  <si>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</si>
  <si>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</si>
  <si>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</si>
  <si>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</si>
  <si>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</si>
  <si>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</si>
  <si>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</si>
  <si>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</si>
  <si>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</si>
  <si>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</si>
  <si>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</si>
  <si>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</si>
  <si>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</si>
  <si>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</si>
  <si>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</si>
  <si>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</si>
  <si>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</si>
  <si>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</si>
  <si>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</si>
  <si>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</si>
  <si>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</si>
  <si>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</si>
  <si>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</si>
  <si>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</si>
  <si>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</si>
  <si>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</si>
  <si>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</si>
  <si>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</si>
  <si>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</si>
  <si>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</si>
  <si>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</si>
  <si>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</si>
  <si>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</si>
  <si>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</si>
  <si>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</si>
  <si>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</si>
  <si>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</si>
  <si>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</si>
  <si>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</si>
  <si>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</si>
  <si>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</si>
  <si>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</si>
  <si>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</si>
  <si>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</si>
  <si>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</si>
  <si>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</si>
  <si>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</si>
  <si>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</si>
  <si>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</si>
  <si>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</si>
  <si>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</si>
  <si>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</si>
  <si>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</si>
  <si>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</si>
  <si>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</si>
  <si>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</si>
  <si>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</si>
  <si>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</si>
  <si>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</si>
  <si>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</si>
  <si>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</si>
  <si>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</si>
  <si>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</si>
  <si>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</si>
  <si>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</si>
  <si>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</si>
  <si>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</si>
  <si>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</si>
  <si>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</si>
  <si>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</si>
  <si>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</si>
  <si>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</si>
  <si>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</si>
  <si>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</si>
  <si>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</si>
  <si>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</si>
  <si>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</si>
  <si>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</si>
  <si>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</si>
  <si>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</si>
  <si>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</si>
  <si>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</si>
  <si>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</si>
  <si>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</si>
  <si>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</si>
  <si>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</si>
  <si>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</si>
  <si>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</si>
  <si>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</si>
  <si>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</si>
  <si>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</si>
  <si>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</si>
  <si>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</si>
  <si>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</si>
  <si>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</si>
  <si>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</si>
  <si>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</si>
  <si>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</si>
  <si>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</si>
  <si>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</si>
  <si>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</si>
  <si>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</si>
  <si>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</si>
  <si>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</si>
  <si>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</si>
  <si>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</si>
  <si>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</si>
  <si>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</si>
  <si>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</si>
  <si>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</si>
  <si>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</si>
  <si>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</si>
  <si>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</si>
  <si>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</si>
  <si>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</si>
  <si>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</si>
  <si>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</si>
  <si>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</si>
  <si>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</si>
  <si>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</si>
  <si>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</si>
  <si>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</si>
  <si>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</si>
  <si>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</si>
  <si>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</si>
  <si>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</si>
  <si>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</si>
  <si>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</si>
  <si>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</si>
  <si>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</si>
  <si>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</si>
  <si>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</si>
  <si>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</si>
  <si>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</si>
  <si>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</si>
  <si>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</si>
  <si>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</si>
  <si>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</si>
  <si>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</si>
  <si>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</si>
  <si>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</si>
  <si>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</si>
  <si>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</si>
  <si>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</si>
  <si>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</si>
  <si>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</si>
  <si>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</si>
  <si>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</si>
  <si>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</si>
  <si>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</si>
  <si>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</si>
  <si>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</si>
  <si>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</si>
  <si>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</si>
  <si>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</si>
  <si>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</si>
  <si>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</si>
  <si>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</si>
  <si>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</si>
  <si>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</si>
  <si>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</si>
  <si>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</si>
  <si>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</si>
  <si>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</si>
  <si>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</si>
  <si>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</si>
  <si>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</si>
  <si>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</si>
  <si>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</si>
  <si>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</si>
  <si>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</si>
  <si>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</si>
  <si>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</si>
  <si>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</si>
  <si>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</si>
  <si>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</si>
  <si>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</si>
  <si>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</si>
  <si>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</si>
  <si>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</si>
  <si>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</si>
  <si>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</si>
  <si>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</si>
  <si>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</si>
  <si>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</si>
  <si>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</si>
  <si>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</si>
  <si>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</si>
  <si>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</si>
  <si>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</si>
  <si>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</si>
  <si>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</si>
  <si>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</si>
  <si>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</si>
  <si>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</si>
  <si>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</si>
  <si>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</si>
  <si>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</si>
  <si>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</si>
  <si>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</si>
  <si>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</si>
  <si>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</si>
  <si>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</si>
  <si>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</si>
  <si>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</si>
  <si>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</si>
  <si>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</si>
  <si>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</si>
  <si>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</si>
  <si>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</si>
  <si>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</si>
  <si>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</si>
  <si>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</si>
  <si>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</si>
  <si>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</si>
  <si>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</si>
  <si>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</si>
  <si>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</si>
  <si>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</si>
  <si>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</si>
  <si>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</si>
  <si>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</si>
  <si>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</si>
  <si>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</si>
  <si>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</si>
  <si>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</si>
  <si>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</si>
  <si>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</si>
  <si>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</si>
  <si>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</si>
  <si>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</si>
  <si>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</si>
  <si>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</si>
  <si>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</si>
  <si>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</si>
  <si>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</si>
  <si>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</si>
  <si>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</si>
  <si>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</si>
  <si>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</si>
  <si>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</si>
  <si>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</si>
  <si>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</si>
  <si>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</si>
  <si>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</si>
  <si>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</si>
  <si>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</si>
  <si>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</si>
  <si>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</si>
  <si>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</si>
  <si>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</si>
  <si>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</si>
  <si>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</si>
  <si>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</si>
  <si>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</si>
  <si>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</si>
  <si>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</si>
  <si>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</si>
  <si>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</si>
  <si>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</si>
  <si>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</si>
  <si>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</si>
  <si>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</si>
  <si>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</si>
  <si>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</si>
  <si>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</si>
  <si>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</si>
  <si>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</si>
  <si>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</si>
  <si>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</si>
  <si>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</si>
  <si>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</si>
  <si>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</si>
  <si>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</si>
  <si>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</si>
  <si>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</si>
  <si>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</si>
  <si>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</si>
  <si>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</si>
  <si>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</si>
  <si>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</si>
  <si>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</si>
  <si>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</si>
  <si>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</si>
  <si>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</si>
  <si>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</si>
  <si>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</si>
  <si>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</si>
  <si>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</si>
  <si>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</si>
  <si>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</si>
  <si>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</si>
  <si>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</si>
  <si>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</si>
  <si>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</si>
  <si>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</si>
  <si>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</si>
  <si>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</si>
  <si>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</si>
  <si>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</si>
  <si>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</si>
  <si>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</si>
  <si>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</si>
  <si>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</si>
  <si>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</si>
  <si>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</si>
  <si>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</si>
  <si>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</si>
  <si>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</si>
  <si>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</si>
  <si>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</si>
  <si>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</si>
  <si>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</si>
  <si>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</si>
  <si>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</si>
  <si>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</si>
  <si>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</si>
  <si>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</si>
  <si>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</si>
  <si>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</si>
  <si>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</si>
  <si>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</si>
  <si>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</si>
  <si>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</si>
  <si>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</si>
  <si>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</si>
  <si>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</si>
  <si>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</si>
  <si>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</si>
  <si>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</si>
  <si>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</si>
  <si>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</si>
  <si>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</si>
  <si>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</si>
  <si>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</si>
  <si>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</si>
  <si>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</si>
  <si>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</si>
  <si>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</si>
  <si>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</si>
  <si>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</si>
  <si>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</si>
  <si>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</si>
  <si>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</si>
  <si>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</si>
  <si>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</si>
  <si>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</si>
  <si>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</si>
  <si>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</si>
  <si>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</si>
  <si>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</si>
  <si>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</si>
  <si>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</si>
  <si>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</si>
  <si>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</si>
  <si>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</si>
  <si>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</si>
  <si>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</si>
  <si>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</si>
  <si>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</si>
  <si>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</si>
  <si>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</si>
  <si>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</si>
  <si>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</si>
  <si>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</si>
  <si>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</si>
  <si>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</si>
  <si>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</si>
  <si>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</si>
  <si>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</si>
  <si>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</si>
  <si>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</si>
  <si>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</si>
  <si>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</si>
  <si>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</si>
  <si>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</si>
  <si>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</si>
  <si>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</si>
  <si>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</si>
  <si>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</si>
  <si>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</si>
  <si>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</si>
  <si>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</si>
  <si>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</si>
  <si>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</si>
  <si>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</si>
  <si>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</si>
  <si>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</si>
  <si>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</si>
  <si>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</si>
  <si>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</si>
  <si>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</si>
  <si>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</si>
  <si>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</si>
  <si>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</si>
  <si>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</si>
  <si>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</si>
  <si>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</si>
  <si>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</si>
  <si>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</si>
  <si>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</si>
  <si>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</si>
  <si>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</si>
  <si>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</si>
  <si>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</si>
  <si>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652.</t>
  </si>
  <si>
    <t>SBA 26/652</t>
  </si>
  <si>
    <t>Prof. Dr. Arzu TOPELİ İSKİT</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</si>
  <si>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</si>
  <si>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</si>
  <si>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653.</t>
  </si>
  <si>
    <t>SBA 26/653</t>
  </si>
  <si>
    <t>Prof. Dr. Ümit Murat ŞAHİNER</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</si>
  <si>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</si>
  <si>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</si>
  <si>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654.</t>
  </si>
  <si>
    <t>SBA 26/654</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</si>
  <si>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</si>
  <si>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</si>
  <si>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655.</t>
  </si>
  <si>
    <t>SBA 26/655</t>
  </si>
  <si>
    <t>Prof. Dr. Ali AKDOĞAN</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</si>
  <si>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</si>
  <si>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</si>
  <si>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656.</t>
  </si>
  <si>
    <t>SBA 26/656</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</si>
  <si>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</si>
  <si>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</si>
  <si>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657.</t>
  </si>
  <si>
    <t>SBA 26/657</t>
  </si>
  <si>
    <t>Prof. Dr. Meryem UZAMIŞ TEKÇİÇEK</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</si>
  <si>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</si>
  <si>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“Çocuklarda El Becerisi, Bilişsel Durum, Praxis Algısı, Motor Yeterlilik ile Diş Fırçalama Performansının İncelenmesi”</t>
  </si>
  <si>
    <t>658.</t>
  </si>
  <si>
    <t>SBA 26/658</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</si>
  <si>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</si>
  <si>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</si>
  <si>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659.</t>
  </si>
  <si>
    <t>SBA 26/659</t>
  </si>
  <si>
    <t>Prof. Dr. Özge UYSAL SOYER</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</si>
  <si>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</si>
  <si>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</si>
  <si>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660.</t>
  </si>
  <si>
    <t>SBA 26/660</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</si>
  <si>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</si>
  <si>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“Herediter Anjioödemli Adolesanlarda Puberte Döneminin Hastalık Aktivitesi ve Yaşam Kalitesi Üzerine Etkilerinin ve Erişkin Bakıma Geçiş Hazır Bulunuşluğunun Değerlendirilmesi”</t>
  </si>
  <si>
    <t>661.</t>
  </si>
  <si>
    <t>SBA 26/661</t>
  </si>
  <si>
    <t>“Hacettepe Üniversitesi Spor Hekimliği Polikliniğine Başvuruların Demografik ve Klinik Özellikleri, Uygulanan Müdahaleler, Tekrar Muayene ve İyileşme Sonuçları: On Yıllık Retrospektif Kohort Çalışması”</t>
  </si>
  <si>
    <t>662.</t>
  </si>
  <si>
    <t>SBA 26/662</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</si>
  <si>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</si>
  <si>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“Kronik Hepatit B Enfeksiyonu Olan Hastalarda Metabolik Disfonksiyon İlişkili Yağlı Karaciğer Hastalığının Eşlik Etmesinin Uzun Dönem Hastalık Seyri Üzerine Etkisinin Retrospektif Olarak Değerlendirilmesi”</t>
  </si>
  <si>
    <t>663.</t>
  </si>
  <si>
    <t>SBA 26/663</t>
  </si>
  <si>
    <t>Üniversitemiz Tıp Fakültesi Üroloji Anabilim Dalı öğretim üyelerinden Doç. Dr. Mesut ALTAN’ın sorumlu araştırmacı olduğu, araştırma görevlisi Arş. Gör. Dr. Rabia HİZARCİ BAL ile birlikte çalışacakları,</t>
  </si>
  <si>
    <t>“Robot Yardımlı Laparoskopik Prostatektomi Hastalarında Cerrahi Sınır Pozitifliğini Öngören Preoperatif Faktörlerin Belirlenmesi”</t>
  </si>
  <si>
    <t>664.</t>
  </si>
  <si>
    <t>SBA 26/664</t>
  </si>
  <si>
    <t>Üniversitemiz Tıp Fakültesi Çocuk Sağlığı ve Hastalıkları Anabilim Dalı öğretim elemanlarından Arş. Gör. Dr. İsmail Çağrı ÖZÜTOK'un sorumlu araştırmacı olduğu, Prof. Dr. Özlem TEKŞAM, Prof. Dr. Dilşad FOTO ÖZDEMİR, Öğr. Gör. Dr. Ahmet Ziya BİRBİLEN, Arş. Gör. Dr. Eymen YILMAZ, Arş. Gör. Dr. Ayşegül SARIKÖSE ÖZGÜVEN ile birlikte çalışacakları,</t>
  </si>
  <si>
    <t>“Çocuk Acil Kliniğinde Çocuk Ruh Sağlığı ve Hastalıkları Branş Konsültasyonlarının Retrospektif Değerlendirilmesi”</t>
  </si>
  <si>
    <t>665.</t>
  </si>
  <si>
    <t>SBA 26/665</t>
  </si>
  <si>
    <t>Dr. Öğr. Üyesi Bengi ÖZTÜRK</t>
  </si>
  <si>
    <t>Üniversitemiz Tıp Fakültesi İç Hastalıkları Anabilim Dalı öğretim üyelerinden Dr. Öğr. Üyesi Bengi ÖZTÜRK’ün sorumlu araştırmacı olduğu, Arş. Gör. Dr. Beyza ATAY, Öğr. Gör. Dr. Sermet TERZİ, Doç. Dr. Nezih AKKAPULU ile birlikte çalışacakları,</t>
  </si>
  <si>
    <t>“Özofagus, Özofagogastrik Bileşke ve Kardiya Kanserlerinde Preoperatif Evrelemede Endoskopik Ultrasonun Tanısal Doğruluğu”</t>
  </si>
  <si>
    <t>666.</t>
  </si>
  <si>
    <t>SBA 26/666</t>
  </si>
  <si>
    <t>Üniversitemiz Tıp Fakültesi Kulak Burun ve Boğaz Anabilim Dalı öğretim üyelerinden Prof.  Dr. Levent SENNAROĞLU’nun sorumlu araştırmacı olduğu, Dr. Öğr. Üyesi Muhammed Çağrı KÜLEKÇİ ve Dr. Öğr. Üyesi Bükre YILDIRIM KÜLEKÇİ ile birlikte çalışacakları,</t>
  </si>
  <si>
    <t>“Genişlemiş Vestibüler Akuadukt İçin Yeni Bir Tanım”</t>
  </si>
  <si>
    <t>667.</t>
  </si>
  <si>
    <t>SBA 26/667</t>
  </si>
  <si>
    <t>668.</t>
  </si>
  <si>
    <t>SBA 26/668</t>
  </si>
  <si>
    <t>669.</t>
  </si>
  <si>
    <t>SBA 26/669</t>
  </si>
  <si>
    <t>670.</t>
  </si>
  <si>
    <t>SBA 26/670</t>
  </si>
  <si>
    <t>671.</t>
  </si>
  <si>
    <t>SBA 26/671</t>
  </si>
  <si>
    <t>672.</t>
  </si>
  <si>
    <t>SBA 26/672</t>
  </si>
  <si>
    <t>673.</t>
  </si>
  <si>
    <t>SBA 26/673</t>
  </si>
  <si>
    <t>674.</t>
  </si>
  <si>
    <t>SBA 26/674</t>
  </si>
  <si>
    <t>675.</t>
  </si>
  <si>
    <t>SBA 26/675</t>
  </si>
  <si>
    <t>676.</t>
  </si>
  <si>
    <t>SBA 26/676</t>
  </si>
  <si>
    <t>677.</t>
  </si>
  <si>
    <t>SBA 26/677</t>
  </si>
  <si>
    <t>678.</t>
  </si>
  <si>
    <t>SBA 26/678</t>
  </si>
  <si>
    <t>679.</t>
  </si>
  <si>
    <t>SBA 26/679</t>
  </si>
  <si>
    <t>680.</t>
  </si>
  <si>
    <t>SBA 26/680</t>
  </si>
  <si>
    <t>681.</t>
  </si>
  <si>
    <t>SBA 26/681</t>
  </si>
  <si>
    <t>682.</t>
  </si>
  <si>
    <t>SBA 26/682</t>
  </si>
  <si>
    <t>683.</t>
  </si>
  <si>
    <t>SBA 26/683</t>
  </si>
  <si>
    <t>684.</t>
  </si>
  <si>
    <t>SBA 26/684</t>
  </si>
  <si>
    <t>685.</t>
  </si>
  <si>
    <t>SBA 26/685</t>
  </si>
  <si>
    <t>686.</t>
  </si>
  <si>
    <t>SBA 26/686</t>
  </si>
  <si>
    <t>687.</t>
  </si>
  <si>
    <t>SBA 26/687</t>
  </si>
  <si>
    <t>688.</t>
  </si>
  <si>
    <t>SBA 26/688</t>
  </si>
  <si>
    <t>689.</t>
  </si>
  <si>
    <t>SBA 26/689</t>
  </si>
  <si>
    <t>690.</t>
  </si>
  <si>
    <t>SBA 26/690</t>
  </si>
  <si>
    <t>691.</t>
  </si>
  <si>
    <t>SBA 26/691</t>
  </si>
  <si>
    <t>692.</t>
  </si>
  <si>
    <t>SBA 26/692</t>
  </si>
  <si>
    <t>693.</t>
  </si>
  <si>
    <t>SBA 26/693</t>
  </si>
  <si>
    <t>694.</t>
  </si>
  <si>
    <t>SBA 26/694</t>
  </si>
  <si>
    <t>695.</t>
  </si>
  <si>
    <t>SBA 26/695</t>
  </si>
  <si>
    <t>696.</t>
  </si>
  <si>
    <t>SBA 26/696</t>
  </si>
  <si>
    <t>697.</t>
  </si>
  <si>
    <t>SBA 26/697</t>
  </si>
  <si>
    <t>698.</t>
  </si>
  <si>
    <t>SBA 26/698</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</si>
  <si>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</si>
  <si>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</si>
  <si>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</si>
  <si>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</si>
  <si>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</si>
  <si>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</si>
  <si>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</si>
  <si>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</si>
  <si>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</si>
  <si>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</si>
  <si>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</si>
  <si>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</si>
  <si>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</si>
  <si>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</si>
  <si>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</si>
  <si>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</si>
  <si>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</si>
  <si>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</si>
  <si>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</si>
  <si>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</si>
  <si>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</si>
  <si>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</si>
  <si>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</si>
  <si>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</si>
  <si>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</si>
  <si>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</si>
  <si>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</si>
  <si>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</si>
  <si>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</si>
  <si>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</si>
  <si>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</si>
  <si>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</si>
  <si>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</si>
  <si>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</si>
  <si>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</si>
  <si>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</si>
  <si>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</si>
  <si>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</si>
  <si>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</si>
  <si>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</si>
  <si>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</si>
  <si>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</si>
  <si>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</si>
  <si>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</si>
  <si>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</si>
  <si>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</si>
  <si>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</si>
  <si>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</si>
  <si>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</si>
  <si>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</si>
  <si>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</si>
  <si>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</si>
  <si>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</si>
  <si>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</si>
  <si>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</si>
  <si>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</si>
  <si>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</si>
  <si>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</si>
  <si>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</si>
  <si>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</si>
  <si>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</si>
  <si>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</si>
  <si>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</si>
  <si>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</si>
  <si>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</si>
  <si>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</si>
  <si>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</si>
  <si>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</si>
  <si>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</si>
  <si>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</si>
  <si>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</si>
  <si>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</si>
  <si>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</si>
  <si>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</si>
  <si>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</si>
  <si>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</si>
  <si>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</si>
  <si>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</si>
  <si>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</si>
  <si>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</si>
  <si>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</si>
  <si>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</si>
  <si>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</si>
  <si>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</si>
  <si>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</si>
  <si>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</si>
  <si>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</si>
  <si>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</si>
  <si>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</si>
  <si>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</si>
  <si>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</si>
  <si>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</si>
  <si>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</si>
  <si>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</si>
  <si>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</si>
  <si>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</si>
  <si>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</si>
  <si>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</si>
  <si>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</si>
  <si>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</si>
  <si>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</si>
  <si>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</si>
  <si>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</si>
  <si>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</si>
  <si>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</si>
  <si>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</si>
  <si>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</si>
  <si>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</si>
  <si>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</si>
  <si>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</si>
  <si>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</si>
  <si>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</si>
  <si>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</si>
  <si>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</si>
  <si>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</si>
  <si>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</si>
  <si>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</si>
  <si>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</si>
  <si>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</si>
  <si>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</si>
  <si>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</si>
  <si>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</si>
  <si>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</si>
  <si>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</si>
  <si>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</si>
  <si>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</si>
  <si>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</si>
  <si>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</si>
  <si>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</si>
  <si>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</si>
  <si>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</si>
  <si>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</si>
  <si>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</si>
  <si>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</si>
  <si>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</si>
  <si>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</si>
  <si>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</si>
  <si>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</si>
  <si>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</si>
  <si>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</si>
  <si>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</si>
  <si>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</si>
  <si>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</si>
  <si>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</si>
  <si>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</si>
  <si>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</si>
  <si>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</si>
  <si>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</si>
  <si>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</si>
  <si>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</si>
  <si>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</si>
  <si>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</si>
  <si>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</si>
  <si>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</si>
  <si>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</si>
  <si>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</si>
  <si>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</si>
  <si>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</si>
  <si>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</si>
  <si>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</si>
  <si>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</si>
  <si>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</si>
  <si>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</si>
  <si>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</si>
  <si>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</si>
  <si>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</si>
  <si>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</si>
  <si>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</si>
  <si>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</si>
  <si>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</si>
  <si>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</si>
  <si>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</si>
  <si>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</si>
  <si>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</si>
  <si>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</si>
  <si>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</si>
  <si>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</si>
  <si>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</si>
  <si>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</si>
  <si>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</si>
  <si>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</si>
  <si>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</si>
  <si>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</si>
  <si>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</si>
  <si>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</si>
  <si>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</si>
  <si>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</si>
  <si>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</si>
  <si>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</si>
  <si>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</si>
  <si>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</si>
  <si>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</si>
  <si>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</si>
  <si>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</si>
  <si>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</si>
  <si>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</si>
  <si>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</si>
  <si>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</si>
  <si>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</si>
  <si>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</si>
  <si>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</si>
  <si>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</si>
  <si>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</si>
  <si>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</si>
  <si>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</si>
  <si>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</si>
  <si>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</si>
  <si>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</si>
  <si>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</si>
  <si>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</si>
  <si>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</si>
  <si>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</si>
  <si>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</si>
  <si>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</si>
  <si>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</si>
  <si>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</si>
  <si>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</si>
  <si>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</si>
  <si>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</si>
  <si>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</si>
  <si>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</si>
  <si>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</si>
  <si>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</si>
  <si>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</si>
  <si>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</si>
  <si>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</si>
  <si>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</si>
  <si>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</si>
  <si>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</si>
  <si>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</si>
  <si>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</si>
  <si>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</si>
  <si>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</si>
  <si>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</si>
  <si>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</si>
  <si>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</si>
  <si>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</si>
  <si>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</si>
  <si>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</si>
  <si>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</si>
  <si>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</si>
  <si>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</si>
  <si>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</si>
  <si>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</si>
  <si>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</si>
  <si>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</si>
  <si>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</si>
  <si>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</si>
  <si>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</si>
  <si>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</si>
  <si>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</si>
  <si>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</si>
  <si>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</si>
  <si>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</si>
  <si>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</si>
  <si>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</si>
  <si>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</si>
  <si>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</si>
  <si>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</si>
  <si>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</si>
  <si>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</si>
  <si>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</si>
  <si>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</si>
  <si>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</si>
  <si>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</si>
  <si>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</si>
  <si>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</si>
  <si>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</si>
  <si>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</si>
  <si>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</si>
  <si>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</si>
  <si>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</si>
  <si>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</si>
  <si>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</si>
  <si>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</si>
  <si>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</si>
  <si>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</si>
  <si>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</si>
  <si>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</si>
  <si>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</si>
  <si>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</si>
  <si>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</si>
  <si>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</si>
  <si>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</si>
  <si>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</si>
  <si>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</si>
  <si>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</si>
  <si>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</si>
  <si>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</si>
  <si>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</si>
  <si>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</si>
  <si>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</si>
  <si>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</si>
  <si>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</si>
  <si>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</si>
  <si>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</si>
  <si>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</si>
  <si>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</si>
  <si>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</si>
  <si>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</si>
  <si>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</si>
  <si>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</si>
  <si>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</si>
  <si>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</si>
  <si>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</si>
  <si>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</si>
  <si>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</si>
  <si>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</si>
  <si>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</si>
  <si>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</si>
  <si>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</si>
  <si>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</si>
  <si>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</si>
  <si>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</si>
  <si>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</si>
  <si>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</si>
  <si>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</si>
  <si>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</si>
  <si>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</si>
  <si>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</si>
  <si>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</si>
  <si>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</si>
  <si>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</si>
  <si>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</si>
  <si>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</si>
  <si>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</si>
  <si>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</si>
  <si>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</si>
  <si>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</si>
  <si>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</si>
  <si>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</si>
  <si>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</si>
  <si>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</si>
  <si>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</si>
  <si>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</si>
  <si>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</si>
  <si>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</si>
  <si>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</si>
  <si>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</si>
  <si>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</si>
  <si>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</si>
  <si>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</si>
  <si>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</si>
  <si>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</si>
  <si>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</si>
  <si>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</si>
  <si>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</si>
  <si>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</si>
  <si>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</si>
  <si>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</si>
  <si>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</si>
  <si>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</si>
  <si>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</si>
  <si>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</si>
  <si>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</si>
  <si>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</si>
  <si>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</si>
  <si>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</si>
  <si>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</si>
  <si>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</si>
  <si>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</si>
  <si>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</si>
  <si>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</si>
  <si>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</si>
  <si>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</si>
  <si>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</si>
  <si>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</si>
  <si>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</si>
  <si>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</si>
  <si>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</si>
  <si>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</si>
  <si>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</si>
  <si>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</si>
  <si>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</si>
  <si>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</si>
  <si>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</si>
  <si>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</si>
  <si>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</si>
  <si>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</si>
  <si>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</si>
  <si>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</si>
  <si>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</si>
  <si>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</si>
  <si>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</si>
  <si>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</si>
  <si>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</si>
  <si>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</si>
  <si>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</si>
  <si>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</si>
  <si>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</si>
  <si>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</si>
  <si>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</si>
  <si>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</si>
  <si>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</si>
  <si>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</si>
  <si>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</si>
  <si>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</si>
  <si>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</si>
  <si>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</si>
  <si>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</si>
  <si>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</si>
  <si>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</si>
  <si>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</si>
  <si>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</si>
  <si>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</si>
  <si>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</si>
  <si>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</si>
  <si>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</si>
  <si>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</si>
  <si>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</si>
  <si>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</si>
  <si>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</si>
  <si>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</si>
  <si>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</si>
  <si>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</si>
  <si>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</si>
  <si>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</si>
  <si>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</si>
  <si>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</si>
  <si>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</si>
  <si>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</si>
  <si>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</si>
  <si>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</si>
  <si>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</si>
  <si>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</si>
  <si>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</si>
  <si>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</si>
  <si>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</si>
  <si>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</si>
  <si>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</si>
  <si>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</si>
  <si>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</si>
  <si>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</si>
  <si>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</si>
  <si>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</si>
  <si>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</si>
  <si>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</si>
  <si>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</si>
  <si>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</si>
  <si>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</si>
  <si>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</si>
  <si>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</si>
  <si>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</si>
  <si>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</si>
  <si>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</si>
  <si>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</si>
  <si>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</si>
  <si>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</si>
  <si>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</si>
  <si>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</si>
  <si>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</si>
  <si>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</si>
  <si>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</si>
  <si>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</si>
  <si>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</si>
  <si>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</si>
  <si>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</si>
  <si>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</si>
  <si>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</si>
  <si>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</si>
  <si>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</si>
  <si>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</si>
  <si>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</si>
  <si>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</si>
  <si>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</si>
  <si>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</si>
  <si>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</si>
  <si>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</si>
  <si>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</si>
  <si>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</si>
  <si>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</si>
  <si>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</si>
  <si>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</si>
  <si>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</si>
  <si>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</si>
  <si>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</si>
  <si>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</si>
  <si>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</si>
  <si>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</si>
  <si>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</si>
  <si>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</si>
  <si>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</si>
  <si>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</si>
  <si>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</si>
  <si>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</si>
  <si>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</si>
  <si>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</si>
  <si>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</si>
  <si>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</si>
  <si>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</si>
  <si>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</si>
  <si>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</si>
  <si>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</si>
  <si>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</si>
  <si>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</si>
  <si>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</si>
  <si>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</si>
  <si>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</si>
  <si>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</si>
  <si>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</si>
  <si>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</si>
  <si>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</si>
  <si>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</si>
  <si>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</si>
  <si>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</si>
  <si>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</si>
  <si>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</si>
  <si>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</si>
  <si>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</si>
  <si>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</si>
  <si>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</si>
  <si>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</si>
  <si>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</si>
  <si>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</si>
  <si>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</si>
  <si>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</si>
  <si>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</si>
  <si>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</si>
  <si>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</si>
  <si>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</si>
  <si>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</si>
  <si>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</si>
  <si>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</si>
  <si>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</si>
  <si>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</si>
  <si>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</si>
  <si>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</si>
  <si>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</si>
  <si>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</si>
  <si>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</si>
  <si>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</si>
  <si>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</si>
  <si>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</si>
  <si>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</si>
  <si>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</si>
  <si>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</si>
  <si>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</si>
  <si>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</si>
  <si>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</si>
  <si>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</si>
  <si>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</si>
  <si>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</si>
  <si>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</si>
  <si>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</si>
  <si>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</si>
  <si>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</si>
  <si>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</si>
  <si>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</si>
  <si>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</si>
  <si>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</si>
  <si>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</si>
  <si>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</si>
  <si>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</si>
  <si>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</si>
  <si>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</si>
  <si>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</si>
  <si>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</si>
  <si>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</si>
  <si>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</si>
  <si>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</si>
  <si>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</si>
  <si>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</si>
  <si>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</si>
  <si>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</si>
  <si>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</si>
  <si>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</si>
  <si>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</si>
  <si>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</si>
  <si>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</si>
  <si>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</si>
  <si>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</si>
  <si>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</si>
  <si>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</si>
  <si>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</si>
  <si>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</si>
  <si>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</si>
  <si>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</si>
  <si>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</si>
  <si>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</si>
  <si>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</si>
  <si>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</si>
  <si>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</si>
  <si>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</si>
  <si>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</si>
  <si>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</si>
  <si>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</si>
  <si>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</si>
  <si>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</si>
  <si>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</si>
  <si>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</si>
  <si>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</si>
  <si>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</si>
  <si>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</si>
  <si>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</si>
  <si>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</si>
  <si>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</si>
  <si>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</si>
  <si>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</si>
  <si>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</si>
  <si>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</si>
  <si>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</si>
  <si>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</si>
  <si>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</si>
  <si>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</si>
  <si>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</si>
  <si>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</si>
  <si>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</si>
  <si>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</si>
  <si>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</si>
  <si>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</si>
  <si>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</si>
  <si>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</si>
  <si>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</si>
  <si>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</si>
  <si>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</si>
  <si>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</si>
  <si>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</si>
  <si>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</si>
  <si>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</si>
  <si>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</si>
  <si>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</si>
  <si>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</si>
  <si>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</si>
  <si>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</si>
  <si>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</si>
  <si>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</si>
  <si>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</si>
  <si>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</si>
  <si>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</si>
  <si>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</si>
  <si>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</si>
  <si>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</si>
  <si>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</si>
  <si>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</si>
  <si>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</si>
  <si>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</si>
  <si>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</si>
  <si>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</si>
  <si>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</si>
  <si>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</si>
  <si>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</si>
  <si>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</si>
  <si>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</si>
  <si>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</si>
  <si>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</si>
  <si>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</si>
  <si>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</si>
  <si>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</si>
  <si>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</si>
  <si>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</si>
  <si>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</si>
  <si>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</si>
  <si>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</si>
  <si>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</si>
  <si>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</si>
  <si>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</si>
  <si>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</si>
  <si>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</si>
  <si>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</si>
  <si>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</si>
  <si>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</si>
  <si>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</si>
  <si>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</si>
  <si>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</si>
  <si>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</si>
  <si>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</si>
  <si>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</si>
  <si>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</si>
  <si>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</si>
  <si>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</si>
  <si>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</si>
  <si>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</si>
  <si>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</si>
  <si>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</si>
  <si>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</si>
  <si>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</si>
  <si>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</si>
  <si>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</si>
  <si>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</si>
  <si>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</si>
  <si>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</si>
  <si>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</si>
  <si>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</si>
  <si>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</si>
  <si>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</si>
  <si>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</si>
  <si>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</si>
  <si>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</si>
  <si>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</si>
  <si>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</si>
  <si>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</si>
  <si>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</si>
  <si>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</si>
  <si>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</si>
  <si>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</si>
  <si>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</si>
  <si>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</si>
  <si>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</si>
  <si>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</si>
  <si>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</si>
  <si>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</si>
  <si>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</si>
  <si>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</si>
  <si>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</si>
  <si>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</si>
  <si>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</si>
  <si>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</si>
  <si>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</si>
  <si>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</si>
  <si>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</si>
  <si>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</si>
  <si>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</si>
  <si>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</si>
  <si>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</si>
  <si>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</si>
  <si>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</si>
  <si>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</si>
  <si>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</si>
  <si>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</si>
  <si>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</si>
  <si>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</si>
  <si>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</si>
  <si>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</si>
  <si>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</si>
  <si>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</si>
  <si>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</si>
  <si>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</si>
  <si>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</si>
  <si>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</si>
  <si>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</si>
  <si>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</si>
  <si>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</si>
  <si>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</si>
  <si>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</si>
  <si>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</si>
  <si>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</si>
  <si>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</si>
  <si>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</si>
  <si>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</si>
  <si>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</si>
  <si>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</si>
  <si>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</si>
  <si>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</si>
  <si>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</si>
  <si>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</si>
  <si>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</si>
  <si>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</si>
  <si>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</si>
  <si>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</si>
  <si>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</si>
  <si>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</si>
  <si>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</si>
  <si>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</si>
  <si>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</si>
  <si>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</si>
  <si>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</si>
  <si>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</si>
  <si>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</si>
  <si>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</si>
  <si>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</si>
  <si>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</si>
  <si>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</si>
  <si>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</si>
  <si>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</si>
  <si>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</si>
  <si>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</si>
  <si>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</si>
  <si>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</si>
  <si>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</si>
  <si>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</si>
  <si>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</si>
  <si>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</si>
  <si>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</si>
  <si>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</si>
  <si>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</si>
  <si>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</si>
  <si>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</si>
  <si>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</si>
  <si>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</si>
  <si>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</si>
  <si>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</si>
  <si>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</si>
  <si>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</si>
  <si>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</si>
  <si>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</si>
  <si>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</si>
  <si>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</si>
  <si>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</si>
  <si>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</si>
  <si>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</si>
  <si>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</si>
  <si>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</si>
  <si>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</si>
  <si>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</si>
  <si>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</si>
  <si>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</si>
  <si>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</si>
  <si>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</si>
  <si>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</si>
  <si>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</si>
  <si>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</si>
  <si>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</si>
  <si>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</si>
  <si>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</si>
  <si>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</si>
  <si>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</si>
  <si>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</si>
  <si>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</si>
  <si>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</si>
  <si>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</si>
  <si>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</si>
  <si>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</si>
  <si>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</si>
  <si>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</si>
  <si>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</si>
  <si>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</si>
  <si>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</si>
  <si>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</si>
  <si>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</si>
  <si>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</si>
  <si>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</si>
  <si>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</si>
  <si>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</si>
  <si>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</si>
  <si>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</si>
  <si>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</si>
  <si>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</si>
  <si>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</si>
  <si>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</si>
  <si>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</si>
  <si>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</si>
  <si>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</si>
  <si>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</si>
  <si>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</si>
  <si>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</si>
  <si>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</si>
  <si>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</si>
  <si>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</si>
  <si>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</si>
  <si>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</si>
  <si>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</si>
  <si>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</si>
  <si>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</si>
  <si>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</si>
  <si>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</si>
  <si>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</si>
  <si>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</si>
  <si>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</si>
  <si>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</si>
  <si>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</si>
  <si>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</si>
  <si>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</si>
  <si>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</si>
  <si>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</si>
  <si>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</si>
  <si>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</si>
  <si>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</si>
  <si>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</si>
  <si>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</si>
  <si>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</si>
  <si>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</si>
  <si>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</si>
  <si>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</si>
  <si>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</si>
  <si>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</si>
  <si>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</si>
  <si>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</si>
  <si>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</si>
  <si>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</si>
  <si>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</si>
  <si>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</si>
  <si>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</si>
  <si>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</si>
  <si>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</si>
  <si>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</si>
  <si>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</si>
  <si>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</si>
  <si>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</si>
  <si>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</si>
  <si>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</si>
  <si>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</si>
  <si>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</si>
  <si>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</si>
  <si>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</si>
  <si>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</si>
  <si>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</si>
  <si>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</si>
  <si>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</si>
  <si>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</si>
  <si>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</si>
  <si>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</si>
  <si>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</si>
  <si>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</si>
  <si>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</si>
  <si>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</si>
  <si>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</si>
  <si>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</si>
  <si>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</si>
  <si>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</si>
  <si>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</si>
  <si>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</si>
  <si>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</si>
  <si>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</si>
  <si>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</si>
  <si>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</si>
  <si>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</si>
  <si>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</si>
  <si>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</si>
  <si>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</si>
  <si>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</si>
  <si>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</si>
  <si>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</si>
  <si>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</si>
  <si>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</si>
  <si>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</si>
  <si>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</si>
  <si>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</si>
  <si>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</si>
  <si>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</si>
  <si>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</si>
  <si>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</si>
  <si>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</si>
  <si>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</si>
  <si>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</si>
  <si>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</si>
  <si>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</si>
  <si>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</si>
  <si>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</si>
  <si>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</si>
  <si>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</si>
  <si>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</si>
  <si>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</si>
  <si>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</si>
  <si>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</si>
  <si>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</si>
  <si>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</si>
  <si>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</si>
  <si>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</si>
  <si>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</si>
  <si>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</si>
  <si>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</si>
  <si>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</si>
  <si>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</si>
  <si>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</si>
  <si>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</si>
  <si>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</si>
  <si>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</si>
  <si>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</si>
  <si>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</si>
  <si>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</si>
  <si>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</si>
  <si>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</si>
  <si>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</si>
  <si>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</si>
  <si>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</si>
  <si>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</si>
  <si>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</si>
  <si>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</si>
  <si>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</si>
  <si>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</si>
  <si>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</si>
  <si>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</si>
  <si>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</si>
  <si>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</si>
  <si>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</si>
  <si>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</si>
  <si>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</si>
  <si>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</si>
  <si>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</si>
  <si>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</si>
  <si>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</si>
  <si>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</si>
  <si>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</si>
  <si>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</si>
  <si>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</si>
  <si>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</si>
  <si>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</si>
  <si>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</si>
  <si>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</si>
  <si>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</si>
  <si>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</si>
  <si>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</si>
  <si>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</si>
  <si>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</si>
  <si>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</si>
  <si>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</si>
  <si>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</si>
  <si>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</si>
  <si>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</si>
  <si>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</si>
  <si>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</si>
  <si>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</si>
  <si>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</si>
  <si>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</si>
  <si>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</si>
  <si>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</si>
  <si>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</si>
  <si>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</si>
  <si>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</si>
  <si>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</si>
  <si>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</si>
  <si>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</si>
  <si>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</si>
  <si>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</si>
  <si>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</si>
  <si>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</si>
  <si>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</si>
  <si>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</si>
  <si>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</si>
  <si>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</si>
  <si>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</si>
  <si>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</si>
  <si>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</si>
  <si>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</si>
  <si>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</si>
  <si>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</si>
  <si>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</si>
  <si>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</si>
  <si>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</si>
  <si>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</si>
  <si>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</si>
  <si>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</si>
  <si>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</si>
  <si>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</si>
  <si>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</si>
  <si>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</si>
  <si>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</si>
  <si>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</si>
  <si>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</si>
  <si>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</si>
  <si>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</si>
  <si>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</si>
  <si>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</si>
  <si>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</si>
  <si>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</si>
  <si>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</si>
  <si>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</si>
  <si>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</si>
  <si>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</si>
  <si>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</si>
  <si>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</si>
  <si>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</si>
  <si>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</si>
  <si>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</si>
  <si>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</si>
  <si>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</si>
  <si>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</si>
  <si>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</si>
  <si>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</si>
  <si>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</si>
  <si>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</si>
  <si>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</si>
  <si>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</si>
  <si>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</si>
  <si>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</si>
  <si>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</si>
  <si>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</si>
  <si>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</si>
  <si>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</si>
  <si>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</si>
  <si>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</si>
  <si>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</si>
  <si>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</si>
  <si>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</si>
  <si>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</si>
  <si>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</si>
  <si>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</si>
  <si>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</si>
  <si>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</si>
  <si>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</si>
  <si>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</si>
  <si>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</si>
  <si>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</si>
  <si>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</si>
  <si>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</si>
  <si>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</si>
  <si>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</si>
  <si>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</si>
  <si>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</si>
  <si>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</si>
  <si>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</si>
  <si>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</si>
  <si>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</si>
  <si>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</si>
  <si>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</si>
  <si>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</si>
  <si>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</si>
  <si>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</si>
  <si>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</si>
  <si>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</si>
  <si>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</si>
  <si>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</si>
  <si>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</si>
  <si>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</si>
  <si>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</si>
  <si>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</si>
  <si>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</si>
  <si>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</si>
  <si>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</si>
  <si>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</si>
  <si>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</si>
  <si>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</si>
  <si>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</si>
  <si>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</si>
  <si>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</si>
  <si>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</si>
  <si>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</si>
  <si>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</si>
  <si>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</si>
  <si>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</si>
  <si>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</si>
  <si>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</si>
  <si>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</si>
  <si>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</si>
  <si>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</si>
  <si>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</si>
  <si>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</si>
  <si>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</si>
  <si>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</si>
  <si>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</si>
  <si>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</si>
  <si>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</si>
  <si>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</si>
  <si>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</si>
  <si>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</si>
  <si>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</si>
  <si>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</si>
  <si>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</si>
  <si>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</si>
  <si>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Genel</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</si>
  <si>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</si>
  <si>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</si>
  <si>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</si>
  <si>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</si>
  <si>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</si>
  <si>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</si>
  <si>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</si>
  <si>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</si>
  <si>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</si>
  <si>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</si>
  <si>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</si>
  <si>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</si>
  <si>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</si>
  <si>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</si>
  <si>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</si>
  <si>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</si>
  <si>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</si>
  <si>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</si>
  <si>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</si>
  <si>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</si>
  <si>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</si>
  <si>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</si>
  <si>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</si>
  <si>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</si>
  <si>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</si>
  <si>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</si>
  <si>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</si>
  <si>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</si>
  <si>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</si>
  <si>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ARAŞTIRMACI BAŞVURU DETAYI — 2026</t>
  </si>
  <si>
    <t>Açılır listeden bir araştırmacı seçin — başvuruları aşağıda otomatik listelenir  ·  İsim listesi ve sonuçlar Başvuru sayfasından COUNTIF / MATCH / INDEX formülleriyle otomatik türetilir  ·  Yeni araştırmacı eklendiğinde liste otomatik güncellenir</t>
  </si>
  <si>
    <t>ARAŞTIRMACI SEÇ ▾</t>
  </si>
  <si>
    <t>PROJE ADI</t>
  </si>
  <si>
    <t>YRD_SATIR</t>
  </si>
  <si>
    <t>YRD_İSİM_LİSTESİ (OTOMATİK)</t>
  </si>
  <si>
    <t>Not: Bir araştırmacı seçilmediğinde veya seçilen kişinin daha fazla başvurusu olmadığında satırlar boş görünür (tabloda en fazla 30 satır listelenir).</t>
  </si>
  <si>
    <t>2026 GÜNDEM SAYILARI</t>
  </si>
  <si>
    <t>Gündem Tarihleri</t>
  </si>
  <si>
    <t>Başvuru</t>
  </si>
  <si>
    <t>Dilekçe</t>
  </si>
  <si>
    <t>Toplam</t>
  </si>
  <si>
    <t>Doç. Dr. Ekim GÜMELER BÜYÜKBAYRAM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</si>
  <si>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</si>
  <si>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</si>
  <si>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</si>
  <si>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</si>
  <si>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</si>
  <si>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</si>
  <si>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</si>
  <si>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</si>
  <si>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</si>
  <si>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</si>
  <si>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</si>
  <si>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</si>
  <si>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</si>
  <si>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</si>
  <si>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</si>
  <si>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</si>
  <si>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</si>
  <si>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</si>
  <si>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</si>
  <si>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</si>
  <si>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</si>
  <si>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</si>
  <si>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</si>
  <si>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</si>
  <si>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</si>
  <si>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</si>
  <si>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</si>
  <si>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</si>
  <si>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</si>
  <si>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</si>
  <si>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</si>
  <si>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</si>
  <si>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</si>
  <si>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</si>
  <si>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</si>
  <si>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</si>
  <si>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</si>
  <si>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</si>
  <si>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</si>
  <si>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</si>
  <si>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</si>
  <si>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</si>
  <si>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</si>
  <si>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</si>
  <si>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</si>
  <si>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</si>
  <si>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</si>
  <si>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</si>
  <si>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</si>
  <si>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</si>
  <si>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</si>
  <si>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</si>
  <si>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</si>
  <si>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</si>
  <si>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</si>
  <si>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</si>
  <si>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</si>
  <si>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</si>
  <si>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</si>
  <si>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</si>
  <si>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</si>
  <si>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</si>
  <si>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</si>
  <si>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</si>
  <si>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</si>
  <si>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</si>
  <si>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</si>
  <si>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</si>
  <si>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</si>
  <si>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</si>
  <si>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</si>
  <si>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</si>
  <si>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</si>
  <si>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</si>
  <si>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</si>
  <si>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</si>
  <si>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</si>
  <si>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</si>
  <si>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</si>
  <si>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</si>
  <si>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</si>
  <si>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</si>
  <si>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</si>
  <si>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</si>
  <si>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</si>
  <si>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</si>
  <si>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</si>
  <si>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</si>
  <si>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</si>
  <si>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</si>
  <si>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</si>
  <si>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</si>
  <si>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</si>
  <si>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</si>
  <si>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</si>
  <si>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</si>
  <si>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</si>
  <si>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</si>
  <si>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</si>
  <si>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</si>
  <si>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</si>
  <si>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</si>
  <si>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</si>
  <si>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</si>
  <si>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</si>
  <si>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</si>
  <si>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</si>
  <si>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</si>
  <si>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</si>
  <si>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</si>
  <si>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</si>
  <si>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</si>
  <si>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</si>
  <si>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</si>
  <si>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</si>
  <si>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</si>
  <si>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</si>
  <si>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</si>
  <si>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</si>
  <si>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</si>
  <si>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</si>
  <si>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</si>
  <si>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</si>
  <si>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</si>
  <si>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</si>
  <si>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</si>
  <si>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</si>
  <si>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</si>
  <si>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</si>
  <si>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</si>
  <si>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</si>
  <si>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</si>
  <si>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</si>
  <si>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</si>
  <si>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</si>
  <si>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</si>
  <si>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</si>
  <si>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</si>
  <si>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</si>
  <si>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</si>
  <si>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</si>
  <si>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</si>
  <si>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</si>
  <si>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</si>
  <si>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</si>
  <si>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</si>
  <si>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</si>
  <si>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</si>
  <si>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</si>
  <si>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</si>
  <si>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</si>
  <si>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</si>
  <si>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</si>
  <si>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</si>
  <si>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</si>
  <si>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</si>
  <si>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</si>
  <si>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</si>
  <si>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</si>
  <si>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</si>
  <si>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</si>
  <si>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</si>
  <si>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</si>
  <si>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</si>
  <si>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</si>
  <si>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</si>
  <si>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</si>
  <si>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</si>
  <si>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</si>
  <si>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</si>
  <si>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</si>
  <si>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</si>
  <si>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</si>
  <si>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</si>
  <si>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</si>
  <si>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</si>
  <si>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</si>
  <si>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</si>
  <si>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</si>
  <si>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</si>
  <si>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</si>
  <si>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</si>
  <si>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</si>
  <si>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</si>
  <si>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</si>
  <si>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</si>
  <si>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</si>
  <si>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</si>
  <si>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</si>
  <si>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</si>
  <si>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</si>
  <si>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</si>
  <si>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</si>
  <si>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</si>
  <si>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</si>
  <si>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</si>
  <si>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</si>
  <si>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</si>
  <si>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</si>
  <si>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</si>
  <si>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</si>
  <si>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</si>
  <si>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</si>
  <si>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</si>
  <si>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</si>
  <si>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</si>
  <si>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</si>
  <si>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</si>
  <si>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</si>
  <si>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</si>
  <si>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</si>
  <si>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</si>
  <si>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</si>
  <si>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</si>
  <si>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</si>
  <si>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</si>
  <si>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</si>
  <si>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</si>
  <si>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</si>
  <si>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</si>
  <si>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</si>
  <si>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</si>
  <si>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</si>
  <si>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</si>
  <si>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</si>
  <si>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</si>
  <si>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</si>
  <si>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</si>
  <si>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</si>
  <si>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</si>
  <si>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</si>
  <si>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</si>
  <si>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</si>
  <si>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</si>
  <si>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</si>
  <si>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</si>
  <si>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</si>
  <si>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</si>
  <si>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</si>
  <si>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</si>
  <si>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</si>
  <si>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</si>
  <si>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</si>
  <si>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</si>
  <si>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</si>
  <si>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</si>
  <si>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</si>
  <si>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</si>
  <si>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</si>
  <si>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</si>
  <si>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</si>
  <si>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</si>
  <si>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</si>
  <si>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</si>
  <si>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</si>
  <si>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</si>
  <si>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</si>
  <si>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</si>
  <si>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</si>
  <si>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</si>
  <si>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</si>
  <si>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</si>
  <si>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</si>
  <si>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</si>
  <si>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</si>
  <si>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</si>
  <si>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</si>
  <si>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</si>
  <si>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</si>
  <si>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</si>
  <si>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</si>
  <si>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</si>
  <si>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</si>
  <si>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</si>
  <si>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</si>
  <si>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</si>
  <si>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</si>
  <si>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</si>
  <si>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</si>
  <si>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</si>
  <si>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</si>
  <si>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</si>
  <si>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</si>
  <si>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</si>
  <si>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</si>
  <si>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</si>
  <si>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</si>
  <si>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</si>
  <si>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</si>
  <si>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</si>
  <si>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</si>
  <si>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</si>
  <si>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</si>
  <si>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</si>
  <si>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</si>
  <si>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</si>
  <si>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</si>
  <si>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</si>
  <si>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</si>
  <si>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</si>
  <si>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</si>
  <si>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</si>
  <si>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</si>
  <si>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</si>
  <si>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</si>
  <si>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</si>
  <si>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</si>
  <si>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</si>
  <si>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</si>
  <si>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</si>
  <si>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</si>
  <si>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</si>
  <si>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</si>
  <si>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</si>
  <si>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</si>
  <si>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</si>
  <si>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</si>
  <si>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</si>
  <si>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</si>
  <si>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</si>
  <si>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</si>
  <si>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</si>
  <si>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</si>
  <si>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</si>
  <si>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</si>
  <si>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</si>
  <si>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</si>
  <si>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</si>
  <si>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</si>
  <si>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</si>
  <si>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</si>
  <si>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</si>
  <si>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</si>
  <si>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</si>
  <si>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</si>
  <si>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</si>
  <si>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</si>
  <si>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</si>
  <si>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</si>
  <si>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</si>
  <si>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</si>
  <si>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</si>
  <si>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</si>
  <si>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</si>
  <si>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</si>
  <si>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</si>
  <si>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</si>
  <si>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</si>
  <si>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</si>
  <si>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</si>
  <si>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</si>
  <si>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</si>
  <si>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</si>
  <si>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</si>
  <si>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</si>
  <si>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</si>
  <si>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</si>
  <si>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</si>
  <si>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</si>
  <si>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</si>
  <si>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</si>
  <si>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</si>
  <si>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</si>
  <si>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</si>
  <si>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</si>
  <si>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</si>
  <si>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</si>
  <si>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</si>
  <si>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</si>
  <si>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</si>
  <si>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</si>
  <si>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</si>
  <si>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</si>
  <si>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</si>
  <si>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</si>
  <si>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</si>
  <si>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</si>
  <si>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</si>
  <si>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</si>
  <si>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</si>
  <si>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</si>
  <si>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</si>
  <si>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</si>
  <si>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</si>
  <si>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</si>
  <si>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</si>
  <si>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</si>
  <si>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</si>
  <si>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</si>
  <si>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</si>
  <si>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</si>
  <si>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</si>
  <si>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</si>
  <si>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</si>
  <si>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</si>
  <si>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</si>
  <si>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</si>
  <si>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</si>
  <si>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</si>
  <si>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</si>
  <si>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</si>
  <si>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</si>
  <si>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</si>
  <si>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</si>
  <si>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</si>
  <si>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</si>
  <si>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</si>
  <si>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</si>
  <si>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</si>
  <si>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</si>
  <si>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</si>
  <si>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</si>
  <si>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</si>
  <si>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</si>
  <si>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</si>
  <si>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</si>
  <si>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</si>
  <si>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</si>
  <si>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</si>
  <si>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</si>
  <si>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</si>
  <si>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</si>
  <si>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</si>
  <si>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</si>
  <si>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</si>
  <si>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</si>
  <si>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</si>
  <si>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</si>
  <si>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</si>
  <si>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</si>
  <si>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</si>
  <si>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</si>
  <si>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</si>
  <si>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</si>
  <si>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</si>
  <si>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</si>
  <si>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</si>
  <si>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</si>
  <si>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</si>
  <si>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</si>
  <si>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</si>
  <si>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</si>
  <si>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</si>
  <si>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</si>
  <si>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</si>
  <si>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</si>
  <si>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</si>
  <si>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</si>
  <si>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</si>
  <si>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</si>
  <si>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</si>
  <si>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</si>
  <si>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</si>
  <si>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</si>
  <si>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</si>
  <si>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</si>
  <si>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</si>
  <si>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</si>
  <si>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</si>
  <si>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</si>
  <si>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</si>
  <si>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</si>
  <si>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</si>
  <si>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</si>
  <si>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</si>
  <si>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</si>
  <si>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</si>
  <si>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</si>
  <si>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</si>
  <si>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</si>
  <si>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</si>
  <si>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</si>
  <si>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</si>
  <si>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</si>
  <si>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</si>
  <si>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</si>
  <si>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</si>
  <si>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</si>
  <si>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</si>
  <si>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</si>
  <si>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</si>
  <si>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</si>
  <si>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</si>
  <si>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</si>
  <si>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</si>
  <si>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</si>
  <si>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</si>
  <si>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</si>
  <si>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</si>
  <si>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</si>
  <si>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</si>
  <si>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</si>
  <si>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</si>
  <si>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</si>
  <si>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</si>
  <si>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</si>
  <si>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</si>
  <si>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</si>
  <si>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</si>
  <si>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</si>
  <si>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</si>
  <si>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</si>
  <si>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</si>
  <si>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</si>
  <si>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</si>
  <si>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</si>
  <si>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</si>
  <si>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</si>
  <si>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</si>
  <si>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</si>
  <si>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</si>
  <si>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</si>
  <si>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</si>
  <si>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</si>
  <si>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</si>
  <si>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</si>
  <si>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</si>
  <si>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</si>
  <si>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</si>
  <si>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</si>
  <si>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</si>
  <si>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</si>
  <si>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</si>
  <si>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</si>
  <si>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</si>
  <si>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</si>
  <si>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</si>
  <si>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</si>
  <si>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</si>
  <si>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</si>
  <si>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</si>
  <si>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</si>
  <si>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</si>
  <si>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</si>
  <si>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</si>
  <si>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</si>
  <si>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</si>
  <si>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</si>
  <si>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</si>
  <si>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</si>
  <si>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</si>
  <si>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</si>
  <si>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</si>
  <si>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</si>
  <si>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</si>
  <si>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</si>
  <si>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</si>
  <si>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</si>
  <si>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</si>
  <si>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</si>
  <si>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</si>
  <si>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</si>
  <si>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</si>
  <si>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</si>
  <si>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</si>
  <si>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</si>
  <si>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</si>
  <si>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</si>
  <si>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</si>
  <si>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</si>
  <si>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</si>
  <si>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</si>
  <si>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</si>
  <si>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</si>
  <si>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</si>
  <si>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</si>
  <si>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</si>
  <si>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</si>
  <si>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</si>
  <si>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</si>
  <si>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</si>
  <si>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</si>
  <si>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</si>
  <si>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</si>
  <si>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</si>
  <si>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</si>
  <si>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</si>
  <si>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</si>
  <si>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</si>
  <si>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</si>
  <si>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</si>
  <si>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</si>
  <si>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</si>
  <si>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</si>
  <si>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</si>
  <si>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</si>
  <si>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</si>
  <si>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</si>
  <si>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</si>
  <si>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</si>
  <si>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</si>
  <si>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</si>
  <si>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</si>
  <si>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</si>
  <si>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</si>
  <si>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</si>
  <si>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</si>
  <si>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</si>
  <si>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</si>
  <si>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</si>
  <si>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</si>
  <si>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</si>
  <si>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</si>
  <si>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</si>
  <si>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</si>
  <si>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</si>
  <si>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</si>
  <si>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</si>
  <si>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</si>
  <si>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</si>
  <si>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</si>
  <si>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</si>
  <si>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</si>
  <si>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</si>
  <si>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</si>
  <si>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</si>
  <si>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</si>
  <si>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</si>
  <si>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</si>
  <si>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</si>
  <si>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</si>
  <si>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</si>
  <si>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</si>
  <si>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</si>
  <si>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</si>
  <si>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</si>
  <si>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</si>
  <si>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</si>
  <si>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</si>
  <si>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</si>
  <si>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</si>
  <si>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</si>
  <si>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</si>
  <si>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</si>
  <si>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</si>
  <si>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</si>
  <si>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</si>
  <si>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</si>
  <si>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</si>
  <si>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</si>
  <si>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</si>
  <si>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</si>
  <si>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</si>
  <si>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</si>
  <si>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</si>
  <si>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</si>
  <si>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</si>
  <si>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</si>
  <si>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</si>
  <si>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</si>
  <si>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</si>
  <si>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</si>
  <si>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</si>
  <si>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</si>
  <si>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</si>
  <si>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</si>
  <si>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</si>
  <si>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</si>
  <si>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</si>
  <si>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</si>
  <si>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</si>
  <si>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</si>
  <si>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</si>
  <si>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</si>
  <si>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</si>
  <si>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</si>
  <si>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</si>
  <si>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</si>
  <si>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</si>
  <si>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</si>
  <si>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</si>
  <si>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</si>
  <si>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</si>
  <si>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</si>
  <si>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</si>
  <si>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</si>
  <si>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</si>
  <si>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</si>
  <si>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</si>
  <si>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</si>
  <si>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</si>
  <si>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</si>
  <si>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</si>
  <si>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</si>
  <si>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</si>
  <si>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</si>
  <si>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</si>
  <si>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</si>
  <si>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</si>
  <si>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</si>
  <si>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</si>
  <si>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</si>
  <si>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</si>
  <si>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</si>
  <si>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</si>
  <si>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</si>
  <si>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</si>
  <si>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</si>
  <si>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</si>
  <si>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</si>
  <si>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</si>
  <si>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</si>
  <si>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</si>
  <si>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</si>
  <si>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</si>
  <si>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</si>
  <si>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</si>
  <si>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</si>
  <si>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</si>
  <si>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</si>
  <si>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</si>
  <si>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</si>
  <si>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</si>
  <si>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</si>
  <si>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</si>
  <si>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</si>
  <si>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</si>
  <si>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</si>
  <si>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</si>
  <si>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</si>
  <si>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</si>
  <si>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</si>
  <si>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</si>
  <si>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</si>
  <si>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</si>
  <si>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</si>
  <si>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</si>
  <si>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</si>
  <si>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</si>
  <si>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</si>
  <si>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</si>
  <si>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</si>
  <si>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</si>
  <si>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</si>
  <si>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</si>
  <si>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</si>
  <si>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</si>
  <si>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</si>
  <si>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</si>
  <si>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</si>
  <si>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</si>
  <si>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</si>
  <si>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</si>
  <si>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</si>
  <si>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</si>
  <si>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</si>
  <si>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</si>
  <si>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</si>
  <si>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</si>
  <si>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</si>
  <si>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</si>
  <si>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</si>
  <si>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</si>
  <si>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</si>
  <si>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</si>
  <si>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</si>
  <si>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</si>
  <si>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</si>
  <si>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</si>
  <si>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</si>
  <si>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</si>
  <si>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</si>
  <si>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</si>
  <si>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</si>
  <si>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</si>
  <si>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</si>
  <si>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</si>
  <si>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</si>
  <si>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</si>
  <si>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</si>
  <si>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</si>
  <si>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</si>
  <si>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</si>
  <si>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</si>
  <si>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</si>
  <si>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</si>
  <si>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</si>
  <si>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</si>
  <si>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</si>
  <si>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</si>
  <si>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</si>
  <si>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</si>
  <si>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</si>
  <si>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</si>
  <si>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</si>
  <si>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</si>
  <si>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</si>
  <si>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</si>
  <si>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</si>
  <si>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</si>
  <si>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</si>
  <si>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</si>
  <si>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</si>
  <si>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</si>
  <si>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</si>
  <si>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</si>
  <si>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</si>
  <si>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</si>
  <si>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</si>
  <si>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</si>
  <si>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</si>
  <si>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</si>
  <si>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</si>
  <si>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</si>
  <si>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</si>
  <si>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</si>
  <si>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</si>
  <si>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</si>
  <si>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</si>
  <si>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</si>
  <si>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</si>
  <si>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</si>
  <si>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</si>
  <si>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</si>
  <si>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</si>
  <si>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</si>
  <si>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</si>
  <si>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</si>
  <si>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</si>
  <si>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</si>
  <si>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</si>
  <si>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</si>
  <si>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</si>
  <si>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</si>
  <si>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</si>
  <si>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</si>
  <si>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</si>
  <si>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</si>
  <si>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</si>
  <si>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</si>
  <si>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</si>
  <si>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</si>
  <si>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</si>
  <si>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</si>
  <si>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</si>
  <si>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</si>
  <si>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</si>
  <si>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</si>
  <si>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</si>
  <si>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</si>
  <si>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</si>
  <si>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</si>
  <si>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</si>
  <si>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</si>
  <si>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</si>
  <si>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</si>
  <si>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</si>
  <si>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</si>
  <si>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</si>
  <si>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</si>
  <si>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</si>
  <si>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</si>
  <si>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</si>
  <si>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</si>
  <si>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</si>
  <si>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</si>
  <si>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</si>
  <si>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</si>
  <si>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</si>
  <si>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</si>
  <si>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</si>
  <si>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</si>
  <si>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</si>
  <si>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</si>
  <si>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</si>
  <si>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</si>
  <si>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</si>
  <si>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</si>
  <si>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</si>
  <si>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</si>
  <si>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</si>
  <si>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</si>
  <si>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</si>
  <si>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</si>
  <si>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</si>
  <si>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</si>
  <si>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</si>
  <si>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</si>
  <si>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</si>
  <si>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</si>
  <si>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</si>
  <si>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</si>
  <si>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</si>
  <si>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</si>
  <si>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</si>
  <si>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</si>
  <si>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</si>
  <si>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</si>
  <si>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</si>
  <si>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</si>
  <si>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</si>
  <si>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</si>
  <si>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</si>
  <si>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</si>
  <si>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</si>
  <si>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</si>
  <si>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</si>
  <si>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</si>
  <si>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</si>
  <si>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</si>
  <si>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</si>
  <si>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</si>
  <si>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</si>
  <si>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</si>
  <si>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</si>
  <si>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</si>
  <si>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</si>
  <si>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</si>
  <si>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</si>
  <si>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</si>
  <si>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</si>
  <si>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</si>
  <si>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</si>
  <si>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</si>
  <si>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</si>
  <si>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</si>
  <si>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</si>
  <si>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</si>
  <si>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</si>
  <si>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</si>
  <si>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</si>
  <si>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</si>
  <si>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</si>
  <si>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</si>
  <si>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</si>
  <si>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</si>
  <si>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</si>
  <si>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</si>
  <si>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</si>
  <si>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</si>
  <si>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</si>
  <si>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</si>
  <si>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</si>
  <si>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</si>
  <si>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</si>
  <si>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</si>
  <si>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</si>
  <si>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</si>
  <si>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</si>
  <si>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</si>
  <si>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</si>
  <si>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</si>
  <si>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</si>
  <si>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</si>
  <si>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</si>
  <si>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</si>
  <si>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</si>
  <si>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</si>
  <si>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</si>
  <si>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</si>
  <si>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</si>
  <si>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</si>
  <si>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</si>
  <si>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</si>
  <si>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</si>
  <si>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</si>
  <si>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</si>
  <si>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</si>
  <si>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</si>
  <si>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</si>
  <si>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</si>
  <si>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</si>
  <si>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</si>
  <si>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</si>
  <si>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</si>
  <si>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</si>
  <si>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</si>
  <si>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</si>
  <si>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</si>
  <si>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</si>
  <si>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</si>
  <si>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</si>
  <si>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</si>
  <si>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</si>
  <si>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</si>
  <si>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</si>
  <si>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</si>
  <si>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</si>
  <si>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</si>
  <si>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</si>
  <si>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</si>
  <si>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</si>
  <si>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</si>
  <si>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</si>
  <si>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</si>
  <si>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</si>
  <si>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</si>
  <si>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</si>
  <si>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</si>
  <si>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</si>
  <si>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</si>
  <si>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</si>
  <si>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</si>
  <si>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</si>
  <si>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</si>
  <si>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</si>
  <si>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</si>
  <si>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</si>
  <si>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</si>
  <si>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</si>
  <si>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</si>
  <si>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</si>
  <si>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</si>
  <si>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</si>
  <si>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</si>
  <si>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</si>
  <si>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</si>
  <si>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</si>
  <si>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</si>
  <si>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</si>
  <si>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</si>
  <si>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</si>
  <si>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</si>
  <si>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</si>
  <si>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</si>
  <si>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</si>
  <si>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</si>
  <si>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</si>
  <si>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</si>
  <si>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</si>
  <si>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</si>
  <si>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</si>
  <si>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</si>
  <si>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</si>
  <si>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</si>
  <si>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</si>
  <si>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</si>
  <si>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</si>
  <si>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</si>
  <si>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</si>
  <si>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</si>
  <si>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</si>
  <si>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</si>
  <si>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</si>
  <si>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</si>
  <si>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</si>
  <si>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</si>
  <si>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</si>
  <si>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</si>
  <si>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</si>
  <si>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</si>
  <si>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</si>
  <si>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</si>
  <si>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</si>
  <si>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</si>
  <si>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</si>
  <si>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</si>
  <si>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</si>
  <si>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</si>
  <si>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</si>
  <si>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</si>
  <si>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</si>
  <si>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</si>
  <si>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</si>
  <si>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</si>
  <si>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</si>
  <si>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</si>
  <si>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</si>
  <si>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</si>
  <si>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</si>
  <si>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</si>
  <si>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</si>
  <si>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</si>
  <si>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</si>
  <si>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</si>
  <si>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</si>
  <si>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</si>
  <si>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</si>
  <si>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</si>
  <si>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</si>
  <si>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</si>
  <si>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</si>
  <si>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</si>
  <si>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</si>
  <si>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</si>
  <si>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</si>
  <si>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</si>
  <si>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</si>
  <si>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</si>
  <si>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</si>
  <si>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</si>
  <si>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</si>
  <si>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</si>
  <si>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</si>
  <si>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</si>
  <si>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</si>
  <si>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</si>
  <si>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</si>
  <si>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</si>
  <si>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</si>
  <si>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</si>
  <si>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</si>
  <si>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</si>
  <si>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</si>
  <si>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</si>
  <si>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</si>
  <si>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</si>
  <si>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</si>
  <si>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</si>
  <si>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</si>
  <si>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</si>
  <si>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</si>
  <si>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</si>
  <si>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</si>
  <si>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</si>
  <si>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</si>
  <si>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</si>
  <si>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</si>
  <si>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</si>
  <si>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</si>
  <si>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</si>
  <si>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</si>
  <si>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</si>
  <si>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</si>
  <si>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</si>
  <si>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</si>
  <si>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</si>
  <si>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</si>
  <si>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</si>
  <si>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</si>
  <si>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</si>
  <si>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</si>
  <si>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</si>
  <si>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</si>
  <si>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</si>
  <si>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</si>
  <si>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</si>
  <si>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</si>
  <si>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</si>
  <si>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</si>
  <si>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</si>
  <si>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</si>
  <si>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</si>
  <si>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</si>
  <si>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</si>
  <si>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</si>
  <si>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</si>
  <si>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</si>
  <si>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</si>
  <si>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</si>
  <si>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</si>
  <si>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</si>
  <si>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</si>
  <si>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</si>
  <si>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</si>
  <si>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</si>
  <si>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</si>
  <si>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</si>
  <si>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</si>
  <si>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</si>
  <si>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</si>
  <si>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</si>
  <si>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</si>
  <si>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</si>
  <si>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</si>
  <si>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</si>
  <si>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</si>
  <si>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</si>
  <si>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</si>
  <si>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</si>
  <si>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</si>
  <si>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</si>
  <si>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</si>
  <si>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</si>
  <si>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</si>
  <si>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</si>
  <si>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</si>
  <si>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</si>
  <si>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</si>
  <si>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</si>
  <si>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</si>
  <si>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</si>
  <si>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</si>
  <si>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</si>
  <si>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</si>
  <si>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</si>
  <si>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</si>
  <si>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</si>
  <si>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</si>
  <si>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</si>
  <si>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</si>
  <si>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</si>
  <si>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</si>
  <si>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</si>
  <si>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</si>
  <si>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</si>
  <si>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</si>
  <si>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</si>
  <si>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</si>
  <si>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</si>
  <si>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</si>
  <si>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</si>
  <si>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</si>
  <si>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</si>
  <si>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</si>
  <si>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</si>
  <si>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</si>
  <si>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</si>
  <si>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</si>
  <si>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</si>
  <si>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</si>
  <si>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</si>
  <si>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</si>
  <si>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</si>
  <si>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</si>
  <si>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</si>
  <si>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</si>
  <si>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</si>
  <si>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</si>
  <si>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</si>
  <si>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</si>
  <si>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</si>
  <si>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</si>
  <si>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</si>
  <si>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</si>
  <si>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</si>
  <si>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</si>
  <si>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</si>
  <si>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</si>
  <si>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</si>
  <si>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</si>
  <si>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</si>
  <si>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</si>
  <si>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</si>
  <si>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</si>
  <si>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</si>
  <si>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</si>
  <si>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</si>
  <si>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</si>
  <si>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</si>
  <si>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</si>
  <si>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</si>
  <si>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</si>
  <si>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</si>
  <si>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</si>
  <si>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</si>
  <si>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</si>
  <si>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</si>
  <si>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</si>
  <si>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</si>
  <si>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</si>
  <si>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</si>
  <si>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</si>
  <si>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</si>
  <si>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</si>
  <si>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</si>
  <si>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</si>
  <si>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</si>
  <si>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</si>
  <si>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</si>
  <si>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</si>
  <si>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</si>
  <si>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</si>
  <si>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</si>
  <si>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</si>
  <si>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</si>
  <si>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</si>
  <si>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</si>
  <si>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</si>
  <si>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</si>
  <si>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</si>
  <si>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</si>
  <si>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</si>
  <si>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</si>
  <si>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</si>
  <si>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</si>
  <si>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</si>
  <si>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</si>
  <si>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</si>
  <si>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</si>
  <si>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</si>
  <si>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</si>
  <si>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</si>
  <si>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</si>
  <si>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</si>
  <si>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</si>
  <si>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</si>
  <si>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</si>
  <si>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</si>
  <si>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</si>
  <si>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</si>
  <si>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</si>
  <si>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</si>
  <si>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</si>
  <si>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</si>
  <si>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</si>
  <si>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</si>
  <si>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</si>
  <si>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</si>
  <si>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</si>
  <si>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</si>
  <si>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</si>
  <si>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</si>
  <si>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</si>
  <si>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</si>
  <si>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</si>
  <si>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</si>
  <si>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</si>
  <si>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</si>
  <si>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</si>
  <si>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</si>
  <si>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</si>
  <si>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</si>
  <si>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</si>
  <si>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</si>
  <si>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</si>
  <si>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</si>
  <si>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</si>
  <si>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</si>
  <si>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</si>
  <si>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</si>
  <si>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</si>
  <si>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</si>
  <si>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</si>
  <si>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</si>
  <si>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</si>
  <si>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</si>
  <si>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</si>
  <si>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</si>
  <si>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</si>
  <si>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</si>
  <si>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</si>
  <si>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</si>
  <si>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</si>
  <si>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</si>
  <si>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</si>
  <si>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</si>
  <si>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</si>
  <si>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</si>
  <si>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</si>
  <si>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</si>
  <si>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</si>
  <si>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</si>
  <si>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</si>
  <si>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</si>
  <si>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</si>
  <si>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</si>
  <si>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</si>
  <si>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</si>
  <si>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</si>
  <si>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</si>
  <si>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</si>
  <si>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</si>
  <si>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</si>
  <si>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</si>
  <si>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</si>
  <si>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</si>
  <si>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</si>
  <si>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</si>
  <si>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</si>
  <si>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</si>
  <si>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</si>
  <si>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</si>
  <si>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</si>
  <si>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</si>
  <si>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</si>
  <si>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</si>
  <si>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</si>
  <si>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</si>
  <si>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</si>
  <si>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</si>
  <si>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</si>
  <si>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</si>
  <si>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</si>
  <si>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</si>
  <si>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</si>
  <si>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</si>
  <si>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</si>
  <si>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</si>
  <si>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</si>
  <si>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</si>
  <si>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</si>
  <si>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</si>
  <si>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</si>
  <si>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</si>
  <si>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</si>
  <si>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</si>
  <si>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</si>
  <si>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</si>
  <si>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</si>
  <si>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</si>
  <si>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</si>
  <si>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</si>
  <si>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</si>
  <si>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</si>
  <si>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</si>
  <si>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</si>
  <si>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</si>
  <si>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</si>
  <si>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</si>
  <si>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</si>
  <si>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</si>
  <si>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</si>
  <si>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</si>
  <si>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</si>
  <si>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</si>
  <si>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</si>
  <si>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</si>
  <si>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</si>
  <si>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</si>
  <si>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</si>
  <si>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</si>
  <si>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</si>
  <si>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</si>
  <si>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</si>
  <si>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</si>
  <si>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</si>
  <si>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</si>
  <si>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</si>
  <si>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</si>
  <si>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</si>
  <si>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</si>
  <si>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</si>
  <si>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</si>
  <si>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</si>
  <si>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</si>
  <si>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</si>
  <si>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</si>
  <si>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</si>
  <si>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</si>
  <si>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</si>
  <si>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</si>
  <si>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</si>
  <si>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</si>
  <si>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</si>
  <si>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</si>
  <si>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</si>
  <si>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</si>
  <si>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</si>
  <si>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</si>
  <si>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</si>
  <si>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</si>
  <si>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</si>
  <si>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</si>
  <si>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</si>
  <si>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</si>
  <si>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</si>
  <si>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</si>
  <si>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</si>
  <si>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</si>
  <si>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</si>
  <si>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</si>
  <si>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</si>
  <si>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</si>
  <si>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</si>
  <si>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</si>
  <si>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</si>
  <si>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</si>
  <si>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</si>
  <si>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</si>
  <si>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</si>
  <si>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</si>
  <si>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</si>
  <si>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</si>
  <si>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</si>
  <si>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</si>
  <si>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</si>
  <si>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</si>
  <si>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</si>
  <si>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</si>
  <si>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</si>
  <si>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</si>
  <si>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</si>
  <si>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</si>
  <si>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</si>
  <si>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</si>
  <si>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</si>
  <si>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</si>
  <si>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</si>
  <si>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</si>
  <si>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</si>
  <si>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</si>
  <si>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</si>
  <si>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</si>
  <si>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</si>
  <si>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</si>
  <si>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</si>
  <si>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</si>
  <si>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</si>
  <si>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</si>
  <si>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</si>
  <si>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</si>
  <si>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</si>
  <si>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</si>
  <si>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</si>
  <si>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</si>
  <si>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</si>
  <si>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</si>
  <si>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</si>
  <si>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</si>
  <si>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</si>
  <si>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</si>
  <si>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</si>
  <si>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</si>
  <si>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</si>
  <si>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</si>
  <si>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</si>
  <si>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</si>
  <si>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</si>
  <si>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</si>
  <si>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</si>
  <si>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</si>
  <si>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</si>
  <si>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</si>
  <si>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</si>
  <si>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</si>
  <si>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</si>
  <si>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</si>
  <si>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</si>
  <si>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</si>
  <si>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</si>
  <si>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</si>
  <si>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</si>
  <si>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</si>
  <si>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</si>
  <si>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</si>
  <si>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</si>
  <si>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</si>
  <si>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</si>
  <si>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</si>
  <si>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</si>
  <si>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</si>
  <si>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</si>
  <si>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</si>
  <si>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</si>
  <si>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</si>
  <si>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</si>
  <si>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</si>
  <si>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</si>
  <si>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</si>
  <si>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</si>
  <si>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</si>
  <si>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</si>
  <si>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</si>
  <si>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</si>
  <si>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</si>
  <si>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</si>
  <si>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</si>
  <si>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</si>
  <si>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</si>
  <si>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</si>
  <si>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</si>
  <si>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</si>
  <si>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</si>
  <si>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</si>
  <si>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</si>
  <si>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</si>
  <si>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</si>
  <si>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</si>
  <si>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</si>
  <si>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</si>
  <si>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</si>
  <si>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</si>
  <si>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</si>
  <si>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</si>
  <si>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</si>
  <si>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</si>
  <si>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</si>
  <si>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</si>
  <si>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</si>
  <si>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</si>
  <si>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</si>
  <si>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</si>
  <si>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</si>
  <si>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</si>
  <si>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</si>
  <si>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</si>
  <si>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</si>
  <si>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</si>
  <si>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</si>
  <si>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</si>
  <si>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</si>
  <si>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</si>
  <si>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</si>
  <si>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</si>
  <si>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</si>
  <si>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</si>
  <si>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</si>
  <si>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</si>
  <si>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</si>
  <si>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</si>
  <si>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</si>
  <si>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</si>
  <si>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</si>
  <si>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</si>
  <si>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</si>
  <si>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</si>
  <si>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</si>
  <si>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</si>
  <si>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</si>
  <si>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</si>
  <si>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</si>
  <si>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</si>
  <si>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</si>
  <si>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</si>
  <si>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</si>
  <si>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</si>
  <si>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</si>
  <si>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</si>
  <si>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</si>
  <si>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</si>
  <si>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</si>
  <si>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</si>
  <si>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</si>
  <si>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</si>
  <si>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</si>
  <si>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</si>
  <si>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</si>
  <si>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</si>
  <si>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</si>
  <si>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</si>
  <si>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</si>
  <si>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</si>
  <si>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</si>
  <si>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</si>
  <si>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</si>
  <si>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</si>
  <si>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</si>
  <si>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</si>
  <si>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</si>
  <si>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</si>
  <si>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</si>
  <si>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</si>
  <si>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</si>
  <si>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</si>
  <si>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</si>
  <si>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</si>
  <si>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</si>
  <si>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</si>
  <si>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</si>
  <si>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</si>
  <si>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</si>
  <si>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</si>
  <si>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</si>
  <si>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</si>
  <si>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</si>
  <si>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</si>
  <si>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</si>
  <si>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</si>
  <si>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</si>
  <si>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</si>
  <si>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“Alerjik Rinit ve Birlikte Seyreden Solunum Yolu İnflamasyonunda Endokannabinoid Sistemin Bir Tedavi Hedefi Olarak Değerlendirilmesi”</t>
  </si>
  <si>
    <t>Farmakoloji Anabilim Dalı</t>
  </si>
  <si>
    <t>Üniversitemiz Eczacılık Fakültesi Farmakoloji Anabilim Dalı öğretim üyelerinden Prof. Dr. Turgut Emrah BOZKURT'un sorumlu araştırmacı olduğu,</t>
  </si>
  <si>
    <t>Arş. Gör. Dr. İsmail Çağrı ÖZÜTOK</t>
  </si>
  <si>
    <t>Üniversitemiz Tıp Fakültesi İç Hastalıkları Anabilim Dalı öğretim üyelerinden Prof. Dr. Hakan GÖKER’in sorumlu araştırmacı olduğu, Arş. Gör. Dr. Alkım YOLCU ile birlikte çalışacakları,</t>
  </si>
  <si>
    <t>“Haploidentik Hematopoietik Kök Hücre Nakli Alıcılarında Sitomegalovirüs Reaktivasyonunun Belirleyicileri, Kinetiği ve Klinik Sonuçlarının Retrospektif Değerlendirilmesi”</t>
  </si>
  <si>
    <t>Üniversitemiz Tıp Fakültesi İç Hastalıkları Anabilim Dalı öğretim üyelerinden Doç. Dr. Cafer BALCI’nın sorumlu araştırmacı olduğu, Arş. Gör. Dr. İbrahim KURAN ile birlikte çalışacakları,</t>
  </si>
  <si>
    <t>“Diyabetik Yaşlı Bireylerde Baldır Çevresi Ölçümleriyle Sarkopeni Arasındaki İlişkinin Değerlendirilmesi: Retrospektif Gözlemsel Çalışma”</t>
  </si>
  <si>
    <t>“Dinamik Velofaringeal Rekonstrüksiyonda Yeni Bir Teknik: Bipediküllü Konstriktör Faringeus Superior Kas-Mukoza Flebi, Kadavra Çalışması”</t>
  </si>
  <si>
    <t>Üniversitemiz Tıp Fakültesi Plastik, Rekonstrüktif ve Estetik Cerrahi Anabilim Dalı öğretim üyelerinden Doç. Dr. Murat KARA’nın sorumlu araştırmacı olduğu, Prof. Dr. Mehmet Deniz DEMİRYÜREK ile birlikte çalışacakları ve Arş. Gör. Dr. Berkay SERT'in uzmanlık tezi olan,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</si>
</sst>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92"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b/>
      <sz val="11"/>
      <color rgb="FF1A1814"/>
      <name val="Calibri"/>
      <family val="2"/>
      <charset val="162"/>
    </font>
    <font>
      <i/>
      <sz val="9"/>
      <color rgb="FF1B3A4B"/>
      <name val="Calibri"/>
      <charset val="1"/>
    </font>
    <font>
      <sz val="9"/>
      <color rgb="FF1B3A4B"/>
      <name val="Calibri"/>
      <charset val="1"/>
    </font>
    <font>
      <sz val="10"/>
      <color rgb="FF1A1814"/>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i/>
      <sz val="8"/>
      <color rgb="FF9C9C9C"/>
      <name val="Calibri"/>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8"/>
      <color rgb="FFFFFFFF"/>
      <name val="Calibri"/>
      <charset val="1"/>
    </font>
    <font>
      <b/>
      <sz val="10"/>
      <color rgb="FF1B5E20"/>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b/>
      <sz val="11"/>
      <color rgb="FF1A1814"/>
      <name val="Calibri"/>
      <charset val="1"/>
    </font>
    <font>
      <i/>
      <sz val="8"/>
      <color rgb="FF757575"/>
      <name val="Cambria"/>
      <charset val="1"/>
    </font>
    <font>
      <i/>
      <sz val="9"/>
      <color rgb="FF757575"/>
      <name val="Calibri"/>
      <charset val="1"/>
    </font>
    <font>
      <sz val="10"/>
      <name val="Arial"/>
      <family val="2"/>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1B5E71"/>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D"/>
        <bgColor rgb="FFFFF3E0"/>
      </patternFill>
    </fill>
    <fill>
      <patternFill patternType="solid">
        <fgColor theme="4" tint="-0.499984740745262"/>
        <bgColor rgb="FF1B5E71"/>
      </patternFill>
    </fill>
    <fill>
      <patternFill patternType="mediumGray">
        <fgColor rgb="FF7C5B0E"/>
        <bgColor rgb="FF795548"/>
      </patternFill>
    </fill>
    <fill>
      <patternFill patternType="solid">
        <fgColor rgb="FFC00000"/>
        <bgColor rgb="FFC62828"/>
      </patternFill>
    </fill>
    <fill>
      <patternFill patternType="solid">
        <fgColor rgb="FF002060"/>
        <bgColor rgb="FF1A384A"/>
      </patternFill>
    </fill>
    <fill>
      <patternFill patternType="solid">
        <fgColor rgb="FF00B050"/>
        <bgColor rgb="FF2E75B6"/>
      </patternFill>
    </fill>
    <fill>
      <patternFill patternType="solid">
        <fgColor theme="5" tint="0.39939573351237523"/>
        <bgColor rgb="FFFFD966"/>
      </patternFill>
    </fill>
    <fill>
      <patternFill patternType="solid">
        <fgColor rgb="FF006EC0"/>
        <bgColor rgb="FF2E75B6"/>
      </patternFill>
    </fill>
    <fill>
      <patternFill patternType="solid">
        <fgColor rgb="FF7030A0"/>
        <bgColor rgb="FF5B2CA0"/>
      </patternFill>
    </fill>
    <fill>
      <patternFill patternType="solid">
        <fgColor rgb="FFFF0000"/>
        <bgColor rgb="FFC00000"/>
      </patternFill>
    </fill>
    <fill>
      <patternFill patternType="solid">
        <fgColor theme="1"/>
        <bgColor rgb="FF250818"/>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71"/>
        <bgColor rgb="FF1F4E79"/>
      </patternFill>
    </fill>
    <fill>
      <patternFill patternType="solid">
        <fgColor rgb="FFC85314"/>
        <bgColor rgb="FFE65100"/>
      </patternFill>
    </fill>
    <fill>
      <patternFill patternType="solid">
        <fgColor rgb="FF5B2C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rgb="FFF2F4F4"/>
        <bgColor rgb="FFF5F5F5"/>
      </patternFill>
    </fill>
    <fill>
      <patternFill patternType="solid">
        <fgColor rgb="FF1B3A4B"/>
        <bgColor rgb="FF1D3A49"/>
      </patternFill>
    </fill>
    <fill>
      <patternFill patternType="solid">
        <fgColor theme="8" tint="-0.249977111117893"/>
        <bgColor rgb="FF1F4E79"/>
      </patternFill>
    </fill>
  </fills>
  <borders count="29">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auto="1"/>
      </bottom>
      <diagonal/>
    </border>
    <border>
      <left style="thin">
        <color rgb="FF002060"/>
      </left>
      <right style="thin">
        <color rgb="FF002060"/>
      </right>
      <top/>
      <bottom style="thin">
        <color rgb="FF002060"/>
      </bottom>
      <diagonal/>
    </border>
    <border>
      <left style="thin">
        <color auto="1"/>
      </left>
      <right style="thin">
        <color rgb="FFCFCBC0"/>
      </right>
      <top style="thin">
        <color rgb="FFCFCBC0"/>
      </top>
      <bottom style="thin">
        <color rgb="FFCFCBC0"/>
      </bottom>
      <diagonal/>
    </border>
    <border>
      <left/>
      <right/>
      <top style="thin">
        <color rgb="FF002060"/>
      </top>
      <bottom/>
      <diagonal/>
    </border>
    <border>
      <left/>
      <right/>
      <top style="thin">
        <color auto="1"/>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D9D9D9"/>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91" fillId="0" borderId="0">
      <alignment horizontal="left"/>
    </xf>
    <xf numFmtId="0" fontId="91" fillId="0" borderId="0"/>
    <xf numFmtId="0" fontId="91" fillId="0" borderId="0"/>
    <xf numFmtId="0" fontId="2" fillId="0" borderId="0"/>
    <xf numFmtId="0" fontId="2" fillId="0" borderId="0">
      <alignment horizontal="left"/>
    </xf>
    <xf numFmtId="0" fontId="91" fillId="0" borderId="0"/>
  </cellStyleXfs>
  <cellXfs count="261">
    <xf numFmtId="0" fontId="0" fillId="0" borderId="0" xfId="0"/>
    <xf numFmtId="0" fontId="36" fillId="29" borderId="7"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2" fillId="4"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justify" vertical="center"/>
    </xf>
    <xf numFmtId="0" fontId="16" fillId="0" borderId="0" xfId="0" applyFont="1" applyAlignment="1">
      <alignment horizontal="left" vertical="center"/>
    </xf>
    <xf numFmtId="0" fontId="16" fillId="0" borderId="0" xfId="0" applyFont="1" applyAlignment="1">
      <alignment horizontal="center" vertical="center"/>
    </xf>
    <xf numFmtId="165" fontId="16" fillId="0" borderId="0" xfId="0" applyNumberFormat="1" applyFont="1" applyAlignment="1">
      <alignment horizontal="left" vertical="center"/>
    </xf>
    <xf numFmtId="0" fontId="16" fillId="0" borderId="0" xfId="0" applyFont="1" applyAlignment="1">
      <alignment horizontal="justify" vertical="center"/>
    </xf>
    <xf numFmtId="0" fontId="17" fillId="0" borderId="0" xfId="0" applyFont="1" applyAlignment="1">
      <alignment horizontal="left" vertical="center"/>
    </xf>
    <xf numFmtId="0" fontId="18" fillId="0" borderId="0" xfId="0" applyFont="1" applyAlignment="1">
      <alignment horizontal="center" vertical="center"/>
    </xf>
    <xf numFmtId="0" fontId="19" fillId="12" borderId="2" xfId="0" applyFont="1" applyFill="1" applyBorder="1" applyAlignment="1">
      <alignment horizontal="center" vertical="center"/>
    </xf>
    <xf numFmtId="0" fontId="19" fillId="12" borderId="2" xfId="0" applyFont="1" applyFill="1" applyBorder="1" applyAlignment="1">
      <alignment horizontal="center" vertical="center" wrapText="1"/>
    </xf>
    <xf numFmtId="165" fontId="19" fillId="12" borderId="2" xfId="0" applyNumberFormat="1" applyFont="1" applyFill="1" applyBorder="1" applyAlignment="1">
      <alignment horizontal="center" vertical="center" wrapText="1"/>
    </xf>
    <xf numFmtId="0" fontId="19" fillId="12" borderId="3" xfId="0" applyFont="1" applyFill="1" applyBorder="1" applyAlignment="1">
      <alignment vertical="center"/>
    </xf>
    <xf numFmtId="0" fontId="19" fillId="12" borderId="2" xfId="0" applyFont="1" applyFill="1" applyBorder="1" applyAlignment="1">
      <alignment vertical="center"/>
    </xf>
    <xf numFmtId="0" fontId="19" fillId="12" borderId="4" xfId="0" applyFont="1" applyFill="1" applyBorder="1" applyAlignment="1">
      <alignment vertical="center"/>
    </xf>
    <xf numFmtId="0" fontId="20" fillId="13" borderId="0" xfId="0" applyFont="1" applyFill="1" applyAlignment="1">
      <alignment horizontal="center" vertical="center" wrapText="1"/>
    </xf>
    <xf numFmtId="0" fontId="20" fillId="14" borderId="5" xfId="0" applyFont="1" applyFill="1" applyBorder="1" applyAlignment="1">
      <alignment horizontal="center" vertical="center"/>
    </xf>
    <xf numFmtId="0" fontId="21" fillId="0" borderId="0" xfId="0" applyFont="1"/>
    <xf numFmtId="0" fontId="15" fillId="0" borderId="2" xfId="0" applyFont="1" applyBorder="1" applyAlignment="1">
      <alignment horizontal="center" vertical="center"/>
    </xf>
    <xf numFmtId="0" fontId="16" fillId="0" borderId="2" xfId="0" applyFont="1" applyBorder="1" applyAlignment="1">
      <alignment horizontal="left"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6" fontId="16" fillId="0" borderId="2" xfId="0" applyNumberFormat="1" applyFont="1" applyBorder="1" applyAlignment="1">
      <alignment horizontal="center" vertical="center"/>
    </xf>
    <xf numFmtId="167" fontId="16" fillId="0" borderId="2" xfId="0" applyNumberFormat="1" applyFont="1" applyBorder="1" applyAlignment="1">
      <alignment horizontal="center" vertical="center"/>
    </xf>
    <xf numFmtId="0" fontId="17" fillId="0" borderId="4" xfId="0" applyFont="1" applyBorder="1" applyAlignment="1">
      <alignment horizontal="left" vertical="center"/>
    </xf>
    <xf numFmtId="0" fontId="17" fillId="0" borderId="2" xfId="0" applyFont="1" applyBorder="1" applyAlignment="1">
      <alignment horizontal="left" vertical="center"/>
    </xf>
    <xf numFmtId="0" fontId="0" fillId="0" borderId="0" xfId="0" applyAlignment="1">
      <alignment horizontal="center" vertical="center" wrapText="1"/>
    </xf>
    <xf numFmtId="0" fontId="22" fillId="0" borderId="5" xfId="0" applyFont="1" applyBorder="1" applyAlignment="1">
      <alignment horizontal="center" vertical="center"/>
    </xf>
    <xf numFmtId="0" fontId="17" fillId="0" borderId="6" xfId="0" applyFont="1" applyBorder="1" applyAlignment="1">
      <alignment horizontal="left" vertical="center"/>
    </xf>
    <xf numFmtId="0" fontId="17" fillId="0" borderId="3" xfId="0" applyFont="1" applyBorder="1" applyAlignment="1">
      <alignment horizontal="left" vertical="center"/>
    </xf>
    <xf numFmtId="0" fontId="16" fillId="0" borderId="2" xfId="0" applyFont="1" applyBorder="1" applyAlignment="1">
      <alignment horizontal="left" vertical="center" wrapText="1"/>
    </xf>
    <xf numFmtId="0" fontId="23" fillId="15" borderId="0" xfId="0" applyFont="1" applyFill="1" applyAlignment="1">
      <alignment horizontal="center" vertical="center" wrapText="1"/>
    </xf>
    <xf numFmtId="0" fontId="16" fillId="0" borderId="2" xfId="0" applyFont="1" applyBorder="1" applyAlignment="1">
      <alignment horizontal="justify" vertical="top" wrapText="1"/>
    </xf>
    <xf numFmtId="0" fontId="16" fillId="0" borderId="0" xfId="0" applyFont="1" applyAlignment="1">
      <alignment horizontal="justify" vertical="top"/>
    </xf>
    <xf numFmtId="0" fontId="16" fillId="0" borderId="0" xfId="0" applyFont="1" applyAlignment="1">
      <alignment horizontal="center" vertical="center" wrapText="1"/>
    </xf>
    <xf numFmtId="0" fontId="24" fillId="0" borderId="2" xfId="0" applyFont="1" applyBorder="1" applyAlignment="1">
      <alignment horizontal="center" vertical="center"/>
    </xf>
    <xf numFmtId="0" fontId="17" fillId="0" borderId="2" xfId="0" applyFont="1" applyBorder="1" applyAlignment="1">
      <alignment horizontal="justify" vertical="top"/>
    </xf>
    <xf numFmtId="0" fontId="17" fillId="0" borderId="2" xfId="0" applyFont="1" applyBorder="1" applyAlignment="1">
      <alignment horizontal="center" vertical="center"/>
    </xf>
    <xf numFmtId="167" fontId="17" fillId="0" borderId="2" xfId="0" applyNumberFormat="1" applyFont="1" applyBorder="1" applyAlignment="1">
      <alignment horizontal="center" vertical="center"/>
    </xf>
    <xf numFmtId="166" fontId="16" fillId="0" borderId="0" xfId="0" applyNumberFormat="1" applyFont="1" applyAlignment="1">
      <alignment horizontal="center" vertical="center"/>
    </xf>
    <xf numFmtId="165" fontId="16" fillId="0" borderId="0" xfId="0" applyNumberFormat="1" applyFont="1" applyAlignment="1">
      <alignment horizontal="center" vertical="center"/>
    </xf>
    <xf numFmtId="0" fontId="16" fillId="0" borderId="7" xfId="0" applyFont="1" applyBorder="1" applyAlignment="1">
      <alignment horizontal="justify" vertical="top"/>
    </xf>
    <xf numFmtId="0" fontId="25" fillId="16" borderId="8" xfId="0" applyFont="1" applyFill="1" applyBorder="1" applyAlignment="1">
      <alignment horizontal="right" vertical="center"/>
    </xf>
    <xf numFmtId="0" fontId="25" fillId="16" borderId="9" xfId="0" applyFont="1" applyFill="1" applyBorder="1" applyAlignment="1">
      <alignment horizontal="center" vertical="center"/>
    </xf>
    <xf numFmtId="0" fontId="25" fillId="16" borderId="8" xfId="0" applyFont="1" applyFill="1" applyBorder="1" applyAlignment="1">
      <alignment horizontal="center" vertical="center"/>
    </xf>
    <xf numFmtId="0" fontId="25" fillId="16" borderId="10" xfId="0" applyFont="1" applyFill="1" applyBorder="1" applyAlignment="1">
      <alignment horizontal="center" vertical="center"/>
    </xf>
    <xf numFmtId="0" fontId="25" fillId="17" borderId="8" xfId="0" applyFont="1" applyFill="1" applyBorder="1" applyAlignment="1">
      <alignment horizontal="right" vertical="center"/>
    </xf>
    <xf numFmtId="0" fontId="25" fillId="17" borderId="9" xfId="0" applyFont="1" applyFill="1" applyBorder="1" applyAlignment="1">
      <alignment horizontal="center" vertical="center"/>
    </xf>
    <xf numFmtId="0" fontId="25" fillId="17" borderId="8" xfId="0" applyFont="1" applyFill="1" applyBorder="1" applyAlignment="1">
      <alignment horizontal="center" vertical="center"/>
    </xf>
    <xf numFmtId="0" fontId="25" fillId="17" borderId="11" xfId="0" applyFont="1" applyFill="1" applyBorder="1" applyAlignment="1">
      <alignment horizontal="center" vertical="center"/>
    </xf>
    <xf numFmtId="0" fontId="25" fillId="15" borderId="8" xfId="0" applyFont="1" applyFill="1" applyBorder="1" applyAlignment="1">
      <alignment horizontal="right" vertical="center"/>
    </xf>
    <xf numFmtId="0" fontId="25" fillId="15" borderId="9" xfId="0" applyFont="1" applyFill="1" applyBorder="1" applyAlignment="1">
      <alignment horizontal="center" vertical="center"/>
    </xf>
    <xf numFmtId="0" fontId="25" fillId="15" borderId="8" xfId="0" applyFont="1" applyFill="1" applyBorder="1" applyAlignment="1">
      <alignment horizontal="center" vertical="center"/>
    </xf>
    <xf numFmtId="0" fontId="25" fillId="18" borderId="8" xfId="0" applyFont="1" applyFill="1" applyBorder="1" applyAlignment="1">
      <alignment horizontal="right" vertical="center"/>
    </xf>
    <xf numFmtId="0" fontId="25" fillId="18" borderId="9" xfId="0" applyFont="1" applyFill="1" applyBorder="1" applyAlignment="1">
      <alignment horizontal="center" vertical="center"/>
    </xf>
    <xf numFmtId="0" fontId="25" fillId="18" borderId="8" xfId="0" applyFont="1" applyFill="1" applyBorder="1" applyAlignment="1">
      <alignment horizontal="center" vertical="center"/>
    </xf>
    <xf numFmtId="0" fontId="25" fillId="19" borderId="8" xfId="0" applyFont="1" applyFill="1" applyBorder="1" applyAlignment="1">
      <alignment horizontal="right" vertical="center"/>
    </xf>
    <xf numFmtId="0" fontId="25" fillId="19" borderId="9" xfId="0" applyFont="1" applyFill="1" applyBorder="1" applyAlignment="1">
      <alignment horizontal="center" vertical="center"/>
    </xf>
    <xf numFmtId="0" fontId="25" fillId="19" borderId="8" xfId="0" applyFont="1" applyFill="1" applyBorder="1" applyAlignment="1">
      <alignment horizontal="center" vertical="center"/>
    </xf>
    <xf numFmtId="0" fontId="25" fillId="20" borderId="11" xfId="0" applyFont="1" applyFill="1" applyBorder="1" applyAlignment="1">
      <alignment horizontal="right" vertical="center"/>
    </xf>
    <xf numFmtId="0" fontId="25" fillId="20" borderId="12" xfId="0" applyFont="1" applyFill="1" applyBorder="1" applyAlignment="1">
      <alignment horizontal="center" vertical="center"/>
    </xf>
    <xf numFmtId="0" fontId="25" fillId="20" borderId="11" xfId="0" applyFont="1" applyFill="1" applyBorder="1" applyAlignment="1">
      <alignment horizontal="center" vertical="center"/>
    </xf>
    <xf numFmtId="0" fontId="25" fillId="21" borderId="8" xfId="0" applyFont="1" applyFill="1" applyBorder="1" applyAlignment="1">
      <alignment horizontal="right" vertical="center"/>
    </xf>
    <xf numFmtId="0" fontId="25" fillId="21" borderId="9" xfId="0" applyFont="1" applyFill="1" applyBorder="1" applyAlignment="1">
      <alignment horizontal="center" vertical="center"/>
    </xf>
    <xf numFmtId="0" fontId="25" fillId="21" borderId="8" xfId="0" applyFont="1" applyFill="1" applyBorder="1" applyAlignment="1">
      <alignment horizontal="center" vertical="center"/>
    </xf>
    <xf numFmtId="0" fontId="26" fillId="15" borderId="11" xfId="0" applyFont="1" applyFill="1" applyBorder="1" applyAlignment="1">
      <alignment horizontal="right" vertical="center"/>
    </xf>
    <xf numFmtId="0" fontId="26" fillId="15" borderId="13" xfId="0" applyFont="1" applyFill="1" applyBorder="1" applyAlignment="1">
      <alignment horizontal="center" vertical="center"/>
    </xf>
    <xf numFmtId="0" fontId="26" fillId="15" borderId="11" xfId="0" applyFont="1" applyFill="1" applyBorder="1" applyAlignment="1">
      <alignment horizontal="center" vertical="center"/>
    </xf>
    <xf numFmtId="0" fontId="27" fillId="0" borderId="0" xfId="0" applyFont="1" applyAlignment="1">
      <alignment horizontal="left" vertical="center"/>
    </xf>
    <xf numFmtId="0" fontId="30" fillId="12" borderId="14" xfId="0" applyFont="1" applyFill="1" applyBorder="1" applyAlignment="1">
      <alignment horizontal="center" vertical="center" wrapText="1"/>
    </xf>
    <xf numFmtId="0" fontId="30" fillId="24" borderId="14" xfId="0" applyFont="1" applyFill="1" applyBorder="1" applyAlignment="1">
      <alignment horizontal="center" vertical="center" wrapText="1"/>
    </xf>
    <xf numFmtId="0" fontId="31" fillId="8" borderId="14" xfId="0" applyFont="1" applyFill="1" applyBorder="1" applyAlignment="1">
      <alignment horizontal="center" vertical="center" wrapText="1"/>
    </xf>
    <xf numFmtId="167" fontId="32" fillId="25" borderId="15" xfId="0" applyNumberFormat="1" applyFont="1" applyFill="1" applyBorder="1" applyAlignment="1">
      <alignment horizontal="center" vertical="center" wrapText="1"/>
    </xf>
    <xf numFmtId="0" fontId="32" fillId="8" borderId="14" xfId="0" applyFont="1" applyFill="1" applyBorder="1" applyAlignment="1">
      <alignment horizontal="center" vertical="center" wrapText="1"/>
    </xf>
    <xf numFmtId="168" fontId="31" fillId="8" borderId="14" xfId="0" applyNumberFormat="1" applyFont="1" applyFill="1" applyBorder="1" applyAlignment="1">
      <alignment horizontal="center" vertical="center" wrapText="1"/>
    </xf>
    <xf numFmtId="0" fontId="31" fillId="8" borderId="14" xfId="0" applyFont="1" applyFill="1" applyBorder="1" applyAlignment="1">
      <alignment horizontal="left" vertical="center"/>
    </xf>
    <xf numFmtId="0" fontId="31" fillId="26" borderId="14" xfId="0" applyFont="1" applyFill="1" applyBorder="1" applyAlignment="1">
      <alignment horizontal="center" vertical="center" wrapText="1"/>
    </xf>
    <xf numFmtId="0" fontId="32" fillId="26" borderId="14" xfId="0" applyFont="1" applyFill="1" applyBorder="1" applyAlignment="1">
      <alignment horizontal="center" vertical="center" wrapText="1"/>
    </xf>
    <xf numFmtId="168" fontId="31" fillId="26" borderId="14" xfId="0" applyNumberFormat="1" applyFont="1" applyFill="1" applyBorder="1" applyAlignment="1">
      <alignment horizontal="center" vertical="center" wrapText="1"/>
    </xf>
    <xf numFmtId="0" fontId="31" fillId="26" borderId="14" xfId="0" applyFont="1" applyFill="1" applyBorder="1" applyAlignment="1">
      <alignment horizontal="left" vertical="center"/>
    </xf>
    <xf numFmtId="0" fontId="31" fillId="27" borderId="14" xfId="0" applyFont="1" applyFill="1" applyBorder="1" applyAlignment="1">
      <alignment horizontal="center" vertical="center" wrapText="1"/>
    </xf>
    <xf numFmtId="0" fontId="32" fillId="27" borderId="14" xfId="0" applyFont="1" applyFill="1" applyBorder="1" applyAlignment="1">
      <alignment horizontal="center" vertical="center" wrapText="1"/>
    </xf>
    <xf numFmtId="168" fontId="31" fillId="27" borderId="14" xfId="0" applyNumberFormat="1" applyFont="1" applyFill="1" applyBorder="1" applyAlignment="1">
      <alignment horizontal="center" vertical="center" wrapText="1"/>
    </xf>
    <xf numFmtId="0" fontId="31" fillId="27" borderId="14" xfId="0" applyFont="1" applyFill="1" applyBorder="1" applyAlignment="1">
      <alignment horizontal="left" vertical="center"/>
    </xf>
    <xf numFmtId="0" fontId="32" fillId="28" borderId="14" xfId="0" applyFont="1" applyFill="1" applyBorder="1" applyAlignment="1">
      <alignment horizontal="center" vertical="center" wrapText="1"/>
    </xf>
    <xf numFmtId="168" fontId="32" fillId="28" borderId="14" xfId="0" applyNumberFormat="1" applyFont="1" applyFill="1" applyBorder="1" applyAlignment="1">
      <alignment horizontal="center" vertical="center" wrapText="1"/>
    </xf>
    <xf numFmtId="0" fontId="35" fillId="0" borderId="0" xfId="0" applyFont="1" applyAlignment="1">
      <alignment horizontal="center" vertical="center"/>
    </xf>
    <xf numFmtId="0" fontId="35" fillId="0" borderId="0" xfId="0" applyFont="1"/>
    <xf numFmtId="0" fontId="38" fillId="0" borderId="0" xfId="0" applyFont="1" applyAlignment="1">
      <alignment horizontal="center" vertical="center"/>
    </xf>
    <xf numFmtId="0" fontId="36" fillId="29" borderId="0" xfId="0" applyFont="1" applyFill="1" applyAlignment="1">
      <alignment horizontal="center" vertical="center" textRotation="90"/>
    </xf>
    <xf numFmtId="0" fontId="36" fillId="15" borderId="0" xfId="0" applyFont="1" applyFill="1" applyAlignment="1">
      <alignment horizontal="center" vertical="center" textRotation="90"/>
    </xf>
    <xf numFmtId="0" fontId="39" fillId="0" borderId="7" xfId="0" applyFont="1" applyBorder="1" applyAlignment="1">
      <alignment horizontal="center" vertical="center"/>
    </xf>
    <xf numFmtId="0" fontId="40" fillId="0" borderId="7" xfId="0" applyFont="1" applyBorder="1" applyAlignment="1">
      <alignment horizontal="justify" vertical="center"/>
    </xf>
    <xf numFmtId="0" fontId="41" fillId="0" borderId="2" xfId="0" applyFont="1" applyBorder="1" applyAlignment="1">
      <alignment horizontal="center" vertical="center"/>
    </xf>
    <xf numFmtId="0" fontId="41" fillId="23" borderId="2" xfId="0" applyFont="1" applyFill="1" applyBorder="1" applyAlignment="1">
      <alignment horizontal="center" vertical="center"/>
    </xf>
    <xf numFmtId="0" fontId="42" fillId="28" borderId="2" xfId="0" applyFont="1" applyFill="1" applyBorder="1" applyAlignment="1">
      <alignment horizontal="center" vertical="center"/>
    </xf>
    <xf numFmtId="0" fontId="42" fillId="28" borderId="4" xfId="0" applyFont="1" applyFill="1" applyBorder="1" applyAlignment="1">
      <alignment horizontal="center" vertical="center"/>
    </xf>
    <xf numFmtId="0" fontId="43" fillId="9" borderId="5" xfId="0" applyFont="1" applyFill="1" applyBorder="1" applyAlignment="1">
      <alignment horizontal="center" vertical="center"/>
    </xf>
    <xf numFmtId="0" fontId="44" fillId="10" borderId="5" xfId="0" applyFont="1" applyFill="1" applyBorder="1" applyAlignment="1">
      <alignment horizontal="center" vertical="center"/>
    </xf>
    <xf numFmtId="0" fontId="45" fillId="29" borderId="7" xfId="0" applyFont="1" applyFill="1" applyBorder="1" applyAlignment="1">
      <alignment horizontal="center" vertical="center"/>
    </xf>
    <xf numFmtId="0" fontId="45" fillId="15" borderId="0" xfId="0" applyFont="1" applyFill="1" applyAlignment="1">
      <alignment horizontal="center" vertical="center"/>
    </xf>
    <xf numFmtId="0" fontId="45" fillId="18" borderId="2" xfId="0" applyFont="1" applyFill="1" applyBorder="1" applyAlignment="1">
      <alignment horizontal="center" vertical="center"/>
    </xf>
    <xf numFmtId="0" fontId="45" fillId="18" borderId="4" xfId="0" applyFont="1" applyFill="1" applyBorder="1" applyAlignment="1">
      <alignment horizontal="center" vertical="center"/>
    </xf>
    <xf numFmtId="0" fontId="45" fillId="15" borderId="7" xfId="0" applyFont="1" applyFill="1" applyBorder="1" applyAlignment="1">
      <alignment horizontal="center" vertical="center"/>
    </xf>
    <xf numFmtId="0" fontId="37" fillId="30" borderId="5" xfId="0" applyFont="1" applyFill="1" applyBorder="1" applyAlignment="1">
      <alignment horizontal="center" vertical="center"/>
    </xf>
    <xf numFmtId="0" fontId="37" fillId="31" borderId="5" xfId="0" applyFont="1" applyFill="1" applyBorder="1" applyAlignment="1">
      <alignment horizontal="center" vertical="center"/>
    </xf>
    <xf numFmtId="0" fontId="46" fillId="0" borderId="0" xfId="0" applyFont="1" applyAlignment="1">
      <alignment horizontal="center" vertical="center"/>
    </xf>
    <xf numFmtId="0" fontId="45" fillId="0" borderId="0" xfId="0" applyFont="1" applyAlignment="1">
      <alignment vertical="center"/>
    </xf>
    <xf numFmtId="0" fontId="46" fillId="0" borderId="0" xfId="0" applyFont="1" applyAlignment="1">
      <alignment vertical="center"/>
    </xf>
    <xf numFmtId="0" fontId="45" fillId="0" borderId="20" xfId="0" applyFont="1" applyBorder="1" applyAlignment="1">
      <alignment horizontal="center" vertical="center"/>
    </xf>
    <xf numFmtId="0" fontId="45" fillId="0" borderId="19" xfId="0" applyFont="1" applyBorder="1" applyAlignment="1">
      <alignment horizontal="center" vertical="center"/>
    </xf>
    <xf numFmtId="0" fontId="47" fillId="0" borderId="0" xfId="0" applyFont="1" applyAlignment="1">
      <alignment horizontal="center" vertical="center"/>
    </xf>
    <xf numFmtId="0" fontId="19" fillId="29" borderId="7" xfId="0" applyFont="1" applyFill="1" applyBorder="1" applyAlignment="1">
      <alignment horizontal="center" vertical="center"/>
    </xf>
    <xf numFmtId="0" fontId="48" fillId="0" borderId="7" xfId="0" applyFont="1" applyBorder="1" applyAlignment="1">
      <alignment horizontal="center" vertical="center"/>
    </xf>
    <xf numFmtId="0" fontId="40" fillId="0" borderId="7" xfId="0" applyFont="1" applyBorder="1" applyAlignment="1">
      <alignment horizontal="center" vertical="center"/>
    </xf>
    <xf numFmtId="0" fontId="48" fillId="32" borderId="7" xfId="0" applyFont="1" applyFill="1" applyBorder="1" applyAlignment="1">
      <alignment horizontal="center" vertical="center"/>
    </xf>
    <xf numFmtId="0" fontId="40" fillId="32" borderId="7" xfId="0" applyFont="1" applyFill="1" applyBorder="1" applyAlignment="1">
      <alignment horizontal="justify" vertical="center"/>
    </xf>
    <xf numFmtId="0" fontId="40" fillId="32" borderId="7" xfId="0" applyFont="1" applyFill="1" applyBorder="1" applyAlignment="1">
      <alignment horizontal="center" vertical="center"/>
    </xf>
    <xf numFmtId="0" fontId="40" fillId="0" borderId="7" xfId="0" applyFont="1" applyBorder="1" applyAlignment="1">
      <alignment horizontal="left" vertical="center"/>
    </xf>
    <xf numFmtId="0" fontId="51" fillId="33" borderId="21" xfId="0" applyFont="1" applyFill="1" applyBorder="1" applyAlignment="1">
      <alignment horizontal="center" vertical="center"/>
    </xf>
    <xf numFmtId="0" fontId="14" fillId="33" borderId="21" xfId="0" applyFont="1" applyFill="1" applyBorder="1" applyAlignment="1">
      <alignment horizontal="left" vertical="center"/>
    </xf>
    <xf numFmtId="0" fontId="52" fillId="33" borderId="21" xfId="0" applyFont="1" applyFill="1" applyBorder="1" applyAlignment="1">
      <alignment horizontal="center" vertical="center"/>
    </xf>
    <xf numFmtId="0" fontId="51" fillId="3" borderId="21" xfId="0" applyFont="1" applyFill="1" applyBorder="1" applyAlignment="1">
      <alignment horizontal="center" vertical="center"/>
    </xf>
    <xf numFmtId="0" fontId="53" fillId="7" borderId="21" xfId="0" applyFont="1" applyFill="1" applyBorder="1" applyAlignment="1">
      <alignment horizontal="center" vertical="center"/>
    </xf>
    <xf numFmtId="0" fontId="54" fillId="34" borderId="21" xfId="0" applyFont="1" applyFill="1" applyBorder="1" applyAlignment="1">
      <alignment horizontal="center" vertical="center"/>
    </xf>
    <xf numFmtId="0" fontId="55" fillId="10" borderId="21" xfId="0" applyFont="1" applyFill="1" applyBorder="1" applyAlignment="1">
      <alignment horizontal="center" vertical="center"/>
    </xf>
    <xf numFmtId="0" fontId="56" fillId="35" borderId="21" xfId="0" applyFont="1" applyFill="1" applyBorder="1" applyAlignment="1">
      <alignment horizontal="center" vertical="center"/>
    </xf>
    <xf numFmtId="0" fontId="57" fillId="11" borderId="21" xfId="0" applyFont="1" applyFill="1" applyBorder="1" applyAlignment="1">
      <alignment horizontal="center" vertical="center"/>
    </xf>
    <xf numFmtId="0" fontId="58" fillId="6" borderId="21" xfId="0" applyFont="1" applyFill="1" applyBorder="1" applyAlignment="1">
      <alignment horizontal="center" vertical="center"/>
    </xf>
    <xf numFmtId="0" fontId="59" fillId="36" borderId="21" xfId="0" applyFont="1" applyFill="1" applyBorder="1" applyAlignment="1">
      <alignment horizontal="center" vertical="center"/>
    </xf>
    <xf numFmtId="0" fontId="60" fillId="37" borderId="21" xfId="0" applyFont="1" applyFill="1" applyBorder="1" applyAlignment="1">
      <alignment horizontal="center" vertical="center"/>
    </xf>
    <xf numFmtId="0" fontId="61" fillId="5" borderId="21" xfId="0" applyFont="1" applyFill="1" applyBorder="1" applyAlignment="1">
      <alignment horizontal="center" vertical="center"/>
    </xf>
    <xf numFmtId="0" fontId="62" fillId="5" borderId="21" xfId="0" applyFont="1" applyFill="1" applyBorder="1" applyAlignment="1">
      <alignment horizontal="left" vertical="center"/>
    </xf>
    <xf numFmtId="0" fontId="5" fillId="5" borderId="21" xfId="0" applyFont="1" applyFill="1" applyBorder="1" applyAlignment="1">
      <alignment horizontal="center" vertical="center"/>
    </xf>
    <xf numFmtId="0" fontId="63" fillId="5" borderId="21" xfId="0" applyFont="1" applyFill="1" applyBorder="1" applyAlignment="1">
      <alignment horizontal="center" vertical="center"/>
    </xf>
    <xf numFmtId="0" fontId="64" fillId="5" borderId="21" xfId="0" applyFont="1" applyFill="1" applyBorder="1" applyAlignment="1">
      <alignment horizontal="center" vertical="center"/>
    </xf>
    <xf numFmtId="0" fontId="65" fillId="5" borderId="21" xfId="0" applyFont="1" applyFill="1" applyBorder="1" applyAlignment="1">
      <alignment horizontal="center" vertical="center"/>
    </xf>
    <xf numFmtId="0" fontId="66" fillId="5" borderId="21" xfId="0" applyFont="1" applyFill="1" applyBorder="1" applyAlignment="1">
      <alignment horizontal="center" vertical="center"/>
    </xf>
    <xf numFmtId="0" fontId="67" fillId="5" borderId="21" xfId="0" applyFont="1" applyFill="1" applyBorder="1" applyAlignment="1">
      <alignment horizontal="center" vertical="center"/>
    </xf>
    <xf numFmtId="0" fontId="68" fillId="5" borderId="21" xfId="0" applyFont="1" applyFill="1" applyBorder="1" applyAlignment="1">
      <alignment horizontal="center" vertical="center"/>
    </xf>
    <xf numFmtId="0" fontId="69" fillId="5" borderId="21" xfId="0" applyFont="1" applyFill="1" applyBorder="1" applyAlignment="1">
      <alignment horizontal="center" vertical="center"/>
    </xf>
    <xf numFmtId="0" fontId="70" fillId="5" borderId="21" xfId="0" applyFont="1" applyFill="1" applyBorder="1" applyAlignment="1">
      <alignment horizontal="center" vertical="center"/>
    </xf>
    <xf numFmtId="0" fontId="71" fillId="6" borderId="0" xfId="0" applyFont="1" applyFill="1" applyAlignment="1">
      <alignment horizontal="left" vertical="center"/>
    </xf>
    <xf numFmtId="0" fontId="71" fillId="6" borderId="0" xfId="0" applyFont="1" applyFill="1" applyAlignment="1">
      <alignment horizontal="center" vertical="center"/>
    </xf>
    <xf numFmtId="0" fontId="61" fillId="8" borderId="21" xfId="0" applyFont="1" applyFill="1" applyBorder="1" applyAlignment="1">
      <alignment horizontal="center" vertical="center"/>
    </xf>
    <xf numFmtId="0" fontId="62" fillId="8" borderId="21" xfId="0" applyFont="1" applyFill="1" applyBorder="1" applyAlignment="1">
      <alignment horizontal="left" vertical="center"/>
    </xf>
    <xf numFmtId="0" fontId="5" fillId="8" borderId="21" xfId="0" applyFont="1" applyFill="1" applyBorder="1" applyAlignment="1">
      <alignment horizontal="center" vertical="center"/>
    </xf>
    <xf numFmtId="0" fontId="63" fillId="8" borderId="21" xfId="0" applyFont="1" applyFill="1" applyBorder="1" applyAlignment="1">
      <alignment horizontal="center" vertical="center"/>
    </xf>
    <xf numFmtId="0" fontId="64" fillId="8" borderId="21" xfId="0" applyFont="1" applyFill="1" applyBorder="1" applyAlignment="1">
      <alignment horizontal="center" vertical="center"/>
    </xf>
    <xf numFmtId="0" fontId="65" fillId="8" borderId="21" xfId="0" applyFont="1" applyFill="1" applyBorder="1" applyAlignment="1">
      <alignment horizontal="center" vertical="center"/>
    </xf>
    <xf numFmtId="0" fontId="66" fillId="8" borderId="21" xfId="0" applyFont="1" applyFill="1" applyBorder="1" applyAlignment="1">
      <alignment horizontal="center" vertical="center"/>
    </xf>
    <xf numFmtId="0" fontId="67" fillId="8" borderId="21" xfId="0" applyFont="1" applyFill="1" applyBorder="1" applyAlignment="1">
      <alignment horizontal="center" vertical="center"/>
    </xf>
    <xf numFmtId="0" fontId="68" fillId="8" borderId="21" xfId="0" applyFont="1" applyFill="1" applyBorder="1" applyAlignment="1">
      <alignment horizontal="center" vertical="center"/>
    </xf>
    <xf numFmtId="0" fontId="69" fillId="8" borderId="21" xfId="0" applyFont="1" applyFill="1" applyBorder="1" applyAlignment="1">
      <alignment horizontal="center" vertical="center"/>
    </xf>
    <xf numFmtId="0" fontId="70" fillId="8" borderId="21" xfId="0" applyFont="1" applyFill="1" applyBorder="1" applyAlignment="1">
      <alignment horizontal="center" vertical="center"/>
    </xf>
    <xf numFmtId="0" fontId="71" fillId="6" borderId="0" xfId="0" applyFont="1" applyFill="1" applyAlignment="1">
      <alignment horizontal="left" vertical="center" wrapText="1"/>
    </xf>
    <xf numFmtId="0" fontId="62" fillId="8" borderId="21" xfId="0" applyFont="1" applyFill="1" applyBorder="1" applyAlignment="1">
      <alignment horizontal="left" vertical="center" wrapText="1"/>
    </xf>
    <xf numFmtId="0" fontId="62" fillId="5" borderId="21" xfId="0" applyFont="1" applyFill="1" applyBorder="1" applyAlignment="1">
      <alignment horizontal="left" vertical="center" wrapText="1"/>
    </xf>
    <xf numFmtId="0" fontId="62" fillId="33" borderId="21" xfId="0" applyFont="1" applyFill="1" applyBorder="1" applyAlignment="1">
      <alignment horizontal="center" vertical="center"/>
    </xf>
    <xf numFmtId="0" fontId="4" fillId="33" borderId="21" xfId="0" applyFont="1" applyFill="1" applyBorder="1" applyAlignment="1">
      <alignment horizontal="left" vertical="center"/>
    </xf>
    <xf numFmtId="0" fontId="4" fillId="33" borderId="21" xfId="0" applyFont="1" applyFill="1" applyBorder="1" applyAlignment="1">
      <alignment horizontal="center" vertical="center"/>
    </xf>
    <xf numFmtId="0" fontId="72" fillId="33" borderId="21" xfId="0" applyFont="1" applyFill="1" applyBorder="1" applyAlignment="1">
      <alignment horizontal="center" vertical="center"/>
    </xf>
    <xf numFmtId="0" fontId="14" fillId="3" borderId="21" xfId="0" applyFont="1" applyFill="1" applyBorder="1" applyAlignment="1">
      <alignment horizontal="center" vertical="center"/>
    </xf>
    <xf numFmtId="0" fontId="73" fillId="7" borderId="21" xfId="0" applyFont="1" applyFill="1" applyBorder="1" applyAlignment="1">
      <alignment horizontal="center" vertical="center"/>
    </xf>
    <xf numFmtId="0" fontId="74" fillId="34" borderId="21" xfId="0" applyFont="1" applyFill="1" applyBorder="1" applyAlignment="1">
      <alignment horizontal="center" vertical="center"/>
    </xf>
    <xf numFmtId="0" fontId="75" fillId="10" borderId="21" xfId="0" applyFont="1" applyFill="1" applyBorder="1" applyAlignment="1">
      <alignment horizontal="center" vertical="center"/>
    </xf>
    <xf numFmtId="0" fontId="76" fillId="35" borderId="21" xfId="0" applyFont="1" applyFill="1" applyBorder="1" applyAlignment="1">
      <alignment horizontal="center" vertical="center"/>
    </xf>
    <xf numFmtId="0" fontId="77" fillId="11" borderId="21" xfId="0" applyFont="1" applyFill="1" applyBorder="1" applyAlignment="1">
      <alignment horizontal="center" vertical="center"/>
    </xf>
    <xf numFmtId="0" fontId="78" fillId="6" borderId="21" xfId="0" applyFont="1" applyFill="1" applyBorder="1" applyAlignment="1">
      <alignment horizontal="center" vertical="center"/>
    </xf>
    <xf numFmtId="0" fontId="79" fillId="36" borderId="21" xfId="0" applyFont="1" applyFill="1" applyBorder="1" applyAlignment="1">
      <alignment horizontal="center" vertical="center"/>
    </xf>
    <xf numFmtId="0" fontId="0" fillId="0" borderId="0" xfId="0" applyAlignment="1">
      <alignment horizontal="center" vertical="center"/>
    </xf>
    <xf numFmtId="0" fontId="20" fillId="12" borderId="22" xfId="0" applyFont="1" applyFill="1" applyBorder="1" applyAlignment="1">
      <alignment horizontal="center" vertical="center" wrapText="1"/>
    </xf>
    <xf numFmtId="167" fontId="81" fillId="24" borderId="23" xfId="0" applyNumberFormat="1" applyFont="1" applyFill="1" applyBorder="1" applyAlignment="1">
      <alignment horizontal="center" vertical="center" wrapText="1"/>
    </xf>
    <xf numFmtId="0" fontId="82" fillId="26" borderId="23" xfId="0" applyFont="1" applyFill="1" applyBorder="1" applyAlignment="1">
      <alignment horizontal="left" vertical="center" wrapText="1"/>
    </xf>
    <xf numFmtId="0" fontId="83" fillId="26" borderId="23" xfId="0" applyFont="1" applyFill="1" applyBorder="1" applyAlignment="1">
      <alignment horizontal="center" vertical="center" wrapText="1"/>
    </xf>
    <xf numFmtId="0" fontId="84" fillId="28" borderId="24" xfId="0" applyFont="1" applyFill="1" applyBorder="1" applyAlignment="1">
      <alignment horizontal="center" vertical="center" wrapText="1"/>
    </xf>
    <xf numFmtId="0" fontId="82" fillId="8" borderId="23" xfId="0" applyFont="1" applyFill="1" applyBorder="1" applyAlignment="1">
      <alignment horizontal="left" vertical="center" wrapText="1"/>
    </xf>
    <xf numFmtId="0" fontId="83" fillId="8" borderId="23" xfId="0" applyFont="1" applyFill="1" applyBorder="1" applyAlignment="1">
      <alignment horizontal="center" vertical="center" wrapText="1"/>
    </xf>
    <xf numFmtId="0" fontId="83" fillId="8" borderId="23" xfId="0" applyFont="1" applyFill="1" applyBorder="1" applyAlignment="1">
      <alignment horizontal="center" vertical="center"/>
    </xf>
    <xf numFmtId="0" fontId="84" fillId="28" borderId="24" xfId="0" applyFont="1" applyFill="1" applyBorder="1" applyAlignment="1">
      <alignment horizontal="center" vertical="center"/>
    </xf>
    <xf numFmtId="0" fontId="20" fillId="12" borderId="23" xfId="0" applyFont="1" applyFill="1" applyBorder="1" applyAlignment="1">
      <alignment horizontal="center" vertical="center"/>
    </xf>
    <xf numFmtId="0" fontId="85" fillId="0" borderId="0" xfId="0" applyFont="1" applyAlignment="1">
      <alignment horizontal="left" vertical="center" wrapText="1"/>
    </xf>
    <xf numFmtId="0" fontId="51" fillId="38" borderId="0" xfId="0" applyFont="1" applyFill="1" applyAlignment="1">
      <alignment horizontal="center" vertical="center"/>
    </xf>
    <xf numFmtId="0" fontId="3" fillId="38" borderId="0" xfId="0" applyFont="1" applyFill="1" applyAlignment="1">
      <alignment horizontal="center" vertical="center"/>
    </xf>
    <xf numFmtId="0" fontId="14" fillId="38" borderId="26" xfId="0" applyFont="1" applyFill="1" applyBorder="1" applyAlignment="1">
      <alignment horizontal="center" vertical="center"/>
    </xf>
    <xf numFmtId="0" fontId="87" fillId="0" borderId="0" xfId="0" applyFont="1"/>
    <xf numFmtId="0" fontId="61" fillId="5" borderId="26" xfId="0" applyFont="1" applyFill="1" applyBorder="1" applyAlignment="1">
      <alignment horizontal="center" vertical="center"/>
    </xf>
    <xf numFmtId="0" fontId="62" fillId="5" borderId="26" xfId="0" applyFont="1" applyFill="1" applyBorder="1" applyAlignment="1">
      <alignment horizontal="left" vertical="center" indent="1"/>
    </xf>
    <xf numFmtId="167" fontId="62" fillId="5" borderId="26" xfId="0" applyNumberFormat="1" applyFont="1" applyFill="1" applyBorder="1" applyAlignment="1">
      <alignment horizontal="center" vertical="center"/>
    </xf>
    <xf numFmtId="0" fontId="61" fillId="8" borderId="26" xfId="0" applyFont="1" applyFill="1" applyBorder="1" applyAlignment="1">
      <alignment horizontal="center" vertical="center"/>
    </xf>
    <xf numFmtId="0" fontId="62" fillId="8" borderId="26" xfId="0" applyFont="1" applyFill="1" applyBorder="1" applyAlignment="1">
      <alignment horizontal="left" vertical="center" indent="1"/>
    </xf>
    <xf numFmtId="167" fontId="62" fillId="8" borderId="26" xfId="0" applyNumberFormat="1" applyFont="1" applyFill="1" applyBorder="1" applyAlignment="1">
      <alignment horizontal="center" vertical="center"/>
    </xf>
    <xf numFmtId="0" fontId="0" fillId="0" borderId="0" xfId="0" applyAlignment="1">
      <alignment wrapText="1"/>
    </xf>
    <xf numFmtId="0" fontId="23" fillId="39" borderId="2" xfId="0" applyFont="1" applyFill="1" applyBorder="1" applyAlignment="1">
      <alignment horizontal="center" vertical="center"/>
    </xf>
    <xf numFmtId="165" fontId="17" fillId="0" borderId="2" xfId="0" applyNumberFormat="1" applyFont="1" applyBorder="1" applyAlignment="1">
      <alignment horizontal="center" vertical="center"/>
    </xf>
    <xf numFmtId="0" fontId="90" fillId="15" borderId="27" xfId="0" applyFont="1" applyFill="1" applyBorder="1" applyAlignment="1">
      <alignment horizontal="center" vertical="center"/>
    </xf>
    <xf numFmtId="0" fontId="23" fillId="39" borderId="27" xfId="0" applyFont="1" applyFill="1" applyBorder="1" applyAlignment="1">
      <alignment horizontal="center" vertical="center"/>
    </xf>
    <xf numFmtId="0" fontId="23" fillId="39" borderId="11" xfId="0" applyFont="1" applyFill="1" applyBorder="1" applyAlignment="1">
      <alignment horizontal="center" vertical="center"/>
    </xf>
    <xf numFmtId="0" fontId="17" fillId="0" borderId="0" xfId="0" applyFont="1" applyAlignment="1">
      <alignment horizontal="justify" vertical="center"/>
    </xf>
    <xf numFmtId="0" fontId="17" fillId="0" borderId="0" xfId="0" applyFont="1" applyAlignment="1">
      <alignment horizontal="center" vertical="center"/>
    </xf>
    <xf numFmtId="0" fontId="15" fillId="0" borderId="7" xfId="0" applyFont="1" applyBorder="1" applyAlignment="1">
      <alignment horizontal="center" vertical="center"/>
    </xf>
    <xf numFmtId="0" fontId="16" fillId="0" borderId="7" xfId="0" applyFont="1" applyBorder="1" applyAlignment="1">
      <alignment horizontal="left" vertical="center"/>
    </xf>
    <xf numFmtId="0" fontId="16" fillId="0" borderId="7" xfId="0" applyFont="1" applyBorder="1" applyAlignment="1">
      <alignment horizontal="left" vertical="center" wrapText="1"/>
    </xf>
    <xf numFmtId="0" fontId="62" fillId="5" borderId="26" xfId="0" applyFont="1" applyFill="1" applyBorder="1" applyAlignment="1">
      <alignment horizontal="justify" vertical="center"/>
    </xf>
    <xf numFmtId="0" fontId="62" fillId="8" borderId="26" xfId="0" applyFont="1" applyFill="1" applyBorder="1" applyAlignment="1">
      <alignment horizontal="justify" vertical="center"/>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3" fillId="0" borderId="0" xfId="0" applyFont="1" applyAlignment="1">
      <alignment horizontal="left" vertical="center" wrapText="1"/>
    </xf>
    <xf numFmtId="164" fontId="14" fillId="2" borderId="0" xfId="0" applyNumberFormat="1" applyFont="1" applyFill="1" applyAlignment="1">
      <alignment horizontal="left" vertical="center"/>
    </xf>
    <xf numFmtId="0" fontId="28" fillId="22" borderId="0" xfId="0" applyFont="1" applyFill="1" applyAlignment="1">
      <alignment horizontal="center" vertical="center" wrapText="1"/>
    </xf>
    <xf numFmtId="0" fontId="29" fillId="23" borderId="0" xfId="0" applyFont="1" applyFill="1" applyAlignment="1">
      <alignment horizontal="left" vertical="center"/>
    </xf>
    <xf numFmtId="0" fontId="33" fillId="28" borderId="14" xfId="0" applyFont="1" applyFill="1" applyBorder="1" applyAlignment="1">
      <alignment horizontal="center" vertical="center" wrapText="1"/>
    </xf>
    <xf numFmtId="0" fontId="34" fillId="0" borderId="0" xfId="0" applyFont="1" applyAlignment="1">
      <alignment horizontal="left" vertical="center" wrapText="1"/>
    </xf>
    <xf numFmtId="0" fontId="37" fillId="31" borderId="5" xfId="0" applyFont="1" applyFill="1" applyBorder="1" applyAlignment="1">
      <alignment horizontal="center" vertical="center" wrapText="1"/>
    </xf>
    <xf numFmtId="0" fontId="45" fillId="29" borderId="7" xfId="0" applyFont="1" applyFill="1" applyBorder="1" applyAlignment="1">
      <alignment horizontal="right" vertical="center"/>
    </xf>
    <xf numFmtId="0" fontId="47" fillId="0" borderId="19" xfId="0" applyFont="1" applyBorder="1" applyAlignment="1">
      <alignment horizontal="right" vertical="center"/>
    </xf>
    <xf numFmtId="0" fontId="19" fillId="29" borderId="7" xfId="0" applyFont="1" applyFill="1" applyBorder="1" applyAlignment="1">
      <alignment horizontal="right" vertical="center"/>
    </xf>
    <xf numFmtId="0" fontId="36" fillId="29" borderId="7" xfId="0" applyFont="1" applyFill="1" applyBorder="1" applyAlignment="1">
      <alignment horizontal="right" vertical="center"/>
    </xf>
    <xf numFmtId="0" fontId="36" fillId="29" borderId="17" xfId="0" applyFont="1" applyFill="1" applyBorder="1" applyAlignment="1">
      <alignment horizontal="center" vertical="center"/>
    </xf>
    <xf numFmtId="0" fontId="36" fillId="18" borderId="2" xfId="0" applyFont="1" applyFill="1" applyBorder="1" applyAlignment="1">
      <alignment horizontal="center" vertical="center"/>
    </xf>
    <xf numFmtId="0" fontId="36" fillId="15" borderId="2" xfId="0" applyFont="1" applyFill="1" applyBorder="1" applyAlignment="1">
      <alignment horizontal="center" vertical="center"/>
    </xf>
    <xf numFmtId="0" fontId="37" fillId="30" borderId="18" xfId="0" applyFont="1" applyFill="1" applyBorder="1" applyAlignment="1">
      <alignment horizontal="center" vertical="center" wrapText="1"/>
    </xf>
    <xf numFmtId="0" fontId="36" fillId="29" borderId="7" xfId="0" applyFont="1" applyFill="1" applyBorder="1" applyAlignment="1">
      <alignment horizontal="center" vertical="center"/>
    </xf>
    <xf numFmtId="0" fontId="36" fillId="29" borderId="16" xfId="0" applyFont="1" applyFill="1" applyBorder="1" applyAlignment="1">
      <alignment horizontal="center" vertical="center"/>
    </xf>
    <xf numFmtId="0" fontId="49" fillId="33" borderId="21" xfId="0" applyFont="1" applyFill="1" applyBorder="1" applyAlignment="1">
      <alignment horizontal="center" vertical="center"/>
    </xf>
    <xf numFmtId="0" fontId="50" fillId="3" borderId="21" xfId="0" applyFont="1" applyFill="1" applyBorder="1" applyAlignment="1">
      <alignment horizontal="center" vertical="center"/>
    </xf>
    <xf numFmtId="0" fontId="30" fillId="22" borderId="0" xfId="0" applyFont="1" applyFill="1" applyAlignment="1">
      <alignment horizontal="center" vertical="center" wrapText="1"/>
    </xf>
    <xf numFmtId="0" fontId="80" fillId="23" borderId="0" xfId="0" applyFont="1" applyFill="1" applyAlignment="1">
      <alignment horizontal="left" vertical="center" wrapText="1"/>
    </xf>
    <xf numFmtId="0" fontId="49" fillId="38" borderId="0" xfId="0" applyFont="1" applyFill="1" applyAlignment="1">
      <alignment horizontal="center" vertical="center"/>
    </xf>
    <xf numFmtId="0" fontId="50" fillId="3" borderId="0" xfId="0" applyFont="1" applyFill="1" applyAlignment="1">
      <alignment horizontal="center" vertical="center"/>
    </xf>
    <xf numFmtId="0" fontId="86" fillId="25" borderId="25" xfId="0" applyFont="1" applyFill="1" applyBorder="1" applyAlignment="1">
      <alignment horizontal="left" vertical="center" indent="1"/>
    </xf>
    <xf numFmtId="0" fontId="88" fillId="0" borderId="0" xfId="0" applyFont="1" applyAlignment="1">
      <alignment horizontal="left" vertical="center" indent="1"/>
    </xf>
    <xf numFmtId="0" fontId="23" fillId="39" borderId="0" xfId="0" applyFont="1" applyFill="1" applyAlignment="1">
      <alignment horizontal="center" vertical="center"/>
    </xf>
    <xf numFmtId="0" fontId="23" fillId="39" borderId="20" xfId="0" applyFont="1" applyFill="1" applyBorder="1" applyAlignment="1">
      <alignment horizontal="right" vertical="center"/>
    </xf>
    <xf numFmtId="0" fontId="23" fillId="39" borderId="28" xfId="0" applyFont="1" applyFill="1" applyBorder="1" applyAlignment="1">
      <alignment horizontal="center" vertical="center"/>
    </xf>
    <xf numFmtId="0" fontId="16"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29">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1F4E79"/>
      <rgbColor rgb="FFFFFF00"/>
      <rgbColor rgb="FFFFEBED"/>
      <rgbColor rgb="FFDEEAF1"/>
      <rgbColor rgb="FFC00000"/>
      <rgbColor rgb="FF1B5E20"/>
      <rgbColor rgb="FF250818"/>
      <rgbColor rgb="FF7C5B0E"/>
      <rgbColor rgb="FF585858"/>
      <rgbColor rgb="FF2D6A8A"/>
      <rgbColor rgb="FFCFCBC0"/>
      <rgbColor rgb="FF757575"/>
      <rgbColor rgb="FF95B3D7"/>
      <rgbColor rgb="FF7030A0"/>
      <rgbColor rgb="FFFFF9C4"/>
      <rgbColor rgb="FFE3F2FD"/>
      <rgbColor rgb="FF5B2CA0"/>
      <rgbColor rgb="FFC85314"/>
      <rgbColor rgb="FF006EC0"/>
      <rgbColor rgb="FFBDD7EE"/>
      <rgbColor rgb="FF1F3864"/>
      <rgbColor rgb="FFFFF3E0"/>
      <rgbColor rgb="FFFFF8E1"/>
      <rgbColor rgb="FFEBF4FA"/>
      <rgbColor rgb="FFF2F4F4"/>
      <rgbColor rgb="FFF5F5F5"/>
      <rgbColor rgb="FF1B5E71"/>
      <rgbColor rgb="FF2F5597"/>
      <rgbColor rgb="FFEDE7F6"/>
      <rgbColor rgb="FFDEEBF7"/>
      <rgbColor rgb="FFE8F5E9"/>
      <rgbColor rgb="FFFFF2CC"/>
      <rgbColor rgb="FF9CC3E6"/>
      <rgbColor rgb="FFF4B183"/>
      <rgbColor rgb="FF9DC3E6"/>
      <rgbColor rgb="FFFFD966"/>
      <rgbColor rgb="FF2E75B6"/>
      <rgbColor rgb="FFD6E8F0"/>
      <rgbColor rgb="FFC8D8E0"/>
      <rgbColor rgb="FFD9D9D9"/>
      <rgbColor rgb="FFDAD8E0"/>
      <rgbColor rgb="FFE65100"/>
      <rgbColor rgb="FF616161"/>
      <rgbColor rgb="FF959595"/>
      <rgbColor rgb="FF002060"/>
      <rgbColor rgb="FF00B050"/>
      <rgbColor rgb="FF1B3A4B"/>
      <rgbColor rgb="FF1A384A"/>
      <rgbColor rgb="FFC62828"/>
      <rgbColor rgb="FF795548"/>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C12" sqref="C12"/>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29" t="s">
        <v>0</v>
      </c>
      <c r="C2" s="229"/>
      <c r="D2" s="229"/>
    </row>
    <row r="3" spans="2:4" ht="24" customHeight="1" x14ac:dyDescent="0.25">
      <c r="B3" s="230" t="s">
        <v>1</v>
      </c>
      <c r="C3" s="230"/>
      <c r="D3" s="230"/>
    </row>
    <row r="4" spans="2:4" ht="18" customHeight="1" x14ac:dyDescent="0.25">
      <c r="B4" s="231" t="s">
        <v>2</v>
      </c>
      <c r="C4" s="231"/>
      <c r="D4" s="231"/>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670</v>
      </c>
      <c r="D7" s="6" t="s">
        <v>7</v>
      </c>
    </row>
    <row r="8" spans="2:4" ht="21.75" customHeight="1" x14ac:dyDescent="0.25">
      <c r="B8" s="4" t="s">
        <v>8</v>
      </c>
      <c r="C8" s="5">
        <f>COUNTA(Sayılar!B4:B26)</f>
        <v>15</v>
      </c>
      <c r="D8" s="6" t="s">
        <v>9</v>
      </c>
    </row>
    <row r="9" spans="2:4" ht="6" customHeight="1" x14ac:dyDescent="0.25"/>
    <row r="10" spans="2:4" ht="21.75" customHeight="1" x14ac:dyDescent="0.25">
      <c r="B10" s="7" t="s">
        <v>10</v>
      </c>
      <c r="C10" s="8">
        <f>COUNTIFS(Başvuru!L:L,"DÜZELTME",Başvuru!F:F,"&lt;&gt;"&amp;"")</f>
        <v>209</v>
      </c>
      <c r="D10" s="6" t="s">
        <v>11</v>
      </c>
    </row>
    <row r="11" spans="2:4" ht="6" customHeight="1" x14ac:dyDescent="0.25"/>
    <row r="12" spans="2:4" ht="21.75" customHeight="1" x14ac:dyDescent="0.25">
      <c r="B12" s="9" t="s">
        <v>12</v>
      </c>
      <c r="C12" s="10">
        <f>COUNTIFS(Başvuru!$A:$A,"&lt;&gt;",Başvuru!$F:$F,"&lt;&gt;",Başvuru!$L:$L,"&lt;&gt;")-1</f>
        <v>632</v>
      </c>
      <c r="D12" s="11" t="s">
        <v>13</v>
      </c>
    </row>
    <row r="13" spans="2:4" ht="21.75" customHeight="1" x14ac:dyDescent="0.25">
      <c r="B13" s="12" t="s">
        <v>14</v>
      </c>
      <c r="C13" s="13">
        <f>COUNTIFS(Başvuru!P:P,"ONAY",Başvuru!F:F,"&lt;&gt;"&amp;"")</f>
        <v>507</v>
      </c>
      <c r="D13" s="14" t="s">
        <v>15</v>
      </c>
    </row>
    <row r="14" spans="2:4" ht="21.75" customHeight="1" x14ac:dyDescent="0.25">
      <c r="B14" s="12" t="s">
        <v>16</v>
      </c>
      <c r="C14" s="13">
        <f>COUNTIFS(Başvuru!L:L,"DÜZELTME",Başvuru!M:M,"&lt;&gt;"&amp;"",Başvuru!F:F,"&lt;&gt;"&amp;"")</f>
        <v>149</v>
      </c>
      <c r="D14" s="14" t="s">
        <v>17</v>
      </c>
    </row>
    <row r="15" spans="2:4" ht="21.75" customHeight="1" x14ac:dyDescent="0.25">
      <c r="B15" s="15" t="s">
        <v>18</v>
      </c>
      <c r="C15" s="16">
        <f>COUNTIFS(Başvuru!L:L,"DÜZELTME",Başvuru!M:M,"",Başvuru!F:F,"&lt;&gt;"&amp;"")</f>
        <v>60</v>
      </c>
      <c r="D15" s="14" t="s">
        <v>19</v>
      </c>
    </row>
    <row r="16" spans="2:4" ht="21.75" customHeight="1" x14ac:dyDescent="0.25">
      <c r="B16" s="17" t="s">
        <v>20</v>
      </c>
      <c r="C16" s="18">
        <f>COUNTIFS(Başvuru!L:L,"KAEK",Başvuru!F:F,"&lt;&gt;"&amp;"")</f>
        <v>17</v>
      </c>
      <c r="D16" s="14" t="s">
        <v>21</v>
      </c>
    </row>
    <row r="17" spans="2:4" ht="21.75" customHeight="1" x14ac:dyDescent="0.25">
      <c r="B17" s="19" t="s">
        <v>22</v>
      </c>
      <c r="C17" s="8">
        <f>COUNTIFS(Başvuru!P:P,"KAPSAM DIŞI",Başvuru!F:F,"&lt;&gt;"&amp;"")</f>
        <v>14</v>
      </c>
      <c r="D17" s="14" t="s">
        <v>23</v>
      </c>
    </row>
    <row r="18" spans="2:4" ht="21.75" customHeight="1" x14ac:dyDescent="0.25">
      <c r="B18" s="20" t="s">
        <v>24</v>
      </c>
      <c r="C18" s="21">
        <f>COUNTIFS(Başvuru!P:P,"RET",Başvuru!F:F,"&lt;&gt;"&amp;"")</f>
        <v>18</v>
      </c>
      <c r="D18" s="14" t="s">
        <v>25</v>
      </c>
    </row>
    <row r="19" spans="2:4" ht="21.75" customHeight="1" x14ac:dyDescent="0.25">
      <c r="B19" s="19" t="s">
        <v>26</v>
      </c>
      <c r="C19" s="8">
        <f>COUNTIFS(Başvuru!P:P,"GERİ ÇEKİLDİ",Başvuru!F:F,"&lt;&gt;"&amp;"")</f>
        <v>4</v>
      </c>
      <c r="D19" s="14" t="s">
        <v>27</v>
      </c>
    </row>
    <row r="20" spans="2:4" ht="6" customHeight="1" x14ac:dyDescent="0.25"/>
    <row r="21" spans="2:4" ht="21.75" customHeight="1" x14ac:dyDescent="0.25">
      <c r="B21" s="4" t="s">
        <v>28</v>
      </c>
      <c r="C21" s="5">
        <f>COUNTIFS(Başvuru!L:L,"GÖRÜŞ",Başvuru!F:F,"&lt;&gt;"&amp;"")</f>
        <v>24</v>
      </c>
      <c r="D21" s="6" t="s">
        <v>29</v>
      </c>
    </row>
    <row r="22" spans="2:4" ht="21.75" customHeight="1" x14ac:dyDescent="0.25">
      <c r="B22" s="22" t="s">
        <v>30</v>
      </c>
      <c r="C22" s="16">
        <f>COUNTIFS(Başvuru!L:L,"",Başvuru!J:J,"&lt;&gt;"&amp;"",Başvuru!F:F,"&lt;&gt;"&amp;"")</f>
        <v>38</v>
      </c>
      <c r="D22" s="6" t="s">
        <v>31</v>
      </c>
    </row>
    <row r="23" spans="2:4" ht="6" customHeight="1" x14ac:dyDescent="0.25"/>
    <row r="24" spans="2:4" ht="21.75" customHeight="1" x14ac:dyDescent="0.25">
      <c r="B24" s="9" t="s">
        <v>32</v>
      </c>
      <c r="C24" s="23"/>
      <c r="D24" s="11" t="s">
        <v>33</v>
      </c>
    </row>
    <row r="25" spans="2:4" ht="21.75" customHeight="1" x14ac:dyDescent="0.25">
      <c r="B25" s="24" t="s">
        <v>34</v>
      </c>
      <c r="C25" s="5">
        <f>COUNTIFS(Başvuru!G:G,"Bireysel Araştırma",Başvuru!F:F,"&lt;&gt;"&amp;"")</f>
        <v>504</v>
      </c>
      <c r="D25" s="14"/>
    </row>
    <row r="26" spans="2:4" ht="21.75" customHeight="1" x14ac:dyDescent="0.25">
      <c r="B26" s="24" t="s">
        <v>35</v>
      </c>
      <c r="C26" s="5">
        <f>COUNTIFS(Başvuru!G:G,"Uzmanlık Tezi",Başvuru!F:F,"&lt;&gt;"&amp;"")</f>
        <v>112</v>
      </c>
      <c r="D26" s="14"/>
    </row>
    <row r="27" spans="2:4" ht="21.75" customHeight="1" x14ac:dyDescent="0.25">
      <c r="B27" s="24" t="s">
        <v>36</v>
      </c>
      <c r="C27" s="5">
        <f>COUNTIFS(Başvuru!G:G,"Yüksek Lisans Tezi",Başvuru!F:F,"&lt;&gt;"&amp;"")</f>
        <v>21</v>
      </c>
      <c r="D27" s="14"/>
    </row>
    <row r="28" spans="2:4" ht="21.75" customHeight="1" x14ac:dyDescent="0.25">
      <c r="B28" s="24" t="s">
        <v>37</v>
      </c>
      <c r="C28" s="5">
        <f>COUNTIFS(Başvuru!G:G,"Doktora Tezi",Başvuru!F:F,"&lt;&gt;"&amp;"")</f>
        <v>33</v>
      </c>
      <c r="D28" s="14"/>
    </row>
    <row r="30" spans="2:4" ht="39.75" customHeight="1" x14ac:dyDescent="0.25">
      <c r="B30" s="232" t="s">
        <v>38</v>
      </c>
      <c r="C30" s="232"/>
      <c r="D30" s="232"/>
    </row>
    <row r="32" spans="2:4" ht="18" customHeight="1" x14ac:dyDescent="0.25">
      <c r="B32" s="233">
        <f ca="1">TODAY()</f>
        <v>46225</v>
      </c>
      <c r="C32" s="233"/>
      <c r="D32" s="233"/>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W1799"/>
  <sheetViews>
    <sheetView showZeros="0" tabSelected="1" zoomScale="80" zoomScaleNormal="80" workbookViewId="0">
      <pane xSplit="2" ySplit="1" topLeftCell="C667" activePane="bottomRight" state="frozen"/>
      <selection pane="topRight" activeCell="C1" sqref="C1"/>
      <selection pane="bottomLeft" activeCell="A663" sqref="A663"/>
      <selection pane="bottomRight" activeCell="E672" sqref="E672"/>
    </sheetView>
  </sheetViews>
  <sheetFormatPr defaultColWidth="0" defaultRowHeight="20.25" x14ac:dyDescent="0.25"/>
  <cols>
    <col min="1" max="1" width="6.28515625" style="25" customWidth="1"/>
    <col min="2" max="2" width="18.85546875" style="25" customWidth="1"/>
    <col min="3" max="3" width="48.7109375" style="25" customWidth="1"/>
    <col min="4" max="5" width="60.7109375" style="25" customWidth="1"/>
    <col min="6" max="6" width="50.7109375" style="26" customWidth="1"/>
    <col min="7" max="7" width="18.140625" style="27" customWidth="1"/>
    <col min="8" max="8" width="25.7109375" style="28" customWidth="1"/>
    <col min="9" max="9" width="18.28515625" style="29" customWidth="1"/>
    <col min="10" max="10" width="39.85546875" style="30" customWidth="1"/>
    <col min="11" max="11" width="39.85546875" style="28" customWidth="1"/>
    <col min="12" max="13" width="22" style="27" customWidth="1"/>
    <col min="14" max="15" width="21.140625" style="28" customWidth="1"/>
    <col min="16" max="16" width="20.5703125" style="31" customWidth="1"/>
    <col min="17" max="17" width="39.42578125" style="27" customWidth="1"/>
    <col min="18" max="18" width="20" style="32" customWidth="1"/>
    <col min="19" max="19" width="20.28515625" style="28" customWidth="1"/>
    <col min="20" max="20" width="30.7109375" style="28" customWidth="1"/>
    <col min="21" max="16384" width="26" style="28" hidden="1"/>
  </cols>
  <sheetData>
    <row r="1" spans="1:23" s="25" customFormat="1" ht="25.5" customHeight="1" x14ac:dyDescent="0.2">
      <c r="A1" s="33" t="s">
        <v>39</v>
      </c>
      <c r="B1" s="33" t="s">
        <v>40</v>
      </c>
      <c r="C1" s="33" t="s">
        <v>41</v>
      </c>
      <c r="D1" s="33" t="s">
        <v>42</v>
      </c>
      <c r="E1" s="33" t="s">
        <v>43</v>
      </c>
      <c r="F1" s="33" t="s">
        <v>44</v>
      </c>
      <c r="G1" s="33" t="s">
        <v>45</v>
      </c>
      <c r="H1" s="34" t="s">
        <v>46</v>
      </c>
      <c r="I1" s="35" t="s">
        <v>47</v>
      </c>
      <c r="J1" s="33" t="s">
        <v>48</v>
      </c>
      <c r="K1" s="33" t="s">
        <v>49</v>
      </c>
      <c r="L1" s="36" t="s">
        <v>50</v>
      </c>
      <c r="M1" s="37" t="s">
        <v>51</v>
      </c>
      <c r="N1" s="37" t="s">
        <v>52</v>
      </c>
      <c r="O1" s="38" t="s">
        <v>53</v>
      </c>
      <c r="P1" s="37" t="s">
        <v>54</v>
      </c>
      <c r="Q1" s="33" t="s">
        <v>55</v>
      </c>
      <c r="R1" s="39" t="s">
        <v>56</v>
      </c>
      <c r="T1" s="40" t="s">
        <v>57</v>
      </c>
      <c r="U1" s="41" t="s">
        <v>58</v>
      </c>
      <c r="V1" s="41" t="s">
        <v>59</v>
      </c>
      <c r="W1" s="41" t="s">
        <v>60</v>
      </c>
    </row>
    <row r="2" spans="1:23" ht="63" customHeight="1" x14ac:dyDescent="0.25">
      <c r="A2" s="42" t="s">
        <v>61</v>
      </c>
      <c r="B2" s="42" t="s">
        <v>62</v>
      </c>
      <c r="C2" s="43" t="s">
        <v>63</v>
      </c>
      <c r="D2" s="43" t="s">
        <v>64</v>
      </c>
      <c r="E2" s="44" t="s">
        <v>65</v>
      </c>
      <c r="F2" s="44" t="s">
        <v>66</v>
      </c>
      <c r="G2" s="45" t="s">
        <v>34</v>
      </c>
      <c r="H2" s="46"/>
      <c r="I2" s="47">
        <v>46028</v>
      </c>
      <c r="J2" s="43" t="s">
        <v>67</v>
      </c>
      <c r="K2" s="43" t="s">
        <v>68</v>
      </c>
      <c r="L2" s="48" t="s">
        <v>69</v>
      </c>
      <c r="M2" s="49"/>
      <c r="N2" s="49"/>
      <c r="O2" s="48"/>
      <c r="P2" s="49" t="str">
        <f t="shared" ref="P2:P65" si="0">IF(O2&lt;&gt;"",O2, IF(N2&lt;&gt;"",N2, IF(M2&lt;&gt;"",M2, L2)))</f>
        <v>ONAY</v>
      </c>
      <c r="R2" s="50" t="str">
        <f t="shared" ref="R2:R65" si="1">IF(AND($I2&lt;&gt;"",$I2&gt;=DATE(2026,6,23),COUNTIFS($C:$C,$C2,$I:$I,$I2)&gt;2),"⚠ "&amp;COUNTIFS($C:$C,$C2,$I:$I,$I2)&amp;" BAŞVURU!","")</f>
        <v/>
      </c>
      <c r="S2" s="28" t="str">
        <f>IF(AND(P2="", B2&lt;&gt;""), B2, "")</f>
        <v/>
      </c>
      <c r="T2" s="51" t="s">
        <v>70</v>
      </c>
      <c r="U2" s="28">
        <f>IF($C2&lt;&gt;"",COUNTIF($C$2:C2,C2),"")</f>
        <v>1</v>
      </c>
      <c r="V2" s="28" t="str">
        <f t="shared" ref="V2:V65" si="2">IF($C2&lt;&gt;"",C2&amp;"§"&amp;U2,"")</f>
        <v>Dr. Vet. Hek. Özgür Doğuş EROL DUYAR§1</v>
      </c>
      <c r="W2" s="28">
        <f>IF(U2=1,COUNTIF($U$2:U2,1),"")</f>
        <v>1</v>
      </c>
    </row>
    <row r="3" spans="1:23" ht="94.5" customHeight="1" x14ac:dyDescent="0.25">
      <c r="A3" s="42" t="s">
        <v>71</v>
      </c>
      <c r="B3" s="42" t="s">
        <v>72</v>
      </c>
      <c r="C3" s="43" t="s">
        <v>73</v>
      </c>
      <c r="D3" s="43" t="s">
        <v>74</v>
      </c>
      <c r="E3" s="44" t="s">
        <v>75</v>
      </c>
      <c r="F3" s="44" t="s">
        <v>76</v>
      </c>
      <c r="G3" s="45" t="s">
        <v>34</v>
      </c>
      <c r="H3" s="46"/>
      <c r="I3" s="47">
        <v>46028</v>
      </c>
      <c r="J3" s="43" t="s">
        <v>68</v>
      </c>
      <c r="K3" s="43" t="s">
        <v>77</v>
      </c>
      <c r="L3" s="48" t="s">
        <v>69</v>
      </c>
      <c r="M3" s="49"/>
      <c r="N3" s="49"/>
      <c r="O3" s="48"/>
      <c r="P3" s="49" t="str">
        <f t="shared" si="0"/>
        <v>ONAY</v>
      </c>
      <c r="R3" s="50" t="str">
        <f t="shared" si="1"/>
        <v/>
      </c>
      <c r="T3" s="51" t="s">
        <v>78</v>
      </c>
      <c r="U3" s="28">
        <f>IF($C3&lt;&gt;"",COUNTIF($C$2:C3,C3),"")</f>
        <v>1</v>
      </c>
      <c r="V3" s="28" t="str">
        <f t="shared" si="2"/>
        <v>Prof. Dr. Esra BİRBEN§1</v>
      </c>
      <c r="W3" s="28">
        <f>IF(U3=1,COUNTIF($U$2:U3,1),"")</f>
        <v>2</v>
      </c>
    </row>
    <row r="4" spans="1:23" ht="94.5" customHeight="1" x14ac:dyDescent="0.25">
      <c r="A4" s="42" t="s">
        <v>79</v>
      </c>
      <c r="B4" s="42" t="s">
        <v>80</v>
      </c>
      <c r="C4" s="43" t="s">
        <v>81</v>
      </c>
      <c r="D4" s="43" t="s">
        <v>82</v>
      </c>
      <c r="E4" s="44" t="s">
        <v>83</v>
      </c>
      <c r="F4" s="44" t="s">
        <v>84</v>
      </c>
      <c r="G4" s="45" t="s">
        <v>34</v>
      </c>
      <c r="H4" s="46"/>
      <c r="I4" s="47">
        <v>46028</v>
      </c>
      <c r="J4" s="43" t="s">
        <v>85</v>
      </c>
      <c r="K4" s="43" t="s">
        <v>86</v>
      </c>
      <c r="L4" s="49" t="s">
        <v>69</v>
      </c>
      <c r="M4" s="52"/>
      <c r="N4" s="52"/>
      <c r="O4" s="53"/>
      <c r="P4" s="49" t="str">
        <f t="shared" si="0"/>
        <v>ONAY</v>
      </c>
      <c r="R4" s="50" t="str">
        <f t="shared" si="1"/>
        <v/>
      </c>
      <c r="T4" s="51" t="s">
        <v>87</v>
      </c>
      <c r="U4" s="28">
        <f>IF($C4&lt;&gt;"",COUNTIF($C$2:C4,C4),"")</f>
        <v>1</v>
      </c>
      <c r="V4" s="28" t="str">
        <f t="shared" si="2"/>
        <v>Doç. Dr. Gamze DURHAN§1</v>
      </c>
      <c r="W4" s="28">
        <f>IF(U4=1,COUNTIF($U$2:U4,1),"")</f>
        <v>3</v>
      </c>
    </row>
    <row r="5" spans="1:23" ht="78.75" customHeight="1" x14ac:dyDescent="0.25">
      <c r="A5" s="42" t="s">
        <v>88</v>
      </c>
      <c r="B5" s="42" t="s">
        <v>89</v>
      </c>
      <c r="C5" s="43" t="s">
        <v>90</v>
      </c>
      <c r="D5" s="54" t="s">
        <v>91</v>
      </c>
      <c r="E5" s="44" t="s">
        <v>92</v>
      </c>
      <c r="F5" s="44" t="s">
        <v>93</v>
      </c>
      <c r="G5" s="45" t="s">
        <v>37</v>
      </c>
      <c r="H5" s="46"/>
      <c r="I5" s="47">
        <v>46028</v>
      </c>
      <c r="J5" s="43" t="s">
        <v>94</v>
      </c>
      <c r="K5" s="43" t="s">
        <v>95</v>
      </c>
      <c r="L5" s="49" t="s">
        <v>96</v>
      </c>
      <c r="M5" s="49" t="s">
        <v>69</v>
      </c>
      <c r="N5" s="49"/>
      <c r="O5" s="48"/>
      <c r="P5" s="49" t="str">
        <f t="shared" si="0"/>
        <v>ONAY</v>
      </c>
      <c r="Q5" s="27" t="s">
        <v>95</v>
      </c>
      <c r="R5" s="50" t="str">
        <f t="shared" si="1"/>
        <v/>
      </c>
      <c r="T5" s="51" t="s">
        <v>97</v>
      </c>
      <c r="U5" s="28">
        <f>IF($C5&lt;&gt;"",COUNTIF($C$2:C5,C5),"")</f>
        <v>1</v>
      </c>
      <c r="V5" s="28" t="str">
        <f t="shared" si="2"/>
        <v>Prof. Dr. Bayram ŞAHİN§1</v>
      </c>
      <c r="W5" s="28">
        <f>IF(U5=1,COUNTIF($U$2:U5,1),"")</f>
        <v>4</v>
      </c>
    </row>
    <row r="6" spans="1:23" ht="47.25" customHeight="1" x14ac:dyDescent="0.25">
      <c r="A6" s="42" t="s">
        <v>98</v>
      </c>
      <c r="B6" s="42" t="s">
        <v>99</v>
      </c>
      <c r="C6" s="43" t="s">
        <v>100</v>
      </c>
      <c r="D6" s="43" t="s">
        <v>101</v>
      </c>
      <c r="E6" s="44" t="s">
        <v>102</v>
      </c>
      <c r="F6" s="44" t="s">
        <v>103</v>
      </c>
      <c r="G6" s="45" t="s">
        <v>37</v>
      </c>
      <c r="H6" s="46"/>
      <c r="I6" s="47">
        <v>46028</v>
      </c>
      <c r="J6" s="43" t="s">
        <v>104</v>
      </c>
      <c r="K6" s="43" t="s">
        <v>105</v>
      </c>
      <c r="L6" s="49" t="s">
        <v>96</v>
      </c>
      <c r="M6" s="49" t="s">
        <v>69</v>
      </c>
      <c r="N6" s="49"/>
      <c r="O6" s="48"/>
      <c r="P6" s="49" t="str">
        <f t="shared" si="0"/>
        <v>ONAY</v>
      </c>
      <c r="Q6" s="27" t="s">
        <v>105</v>
      </c>
      <c r="R6" s="50" t="str">
        <f t="shared" si="1"/>
        <v/>
      </c>
      <c r="T6" s="51" t="s">
        <v>106</v>
      </c>
      <c r="U6" s="28">
        <f>IF($C6&lt;&gt;"",COUNTIF($C$2:C6,C6),"")</f>
        <v>1</v>
      </c>
      <c r="V6" s="28" t="str">
        <f t="shared" si="2"/>
        <v>Prof. Dr. Ömür ÇELİKBIÇAK§1</v>
      </c>
      <c r="W6" s="28">
        <f>IF(U6=1,COUNTIF($U$2:U6,1),"")</f>
        <v>5</v>
      </c>
    </row>
    <row r="7" spans="1:23" ht="63" customHeight="1" x14ac:dyDescent="0.25">
      <c r="A7" s="42" t="s">
        <v>107</v>
      </c>
      <c r="B7" s="42" t="s">
        <v>108</v>
      </c>
      <c r="C7" s="43" t="s">
        <v>109</v>
      </c>
      <c r="D7" s="43" t="s">
        <v>110</v>
      </c>
      <c r="E7" s="44" t="s">
        <v>111</v>
      </c>
      <c r="F7" s="44" t="s">
        <v>112</v>
      </c>
      <c r="G7" s="45" t="s">
        <v>34</v>
      </c>
      <c r="H7" s="46"/>
      <c r="I7" s="47">
        <v>46028</v>
      </c>
      <c r="J7" s="43" t="s">
        <v>77</v>
      </c>
      <c r="K7" s="43" t="s">
        <v>113</v>
      </c>
      <c r="L7" s="49" t="s">
        <v>69</v>
      </c>
      <c r="M7" s="49"/>
      <c r="N7" s="49"/>
      <c r="O7" s="48"/>
      <c r="P7" s="49" t="str">
        <f t="shared" si="0"/>
        <v>ONAY</v>
      </c>
      <c r="R7" s="50" t="str">
        <f t="shared" si="1"/>
        <v/>
      </c>
      <c r="T7" s="51" t="s">
        <v>114</v>
      </c>
      <c r="U7" s="28">
        <f>IF($C7&lt;&gt;"",COUNTIF($C$2:C7,C7),"")</f>
        <v>1</v>
      </c>
      <c r="V7" s="28" t="str">
        <f t="shared" si="2"/>
        <v>Prof. Dr. Meltem Gülhan HALİL§1</v>
      </c>
      <c r="W7" s="28">
        <f>IF(U7=1,COUNTIF($U$2:U7,1),"")</f>
        <v>6</v>
      </c>
    </row>
    <row r="8" spans="1:23" ht="47.25" customHeight="1" x14ac:dyDescent="0.25">
      <c r="A8" s="42" t="s">
        <v>115</v>
      </c>
      <c r="B8" s="42" t="s">
        <v>116</v>
      </c>
      <c r="C8" s="43" t="s">
        <v>117</v>
      </c>
      <c r="D8" s="43" t="s">
        <v>118</v>
      </c>
      <c r="E8" s="44" t="s">
        <v>119</v>
      </c>
      <c r="F8" s="44" t="s">
        <v>120</v>
      </c>
      <c r="G8" s="45" t="s">
        <v>35</v>
      </c>
      <c r="H8" s="46"/>
      <c r="I8" s="47">
        <v>46028</v>
      </c>
      <c r="J8" s="43" t="s">
        <v>121</v>
      </c>
      <c r="K8" s="43" t="s">
        <v>113</v>
      </c>
      <c r="L8" s="49" t="s">
        <v>69</v>
      </c>
      <c r="M8" s="49"/>
      <c r="N8" s="49"/>
      <c r="O8" s="48"/>
      <c r="P8" s="49" t="str">
        <f t="shared" si="0"/>
        <v>ONAY</v>
      </c>
      <c r="R8" s="50" t="str">
        <f t="shared" si="1"/>
        <v/>
      </c>
      <c r="T8" s="51" t="s">
        <v>122</v>
      </c>
      <c r="U8" s="28">
        <f>IF($C8&lt;&gt;"",COUNTIF($C$2:C8,C8),"")</f>
        <v>1</v>
      </c>
      <c r="V8" s="28" t="str">
        <f t="shared" si="2"/>
        <v>Doç. Dr. Ayhan EYMİRLİ§1</v>
      </c>
      <c r="W8" s="28">
        <f>IF(U8=1,COUNTIF($U$2:U8,1),"")</f>
        <v>7</v>
      </c>
    </row>
    <row r="9" spans="1:23" ht="63" customHeight="1" x14ac:dyDescent="0.25">
      <c r="A9" s="42" t="s">
        <v>123</v>
      </c>
      <c r="B9" s="42" t="s">
        <v>124</v>
      </c>
      <c r="C9" s="43" t="s">
        <v>125</v>
      </c>
      <c r="D9" s="43" t="s">
        <v>110</v>
      </c>
      <c r="E9" s="44" t="s">
        <v>126</v>
      </c>
      <c r="F9" s="44" t="s">
        <v>127</v>
      </c>
      <c r="G9" s="45" t="s">
        <v>35</v>
      </c>
      <c r="H9" s="46"/>
      <c r="I9" s="47">
        <v>46028</v>
      </c>
      <c r="J9" s="43" t="s">
        <v>94</v>
      </c>
      <c r="K9" s="43" t="s">
        <v>128</v>
      </c>
      <c r="L9" s="49" t="s">
        <v>69</v>
      </c>
      <c r="M9" s="49"/>
      <c r="N9" s="49"/>
      <c r="O9" s="48"/>
      <c r="P9" s="49" t="str">
        <f t="shared" si="0"/>
        <v>ONAY</v>
      </c>
      <c r="R9" s="50" t="str">
        <f t="shared" si="1"/>
        <v/>
      </c>
      <c r="T9" s="51" t="s">
        <v>129</v>
      </c>
      <c r="U9" s="28">
        <f>IF($C9&lt;&gt;"",COUNTIF($C$2:C9,C9),"")</f>
        <v>1</v>
      </c>
      <c r="V9" s="28" t="str">
        <f t="shared" si="2"/>
        <v>Doç. Dr. Nursel ÇALIK BAŞARAN§1</v>
      </c>
      <c r="W9" s="28">
        <f>IF(U9=1,COUNTIF($U$2:U9,1),"")</f>
        <v>8</v>
      </c>
    </row>
    <row r="10" spans="1:23" ht="110.25" customHeight="1" x14ac:dyDescent="0.25">
      <c r="A10" s="42" t="s">
        <v>130</v>
      </c>
      <c r="B10" s="42" t="s">
        <v>131</v>
      </c>
      <c r="C10" s="43" t="s">
        <v>132</v>
      </c>
      <c r="D10" s="43" t="s">
        <v>133</v>
      </c>
      <c r="E10" s="44" t="s">
        <v>134</v>
      </c>
      <c r="F10" s="44" t="s">
        <v>135</v>
      </c>
      <c r="G10" s="45" t="s">
        <v>34</v>
      </c>
      <c r="H10" s="46"/>
      <c r="I10" s="47">
        <v>46028</v>
      </c>
      <c r="J10" s="43" t="s">
        <v>95</v>
      </c>
      <c r="K10" s="43" t="s">
        <v>68</v>
      </c>
      <c r="L10" s="49" t="s">
        <v>69</v>
      </c>
      <c r="M10" s="49"/>
      <c r="N10" s="49"/>
      <c r="O10" s="48"/>
      <c r="P10" s="49" t="str">
        <f t="shared" si="0"/>
        <v>ONAY</v>
      </c>
      <c r="R10" s="50" t="str">
        <f t="shared" si="1"/>
        <v/>
      </c>
      <c r="T10" s="51" t="s">
        <v>136</v>
      </c>
      <c r="U10" s="28">
        <f>IF($C10&lt;&gt;"",COUNTIF($C$2:C10,C10),"")</f>
        <v>1</v>
      </c>
      <c r="V10" s="28" t="str">
        <f t="shared" si="2"/>
        <v>Öğr. Gör. Dr. Buket KILIÇ§1</v>
      </c>
      <c r="W10" s="28">
        <f>IF(U10=1,COUNTIF($U$2:U10,1),"")</f>
        <v>9</v>
      </c>
    </row>
    <row r="11" spans="1:23" ht="94.5" customHeight="1" x14ac:dyDescent="0.25">
      <c r="A11" s="42" t="s">
        <v>137</v>
      </c>
      <c r="B11" s="42" t="s">
        <v>138</v>
      </c>
      <c r="C11" s="43" t="s">
        <v>139</v>
      </c>
      <c r="D11" s="43" t="s">
        <v>140</v>
      </c>
      <c r="E11" s="44" t="s">
        <v>141</v>
      </c>
      <c r="F11" s="44" t="s">
        <v>142</v>
      </c>
      <c r="G11" s="45" t="s">
        <v>37</v>
      </c>
      <c r="H11" s="46"/>
      <c r="I11" s="47">
        <v>46028</v>
      </c>
      <c r="J11" s="43" t="s">
        <v>121</v>
      </c>
      <c r="K11" s="43" t="s">
        <v>67</v>
      </c>
      <c r="L11" s="49" t="s">
        <v>96</v>
      </c>
      <c r="M11" s="49" t="s">
        <v>69</v>
      </c>
      <c r="N11" s="49"/>
      <c r="O11" s="48"/>
      <c r="P11" s="49" t="str">
        <f t="shared" si="0"/>
        <v>ONAY</v>
      </c>
      <c r="Q11" s="27" t="s">
        <v>67</v>
      </c>
      <c r="R11" s="50" t="str">
        <f t="shared" si="1"/>
        <v/>
      </c>
      <c r="T11" s="51" t="s">
        <v>143</v>
      </c>
      <c r="U11" s="28">
        <f>IF($C11&lt;&gt;"",COUNTIF($C$2:C11,C11),"")</f>
        <v>1</v>
      </c>
      <c r="V11" s="28" t="str">
        <f t="shared" si="2"/>
        <v>Prof. Dr. Yakut AKYÖN YILMAZ§1</v>
      </c>
      <c r="W11" s="28">
        <f>IF(U11=1,COUNTIF($U$2:U11,1),"")</f>
        <v>10</v>
      </c>
    </row>
    <row r="12" spans="1:23" ht="78.75" customHeight="1" x14ac:dyDescent="0.25">
      <c r="A12" s="42" t="s">
        <v>144</v>
      </c>
      <c r="B12" s="42" t="s">
        <v>145</v>
      </c>
      <c r="C12" s="43" t="s">
        <v>146</v>
      </c>
      <c r="D12" s="43" t="s">
        <v>110</v>
      </c>
      <c r="E12" s="44" t="s">
        <v>147</v>
      </c>
      <c r="F12" s="44" t="s">
        <v>148</v>
      </c>
      <c r="G12" s="45" t="s">
        <v>34</v>
      </c>
      <c r="H12" s="46"/>
      <c r="I12" s="47">
        <v>46028</v>
      </c>
      <c r="J12" s="43" t="s">
        <v>128</v>
      </c>
      <c r="K12" s="43" t="s">
        <v>104</v>
      </c>
      <c r="L12" s="49" t="s">
        <v>69</v>
      </c>
      <c r="M12" s="49"/>
      <c r="N12" s="49"/>
      <c r="O12" s="48"/>
      <c r="P12" s="49" t="str">
        <f t="shared" si="0"/>
        <v>ONAY</v>
      </c>
      <c r="R12" s="50" t="str">
        <f t="shared" si="1"/>
        <v/>
      </c>
      <c r="T12" s="51" t="s">
        <v>149</v>
      </c>
      <c r="U12" s="28">
        <f>IF($C12&lt;&gt;"",COUNTIF($C$2:C12,C12),"")</f>
        <v>1</v>
      </c>
      <c r="V12" s="28" t="str">
        <f t="shared" si="2"/>
        <v>Prof. Dr. Ömer KARADAĞ§1</v>
      </c>
      <c r="W12" s="28">
        <f>IF(U12=1,COUNTIF($U$2:U12,1),"")</f>
        <v>11</v>
      </c>
    </row>
    <row r="13" spans="1:23" ht="78.75" customHeight="1" x14ac:dyDescent="0.25">
      <c r="A13" s="42" t="s">
        <v>150</v>
      </c>
      <c r="B13" s="42" t="s">
        <v>151</v>
      </c>
      <c r="C13" s="43" t="s">
        <v>152</v>
      </c>
      <c r="D13" s="43" t="s">
        <v>153</v>
      </c>
      <c r="E13" s="44" t="s">
        <v>154</v>
      </c>
      <c r="F13" s="44" t="s">
        <v>155</v>
      </c>
      <c r="G13" s="45" t="s">
        <v>35</v>
      </c>
      <c r="H13" s="46"/>
      <c r="I13" s="47">
        <v>46028</v>
      </c>
      <c r="J13" s="43" t="s">
        <v>86</v>
      </c>
      <c r="K13" s="43" t="s">
        <v>105</v>
      </c>
      <c r="L13" s="49" t="s">
        <v>156</v>
      </c>
      <c r="M13" s="49"/>
      <c r="N13" s="49"/>
      <c r="O13" s="48"/>
      <c r="P13" s="49" t="str">
        <f t="shared" si="0"/>
        <v>KAPSAM DIŞI</v>
      </c>
      <c r="R13" s="50" t="str">
        <f t="shared" si="1"/>
        <v/>
      </c>
      <c r="T13" s="51" t="s">
        <v>157</v>
      </c>
      <c r="U13" s="28">
        <f>IF($C13&lt;&gt;"",COUNTIF($C$2:C13,C13),"")</f>
        <v>1</v>
      </c>
      <c r="V13" s="28" t="str">
        <f t="shared" si="2"/>
        <v>Prof. Dr. N. Dilara ZEYBEK§1</v>
      </c>
      <c r="W13" s="28">
        <f>IF(U13=1,COUNTIF($U$2:U13,1),"")</f>
        <v>12</v>
      </c>
    </row>
    <row r="14" spans="1:23" ht="63" customHeight="1" x14ac:dyDescent="0.25">
      <c r="A14" s="42" t="s">
        <v>158</v>
      </c>
      <c r="B14" s="42" t="s">
        <v>159</v>
      </c>
      <c r="C14" s="43" t="s">
        <v>160</v>
      </c>
      <c r="D14" s="43" t="s">
        <v>161</v>
      </c>
      <c r="E14" s="44" t="s">
        <v>162</v>
      </c>
      <c r="F14" s="44" t="s">
        <v>163</v>
      </c>
      <c r="G14" s="45" t="s">
        <v>36</v>
      </c>
      <c r="H14" s="46"/>
      <c r="I14" s="47">
        <v>46028</v>
      </c>
      <c r="J14" s="43" t="s">
        <v>85</v>
      </c>
      <c r="K14" s="43" t="s">
        <v>94</v>
      </c>
      <c r="L14" s="49" t="s">
        <v>96</v>
      </c>
      <c r="M14" s="49" t="s">
        <v>69</v>
      </c>
      <c r="N14" s="49"/>
      <c r="O14" s="48"/>
      <c r="P14" s="49" t="str">
        <f t="shared" si="0"/>
        <v>ONAY</v>
      </c>
      <c r="Q14" s="27" t="s">
        <v>85</v>
      </c>
      <c r="R14" s="50" t="str">
        <f t="shared" si="1"/>
        <v/>
      </c>
      <c r="T14" s="51" t="s">
        <v>164</v>
      </c>
      <c r="U14" s="28">
        <f>IF($C14&lt;&gt;"",COUNTIF($C$2:C14,C14),"")</f>
        <v>1</v>
      </c>
      <c r="V14" s="28" t="str">
        <f t="shared" si="2"/>
        <v>Prof. Dr. Orhan ODABAŞI§1</v>
      </c>
      <c r="W14" s="28">
        <f>IF(U14=1,COUNTIF($U$2:U14,1),"")</f>
        <v>13</v>
      </c>
    </row>
    <row r="15" spans="1:23" ht="78.75" customHeight="1" x14ac:dyDescent="0.25">
      <c r="A15" s="42" t="s">
        <v>165</v>
      </c>
      <c r="B15" s="42" t="s">
        <v>166</v>
      </c>
      <c r="C15" s="43" t="s">
        <v>167</v>
      </c>
      <c r="D15" s="43" t="s">
        <v>168</v>
      </c>
      <c r="E15" s="44" t="s">
        <v>169</v>
      </c>
      <c r="F15" s="44" t="s">
        <v>170</v>
      </c>
      <c r="G15" s="45" t="s">
        <v>34</v>
      </c>
      <c r="H15" s="46"/>
      <c r="I15" s="47">
        <v>46028</v>
      </c>
      <c r="J15" s="43" t="s">
        <v>113</v>
      </c>
      <c r="K15" s="43" t="s">
        <v>68</v>
      </c>
      <c r="L15" s="49" t="s">
        <v>69</v>
      </c>
      <c r="M15" s="49"/>
      <c r="N15" s="49"/>
      <c r="O15" s="48"/>
      <c r="P15" s="49" t="str">
        <f t="shared" si="0"/>
        <v>ONAY</v>
      </c>
      <c r="R15" s="50" t="str">
        <f t="shared" si="1"/>
        <v/>
      </c>
      <c r="T15" s="51" t="s">
        <v>171</v>
      </c>
      <c r="U15" s="28">
        <f>IF($C15&lt;&gt;"",COUNTIF($C$2:C15,C15),"")</f>
        <v>1</v>
      </c>
      <c r="V15" s="28" t="str">
        <f t="shared" si="2"/>
        <v>Dr. Öğr. Üyesi Yiğitcan KARANFİL§1</v>
      </c>
      <c r="W15" s="28">
        <f>IF(U15=1,COUNTIF($U$2:U15,1),"")</f>
        <v>14</v>
      </c>
    </row>
    <row r="16" spans="1:23" ht="94.5" customHeight="1" x14ac:dyDescent="0.25">
      <c r="A16" s="42" t="s">
        <v>172</v>
      </c>
      <c r="B16" s="42" t="s">
        <v>173</v>
      </c>
      <c r="C16" s="43" t="s">
        <v>174</v>
      </c>
      <c r="D16" s="43" t="s">
        <v>175</v>
      </c>
      <c r="E16" s="44" t="s">
        <v>176</v>
      </c>
      <c r="F16" s="44" t="s">
        <v>177</v>
      </c>
      <c r="G16" s="45" t="s">
        <v>34</v>
      </c>
      <c r="H16" s="46"/>
      <c r="I16" s="47">
        <v>46028</v>
      </c>
      <c r="J16" s="43" t="s">
        <v>105</v>
      </c>
      <c r="K16" s="43" t="s">
        <v>77</v>
      </c>
      <c r="L16" s="49" t="s">
        <v>178</v>
      </c>
      <c r="M16" s="49" t="s">
        <v>96</v>
      </c>
      <c r="N16" s="49" t="s">
        <v>96</v>
      </c>
      <c r="O16" s="48"/>
      <c r="P16" s="49" t="str">
        <f t="shared" si="0"/>
        <v>DÜZELTME</v>
      </c>
      <c r="R16" s="50" t="str">
        <f t="shared" si="1"/>
        <v/>
      </c>
      <c r="T16" s="51" t="s">
        <v>179</v>
      </c>
      <c r="U16" s="28">
        <f>IF($C16&lt;&gt;"",COUNTIF($C$2:C16,C16),"")</f>
        <v>1</v>
      </c>
      <c r="V16" s="28" t="str">
        <f t="shared" si="2"/>
        <v>Prof. Dr. Ali Fuat KALYONCU§1</v>
      </c>
      <c r="W16" s="28">
        <f>IF(U16=1,COUNTIF($U$2:U16,1),"")</f>
        <v>15</v>
      </c>
    </row>
    <row r="17" spans="1:23" ht="94.5" customHeight="1" x14ac:dyDescent="0.25">
      <c r="A17" s="42" t="s">
        <v>180</v>
      </c>
      <c r="B17" s="42" t="s">
        <v>181</v>
      </c>
      <c r="C17" s="43" t="s">
        <v>182</v>
      </c>
      <c r="D17" s="43" t="s">
        <v>175</v>
      </c>
      <c r="E17" s="44" t="s">
        <v>183</v>
      </c>
      <c r="F17" s="44" t="s">
        <v>184</v>
      </c>
      <c r="G17" s="45" t="s">
        <v>34</v>
      </c>
      <c r="H17" s="46"/>
      <c r="I17" s="47">
        <v>46028</v>
      </c>
      <c r="J17" s="43" t="s">
        <v>128</v>
      </c>
      <c r="K17" s="43" t="s">
        <v>104</v>
      </c>
      <c r="L17" s="49" t="s">
        <v>69</v>
      </c>
      <c r="M17" s="49"/>
      <c r="N17" s="49"/>
      <c r="O17" s="48"/>
      <c r="P17" s="49" t="str">
        <f t="shared" si="0"/>
        <v>ONAY</v>
      </c>
      <c r="R17" s="50" t="str">
        <f t="shared" si="1"/>
        <v/>
      </c>
      <c r="T17" s="51" t="s">
        <v>185</v>
      </c>
      <c r="U17" s="28">
        <f>IF($C17&lt;&gt;"",COUNTIF($C$2:C17,C17),"")</f>
        <v>1</v>
      </c>
      <c r="V17" s="28" t="str">
        <f t="shared" si="2"/>
        <v>Prof. Dr. Gül KARAKAYA§1</v>
      </c>
      <c r="W17" s="28">
        <f>IF(U17=1,COUNTIF($U$2:U17,1),"")</f>
        <v>16</v>
      </c>
    </row>
    <row r="18" spans="1:23" ht="63" customHeight="1" x14ac:dyDescent="0.25">
      <c r="A18" s="42" t="s">
        <v>186</v>
      </c>
      <c r="B18" s="42" t="s">
        <v>187</v>
      </c>
      <c r="C18" s="43" t="s">
        <v>188</v>
      </c>
      <c r="D18" s="43" t="s">
        <v>189</v>
      </c>
      <c r="E18" s="44" t="s">
        <v>190</v>
      </c>
      <c r="F18" s="44" t="s">
        <v>191</v>
      </c>
      <c r="G18" s="45" t="s">
        <v>35</v>
      </c>
      <c r="H18" s="46"/>
      <c r="I18" s="47">
        <v>46028</v>
      </c>
      <c r="J18" s="43" t="s">
        <v>94</v>
      </c>
      <c r="K18" s="43" t="s">
        <v>95</v>
      </c>
      <c r="L18" s="49" t="s">
        <v>96</v>
      </c>
      <c r="M18" s="49" t="s">
        <v>69</v>
      </c>
      <c r="N18" s="49"/>
      <c r="O18" s="48"/>
      <c r="P18" s="49" t="str">
        <f t="shared" si="0"/>
        <v>ONAY</v>
      </c>
      <c r="Q18" s="27" t="s">
        <v>67</v>
      </c>
      <c r="R18" s="50" t="str">
        <f t="shared" si="1"/>
        <v/>
      </c>
      <c r="T18" s="51" t="s">
        <v>192</v>
      </c>
      <c r="U18" s="28">
        <f>IF($C18&lt;&gt;"",COUNTIF($C$2:C18,C18),"")</f>
        <v>1</v>
      </c>
      <c r="V18" s="28" t="str">
        <f t="shared" si="2"/>
        <v>Prof. Dr. Banu KILIÇASLAN§1</v>
      </c>
      <c r="W18" s="28">
        <f>IF(U18=1,COUNTIF($U$2:U18,1),"")</f>
        <v>17</v>
      </c>
    </row>
    <row r="19" spans="1:23" ht="63" customHeight="1" x14ac:dyDescent="0.25">
      <c r="A19" s="42" t="s">
        <v>193</v>
      </c>
      <c r="B19" s="42" t="s">
        <v>194</v>
      </c>
      <c r="C19" s="43" t="s">
        <v>195</v>
      </c>
      <c r="D19" s="43" t="s">
        <v>196</v>
      </c>
      <c r="E19" s="44" t="s">
        <v>197</v>
      </c>
      <c r="F19" s="44" t="s">
        <v>198</v>
      </c>
      <c r="G19" s="45" t="s">
        <v>34</v>
      </c>
      <c r="H19" s="46"/>
      <c r="I19" s="47">
        <v>46028</v>
      </c>
      <c r="J19" s="43" t="s">
        <v>67</v>
      </c>
      <c r="K19" s="43" t="s">
        <v>68</v>
      </c>
      <c r="L19" s="49" t="s">
        <v>69</v>
      </c>
      <c r="M19" s="49"/>
      <c r="N19" s="49"/>
      <c r="O19" s="48"/>
      <c r="P19" s="49" t="str">
        <f t="shared" si="0"/>
        <v>ONAY</v>
      </c>
      <c r="R19" s="50" t="str">
        <f t="shared" si="1"/>
        <v/>
      </c>
      <c r="T19" s="51" t="s">
        <v>199</v>
      </c>
      <c r="U19" s="28">
        <f>IF($C19&lt;&gt;"",COUNTIF($C$2:C19,C19),"")</f>
        <v>1</v>
      </c>
      <c r="V19" s="28" t="str">
        <f t="shared" si="2"/>
        <v>Doç. Dr. Ulaş KUMBASAR§1</v>
      </c>
      <c r="W19" s="28">
        <f>IF(U19=1,COUNTIF($U$2:U19,1),"")</f>
        <v>18</v>
      </c>
    </row>
    <row r="20" spans="1:23" ht="76.5" customHeight="1" x14ac:dyDescent="0.25">
      <c r="A20" s="42" t="s">
        <v>200</v>
      </c>
      <c r="B20" s="42" t="s">
        <v>201</v>
      </c>
      <c r="C20" s="43" t="s">
        <v>202</v>
      </c>
      <c r="D20" s="43" t="s">
        <v>203</v>
      </c>
      <c r="E20" s="44" t="s">
        <v>204</v>
      </c>
      <c r="F20" s="44" t="s">
        <v>205</v>
      </c>
      <c r="G20" s="45" t="s">
        <v>34</v>
      </c>
      <c r="H20" s="46"/>
      <c r="I20" s="47">
        <v>46028</v>
      </c>
      <c r="J20" s="43" t="s">
        <v>86</v>
      </c>
      <c r="K20" s="43" t="s">
        <v>128</v>
      </c>
      <c r="L20" s="49" t="s">
        <v>69</v>
      </c>
      <c r="M20" s="49"/>
      <c r="N20" s="49"/>
      <c r="O20" s="48"/>
      <c r="P20" s="49" t="str">
        <f t="shared" si="0"/>
        <v>ONAY</v>
      </c>
      <c r="R20" s="50" t="str">
        <f t="shared" si="1"/>
        <v/>
      </c>
      <c r="T20" s="51" t="s">
        <v>206</v>
      </c>
      <c r="U20" s="28">
        <f>IF($C20&lt;&gt;"",COUNTIF($C$2:C20,C20),"")</f>
        <v>1</v>
      </c>
      <c r="V20" s="28" t="str">
        <f t="shared" si="2"/>
        <v>Dr. Öğr. Üyesi Figen BEZCİ AYGÜN§1</v>
      </c>
      <c r="W20" s="28">
        <f>IF(U20=1,COUNTIF($U$2:U20,1),"")</f>
        <v>19</v>
      </c>
    </row>
    <row r="21" spans="1:23" ht="80.25" customHeight="1" x14ac:dyDescent="0.25">
      <c r="A21" s="42" t="s">
        <v>207</v>
      </c>
      <c r="B21" s="42" t="s">
        <v>208</v>
      </c>
      <c r="C21" s="43" t="s">
        <v>202</v>
      </c>
      <c r="D21" s="43" t="s">
        <v>203</v>
      </c>
      <c r="E21" s="44" t="s">
        <v>209</v>
      </c>
      <c r="F21" s="44" t="s">
        <v>210</v>
      </c>
      <c r="G21" s="45" t="s">
        <v>34</v>
      </c>
      <c r="H21" s="46"/>
      <c r="I21" s="47">
        <v>46028</v>
      </c>
      <c r="J21" s="43" t="s">
        <v>85</v>
      </c>
      <c r="K21" s="43" t="s">
        <v>104</v>
      </c>
      <c r="L21" s="49" t="s">
        <v>69</v>
      </c>
      <c r="M21" s="49"/>
      <c r="N21" s="49"/>
      <c r="O21" s="48"/>
      <c r="P21" s="49" t="str">
        <f t="shared" si="0"/>
        <v>ONAY</v>
      </c>
      <c r="R21" s="50" t="str">
        <f t="shared" si="1"/>
        <v/>
      </c>
      <c r="T21" s="51" t="s">
        <v>211</v>
      </c>
      <c r="U21" s="28">
        <f>IF($C21&lt;&gt;"",COUNTIF($C$2:C21,C21),"")</f>
        <v>2</v>
      </c>
      <c r="V21" s="28" t="str">
        <f t="shared" si="2"/>
        <v>Dr. Öğr. Üyesi Figen BEZCİ AYGÜN§2</v>
      </c>
      <c r="W21" s="28" t="str">
        <f>IF(U21=1,COUNTIF($U$2:U21,1),"")</f>
        <v/>
      </c>
    </row>
    <row r="22" spans="1:23" ht="63" customHeight="1" x14ac:dyDescent="0.25">
      <c r="A22" s="42" t="s">
        <v>212</v>
      </c>
      <c r="B22" s="42" t="s">
        <v>213</v>
      </c>
      <c r="C22" s="43" t="s">
        <v>214</v>
      </c>
      <c r="D22" s="43" t="s">
        <v>215</v>
      </c>
      <c r="E22" s="44" t="s">
        <v>216</v>
      </c>
      <c r="F22" s="44" t="s">
        <v>217</v>
      </c>
      <c r="G22" s="45" t="s">
        <v>37</v>
      </c>
      <c r="H22" s="46"/>
      <c r="I22" s="47">
        <v>46028</v>
      </c>
      <c r="J22" s="43" t="s">
        <v>113</v>
      </c>
      <c r="K22" s="43" t="s">
        <v>105</v>
      </c>
      <c r="L22" s="49" t="s">
        <v>96</v>
      </c>
      <c r="M22" s="49" t="s">
        <v>218</v>
      </c>
      <c r="N22" s="49" t="s">
        <v>69</v>
      </c>
      <c r="O22" s="48"/>
      <c r="P22" s="49" t="str">
        <f t="shared" si="0"/>
        <v>ONAY</v>
      </c>
      <c r="Q22" s="27" t="s">
        <v>113</v>
      </c>
      <c r="R22" s="50" t="str">
        <f t="shared" si="1"/>
        <v/>
      </c>
      <c r="T22" s="51" t="s">
        <v>219</v>
      </c>
      <c r="U22" s="28">
        <f>IF($C22&lt;&gt;"",COUNTIF($C$2:C22,C22),"")</f>
        <v>1</v>
      </c>
      <c r="V22" s="28" t="str">
        <f t="shared" si="2"/>
        <v>Prof. Dr. Oğuz IŞIK§1</v>
      </c>
      <c r="W22" s="28">
        <f>IF(U22=1,COUNTIF($U$2:U22,1),"")</f>
        <v>20</v>
      </c>
    </row>
    <row r="23" spans="1:23" ht="63" customHeight="1" x14ac:dyDescent="0.25">
      <c r="A23" s="42" t="s">
        <v>220</v>
      </c>
      <c r="B23" s="42" t="s">
        <v>221</v>
      </c>
      <c r="C23" s="43" t="s">
        <v>222</v>
      </c>
      <c r="D23" s="43" t="s">
        <v>133</v>
      </c>
      <c r="E23" s="44" t="s">
        <v>223</v>
      </c>
      <c r="F23" s="44" t="s">
        <v>224</v>
      </c>
      <c r="G23" s="45" t="s">
        <v>35</v>
      </c>
      <c r="H23" s="46"/>
      <c r="I23" s="47">
        <v>46028</v>
      </c>
      <c r="J23" s="43" t="s">
        <v>95</v>
      </c>
      <c r="K23" s="43" t="s">
        <v>77</v>
      </c>
      <c r="L23" s="49" t="s">
        <v>96</v>
      </c>
      <c r="M23" s="49" t="s">
        <v>69</v>
      </c>
      <c r="N23" s="49"/>
      <c r="O23" s="48"/>
      <c r="P23" s="49" t="str">
        <f t="shared" si="0"/>
        <v>ONAY</v>
      </c>
      <c r="Q23" s="27" t="s">
        <v>95</v>
      </c>
      <c r="R23" s="50" t="str">
        <f t="shared" si="1"/>
        <v/>
      </c>
      <c r="T23" s="51" t="s">
        <v>225</v>
      </c>
      <c r="U23" s="28">
        <f>IF($C23&lt;&gt;"",COUNTIF($C$2:C23,C23),"")</f>
        <v>1</v>
      </c>
      <c r="V23" s="28" t="str">
        <f t="shared" si="2"/>
        <v>Doç. Dr. Dilek ÜNAL§1</v>
      </c>
      <c r="W23" s="28">
        <f>IF(U23=1,COUNTIF($U$2:U23,1),"")</f>
        <v>21</v>
      </c>
    </row>
    <row r="24" spans="1:23" ht="78.75" customHeight="1" x14ac:dyDescent="0.25">
      <c r="A24" s="42" t="s">
        <v>226</v>
      </c>
      <c r="B24" s="42" t="s">
        <v>227</v>
      </c>
      <c r="C24" s="43" t="s">
        <v>228</v>
      </c>
      <c r="D24" s="43" t="s">
        <v>229</v>
      </c>
      <c r="E24" s="44" t="s">
        <v>230</v>
      </c>
      <c r="F24" s="44" t="s">
        <v>231</v>
      </c>
      <c r="G24" s="45" t="s">
        <v>34</v>
      </c>
      <c r="H24" s="46"/>
      <c r="I24" s="47">
        <v>46028</v>
      </c>
      <c r="J24" s="43" t="s">
        <v>121</v>
      </c>
      <c r="K24" s="43" t="s">
        <v>86</v>
      </c>
      <c r="L24" s="49" t="s">
        <v>218</v>
      </c>
      <c r="M24" s="49" t="s">
        <v>232</v>
      </c>
      <c r="N24" s="49"/>
      <c r="O24" s="48"/>
      <c r="P24" s="49" t="str">
        <f t="shared" si="0"/>
        <v>KAEK</v>
      </c>
      <c r="R24" s="50" t="str">
        <f t="shared" si="1"/>
        <v/>
      </c>
      <c r="T24" s="51" t="s">
        <v>233</v>
      </c>
      <c r="U24" s="28">
        <f>IF($C24&lt;&gt;"",COUNTIF($C$2:C24,C24),"")</f>
        <v>1</v>
      </c>
      <c r="V24" s="28" t="str">
        <f t="shared" si="2"/>
        <v>Prof. Dr. Emre TOSUN§1</v>
      </c>
      <c r="W24" s="28">
        <f>IF(U24=1,COUNTIF($U$2:U24,1),"")</f>
        <v>22</v>
      </c>
    </row>
    <row r="25" spans="1:23" ht="94.5" customHeight="1" x14ac:dyDescent="0.25">
      <c r="A25" s="42" t="s">
        <v>234</v>
      </c>
      <c r="B25" s="42" t="s">
        <v>235</v>
      </c>
      <c r="C25" s="43" t="s">
        <v>236</v>
      </c>
      <c r="D25" s="43" t="s">
        <v>237</v>
      </c>
      <c r="E25" s="44" t="s">
        <v>238</v>
      </c>
      <c r="F25" s="44" t="s">
        <v>239</v>
      </c>
      <c r="G25" s="45" t="s">
        <v>34</v>
      </c>
      <c r="H25" s="46"/>
      <c r="I25" s="47">
        <v>46028</v>
      </c>
      <c r="J25" s="43" t="s">
        <v>95</v>
      </c>
      <c r="K25" s="43" t="s">
        <v>104</v>
      </c>
      <c r="L25" s="49" t="s">
        <v>218</v>
      </c>
      <c r="M25" s="49" t="s">
        <v>96</v>
      </c>
      <c r="N25" s="49" t="s">
        <v>69</v>
      </c>
      <c r="O25" s="48"/>
      <c r="P25" s="49" t="str">
        <f t="shared" si="0"/>
        <v>ONAY</v>
      </c>
      <c r="Q25" s="27" t="s">
        <v>104</v>
      </c>
      <c r="R25" s="50" t="str">
        <f t="shared" si="1"/>
        <v/>
      </c>
      <c r="T25" s="51" t="s">
        <v>240</v>
      </c>
      <c r="U25" s="28">
        <f>IF($C25&lt;&gt;"",COUNTIF($C$2:C25,C25),"")</f>
        <v>1</v>
      </c>
      <c r="V25" s="28" t="str">
        <f t="shared" si="2"/>
        <v>Prof. Dr. Seza ÖZEN§1</v>
      </c>
      <c r="W25" s="28">
        <f>IF(U25=1,COUNTIF($U$2:U25,1),"")</f>
        <v>23</v>
      </c>
    </row>
    <row r="26" spans="1:23" ht="63" customHeight="1" x14ac:dyDescent="0.25">
      <c r="A26" s="42" t="s">
        <v>241</v>
      </c>
      <c r="B26" s="42" t="s">
        <v>242</v>
      </c>
      <c r="C26" s="43" t="s">
        <v>243</v>
      </c>
      <c r="D26" s="43" t="s">
        <v>244</v>
      </c>
      <c r="E26" s="44" t="s">
        <v>245</v>
      </c>
      <c r="F26" s="44" t="s">
        <v>246</v>
      </c>
      <c r="G26" s="45" t="s">
        <v>34</v>
      </c>
      <c r="H26" s="46"/>
      <c r="I26" s="47">
        <v>46028</v>
      </c>
      <c r="J26" s="43" t="s">
        <v>86</v>
      </c>
      <c r="K26" s="43" t="s">
        <v>68</v>
      </c>
      <c r="L26" s="49" t="s">
        <v>69</v>
      </c>
      <c r="M26" s="49"/>
      <c r="N26" s="49"/>
      <c r="O26" s="48"/>
      <c r="P26" s="49" t="str">
        <f t="shared" si="0"/>
        <v>ONAY</v>
      </c>
      <c r="R26" s="50" t="str">
        <f t="shared" si="1"/>
        <v/>
      </c>
      <c r="T26" s="51" t="s">
        <v>247</v>
      </c>
      <c r="U26" s="28">
        <f>IF($C26&lt;&gt;"",COUNTIF($C$2:C26,C26),"")</f>
        <v>1</v>
      </c>
      <c r="V26" s="28" t="str">
        <f t="shared" si="2"/>
        <v>Dr. Öğr. Üyesi Gonca ÖZTEN DERE§1</v>
      </c>
      <c r="W26" s="28">
        <f>IF(U26=1,COUNTIF($U$2:U26,1),"")</f>
        <v>24</v>
      </c>
    </row>
    <row r="27" spans="1:23" ht="63" customHeight="1" x14ac:dyDescent="0.25">
      <c r="A27" s="42" t="s">
        <v>248</v>
      </c>
      <c r="B27" s="42" t="s">
        <v>249</v>
      </c>
      <c r="C27" s="43" t="s">
        <v>250</v>
      </c>
      <c r="D27" s="43" t="s">
        <v>251</v>
      </c>
      <c r="E27" s="44" t="s">
        <v>252</v>
      </c>
      <c r="F27" s="44" t="s">
        <v>253</v>
      </c>
      <c r="G27" s="45" t="s">
        <v>34</v>
      </c>
      <c r="H27" s="46"/>
      <c r="I27" s="47">
        <v>46028</v>
      </c>
      <c r="J27" s="43" t="s">
        <v>85</v>
      </c>
      <c r="K27" s="43" t="s">
        <v>121</v>
      </c>
      <c r="L27" s="49" t="s">
        <v>69</v>
      </c>
      <c r="M27" s="49"/>
      <c r="N27" s="49"/>
      <c r="O27" s="48"/>
      <c r="P27" s="49" t="str">
        <f t="shared" si="0"/>
        <v>ONAY</v>
      </c>
      <c r="R27" s="50" t="str">
        <f t="shared" si="1"/>
        <v/>
      </c>
      <c r="T27" s="51" t="s">
        <v>254</v>
      </c>
      <c r="U27" s="28">
        <f>IF($C27&lt;&gt;"",COUNTIF($C$2:C27,C27),"")</f>
        <v>1</v>
      </c>
      <c r="V27" s="28" t="str">
        <f t="shared" si="2"/>
        <v>Prof. Dr. Hikmet YORGUN§1</v>
      </c>
      <c r="W27" s="28">
        <f>IF(U27=1,COUNTIF($U$2:U27,1),"")</f>
        <v>25</v>
      </c>
    </row>
    <row r="28" spans="1:23" ht="63" customHeight="1" x14ac:dyDescent="0.25">
      <c r="A28" s="42" t="s">
        <v>255</v>
      </c>
      <c r="B28" s="42" t="s">
        <v>256</v>
      </c>
      <c r="C28" s="43" t="s">
        <v>167</v>
      </c>
      <c r="D28" s="43" t="s">
        <v>168</v>
      </c>
      <c r="E28" s="44" t="s">
        <v>257</v>
      </c>
      <c r="F28" s="44" t="s">
        <v>258</v>
      </c>
      <c r="G28" s="45" t="s">
        <v>34</v>
      </c>
      <c r="H28" s="46"/>
      <c r="I28" s="47">
        <v>46028</v>
      </c>
      <c r="J28" s="43" t="s">
        <v>113</v>
      </c>
      <c r="K28" s="43" t="s">
        <v>94</v>
      </c>
      <c r="L28" s="49" t="s">
        <v>69</v>
      </c>
      <c r="M28" s="49"/>
      <c r="N28" s="49"/>
      <c r="O28" s="48"/>
      <c r="P28" s="49" t="str">
        <f t="shared" si="0"/>
        <v>ONAY</v>
      </c>
      <c r="R28" s="50" t="str">
        <f t="shared" si="1"/>
        <v/>
      </c>
      <c r="T28" s="51" t="s">
        <v>259</v>
      </c>
      <c r="U28" s="28">
        <f>IF($C28&lt;&gt;"",COUNTIF($C$2:C28,C28),"")</f>
        <v>2</v>
      </c>
      <c r="V28" s="28" t="str">
        <f t="shared" si="2"/>
        <v>Dr. Öğr. Üyesi Yiğitcan KARANFİL§2</v>
      </c>
      <c r="W28" s="28" t="str">
        <f>IF(U28=1,COUNTIF($U$2:U28,1),"")</f>
        <v/>
      </c>
    </row>
    <row r="29" spans="1:23" ht="47.25" customHeight="1" x14ac:dyDescent="0.25">
      <c r="A29" s="42" t="s">
        <v>260</v>
      </c>
      <c r="B29" s="42" t="s">
        <v>261</v>
      </c>
      <c r="C29" s="43" t="s">
        <v>262</v>
      </c>
      <c r="D29" s="43" t="s">
        <v>110</v>
      </c>
      <c r="E29" s="44" t="s">
        <v>263</v>
      </c>
      <c r="F29" s="44" t="s">
        <v>264</v>
      </c>
      <c r="G29" s="45" t="s">
        <v>34</v>
      </c>
      <c r="H29" s="46"/>
      <c r="I29" s="47">
        <v>46028</v>
      </c>
      <c r="J29" s="43" t="s">
        <v>86</v>
      </c>
      <c r="K29" s="43" t="s">
        <v>77</v>
      </c>
      <c r="L29" s="49" t="s">
        <v>69</v>
      </c>
      <c r="M29" s="49"/>
      <c r="N29" s="49"/>
      <c r="O29" s="48"/>
      <c r="P29" s="49" t="str">
        <f t="shared" si="0"/>
        <v>ONAY</v>
      </c>
      <c r="R29" s="50" t="str">
        <f t="shared" si="1"/>
        <v/>
      </c>
      <c r="T29" s="51" t="s">
        <v>265</v>
      </c>
      <c r="U29" s="28">
        <f>IF($C29&lt;&gt;"",COUNTIF($C$2:C29,C29),"")</f>
        <v>1</v>
      </c>
      <c r="V29" s="28" t="str">
        <f t="shared" si="2"/>
        <v>Doç. Dr. Levent KILIÇ§1</v>
      </c>
      <c r="W29" s="28">
        <f>IF(U29=1,COUNTIF($U$2:U29,1),"")</f>
        <v>26</v>
      </c>
    </row>
    <row r="30" spans="1:23" ht="63" customHeight="1" x14ac:dyDescent="0.25">
      <c r="A30" s="42" t="s">
        <v>266</v>
      </c>
      <c r="B30" s="42" t="s">
        <v>267</v>
      </c>
      <c r="C30" s="43" t="s">
        <v>268</v>
      </c>
      <c r="D30" s="43" t="s">
        <v>251</v>
      </c>
      <c r="E30" s="44" t="s">
        <v>269</v>
      </c>
      <c r="F30" s="44" t="s">
        <v>270</v>
      </c>
      <c r="G30" s="45" t="s">
        <v>34</v>
      </c>
      <c r="H30" s="47">
        <v>46017</v>
      </c>
      <c r="I30" s="47">
        <v>46028</v>
      </c>
      <c r="J30" s="43" t="s">
        <v>105</v>
      </c>
      <c r="K30" s="43" t="s">
        <v>128</v>
      </c>
      <c r="L30" s="49" t="s">
        <v>69</v>
      </c>
      <c r="M30" s="49"/>
      <c r="N30" s="49"/>
      <c r="O30" s="48"/>
      <c r="P30" s="49" t="str">
        <f t="shared" si="0"/>
        <v>ONAY</v>
      </c>
      <c r="R30" s="50" t="str">
        <f t="shared" si="1"/>
        <v/>
      </c>
      <c r="T30" s="51" t="s">
        <v>271</v>
      </c>
      <c r="U30" s="28">
        <f>IF($C30&lt;&gt;"",COUNTIF($C$2:C30,C30),"")</f>
        <v>1</v>
      </c>
      <c r="V30" s="28" t="str">
        <f t="shared" si="2"/>
        <v>Prof. Dr. Kudret AYTEMİR§1</v>
      </c>
      <c r="W30" s="28">
        <f>IF(U30=1,COUNTIF($U$2:U30,1),"")</f>
        <v>27</v>
      </c>
    </row>
    <row r="31" spans="1:23" ht="93.75" customHeight="1" x14ac:dyDescent="0.25">
      <c r="A31" s="42" t="s">
        <v>272</v>
      </c>
      <c r="B31" s="42" t="s">
        <v>273</v>
      </c>
      <c r="C31" s="43" t="s">
        <v>174</v>
      </c>
      <c r="D31" s="43" t="s">
        <v>175</v>
      </c>
      <c r="E31" s="44" t="s">
        <v>274</v>
      </c>
      <c r="F31" s="44" t="s">
        <v>275</v>
      </c>
      <c r="G31" s="45" t="s">
        <v>34</v>
      </c>
      <c r="H31" s="47">
        <v>46017</v>
      </c>
      <c r="I31" s="47">
        <v>46028</v>
      </c>
      <c r="J31" s="43" t="s">
        <v>105</v>
      </c>
      <c r="K31" s="43" t="s">
        <v>68</v>
      </c>
      <c r="L31" s="49" t="s">
        <v>96</v>
      </c>
      <c r="M31" s="49" t="s">
        <v>69</v>
      </c>
      <c r="N31" s="49"/>
      <c r="O31" s="48"/>
      <c r="P31" s="49" t="str">
        <f t="shared" si="0"/>
        <v>ONAY</v>
      </c>
      <c r="Q31" s="27" t="s">
        <v>105</v>
      </c>
      <c r="R31" s="50" t="str">
        <f t="shared" si="1"/>
        <v/>
      </c>
      <c r="T31" s="51" t="s">
        <v>276</v>
      </c>
      <c r="U31" s="28">
        <f>IF($C31&lt;&gt;"",COUNTIF($C$2:C31,C31),"")</f>
        <v>2</v>
      </c>
      <c r="V31" s="28" t="str">
        <f t="shared" si="2"/>
        <v>Prof. Dr. Ali Fuat KALYONCU§2</v>
      </c>
      <c r="W31" s="28" t="str">
        <f>IF(U31=1,COUNTIF($U$2:U31,1),"")</f>
        <v/>
      </c>
    </row>
    <row r="32" spans="1:23" ht="94.5" customHeight="1" x14ac:dyDescent="0.25">
      <c r="A32" s="42" t="s">
        <v>277</v>
      </c>
      <c r="B32" s="42" t="s">
        <v>278</v>
      </c>
      <c r="C32" s="43" t="s">
        <v>174</v>
      </c>
      <c r="D32" s="43" t="s">
        <v>175</v>
      </c>
      <c r="E32" s="44" t="s">
        <v>274</v>
      </c>
      <c r="F32" s="44" t="s">
        <v>279</v>
      </c>
      <c r="G32" s="45" t="s">
        <v>34</v>
      </c>
      <c r="H32" s="47">
        <v>46017</v>
      </c>
      <c r="I32" s="47">
        <v>46028</v>
      </c>
      <c r="J32" s="43" t="s">
        <v>105</v>
      </c>
      <c r="K32" s="43" t="s">
        <v>128</v>
      </c>
      <c r="L32" s="49" t="s">
        <v>96</v>
      </c>
      <c r="M32" s="49"/>
      <c r="N32" s="49"/>
      <c r="O32" s="48"/>
      <c r="P32" s="49" t="str">
        <f t="shared" si="0"/>
        <v>DÜZELTME</v>
      </c>
      <c r="R32" s="50" t="str">
        <f t="shared" si="1"/>
        <v/>
      </c>
      <c r="T32" s="51" t="s">
        <v>280</v>
      </c>
      <c r="U32" s="28">
        <f>IF($C32&lt;&gt;"",COUNTIF($C$2:C32,C32),"")</f>
        <v>3</v>
      </c>
      <c r="V32" s="28" t="str">
        <f t="shared" si="2"/>
        <v>Prof. Dr. Ali Fuat KALYONCU§3</v>
      </c>
      <c r="W32" s="28" t="str">
        <f>IF(U32=1,COUNTIF($U$2:U32,1),"")</f>
        <v/>
      </c>
    </row>
    <row r="33" spans="1:23" ht="94.5" customHeight="1" x14ac:dyDescent="0.25">
      <c r="A33" s="42" t="s">
        <v>281</v>
      </c>
      <c r="B33" s="42" t="s">
        <v>282</v>
      </c>
      <c r="C33" s="43" t="s">
        <v>283</v>
      </c>
      <c r="D33" s="43" t="s">
        <v>175</v>
      </c>
      <c r="E33" s="44" t="s">
        <v>284</v>
      </c>
      <c r="F33" s="44" t="s">
        <v>285</v>
      </c>
      <c r="G33" s="45" t="s">
        <v>34</v>
      </c>
      <c r="H33" s="47">
        <v>46017</v>
      </c>
      <c r="I33" s="47">
        <v>46028</v>
      </c>
      <c r="J33" s="43" t="s">
        <v>128</v>
      </c>
      <c r="K33" s="43" t="s">
        <v>77</v>
      </c>
      <c r="L33" s="49" t="s">
        <v>69</v>
      </c>
      <c r="M33" s="49"/>
      <c r="N33" s="49"/>
      <c r="O33" s="48"/>
      <c r="P33" s="49" t="str">
        <f t="shared" si="0"/>
        <v>ONAY</v>
      </c>
      <c r="R33" s="50" t="str">
        <f t="shared" si="1"/>
        <v/>
      </c>
      <c r="T33" s="51" t="s">
        <v>286</v>
      </c>
      <c r="U33" s="28">
        <f>IF($C33&lt;&gt;"",COUNTIF($C$2:C33,C33),"")</f>
        <v>1</v>
      </c>
      <c r="V33" s="28" t="str">
        <f t="shared" si="2"/>
        <v>Prof. Dr. Ebru DAMADOĞLU§1</v>
      </c>
      <c r="W33" s="28">
        <f>IF(U33=1,COUNTIF($U$2:U33,1),"")</f>
        <v>28</v>
      </c>
    </row>
    <row r="34" spans="1:23" ht="63" customHeight="1" x14ac:dyDescent="0.25">
      <c r="A34" s="42" t="s">
        <v>287</v>
      </c>
      <c r="B34" s="42" t="s">
        <v>288</v>
      </c>
      <c r="C34" s="43" t="s">
        <v>109</v>
      </c>
      <c r="D34" s="43" t="s">
        <v>110</v>
      </c>
      <c r="E34" s="44" t="s">
        <v>289</v>
      </c>
      <c r="F34" s="44" t="s">
        <v>290</v>
      </c>
      <c r="G34" s="45" t="s">
        <v>35</v>
      </c>
      <c r="H34" s="47">
        <v>46017</v>
      </c>
      <c r="I34" s="47">
        <v>46028</v>
      </c>
      <c r="J34" s="43" t="s">
        <v>94</v>
      </c>
      <c r="K34" s="43" t="s">
        <v>104</v>
      </c>
      <c r="L34" s="49" t="s">
        <v>69</v>
      </c>
      <c r="M34" s="49"/>
      <c r="N34" s="49"/>
      <c r="O34" s="48"/>
      <c r="P34" s="49" t="str">
        <f t="shared" si="0"/>
        <v>ONAY</v>
      </c>
      <c r="R34" s="50" t="str">
        <f t="shared" si="1"/>
        <v/>
      </c>
      <c r="T34" s="51" t="s">
        <v>291</v>
      </c>
      <c r="U34" s="28">
        <f>IF($C34&lt;&gt;"",COUNTIF($C$2:C34,C34),"")</f>
        <v>2</v>
      </c>
      <c r="V34" s="28" t="str">
        <f t="shared" si="2"/>
        <v>Prof. Dr. Meltem Gülhan HALİL§2</v>
      </c>
      <c r="W34" s="28" t="str">
        <f>IF(U34=1,COUNTIF($U$2:U34,1),"")</f>
        <v/>
      </c>
    </row>
    <row r="35" spans="1:23" ht="63" customHeight="1" x14ac:dyDescent="0.25">
      <c r="A35" s="42" t="s">
        <v>292</v>
      </c>
      <c r="B35" s="42" t="s">
        <v>293</v>
      </c>
      <c r="C35" s="43" t="s">
        <v>294</v>
      </c>
      <c r="D35" s="43" t="s">
        <v>295</v>
      </c>
      <c r="E35" s="44" t="s">
        <v>296</v>
      </c>
      <c r="F35" s="44" t="s">
        <v>297</v>
      </c>
      <c r="G35" s="45" t="s">
        <v>34</v>
      </c>
      <c r="H35" s="47">
        <v>46017</v>
      </c>
      <c r="I35" s="47">
        <v>46028</v>
      </c>
      <c r="J35" s="43" t="s">
        <v>121</v>
      </c>
      <c r="K35" s="43" t="s">
        <v>113</v>
      </c>
      <c r="L35" s="49" t="s">
        <v>69</v>
      </c>
      <c r="M35" s="49"/>
      <c r="N35" s="49"/>
      <c r="O35" s="48"/>
      <c r="P35" s="49" t="str">
        <f t="shared" si="0"/>
        <v>ONAY</v>
      </c>
      <c r="R35" s="50" t="str">
        <f t="shared" si="1"/>
        <v/>
      </c>
      <c r="T35" s="51" t="s">
        <v>298</v>
      </c>
      <c r="U35" s="28">
        <f>IF($C35&lt;&gt;"",COUNTIF($C$2:C35,C35),"")</f>
        <v>1</v>
      </c>
      <c r="V35" s="28" t="str">
        <f t="shared" si="2"/>
        <v>Öğr. Gör. Dr. Bahattin PASLI§1</v>
      </c>
      <c r="W35" s="28">
        <f>IF(U35=1,COUNTIF($U$2:U35,1),"")</f>
        <v>29</v>
      </c>
    </row>
    <row r="36" spans="1:23" ht="78.75" customHeight="1" x14ac:dyDescent="0.25">
      <c r="A36" s="42" t="s">
        <v>299</v>
      </c>
      <c r="B36" s="42" t="s">
        <v>300</v>
      </c>
      <c r="C36" s="43" t="s">
        <v>294</v>
      </c>
      <c r="D36" s="43" t="s">
        <v>295</v>
      </c>
      <c r="E36" s="44" t="s">
        <v>301</v>
      </c>
      <c r="F36" s="44" t="s">
        <v>302</v>
      </c>
      <c r="G36" s="45" t="s">
        <v>34</v>
      </c>
      <c r="H36" s="47">
        <v>46017</v>
      </c>
      <c r="I36" s="47">
        <v>46028</v>
      </c>
      <c r="J36" s="43" t="s">
        <v>85</v>
      </c>
      <c r="K36" s="43" t="s">
        <v>113</v>
      </c>
      <c r="L36" s="49" t="s">
        <v>69</v>
      </c>
      <c r="M36" s="49"/>
      <c r="N36" s="49"/>
      <c r="O36" s="48"/>
      <c r="P36" s="49" t="str">
        <f t="shared" si="0"/>
        <v>ONAY</v>
      </c>
      <c r="R36" s="50" t="str">
        <f t="shared" si="1"/>
        <v/>
      </c>
      <c r="T36" s="51" t="s">
        <v>303</v>
      </c>
      <c r="U36" s="28">
        <f>IF($C36&lt;&gt;"",COUNTIF($C$2:C36,C36),"")</f>
        <v>2</v>
      </c>
      <c r="V36" s="28" t="str">
        <f t="shared" si="2"/>
        <v>Öğr. Gör. Dr. Bahattin PASLI§2</v>
      </c>
      <c r="W36" s="28" t="str">
        <f>IF(U36=1,COUNTIF($U$2:U36,1),"")</f>
        <v/>
      </c>
    </row>
    <row r="37" spans="1:23" ht="78.75" customHeight="1" x14ac:dyDescent="0.25">
      <c r="A37" s="42" t="s">
        <v>304</v>
      </c>
      <c r="B37" s="42" t="s">
        <v>305</v>
      </c>
      <c r="C37" s="43" t="s">
        <v>306</v>
      </c>
      <c r="D37" s="43" t="s">
        <v>307</v>
      </c>
      <c r="E37" s="44" t="s">
        <v>308</v>
      </c>
      <c r="F37" s="44" t="s">
        <v>309</v>
      </c>
      <c r="G37" s="45" t="s">
        <v>34</v>
      </c>
      <c r="H37" s="47">
        <v>46017</v>
      </c>
      <c r="I37" s="47">
        <v>46028</v>
      </c>
      <c r="J37" s="43" t="s">
        <v>85</v>
      </c>
      <c r="K37" s="43" t="s">
        <v>86</v>
      </c>
      <c r="L37" s="49" t="s">
        <v>69</v>
      </c>
      <c r="M37" s="49"/>
      <c r="N37" s="49"/>
      <c r="O37" s="48"/>
      <c r="P37" s="49" t="str">
        <f t="shared" si="0"/>
        <v>ONAY</v>
      </c>
      <c r="R37" s="50" t="str">
        <f t="shared" si="1"/>
        <v/>
      </c>
      <c r="T37" s="51" t="s">
        <v>310</v>
      </c>
      <c r="U37" s="28">
        <f>IF($C37&lt;&gt;"",COUNTIF($C$2:C37,C37),"")</f>
        <v>1</v>
      </c>
      <c r="V37" s="28" t="str">
        <f t="shared" si="2"/>
        <v>Prof. Dr. Müzeyyen Pınar ÖZGEN KIRATLI§1</v>
      </c>
      <c r="W37" s="28">
        <f>IF(U37=1,COUNTIF($U$2:U37,1),"")</f>
        <v>30</v>
      </c>
    </row>
    <row r="38" spans="1:23" ht="63" customHeight="1" x14ac:dyDescent="0.25">
      <c r="A38" s="42" t="s">
        <v>311</v>
      </c>
      <c r="B38" s="42" t="s">
        <v>312</v>
      </c>
      <c r="C38" s="43" t="s">
        <v>313</v>
      </c>
      <c r="D38" s="43" t="s">
        <v>237</v>
      </c>
      <c r="E38" s="44" t="s">
        <v>314</v>
      </c>
      <c r="F38" s="44" t="s">
        <v>315</v>
      </c>
      <c r="G38" s="45" t="s">
        <v>34</v>
      </c>
      <c r="H38" s="47">
        <v>46017</v>
      </c>
      <c r="I38" s="47">
        <v>46028</v>
      </c>
      <c r="J38" s="43" t="s">
        <v>68</v>
      </c>
      <c r="K38" s="43" t="s">
        <v>95</v>
      </c>
      <c r="L38" s="49" t="s">
        <v>69</v>
      </c>
      <c r="M38" s="49"/>
      <c r="N38" s="49"/>
      <c r="O38" s="48"/>
      <c r="P38" s="49" t="str">
        <f t="shared" si="0"/>
        <v>ONAY</v>
      </c>
      <c r="R38" s="50" t="str">
        <f t="shared" si="1"/>
        <v/>
      </c>
      <c r="T38" s="51" t="s">
        <v>316</v>
      </c>
      <c r="U38" s="28">
        <f>IF($C38&lt;&gt;"",COUNTIF($C$2:C38,C38),"")</f>
        <v>1</v>
      </c>
      <c r="V38" s="28" t="str">
        <f t="shared" si="2"/>
        <v>Prof. Dr. Yasemin ÖZSÜREKCİ§1</v>
      </c>
      <c r="W38" s="28">
        <f>IF(U38=1,COUNTIF($U$2:U38,1),"")</f>
        <v>31</v>
      </c>
    </row>
    <row r="39" spans="1:23" ht="63" customHeight="1" x14ac:dyDescent="0.25">
      <c r="A39" s="42" t="s">
        <v>317</v>
      </c>
      <c r="B39" s="42" t="s">
        <v>318</v>
      </c>
      <c r="C39" s="43" t="s">
        <v>319</v>
      </c>
      <c r="D39" s="43" t="s">
        <v>320</v>
      </c>
      <c r="E39" s="44" t="s">
        <v>321</v>
      </c>
      <c r="F39" s="44" t="s">
        <v>322</v>
      </c>
      <c r="G39" s="45" t="s">
        <v>34</v>
      </c>
      <c r="H39" s="47">
        <v>46017</v>
      </c>
      <c r="I39" s="47">
        <v>46028</v>
      </c>
      <c r="J39" s="43" t="s">
        <v>67</v>
      </c>
      <c r="K39" s="43" t="s">
        <v>86</v>
      </c>
      <c r="L39" s="49" t="s">
        <v>218</v>
      </c>
      <c r="M39" s="49" t="s">
        <v>96</v>
      </c>
      <c r="N39" s="49" t="s">
        <v>69</v>
      </c>
      <c r="O39" s="48"/>
      <c r="P39" s="49" t="str">
        <f t="shared" si="0"/>
        <v>ONAY</v>
      </c>
      <c r="Q39" s="27" t="s">
        <v>85</v>
      </c>
      <c r="R39" s="50" t="str">
        <f t="shared" si="1"/>
        <v/>
      </c>
      <c r="T39" s="51" t="s">
        <v>323</v>
      </c>
      <c r="U39" s="28">
        <f>IF($C39&lt;&gt;"",COUNTIF($C$2:C39,C39),"")</f>
        <v>1</v>
      </c>
      <c r="V39" s="28" t="str">
        <f t="shared" si="2"/>
        <v>Öğr. Gör. Dr. Burçay TELLİOĞLU§1</v>
      </c>
      <c r="W39" s="28">
        <f>IF(U39=1,COUNTIF($U$2:U39,1),"")</f>
        <v>32</v>
      </c>
    </row>
    <row r="40" spans="1:23" ht="47.25" customHeight="1" x14ac:dyDescent="0.25">
      <c r="A40" s="42" t="s">
        <v>324</v>
      </c>
      <c r="B40" s="42" t="s">
        <v>325</v>
      </c>
      <c r="C40" s="43" t="s">
        <v>326</v>
      </c>
      <c r="D40" s="43" t="s">
        <v>327</v>
      </c>
      <c r="E40" s="44" t="s">
        <v>328</v>
      </c>
      <c r="F40" s="44" t="s">
        <v>329</v>
      </c>
      <c r="G40" s="45" t="s">
        <v>34</v>
      </c>
      <c r="H40" s="47">
        <v>46017</v>
      </c>
      <c r="I40" s="47">
        <v>46028</v>
      </c>
      <c r="J40" s="43" t="s">
        <v>121</v>
      </c>
      <c r="K40" s="43" t="s">
        <v>94</v>
      </c>
      <c r="L40" s="49" t="s">
        <v>178</v>
      </c>
      <c r="M40" s="49" t="s">
        <v>69</v>
      </c>
      <c r="N40" s="49"/>
      <c r="O40" s="48"/>
      <c r="P40" s="49" t="str">
        <f t="shared" si="0"/>
        <v>ONAY</v>
      </c>
      <c r="R40" s="50" t="str">
        <f t="shared" si="1"/>
        <v/>
      </c>
      <c r="T40" s="51" t="s">
        <v>330</v>
      </c>
      <c r="U40" s="28">
        <f>IF($C40&lt;&gt;"",COUNTIF($C$2:C40,C40),"")</f>
        <v>1</v>
      </c>
      <c r="V40" s="28" t="str">
        <f t="shared" si="2"/>
        <v>Doç. Dr. Hande GÖRÜCÜ COŞKUNER§1</v>
      </c>
      <c r="W40" s="28">
        <f>IF(U40=1,COUNTIF($U$2:U40,1),"")</f>
        <v>33</v>
      </c>
    </row>
    <row r="41" spans="1:23" ht="96.75" customHeight="1" x14ac:dyDescent="0.25">
      <c r="A41" s="42" t="s">
        <v>331</v>
      </c>
      <c r="B41" s="42" t="s">
        <v>332</v>
      </c>
      <c r="C41" s="43" t="s">
        <v>333</v>
      </c>
      <c r="D41" s="43" t="s">
        <v>237</v>
      </c>
      <c r="E41" s="44" t="s">
        <v>334</v>
      </c>
      <c r="F41" s="44" t="s">
        <v>335</v>
      </c>
      <c r="G41" s="45" t="s">
        <v>34</v>
      </c>
      <c r="H41" s="47">
        <v>46017</v>
      </c>
      <c r="I41" s="47">
        <v>46028</v>
      </c>
      <c r="J41" s="43" t="s">
        <v>77</v>
      </c>
      <c r="K41" s="43" t="s">
        <v>95</v>
      </c>
      <c r="L41" s="49" t="s">
        <v>69</v>
      </c>
      <c r="M41" s="49"/>
      <c r="N41" s="49"/>
      <c r="O41" s="48"/>
      <c r="P41" s="49" t="str">
        <f t="shared" si="0"/>
        <v>ONAY</v>
      </c>
      <c r="R41" s="50" t="str">
        <f t="shared" si="1"/>
        <v/>
      </c>
      <c r="U41" s="28">
        <f>IF($C41&lt;&gt;"",COUNTIF($C$2:C41,C41),"")</f>
        <v>1</v>
      </c>
      <c r="V41" s="28" t="str">
        <f t="shared" si="2"/>
        <v>Doç. Dr. Saliha ESENBOĞA§1</v>
      </c>
      <c r="W41" s="28">
        <f>IF(U41=1,COUNTIF($U$2:U41,1),"")</f>
        <v>34</v>
      </c>
    </row>
    <row r="42" spans="1:23" ht="78.75" customHeight="1" x14ac:dyDescent="0.25">
      <c r="A42" s="42" t="s">
        <v>336</v>
      </c>
      <c r="B42" s="42" t="s">
        <v>337</v>
      </c>
      <c r="C42" s="43" t="s">
        <v>338</v>
      </c>
      <c r="D42" s="43" t="s">
        <v>251</v>
      </c>
      <c r="E42" s="44" t="s">
        <v>339</v>
      </c>
      <c r="F42" s="44" t="s">
        <v>340</v>
      </c>
      <c r="G42" s="45" t="s">
        <v>35</v>
      </c>
      <c r="H42" s="47">
        <v>46017</v>
      </c>
      <c r="I42" s="47">
        <v>46028</v>
      </c>
      <c r="J42" s="43" t="s">
        <v>104</v>
      </c>
      <c r="K42" s="43" t="s">
        <v>121</v>
      </c>
      <c r="L42" s="49" t="s">
        <v>69</v>
      </c>
      <c r="M42" s="49"/>
      <c r="N42" s="49"/>
      <c r="O42" s="48"/>
      <c r="P42" s="49" t="str">
        <f t="shared" si="0"/>
        <v>ONAY</v>
      </c>
      <c r="R42" s="50" t="str">
        <f t="shared" si="1"/>
        <v/>
      </c>
      <c r="U42" s="28">
        <f>IF($C42&lt;&gt;"",COUNTIF($C$2:C42,C42),"")</f>
        <v>1</v>
      </c>
      <c r="V42" s="28" t="str">
        <f t="shared" si="2"/>
        <v>Dr. Öğr. Üyesi Ahmet KIVRAK§1</v>
      </c>
      <c r="W42" s="28">
        <f>IF(U42=1,COUNTIF($U$2:U42,1),"")</f>
        <v>35</v>
      </c>
    </row>
    <row r="43" spans="1:23" ht="63" customHeight="1" x14ac:dyDescent="0.25">
      <c r="A43" s="42" t="s">
        <v>341</v>
      </c>
      <c r="B43" s="42" t="s">
        <v>342</v>
      </c>
      <c r="C43" s="43" t="s">
        <v>338</v>
      </c>
      <c r="D43" s="43" t="s">
        <v>251</v>
      </c>
      <c r="E43" s="44" t="s">
        <v>343</v>
      </c>
      <c r="F43" s="44" t="s">
        <v>344</v>
      </c>
      <c r="G43" s="45" t="s">
        <v>34</v>
      </c>
      <c r="H43" s="47">
        <v>46017</v>
      </c>
      <c r="I43" s="47">
        <v>46028</v>
      </c>
      <c r="J43" s="43" t="s">
        <v>105</v>
      </c>
      <c r="K43" s="43" t="s">
        <v>68</v>
      </c>
      <c r="L43" s="49" t="s">
        <v>96</v>
      </c>
      <c r="M43" s="49" t="s">
        <v>218</v>
      </c>
      <c r="N43" s="49" t="s">
        <v>69</v>
      </c>
      <c r="O43" s="48"/>
      <c r="P43" s="49" t="str">
        <f t="shared" si="0"/>
        <v>ONAY</v>
      </c>
      <c r="Q43" s="27" t="s">
        <v>85</v>
      </c>
      <c r="R43" s="50" t="str">
        <f t="shared" si="1"/>
        <v/>
      </c>
      <c r="U43" s="28">
        <f>IF($C43&lt;&gt;"",COUNTIF($C$2:C43,C43),"")</f>
        <v>2</v>
      </c>
      <c r="V43" s="28" t="str">
        <f t="shared" si="2"/>
        <v>Dr. Öğr. Üyesi Ahmet KIVRAK§2</v>
      </c>
      <c r="W43" s="28" t="str">
        <f>IF(U43=1,COUNTIF($U$2:U43,1),"")</f>
        <v/>
      </c>
    </row>
    <row r="44" spans="1:23" ht="63" customHeight="1" x14ac:dyDescent="0.25">
      <c r="A44" s="42" t="s">
        <v>345</v>
      </c>
      <c r="B44" s="42" t="s">
        <v>346</v>
      </c>
      <c r="C44" s="43" t="s">
        <v>338</v>
      </c>
      <c r="D44" s="43" t="s">
        <v>251</v>
      </c>
      <c r="E44" s="44" t="s">
        <v>343</v>
      </c>
      <c r="F44" s="44" t="s">
        <v>347</v>
      </c>
      <c r="G44" s="45" t="s">
        <v>34</v>
      </c>
      <c r="H44" s="47">
        <v>46017</v>
      </c>
      <c r="I44" s="47">
        <v>46028</v>
      </c>
      <c r="J44" s="43" t="s">
        <v>85</v>
      </c>
      <c r="K44" s="43" t="s">
        <v>67</v>
      </c>
      <c r="L44" s="49" t="s">
        <v>69</v>
      </c>
      <c r="M44" s="49"/>
      <c r="N44" s="49"/>
      <c r="O44" s="48"/>
      <c r="P44" s="49" t="str">
        <f t="shared" si="0"/>
        <v>ONAY</v>
      </c>
      <c r="R44" s="50" t="str">
        <f t="shared" si="1"/>
        <v/>
      </c>
      <c r="U44" s="28">
        <f>IF($C44&lt;&gt;"",COUNTIF($C$2:C44,C44),"")</f>
        <v>3</v>
      </c>
      <c r="V44" s="28" t="str">
        <f t="shared" si="2"/>
        <v>Dr. Öğr. Üyesi Ahmet KIVRAK§3</v>
      </c>
      <c r="W44" s="28" t="str">
        <f>IF(U44=1,COUNTIF($U$2:U44,1),"")</f>
        <v/>
      </c>
    </row>
    <row r="45" spans="1:23" ht="98.25" customHeight="1" x14ac:dyDescent="0.25">
      <c r="A45" s="42" t="s">
        <v>348</v>
      </c>
      <c r="B45" s="42" t="s">
        <v>349</v>
      </c>
      <c r="C45" s="43" t="s">
        <v>350</v>
      </c>
      <c r="D45" s="43" t="s">
        <v>110</v>
      </c>
      <c r="E45" s="44" t="s">
        <v>351</v>
      </c>
      <c r="F45" s="44" t="s">
        <v>352</v>
      </c>
      <c r="G45" s="45" t="s">
        <v>34</v>
      </c>
      <c r="H45" s="47">
        <v>46017</v>
      </c>
      <c r="I45" s="47">
        <v>46028</v>
      </c>
      <c r="J45" s="43" t="s">
        <v>67</v>
      </c>
      <c r="K45" s="43" t="s">
        <v>95</v>
      </c>
      <c r="L45" s="49" t="s">
        <v>69</v>
      </c>
      <c r="M45" s="49"/>
      <c r="N45" s="49"/>
      <c r="O45" s="48"/>
      <c r="P45" s="49" t="str">
        <f t="shared" si="0"/>
        <v>ONAY</v>
      </c>
      <c r="R45" s="50" t="str">
        <f t="shared" si="1"/>
        <v/>
      </c>
      <c r="U45" s="28">
        <f>IF($C45&lt;&gt;"",COUNTIF($C$2:C45,C45),"")</f>
        <v>1</v>
      </c>
      <c r="V45" s="28" t="str">
        <f t="shared" si="2"/>
        <v>Prof. Dr. Bülent ALTUN§1</v>
      </c>
      <c r="W45" s="28">
        <f>IF(U45=1,COUNTIF($U$2:U45,1),"")</f>
        <v>36</v>
      </c>
    </row>
    <row r="46" spans="1:23" ht="47.25" customHeight="1" x14ac:dyDescent="0.25">
      <c r="A46" s="42" t="s">
        <v>353</v>
      </c>
      <c r="B46" s="42" t="s">
        <v>354</v>
      </c>
      <c r="C46" s="43" t="s">
        <v>355</v>
      </c>
      <c r="D46" s="43" t="s">
        <v>356</v>
      </c>
      <c r="E46" s="44" t="s">
        <v>357</v>
      </c>
      <c r="F46" s="44" t="s">
        <v>358</v>
      </c>
      <c r="G46" s="45" t="s">
        <v>37</v>
      </c>
      <c r="H46" s="47">
        <v>46017</v>
      </c>
      <c r="I46" s="47">
        <v>46028</v>
      </c>
      <c r="J46" s="43" t="s">
        <v>113</v>
      </c>
      <c r="K46" s="43" t="s">
        <v>85</v>
      </c>
      <c r="L46" s="49" t="s">
        <v>69</v>
      </c>
      <c r="M46" s="49"/>
      <c r="N46" s="49"/>
      <c r="O46" s="48"/>
      <c r="P46" s="49" t="str">
        <f t="shared" si="0"/>
        <v>ONAY</v>
      </c>
      <c r="R46" s="50" t="str">
        <f t="shared" si="1"/>
        <v/>
      </c>
      <c r="U46" s="28">
        <f>IF($C46&lt;&gt;"",COUNTIF($C$2:C46,C46),"")</f>
        <v>1</v>
      </c>
      <c r="V46" s="28" t="str">
        <f t="shared" si="2"/>
        <v>Prof. Dr. Dilek ASLAN§1</v>
      </c>
      <c r="W46" s="28">
        <f>IF(U46=1,COUNTIF($U$2:U46,1),"")</f>
        <v>37</v>
      </c>
    </row>
    <row r="47" spans="1:23" ht="63" customHeight="1" x14ac:dyDescent="0.25">
      <c r="A47" s="42" t="s">
        <v>359</v>
      </c>
      <c r="B47" s="42" t="s">
        <v>360</v>
      </c>
      <c r="C47" s="43" t="s">
        <v>361</v>
      </c>
      <c r="D47" s="43" t="s">
        <v>237</v>
      </c>
      <c r="E47" s="44" t="s">
        <v>362</v>
      </c>
      <c r="F47" s="44" t="s">
        <v>363</v>
      </c>
      <c r="G47" s="45" t="s">
        <v>34</v>
      </c>
      <c r="H47" s="47">
        <v>46017</v>
      </c>
      <c r="I47" s="47">
        <v>46028</v>
      </c>
      <c r="J47" s="43" t="s">
        <v>95</v>
      </c>
      <c r="K47" s="43" t="s">
        <v>94</v>
      </c>
      <c r="L47" s="49" t="s">
        <v>69</v>
      </c>
      <c r="M47" s="49"/>
      <c r="N47" s="49"/>
      <c r="O47" s="48"/>
      <c r="P47" s="49" t="str">
        <f t="shared" si="0"/>
        <v>ONAY</v>
      </c>
      <c r="R47" s="50" t="str">
        <f t="shared" si="1"/>
        <v/>
      </c>
      <c r="U47" s="28">
        <f>IF($C47&lt;&gt;"",COUNTIF($C$2:C47,C47),"")</f>
        <v>1</v>
      </c>
      <c r="V47" s="28" t="str">
        <f t="shared" si="2"/>
        <v>Prof. Dr. Ali DÜZOVA§1</v>
      </c>
      <c r="W47" s="28">
        <f>IF(U47=1,COUNTIF($U$2:U47,1),"")</f>
        <v>38</v>
      </c>
    </row>
    <row r="48" spans="1:23" ht="126" customHeight="1" x14ac:dyDescent="0.25">
      <c r="A48" s="42" t="s">
        <v>364</v>
      </c>
      <c r="B48" s="42" t="s">
        <v>365</v>
      </c>
      <c r="C48" s="43" t="s">
        <v>366</v>
      </c>
      <c r="D48" s="43" t="s">
        <v>153</v>
      </c>
      <c r="E48" s="44" t="s">
        <v>367</v>
      </c>
      <c r="F48" s="44" t="s">
        <v>368</v>
      </c>
      <c r="G48" s="45" t="s">
        <v>34</v>
      </c>
      <c r="H48" s="47">
        <v>46017</v>
      </c>
      <c r="I48" s="47">
        <v>46028</v>
      </c>
      <c r="J48" s="43" t="s">
        <v>67</v>
      </c>
      <c r="K48" s="43" t="s">
        <v>104</v>
      </c>
      <c r="L48" s="49" t="s">
        <v>96</v>
      </c>
      <c r="M48" s="49" t="s">
        <v>69</v>
      </c>
      <c r="N48" s="49"/>
      <c r="O48" s="48"/>
      <c r="P48" s="49" t="str">
        <f t="shared" si="0"/>
        <v>ONAY</v>
      </c>
      <c r="Q48" s="27" t="s">
        <v>67</v>
      </c>
      <c r="R48" s="50" t="str">
        <f t="shared" si="1"/>
        <v/>
      </c>
      <c r="U48" s="28">
        <f>IF($C48&lt;&gt;"",COUNTIF($C$2:C48,C48),"")</f>
        <v>1</v>
      </c>
      <c r="V48" s="28" t="str">
        <f t="shared" si="2"/>
        <v>Prof. Dr. Petek KORKUSUZ§1</v>
      </c>
      <c r="W48" s="28">
        <f>IF(U48=1,COUNTIF($U$2:U48,1),"")</f>
        <v>39</v>
      </c>
    </row>
    <row r="49" spans="1:23" ht="63" customHeight="1" x14ac:dyDescent="0.25">
      <c r="A49" s="42" t="s">
        <v>369</v>
      </c>
      <c r="B49" s="42" t="s">
        <v>370</v>
      </c>
      <c r="C49" s="43" t="s">
        <v>371</v>
      </c>
      <c r="D49" s="43" t="s">
        <v>372</v>
      </c>
      <c r="E49" s="44" t="s">
        <v>373</v>
      </c>
      <c r="F49" s="44" t="s">
        <v>374</v>
      </c>
      <c r="G49" s="45" t="s">
        <v>34</v>
      </c>
      <c r="H49" s="47">
        <v>46017</v>
      </c>
      <c r="I49" s="47">
        <v>46028</v>
      </c>
      <c r="J49" s="43" t="s">
        <v>68</v>
      </c>
      <c r="K49" s="43" t="s">
        <v>86</v>
      </c>
      <c r="L49" s="49" t="s">
        <v>218</v>
      </c>
      <c r="M49" s="49" t="s">
        <v>96</v>
      </c>
      <c r="N49" s="49" t="s">
        <v>69</v>
      </c>
      <c r="O49" s="48"/>
      <c r="P49" s="49" t="str">
        <f t="shared" si="0"/>
        <v>ONAY</v>
      </c>
      <c r="Q49" s="27" t="s">
        <v>85</v>
      </c>
      <c r="R49" s="50" t="str">
        <f t="shared" si="1"/>
        <v/>
      </c>
      <c r="U49" s="28">
        <f>IF($C49&lt;&gt;"",COUNTIF($C$2:C49,C49),"")</f>
        <v>1</v>
      </c>
      <c r="V49" s="28" t="str">
        <f t="shared" si="2"/>
        <v>Prof. Dr. Sibel ERSOY EVANS§1</v>
      </c>
      <c r="W49" s="28">
        <f>IF(U49=1,COUNTIF($U$2:U49,1),"")</f>
        <v>40</v>
      </c>
    </row>
    <row r="50" spans="1:23" ht="78.75" customHeight="1" x14ac:dyDescent="0.25">
      <c r="A50" s="42" t="s">
        <v>375</v>
      </c>
      <c r="B50" s="42" t="s">
        <v>376</v>
      </c>
      <c r="C50" s="43" t="s">
        <v>377</v>
      </c>
      <c r="D50" s="43" t="s">
        <v>378</v>
      </c>
      <c r="E50" s="44" t="s">
        <v>379</v>
      </c>
      <c r="F50" s="44" t="s">
        <v>380</v>
      </c>
      <c r="G50" s="45" t="s">
        <v>35</v>
      </c>
      <c r="H50" s="47">
        <v>46020</v>
      </c>
      <c r="I50" s="47">
        <v>46028</v>
      </c>
      <c r="J50" s="43" t="s">
        <v>77</v>
      </c>
      <c r="K50" s="43" t="s">
        <v>121</v>
      </c>
      <c r="L50" s="49" t="s">
        <v>69</v>
      </c>
      <c r="M50" s="49"/>
      <c r="N50" s="49"/>
      <c r="O50" s="48"/>
      <c r="P50" s="49" t="str">
        <f t="shared" si="0"/>
        <v>ONAY</v>
      </c>
      <c r="R50" s="50" t="str">
        <f t="shared" si="1"/>
        <v/>
      </c>
      <c r="U50" s="28">
        <f>IF($C50&lt;&gt;"",COUNTIF($C$2:C50,C50),"")</f>
        <v>1</v>
      </c>
      <c r="V50" s="28" t="str">
        <f t="shared" si="2"/>
        <v>Prof. Dr. Oya ÖZDEMİR§1</v>
      </c>
      <c r="W50" s="28">
        <f>IF(U50=1,COUNTIF($U$2:U50,1),"")</f>
        <v>41</v>
      </c>
    </row>
    <row r="51" spans="1:23" ht="63" customHeight="1" x14ac:dyDescent="0.25">
      <c r="A51" s="42" t="s">
        <v>381</v>
      </c>
      <c r="B51" s="42" t="s">
        <v>382</v>
      </c>
      <c r="C51" s="43" t="s">
        <v>383</v>
      </c>
      <c r="D51" s="43" t="s">
        <v>384</v>
      </c>
      <c r="E51" s="44" t="s">
        <v>385</v>
      </c>
      <c r="F51" s="44" t="s">
        <v>386</v>
      </c>
      <c r="G51" s="45" t="s">
        <v>34</v>
      </c>
      <c r="H51" s="47">
        <v>46020</v>
      </c>
      <c r="I51" s="47">
        <v>46028</v>
      </c>
      <c r="J51" s="43" t="s">
        <v>121</v>
      </c>
      <c r="K51" s="43" t="s">
        <v>85</v>
      </c>
      <c r="L51" s="49" t="s">
        <v>96</v>
      </c>
      <c r="M51" s="49" t="s">
        <v>69</v>
      </c>
      <c r="N51" s="49"/>
      <c r="O51" s="48"/>
      <c r="P51" s="49" t="str">
        <f t="shared" si="0"/>
        <v>ONAY</v>
      </c>
      <c r="Q51" s="27" t="s">
        <v>85</v>
      </c>
      <c r="R51" s="50" t="str">
        <f t="shared" si="1"/>
        <v/>
      </c>
      <c r="U51" s="28">
        <f>IF($C51&lt;&gt;"",COUNTIF($C$2:C51,C51),"")</f>
        <v>1</v>
      </c>
      <c r="V51" s="28" t="str">
        <f t="shared" si="2"/>
        <v>Prof. Dr. Bahar GÜÇİZ DOĞAN§1</v>
      </c>
      <c r="W51" s="28">
        <f>IF(U51=1,COUNTIF($U$2:U51,1),"")</f>
        <v>42</v>
      </c>
    </row>
    <row r="52" spans="1:23" ht="78.75" customHeight="1" x14ac:dyDescent="0.25">
      <c r="A52" s="42" t="s">
        <v>387</v>
      </c>
      <c r="B52" s="42" t="s">
        <v>388</v>
      </c>
      <c r="C52" s="43" t="s">
        <v>389</v>
      </c>
      <c r="D52" s="43" t="s">
        <v>244</v>
      </c>
      <c r="E52" s="44" t="s">
        <v>390</v>
      </c>
      <c r="F52" s="44" t="s">
        <v>391</v>
      </c>
      <c r="G52" s="45" t="s">
        <v>35</v>
      </c>
      <c r="H52" s="47">
        <v>46021</v>
      </c>
      <c r="I52" s="47">
        <v>46028</v>
      </c>
      <c r="J52" s="43" t="s">
        <v>105</v>
      </c>
      <c r="K52" s="43" t="s">
        <v>104</v>
      </c>
      <c r="L52" s="49" t="s">
        <v>96</v>
      </c>
      <c r="M52" s="49" t="s">
        <v>69</v>
      </c>
      <c r="N52" s="49"/>
      <c r="O52" s="48"/>
      <c r="P52" s="49" t="str">
        <f t="shared" si="0"/>
        <v>ONAY</v>
      </c>
      <c r="Q52" s="27" t="s">
        <v>104</v>
      </c>
      <c r="R52" s="50" t="str">
        <f t="shared" si="1"/>
        <v/>
      </c>
      <c r="U52" s="28">
        <f>IF($C52&lt;&gt;"",COUNTIF($C$2:C52,C52),"")</f>
        <v>1</v>
      </c>
      <c r="V52" s="28" t="str">
        <f t="shared" si="2"/>
        <v>Doç. Dr. Erdem FADILOĞLU§1</v>
      </c>
      <c r="W52" s="28">
        <f>IF(U52=1,COUNTIF($U$2:U52,1),"")</f>
        <v>43</v>
      </c>
    </row>
    <row r="53" spans="1:23" ht="63" customHeight="1" x14ac:dyDescent="0.25">
      <c r="A53" s="42" t="s">
        <v>392</v>
      </c>
      <c r="B53" s="42" t="s">
        <v>393</v>
      </c>
      <c r="C53" s="43" t="s">
        <v>394</v>
      </c>
      <c r="D53" s="43" t="s">
        <v>395</v>
      </c>
      <c r="E53" s="44" t="s">
        <v>396</v>
      </c>
      <c r="F53" s="44" t="s">
        <v>397</v>
      </c>
      <c r="G53" s="45" t="s">
        <v>34</v>
      </c>
      <c r="H53" s="47">
        <v>46021</v>
      </c>
      <c r="I53" s="47">
        <v>46028</v>
      </c>
      <c r="J53" s="43" t="s">
        <v>67</v>
      </c>
      <c r="K53" s="43" t="s">
        <v>113</v>
      </c>
      <c r="L53" s="49" t="s">
        <v>69</v>
      </c>
      <c r="M53" s="49"/>
      <c r="N53" s="49"/>
      <c r="O53" s="48"/>
      <c r="P53" s="49" t="str">
        <f t="shared" si="0"/>
        <v>ONAY</v>
      </c>
      <c r="R53" s="50" t="str">
        <f t="shared" si="1"/>
        <v/>
      </c>
      <c r="U53" s="28">
        <f>IF($C53&lt;&gt;"",COUNTIF($C$2:C53,C53),"")</f>
        <v>1</v>
      </c>
      <c r="V53" s="28" t="str">
        <f t="shared" si="2"/>
        <v>Prof. Dr. Mehmet Akif TOPÇUOĞLU§1</v>
      </c>
      <c r="W53" s="28">
        <f>IF(U53=1,COUNTIF($U$2:U53,1),"")</f>
        <v>44</v>
      </c>
    </row>
    <row r="54" spans="1:23" ht="94.5" customHeight="1" x14ac:dyDescent="0.25">
      <c r="A54" s="42" t="s">
        <v>398</v>
      </c>
      <c r="B54" s="42" t="s">
        <v>399</v>
      </c>
      <c r="C54" s="43" t="s">
        <v>400</v>
      </c>
      <c r="D54" s="43" t="s">
        <v>372</v>
      </c>
      <c r="E54" s="44" t="s">
        <v>401</v>
      </c>
      <c r="F54" s="44" t="s">
        <v>402</v>
      </c>
      <c r="G54" s="45" t="s">
        <v>35</v>
      </c>
      <c r="H54" s="47">
        <v>46021</v>
      </c>
      <c r="I54" s="47">
        <v>46028</v>
      </c>
      <c r="J54" s="43" t="s">
        <v>85</v>
      </c>
      <c r="K54" s="43" t="s">
        <v>128</v>
      </c>
      <c r="L54" s="49" t="s">
        <v>232</v>
      </c>
      <c r="M54" s="49"/>
      <c r="N54" s="49"/>
      <c r="O54" s="48"/>
      <c r="P54" s="49" t="str">
        <f t="shared" si="0"/>
        <v>KAEK</v>
      </c>
      <c r="R54" s="50" t="str">
        <f t="shared" si="1"/>
        <v/>
      </c>
      <c r="U54" s="28">
        <f>IF($C54&lt;&gt;"",COUNTIF($C$2:C54,C54),"")</f>
        <v>1</v>
      </c>
      <c r="V54" s="28" t="str">
        <f t="shared" si="2"/>
        <v>Doç. Dr. Başak YALICI ARMAĞAN§1</v>
      </c>
      <c r="W54" s="28">
        <f>IF(U54=1,COUNTIF($U$2:U54,1),"")</f>
        <v>45</v>
      </c>
    </row>
    <row r="55" spans="1:23" ht="78.75" customHeight="1" x14ac:dyDescent="0.25">
      <c r="A55" s="42" t="s">
        <v>403</v>
      </c>
      <c r="B55" s="42" t="s">
        <v>404</v>
      </c>
      <c r="C55" s="43" t="s">
        <v>405</v>
      </c>
      <c r="D55" s="43" t="s">
        <v>372</v>
      </c>
      <c r="E55" s="44" t="s">
        <v>406</v>
      </c>
      <c r="F55" s="44" t="s">
        <v>407</v>
      </c>
      <c r="G55" s="45" t="s">
        <v>35</v>
      </c>
      <c r="H55" s="47">
        <v>46021</v>
      </c>
      <c r="I55" s="47">
        <v>46028</v>
      </c>
      <c r="J55" s="43" t="s">
        <v>77</v>
      </c>
      <c r="K55" s="43" t="s">
        <v>128</v>
      </c>
      <c r="L55" s="49" t="s">
        <v>69</v>
      </c>
      <c r="M55" s="49"/>
      <c r="N55" s="49"/>
      <c r="O55" s="48"/>
      <c r="P55" s="49" t="str">
        <f t="shared" si="0"/>
        <v>ONAY</v>
      </c>
      <c r="R55" s="50" t="str">
        <f t="shared" si="1"/>
        <v/>
      </c>
      <c r="U55" s="28">
        <f>IF($C55&lt;&gt;"",COUNTIF($C$2:C55,C55),"")</f>
        <v>1</v>
      </c>
      <c r="V55" s="28" t="str">
        <f t="shared" si="2"/>
        <v>Doç. Dr. Neslihan AKDOĞAN§1</v>
      </c>
      <c r="W55" s="28">
        <f>IF(U55=1,COUNTIF($U$2:U55,1),"")</f>
        <v>46</v>
      </c>
    </row>
    <row r="56" spans="1:23" ht="78.75" customHeight="1" x14ac:dyDescent="0.25">
      <c r="A56" s="42" t="s">
        <v>408</v>
      </c>
      <c r="B56" s="42" t="s">
        <v>409</v>
      </c>
      <c r="C56" s="43" t="s">
        <v>410</v>
      </c>
      <c r="D56" s="43" t="s">
        <v>237</v>
      </c>
      <c r="E56" s="44" t="s">
        <v>411</v>
      </c>
      <c r="F56" s="44" t="s">
        <v>412</v>
      </c>
      <c r="G56" s="45" t="s">
        <v>34</v>
      </c>
      <c r="H56" s="47">
        <v>46021</v>
      </c>
      <c r="I56" s="47">
        <v>46028</v>
      </c>
      <c r="J56" s="43" t="s">
        <v>67</v>
      </c>
      <c r="K56" s="43" t="s">
        <v>94</v>
      </c>
      <c r="L56" s="49" t="s">
        <v>69</v>
      </c>
      <c r="M56" s="49"/>
      <c r="N56" s="49"/>
      <c r="O56" s="48"/>
      <c r="P56" s="49" t="str">
        <f t="shared" si="0"/>
        <v>ONAY</v>
      </c>
      <c r="R56" s="50" t="str">
        <f t="shared" si="1"/>
        <v/>
      </c>
      <c r="U56" s="28">
        <f>IF($C56&lt;&gt;"",COUNTIF($C$2:C56,C56),"")</f>
        <v>1</v>
      </c>
      <c r="V56" s="28" t="str">
        <f t="shared" si="2"/>
        <v>Prof. Dr. Deniz ÇAĞDAŞ AYVAZ§1</v>
      </c>
      <c r="W56" s="28">
        <f>IF(U56=1,COUNTIF($U$2:U56,1),"")</f>
        <v>47</v>
      </c>
    </row>
    <row r="57" spans="1:23" ht="63" customHeight="1" x14ac:dyDescent="0.25">
      <c r="A57" s="42" t="s">
        <v>413</v>
      </c>
      <c r="B57" s="42" t="s">
        <v>414</v>
      </c>
      <c r="C57" s="43" t="s">
        <v>415</v>
      </c>
      <c r="D57" s="43" t="s">
        <v>416</v>
      </c>
      <c r="E57" s="44" t="s">
        <v>417</v>
      </c>
      <c r="F57" s="44" t="s">
        <v>418</v>
      </c>
      <c r="G57" s="45" t="s">
        <v>34</v>
      </c>
      <c r="H57" s="47">
        <v>46024</v>
      </c>
      <c r="I57" s="47">
        <v>46042</v>
      </c>
      <c r="J57" s="43" t="s">
        <v>113</v>
      </c>
      <c r="K57" s="43" t="s">
        <v>77</v>
      </c>
      <c r="L57" s="49" t="s">
        <v>96</v>
      </c>
      <c r="M57" s="49" t="s">
        <v>69</v>
      </c>
      <c r="N57" s="49"/>
      <c r="O57" s="48"/>
      <c r="P57" s="49" t="str">
        <f t="shared" si="0"/>
        <v>ONAY</v>
      </c>
      <c r="Q57" s="27" t="s">
        <v>113</v>
      </c>
      <c r="R57" s="50" t="str">
        <f t="shared" si="1"/>
        <v/>
      </c>
      <c r="U57" s="28">
        <f>IF($C57&lt;&gt;"",COUNTIF($C$2:C57,C57),"")</f>
        <v>1</v>
      </c>
      <c r="V57" s="28" t="str">
        <f t="shared" si="2"/>
        <v>Prof. Dr. Tutku SOYER§1</v>
      </c>
      <c r="W57" s="28">
        <f>IF(U57=1,COUNTIF($U$2:U57,1),"")</f>
        <v>48</v>
      </c>
    </row>
    <row r="58" spans="1:23" ht="63" customHeight="1" x14ac:dyDescent="0.25">
      <c r="A58" s="42" t="s">
        <v>419</v>
      </c>
      <c r="B58" s="42" t="s">
        <v>420</v>
      </c>
      <c r="C58" s="43" t="s">
        <v>421</v>
      </c>
      <c r="D58" s="43" t="s">
        <v>422</v>
      </c>
      <c r="E58" s="44" t="s">
        <v>423</v>
      </c>
      <c r="F58" s="44" t="s">
        <v>424</v>
      </c>
      <c r="G58" s="45" t="s">
        <v>34</v>
      </c>
      <c r="H58" s="47">
        <v>46024</v>
      </c>
      <c r="I58" s="47">
        <v>46042</v>
      </c>
      <c r="J58" s="43" t="s">
        <v>85</v>
      </c>
      <c r="K58" s="43" t="s">
        <v>86</v>
      </c>
      <c r="L58" s="49" t="s">
        <v>96</v>
      </c>
      <c r="M58" s="49" t="s">
        <v>69</v>
      </c>
      <c r="N58" s="49"/>
      <c r="O58" s="48"/>
      <c r="P58" s="49" t="str">
        <f t="shared" si="0"/>
        <v>ONAY</v>
      </c>
      <c r="Q58" s="27" t="s">
        <v>85</v>
      </c>
      <c r="R58" s="50" t="str">
        <f t="shared" si="1"/>
        <v/>
      </c>
      <c r="U58" s="28">
        <f>IF($C58&lt;&gt;"",COUNTIF($C$2:C58,C58),"")</f>
        <v>1</v>
      </c>
      <c r="V58" s="28" t="str">
        <f t="shared" si="2"/>
        <v>Prof. Dr. Mehmet AYVAZ§1</v>
      </c>
      <c r="W58" s="28">
        <f>IF(U58=1,COUNTIF($U$2:U58,1),"")</f>
        <v>49</v>
      </c>
    </row>
    <row r="59" spans="1:23" ht="78.75" customHeight="1" x14ac:dyDescent="0.25">
      <c r="A59" s="42" t="s">
        <v>425</v>
      </c>
      <c r="B59" s="42" t="s">
        <v>426</v>
      </c>
      <c r="C59" s="43" t="s">
        <v>427</v>
      </c>
      <c r="D59" s="43" t="s">
        <v>428</v>
      </c>
      <c r="E59" s="44" t="s">
        <v>429</v>
      </c>
      <c r="F59" s="44" t="s">
        <v>430</v>
      </c>
      <c r="G59" s="45" t="s">
        <v>37</v>
      </c>
      <c r="H59" s="47">
        <v>46024</v>
      </c>
      <c r="I59" s="47">
        <v>46042</v>
      </c>
      <c r="J59" s="43" t="s">
        <v>128</v>
      </c>
      <c r="K59" s="43" t="s">
        <v>94</v>
      </c>
      <c r="L59" s="49" t="s">
        <v>96</v>
      </c>
      <c r="M59" s="49" t="s">
        <v>431</v>
      </c>
      <c r="N59" s="49"/>
      <c r="O59" s="48"/>
      <c r="P59" s="49" t="str">
        <f t="shared" si="0"/>
        <v>GERİ ÇEKİLDİ</v>
      </c>
      <c r="R59" s="50" t="str">
        <f t="shared" si="1"/>
        <v/>
      </c>
      <c r="U59" s="28">
        <f>IF($C59&lt;&gt;"",COUNTIF($C$2:C59,C59),"")</f>
        <v>1</v>
      </c>
      <c r="V59" s="28" t="str">
        <f t="shared" si="2"/>
        <v>Prof. Dr. Salih Kutay DEMİRKAN§1</v>
      </c>
      <c r="W59" s="28">
        <f>IF(U59=1,COUNTIF($U$2:U59,1),"")</f>
        <v>50</v>
      </c>
    </row>
    <row r="60" spans="1:23" ht="78.75" customHeight="1" x14ac:dyDescent="0.25">
      <c r="A60" s="42" t="s">
        <v>432</v>
      </c>
      <c r="B60" s="42" t="s">
        <v>433</v>
      </c>
      <c r="C60" s="43" t="s">
        <v>434</v>
      </c>
      <c r="D60" s="43" t="s">
        <v>435</v>
      </c>
      <c r="E60" s="44" t="s">
        <v>436</v>
      </c>
      <c r="F60" s="44" t="s">
        <v>437</v>
      </c>
      <c r="G60" s="45" t="s">
        <v>34</v>
      </c>
      <c r="H60" s="47">
        <v>46024</v>
      </c>
      <c r="I60" s="47">
        <v>46042</v>
      </c>
      <c r="J60" s="43" t="s">
        <v>68</v>
      </c>
      <c r="K60" s="43" t="s">
        <v>104</v>
      </c>
      <c r="L60" s="49" t="s">
        <v>96</v>
      </c>
      <c r="M60" s="49" t="s">
        <v>431</v>
      </c>
      <c r="N60" s="49"/>
      <c r="O60" s="48"/>
      <c r="P60" s="49" t="str">
        <f t="shared" si="0"/>
        <v>GERİ ÇEKİLDİ</v>
      </c>
      <c r="R60" s="50" t="str">
        <f t="shared" si="1"/>
        <v/>
      </c>
      <c r="U60" s="28">
        <f>IF($C60&lt;&gt;"",COUNTIF($C$2:C60,C60),"")</f>
        <v>1</v>
      </c>
      <c r="V60" s="28" t="str">
        <f t="shared" si="2"/>
        <v>Prof. Dr. Hasan Serkan DOĞAN§1</v>
      </c>
      <c r="W60" s="28">
        <f>IF(U60=1,COUNTIF($U$2:U60,1),"")</f>
        <v>51</v>
      </c>
    </row>
    <row r="61" spans="1:23" ht="126" customHeight="1" x14ac:dyDescent="0.25">
      <c r="A61" s="42" t="s">
        <v>438</v>
      </c>
      <c r="B61" s="42" t="s">
        <v>439</v>
      </c>
      <c r="C61" s="43" t="s">
        <v>410</v>
      </c>
      <c r="D61" s="43" t="s">
        <v>237</v>
      </c>
      <c r="E61" s="44" t="s">
        <v>440</v>
      </c>
      <c r="F61" s="44" t="s">
        <v>441</v>
      </c>
      <c r="G61" s="45" t="s">
        <v>36</v>
      </c>
      <c r="H61" s="47">
        <v>46024</v>
      </c>
      <c r="I61" s="47">
        <v>46042</v>
      </c>
      <c r="J61" s="43" t="s">
        <v>105</v>
      </c>
      <c r="K61" s="43" t="s">
        <v>68</v>
      </c>
      <c r="L61" s="49" t="s">
        <v>96</v>
      </c>
      <c r="M61" s="49" t="s">
        <v>69</v>
      </c>
      <c r="N61" s="49"/>
      <c r="O61" s="48"/>
      <c r="P61" s="49" t="str">
        <f t="shared" si="0"/>
        <v>ONAY</v>
      </c>
      <c r="Q61" s="27" t="s">
        <v>105</v>
      </c>
      <c r="R61" s="50" t="str">
        <f t="shared" si="1"/>
        <v/>
      </c>
      <c r="U61" s="28">
        <f>IF($C61&lt;&gt;"",COUNTIF($C$2:C61,C61),"")</f>
        <v>2</v>
      </c>
      <c r="V61" s="28" t="str">
        <f t="shared" si="2"/>
        <v>Prof. Dr. Deniz ÇAĞDAŞ AYVAZ§2</v>
      </c>
      <c r="W61" s="28" t="str">
        <f>IF(U61=1,COUNTIF($U$2:U61,1),"")</f>
        <v/>
      </c>
    </row>
    <row r="62" spans="1:23" ht="63" customHeight="1" x14ac:dyDescent="0.25">
      <c r="A62" s="42" t="s">
        <v>442</v>
      </c>
      <c r="B62" s="42" t="s">
        <v>443</v>
      </c>
      <c r="C62" s="43" t="s">
        <v>444</v>
      </c>
      <c r="D62" s="43" t="s">
        <v>445</v>
      </c>
      <c r="E62" s="44" t="s">
        <v>446</v>
      </c>
      <c r="F62" s="44" t="s">
        <v>447</v>
      </c>
      <c r="G62" s="45" t="s">
        <v>34</v>
      </c>
      <c r="H62" s="47">
        <v>46024</v>
      </c>
      <c r="I62" s="47">
        <v>46042</v>
      </c>
      <c r="J62" s="43" t="s">
        <v>121</v>
      </c>
      <c r="K62" s="43" t="s">
        <v>95</v>
      </c>
      <c r="L62" s="49" t="s">
        <v>218</v>
      </c>
      <c r="M62" s="49" t="s">
        <v>96</v>
      </c>
      <c r="N62" s="49"/>
      <c r="O62" s="48"/>
      <c r="P62" s="49" t="str">
        <f t="shared" si="0"/>
        <v>DÜZELTME</v>
      </c>
      <c r="R62" s="50" t="str">
        <f t="shared" si="1"/>
        <v/>
      </c>
      <c r="U62" s="28">
        <f>IF($C62&lt;&gt;"",COUNTIF($C$2:C62,C62),"")</f>
        <v>1</v>
      </c>
      <c r="V62" s="28" t="str">
        <f t="shared" si="2"/>
        <v>Prof. Dr. Kıvanç AKÇA§1</v>
      </c>
      <c r="W62" s="28">
        <f>IF(U62=1,COUNTIF($U$2:U62,1),"")</f>
        <v>52</v>
      </c>
    </row>
    <row r="63" spans="1:23" ht="63.75" customHeight="1" x14ac:dyDescent="0.25">
      <c r="A63" s="42" t="s">
        <v>448</v>
      </c>
      <c r="B63" s="42" t="s">
        <v>449</v>
      </c>
      <c r="C63" s="43" t="s">
        <v>450</v>
      </c>
      <c r="D63" s="43" t="s">
        <v>428</v>
      </c>
      <c r="E63" s="44" t="s">
        <v>451</v>
      </c>
      <c r="F63" s="44" t="s">
        <v>452</v>
      </c>
      <c r="G63" s="45" t="s">
        <v>34</v>
      </c>
      <c r="H63" s="47">
        <v>46024</v>
      </c>
      <c r="I63" s="47">
        <v>46042</v>
      </c>
      <c r="J63" s="43" t="s">
        <v>113</v>
      </c>
      <c r="K63" s="43" t="s">
        <v>95</v>
      </c>
      <c r="L63" s="49" t="s">
        <v>69</v>
      </c>
      <c r="M63" s="49"/>
      <c r="N63" s="49"/>
      <c r="O63" s="48"/>
      <c r="P63" s="49" t="str">
        <f t="shared" si="0"/>
        <v>ONAY</v>
      </c>
      <c r="R63" s="50" t="str">
        <f t="shared" si="1"/>
        <v/>
      </c>
      <c r="U63" s="28">
        <f>IF($C63&lt;&gt;"",COUNTIF($C$2:C63,C63),"")</f>
        <v>1</v>
      </c>
      <c r="V63" s="28" t="str">
        <f t="shared" si="2"/>
        <v>Dr. Öğr. Üyesi Burcu KELLECİ ÇAKIR§1</v>
      </c>
      <c r="W63" s="28">
        <f>IF(U63=1,COUNTIF($U$2:U63,1),"")</f>
        <v>53</v>
      </c>
    </row>
    <row r="64" spans="1:23" ht="78.75" customHeight="1" x14ac:dyDescent="0.25">
      <c r="A64" s="42" t="s">
        <v>453</v>
      </c>
      <c r="B64" s="42" t="s">
        <v>454</v>
      </c>
      <c r="C64" s="43" t="s">
        <v>455</v>
      </c>
      <c r="D64" s="43" t="s">
        <v>395</v>
      </c>
      <c r="E64" s="44" t="s">
        <v>456</v>
      </c>
      <c r="F64" s="44" t="s">
        <v>457</v>
      </c>
      <c r="G64" s="45" t="s">
        <v>34</v>
      </c>
      <c r="H64" s="47">
        <v>46024</v>
      </c>
      <c r="I64" s="47">
        <v>46042</v>
      </c>
      <c r="J64" s="43" t="s">
        <v>105</v>
      </c>
      <c r="K64" s="43" t="s">
        <v>77</v>
      </c>
      <c r="L64" s="49" t="s">
        <v>69</v>
      </c>
      <c r="M64" s="49"/>
      <c r="N64" s="49"/>
      <c r="O64" s="48"/>
      <c r="P64" s="49" t="str">
        <f t="shared" si="0"/>
        <v>ONAY</v>
      </c>
      <c r="R64" s="50" t="str">
        <f t="shared" si="1"/>
        <v/>
      </c>
      <c r="U64" s="28">
        <f>IF($C64&lt;&gt;"",COUNTIF($C$2:C64,C64),"")</f>
        <v>1</v>
      </c>
      <c r="V64" s="28" t="str">
        <f t="shared" si="2"/>
        <v>Prof. Dr. Fatma Gökçem YILDIZ SARIKAYA§1</v>
      </c>
      <c r="W64" s="28">
        <f>IF(U64=1,COUNTIF($U$2:U64,1),"")</f>
        <v>54</v>
      </c>
    </row>
    <row r="65" spans="1:23" ht="47.25" customHeight="1" x14ac:dyDescent="0.25">
      <c r="A65" s="42" t="s">
        <v>458</v>
      </c>
      <c r="B65" s="42" t="s">
        <v>459</v>
      </c>
      <c r="C65" s="43" t="s">
        <v>460</v>
      </c>
      <c r="D65" s="43" t="s">
        <v>461</v>
      </c>
      <c r="E65" s="44" t="s">
        <v>462</v>
      </c>
      <c r="F65" s="44" t="s">
        <v>463</v>
      </c>
      <c r="G65" s="45" t="s">
        <v>35</v>
      </c>
      <c r="H65" s="47">
        <v>46024</v>
      </c>
      <c r="I65" s="47">
        <v>46042</v>
      </c>
      <c r="J65" s="43" t="s">
        <v>104</v>
      </c>
      <c r="K65" s="43" t="s">
        <v>128</v>
      </c>
      <c r="L65" s="49" t="s">
        <v>96</v>
      </c>
      <c r="M65" s="49" t="s">
        <v>96</v>
      </c>
      <c r="N65" s="49" t="s">
        <v>69</v>
      </c>
      <c r="O65" s="48"/>
      <c r="P65" s="49" t="str">
        <f t="shared" si="0"/>
        <v>ONAY</v>
      </c>
      <c r="Q65" s="27" t="s">
        <v>67</v>
      </c>
      <c r="R65" s="50" t="str">
        <f t="shared" si="1"/>
        <v/>
      </c>
      <c r="U65" s="28">
        <f>IF($C65&lt;&gt;"",COUNTIF($C$2:C65,C65),"")</f>
        <v>1</v>
      </c>
      <c r="V65" s="28" t="str">
        <f t="shared" si="2"/>
        <v>Prof. Dr. Cengiz KILIÇ§1</v>
      </c>
      <c r="W65" s="28">
        <f>IF(U65=1,COUNTIF($U$2:U65,1),"")</f>
        <v>55</v>
      </c>
    </row>
    <row r="66" spans="1:23" ht="63" customHeight="1" x14ac:dyDescent="0.25">
      <c r="A66" s="42" t="s">
        <v>464</v>
      </c>
      <c r="B66" s="42" t="s">
        <v>465</v>
      </c>
      <c r="C66" s="43" t="s">
        <v>460</v>
      </c>
      <c r="D66" s="43" t="s">
        <v>461</v>
      </c>
      <c r="E66" s="44" t="s">
        <v>466</v>
      </c>
      <c r="F66" s="44" t="s">
        <v>467</v>
      </c>
      <c r="G66" s="45" t="s">
        <v>35</v>
      </c>
      <c r="H66" s="47">
        <v>46024</v>
      </c>
      <c r="I66" s="47">
        <v>46042</v>
      </c>
      <c r="J66" s="43" t="s">
        <v>104</v>
      </c>
      <c r="K66" s="43" t="s">
        <v>128</v>
      </c>
      <c r="L66" s="49" t="s">
        <v>96</v>
      </c>
      <c r="M66" s="49" t="s">
        <v>431</v>
      </c>
      <c r="N66" s="49"/>
      <c r="O66" s="48"/>
      <c r="P66" s="49" t="str">
        <f t="shared" ref="P66:P129" si="3">IF(O66&lt;&gt;"",O66, IF(N66&lt;&gt;"",N66, IF(M66&lt;&gt;"",M66, L66)))</f>
        <v>GERİ ÇEKİLDİ</v>
      </c>
      <c r="R66" s="50" t="str">
        <f t="shared" ref="R66:R129" si="4">IF(AND($I66&lt;&gt;"",$I66&gt;=DATE(2026,6,23),COUNTIFS($C:$C,$C66,$I:$I,$I66)&gt;2),"⚠ "&amp;COUNTIFS($C:$C,$C66,$I:$I,$I66)&amp;" BAŞVURU!","")</f>
        <v/>
      </c>
      <c r="U66" s="28">
        <f>IF($C66&lt;&gt;"",COUNTIF($C$2:C66,C66),"")</f>
        <v>2</v>
      </c>
      <c r="V66" s="28" t="str">
        <f t="shared" ref="V66:V129" si="5">IF($C66&lt;&gt;"",C66&amp;"§"&amp;U66,"")</f>
        <v>Prof. Dr. Cengiz KILIÇ§2</v>
      </c>
      <c r="W66" s="28" t="str">
        <f>IF(U66=1,COUNTIF($U$2:U66,1),"")</f>
        <v/>
      </c>
    </row>
    <row r="67" spans="1:23" ht="81" customHeight="1" x14ac:dyDescent="0.25">
      <c r="A67" s="42" t="s">
        <v>468</v>
      </c>
      <c r="B67" s="42" t="s">
        <v>469</v>
      </c>
      <c r="C67" s="43" t="s">
        <v>470</v>
      </c>
      <c r="D67" s="43" t="s">
        <v>196</v>
      </c>
      <c r="E67" s="44" t="s">
        <v>471</v>
      </c>
      <c r="F67" s="44" t="s">
        <v>472</v>
      </c>
      <c r="G67" s="45" t="s">
        <v>34</v>
      </c>
      <c r="H67" s="47">
        <v>46027</v>
      </c>
      <c r="I67" s="47">
        <v>46042</v>
      </c>
      <c r="J67" s="43" t="s">
        <v>86</v>
      </c>
      <c r="K67" s="43" t="s">
        <v>105</v>
      </c>
      <c r="L67" s="49" t="s">
        <v>69</v>
      </c>
      <c r="M67" s="49"/>
      <c r="N67" s="49"/>
      <c r="O67" s="48"/>
      <c r="P67" s="49" t="str">
        <f t="shared" si="3"/>
        <v>ONAY</v>
      </c>
      <c r="R67" s="50" t="str">
        <f t="shared" si="4"/>
        <v/>
      </c>
      <c r="U67" s="28">
        <f>IF($C67&lt;&gt;"",COUNTIF($C$2:C67,C67),"")</f>
        <v>1</v>
      </c>
      <c r="V67" s="28" t="str">
        <f t="shared" si="5"/>
        <v>Dr. Öğr. Üyesi Serkan UYSAL§1</v>
      </c>
      <c r="W67" s="28">
        <f>IF(U67=1,COUNTIF($U$2:U67,1),"")</f>
        <v>56</v>
      </c>
    </row>
    <row r="68" spans="1:23" ht="80.25" customHeight="1" x14ac:dyDescent="0.25">
      <c r="A68" s="42" t="s">
        <v>473</v>
      </c>
      <c r="B68" s="42" t="s">
        <v>474</v>
      </c>
      <c r="C68" s="43" t="s">
        <v>475</v>
      </c>
      <c r="D68" s="43" t="s">
        <v>82</v>
      </c>
      <c r="E68" s="44" t="s">
        <v>476</v>
      </c>
      <c r="F68" s="44" t="s">
        <v>477</v>
      </c>
      <c r="G68" s="45" t="s">
        <v>34</v>
      </c>
      <c r="H68" s="47">
        <v>46027</v>
      </c>
      <c r="I68" s="47">
        <v>46042</v>
      </c>
      <c r="J68" s="43" t="s">
        <v>86</v>
      </c>
      <c r="K68" s="43" t="s">
        <v>85</v>
      </c>
      <c r="L68" s="49" t="s">
        <v>96</v>
      </c>
      <c r="M68" s="49" t="s">
        <v>69</v>
      </c>
      <c r="N68" s="49"/>
      <c r="O68" s="48"/>
      <c r="P68" s="49" t="str">
        <f t="shared" si="3"/>
        <v>ONAY</v>
      </c>
      <c r="Q68" s="27" t="s">
        <v>85</v>
      </c>
      <c r="R68" s="50" t="str">
        <f t="shared" si="4"/>
        <v/>
      </c>
      <c r="U68" s="28">
        <f>IF($C68&lt;&gt;"",COUNTIF($C$2:C68,C68),"")</f>
        <v>1</v>
      </c>
      <c r="V68" s="28" t="str">
        <f t="shared" si="5"/>
        <v>Arş. Gör. Dr. Aycan UYSAL§1</v>
      </c>
      <c r="W68" s="28">
        <f>IF(U68=1,COUNTIF($U$2:U68,1),"")</f>
        <v>57</v>
      </c>
    </row>
    <row r="69" spans="1:23" ht="126" customHeight="1" x14ac:dyDescent="0.25">
      <c r="A69" s="42" t="s">
        <v>478</v>
      </c>
      <c r="B69" s="42" t="s">
        <v>479</v>
      </c>
      <c r="C69" s="43" t="s">
        <v>86</v>
      </c>
      <c r="D69" s="43" t="s">
        <v>82</v>
      </c>
      <c r="E69" s="44" t="s">
        <v>480</v>
      </c>
      <c r="F69" s="44" t="s">
        <v>481</v>
      </c>
      <c r="G69" s="45" t="s">
        <v>35</v>
      </c>
      <c r="H69" s="47">
        <v>46027</v>
      </c>
      <c r="I69" s="47">
        <v>46042</v>
      </c>
      <c r="J69" s="43" t="s">
        <v>85</v>
      </c>
      <c r="K69" s="43" t="s">
        <v>68</v>
      </c>
      <c r="L69" s="49" t="s">
        <v>69</v>
      </c>
      <c r="M69" s="49"/>
      <c r="N69" s="49"/>
      <c r="O69" s="48"/>
      <c r="P69" s="49" t="str">
        <f t="shared" si="3"/>
        <v>ONAY</v>
      </c>
      <c r="R69" s="50" t="str">
        <f t="shared" si="4"/>
        <v/>
      </c>
      <c r="U69" s="28">
        <f>IF($C69&lt;&gt;"",COUNTIF($C$2:C69,C69),"")</f>
        <v>1</v>
      </c>
      <c r="V69" s="28" t="str">
        <f t="shared" si="5"/>
        <v>Doç. Dr. Ekim GÜMELER§1</v>
      </c>
      <c r="W69" s="28">
        <f>IF(U69=1,COUNTIF($U$2:U69,1),"")</f>
        <v>58</v>
      </c>
    </row>
    <row r="70" spans="1:23" ht="63" customHeight="1" x14ac:dyDescent="0.25">
      <c r="A70" s="42" t="s">
        <v>482</v>
      </c>
      <c r="B70" s="42" t="s">
        <v>483</v>
      </c>
      <c r="C70" s="43" t="s">
        <v>450</v>
      </c>
      <c r="D70" s="43" t="s">
        <v>428</v>
      </c>
      <c r="E70" s="44" t="s">
        <v>484</v>
      </c>
      <c r="F70" s="44" t="s">
        <v>485</v>
      </c>
      <c r="G70" s="45" t="s">
        <v>34</v>
      </c>
      <c r="H70" s="47">
        <v>46027</v>
      </c>
      <c r="I70" s="47">
        <v>46042</v>
      </c>
      <c r="J70" s="43" t="s">
        <v>77</v>
      </c>
      <c r="K70" s="43" t="s">
        <v>104</v>
      </c>
      <c r="L70" s="49" t="s">
        <v>69</v>
      </c>
      <c r="M70" s="49"/>
      <c r="N70" s="49"/>
      <c r="O70" s="48"/>
      <c r="P70" s="49" t="str">
        <f t="shared" si="3"/>
        <v>ONAY</v>
      </c>
      <c r="R70" s="50" t="str">
        <f t="shared" si="4"/>
        <v/>
      </c>
      <c r="U70" s="28">
        <f>IF($C70&lt;&gt;"",COUNTIF($C$2:C70,C70),"")</f>
        <v>2</v>
      </c>
      <c r="V70" s="28" t="str">
        <f t="shared" si="5"/>
        <v>Dr. Öğr. Üyesi Burcu KELLECİ ÇAKIR§2</v>
      </c>
      <c r="W70" s="28" t="str">
        <f>IF(U70=1,COUNTIF($U$2:U70,1),"")</f>
        <v/>
      </c>
    </row>
    <row r="71" spans="1:23" ht="63" customHeight="1" x14ac:dyDescent="0.25">
      <c r="A71" s="42" t="s">
        <v>486</v>
      </c>
      <c r="B71" s="42" t="s">
        <v>487</v>
      </c>
      <c r="C71" s="43" t="s">
        <v>488</v>
      </c>
      <c r="D71" s="43" t="s">
        <v>307</v>
      </c>
      <c r="E71" s="44" t="s">
        <v>489</v>
      </c>
      <c r="F71" s="44" t="s">
        <v>490</v>
      </c>
      <c r="G71" s="45" t="s">
        <v>34</v>
      </c>
      <c r="H71" s="47">
        <v>46027</v>
      </c>
      <c r="I71" s="47">
        <v>46042</v>
      </c>
      <c r="J71" s="43" t="s">
        <v>86</v>
      </c>
      <c r="K71" s="43" t="s">
        <v>104</v>
      </c>
      <c r="L71" s="49" t="s">
        <v>69</v>
      </c>
      <c r="M71" s="49"/>
      <c r="N71" s="49"/>
      <c r="O71" s="48"/>
      <c r="P71" s="49" t="str">
        <f t="shared" si="3"/>
        <v>ONAY</v>
      </c>
      <c r="R71" s="50" t="str">
        <f t="shared" si="4"/>
        <v/>
      </c>
      <c r="U71" s="28">
        <f>IF($C71&lt;&gt;"",COUNTIF($C$2:C71,C71),"")</f>
        <v>1</v>
      </c>
      <c r="V71" s="28" t="str">
        <f t="shared" si="5"/>
        <v>Prof. Dr. Ömer UĞUR§1</v>
      </c>
      <c r="W71" s="28">
        <f>IF(U71=1,COUNTIF($U$2:U71,1),"")</f>
        <v>59</v>
      </c>
    </row>
    <row r="72" spans="1:23" ht="78.75" customHeight="1" x14ac:dyDescent="0.25">
      <c r="A72" s="42" t="s">
        <v>491</v>
      </c>
      <c r="B72" s="42" t="s">
        <v>492</v>
      </c>
      <c r="C72" s="43" t="s">
        <v>493</v>
      </c>
      <c r="D72" s="43" t="s">
        <v>494</v>
      </c>
      <c r="E72" s="44" t="s">
        <v>495</v>
      </c>
      <c r="F72" s="44" t="s">
        <v>496</v>
      </c>
      <c r="G72" s="45" t="s">
        <v>34</v>
      </c>
      <c r="H72" s="47">
        <v>46029</v>
      </c>
      <c r="I72" s="47">
        <v>46042</v>
      </c>
      <c r="J72" s="43" t="s">
        <v>67</v>
      </c>
      <c r="K72" s="43" t="s">
        <v>85</v>
      </c>
      <c r="L72" s="49" t="s">
        <v>96</v>
      </c>
      <c r="M72" s="49" t="s">
        <v>69</v>
      </c>
      <c r="N72" s="49"/>
      <c r="O72" s="48"/>
      <c r="P72" s="49" t="str">
        <f t="shared" si="3"/>
        <v>ONAY</v>
      </c>
      <c r="Q72" s="27" t="s">
        <v>67</v>
      </c>
      <c r="R72" s="50" t="str">
        <f t="shared" si="4"/>
        <v/>
      </c>
      <c r="U72" s="28">
        <f>IF($C72&lt;&gt;"",COUNTIF($C$2:C72,C72),"")</f>
        <v>1</v>
      </c>
      <c r="V72" s="28" t="str">
        <f t="shared" si="5"/>
        <v>Dr. Natalia RAKİSLOVA§1</v>
      </c>
      <c r="W72" s="28">
        <f>IF(U72=1,COUNTIF($U$2:U72,1),"")</f>
        <v>60</v>
      </c>
    </row>
    <row r="73" spans="1:23" ht="63" customHeight="1" x14ac:dyDescent="0.25">
      <c r="A73" s="42" t="s">
        <v>497</v>
      </c>
      <c r="B73" s="42" t="s">
        <v>498</v>
      </c>
      <c r="C73" s="43" t="s">
        <v>499</v>
      </c>
      <c r="D73" s="43" t="s">
        <v>237</v>
      </c>
      <c r="E73" s="44" t="s">
        <v>500</v>
      </c>
      <c r="F73" s="44" t="s">
        <v>501</v>
      </c>
      <c r="G73" s="45" t="s">
        <v>34</v>
      </c>
      <c r="H73" s="47">
        <v>46029</v>
      </c>
      <c r="I73" s="47">
        <v>46042</v>
      </c>
      <c r="J73" s="43" t="s">
        <v>105</v>
      </c>
      <c r="K73" s="43" t="s">
        <v>121</v>
      </c>
      <c r="L73" s="49" t="s">
        <v>96</v>
      </c>
      <c r="M73" s="49"/>
      <c r="N73" s="49"/>
      <c r="O73" s="48"/>
      <c r="P73" s="49" t="str">
        <f t="shared" si="3"/>
        <v>DÜZELTME</v>
      </c>
      <c r="R73" s="50" t="str">
        <f t="shared" si="4"/>
        <v/>
      </c>
      <c r="U73" s="28">
        <f>IF($C73&lt;&gt;"",COUNTIF($C$2:C73,C73),"")</f>
        <v>1</v>
      </c>
      <c r="V73" s="28" t="str">
        <f t="shared" si="5"/>
        <v>Doç. Dr. İlker ERTUĞRUL§1</v>
      </c>
      <c r="W73" s="28">
        <f>IF(U73=1,COUNTIF($U$2:U73,1),"")</f>
        <v>61</v>
      </c>
    </row>
    <row r="74" spans="1:23" ht="78.75" customHeight="1" x14ac:dyDescent="0.25">
      <c r="A74" s="42" t="s">
        <v>502</v>
      </c>
      <c r="B74" s="42" t="s">
        <v>503</v>
      </c>
      <c r="C74" s="43" t="s">
        <v>427</v>
      </c>
      <c r="D74" s="43" t="s">
        <v>428</v>
      </c>
      <c r="E74" s="44" t="s">
        <v>504</v>
      </c>
      <c r="F74" s="44" t="s">
        <v>505</v>
      </c>
      <c r="G74" s="45" t="s">
        <v>34</v>
      </c>
      <c r="H74" s="47">
        <v>46029</v>
      </c>
      <c r="I74" s="47">
        <v>46042</v>
      </c>
      <c r="J74" s="43" t="s">
        <v>77</v>
      </c>
      <c r="K74" s="43" t="s">
        <v>113</v>
      </c>
      <c r="L74" s="49" t="s">
        <v>96</v>
      </c>
      <c r="M74" s="49" t="s">
        <v>218</v>
      </c>
      <c r="N74" s="49" t="s">
        <v>69</v>
      </c>
      <c r="O74" s="48"/>
      <c r="P74" s="49" t="str">
        <f t="shared" si="3"/>
        <v>ONAY</v>
      </c>
      <c r="R74" s="50" t="str">
        <f t="shared" si="4"/>
        <v/>
      </c>
      <c r="U74" s="28">
        <f>IF($C74&lt;&gt;"",COUNTIF($C$2:C74,C74),"")</f>
        <v>2</v>
      </c>
      <c r="V74" s="28" t="str">
        <f t="shared" si="5"/>
        <v>Prof. Dr. Salih Kutay DEMİRKAN§2</v>
      </c>
      <c r="W74" s="28" t="str">
        <f>IF(U74=1,COUNTIF($U$2:U74,1),"")</f>
        <v/>
      </c>
    </row>
    <row r="75" spans="1:23" ht="47.25" customHeight="1" x14ac:dyDescent="0.25">
      <c r="A75" s="42" t="s">
        <v>506</v>
      </c>
      <c r="B75" s="42" t="s">
        <v>507</v>
      </c>
      <c r="C75" s="43" t="s">
        <v>508</v>
      </c>
      <c r="D75" s="43" t="s">
        <v>509</v>
      </c>
      <c r="E75" s="44" t="s">
        <v>510</v>
      </c>
      <c r="F75" s="44" t="s">
        <v>511</v>
      </c>
      <c r="G75" s="45" t="s">
        <v>37</v>
      </c>
      <c r="H75" s="47">
        <v>46030</v>
      </c>
      <c r="I75" s="47">
        <v>46042</v>
      </c>
      <c r="J75" s="43" t="s">
        <v>94</v>
      </c>
      <c r="K75" s="43" t="s">
        <v>95</v>
      </c>
      <c r="L75" s="49" t="s">
        <v>69</v>
      </c>
      <c r="M75" s="49"/>
      <c r="N75" s="49"/>
      <c r="O75" s="48"/>
      <c r="P75" s="49" t="str">
        <f t="shared" si="3"/>
        <v>ONAY</v>
      </c>
      <c r="R75" s="50" t="str">
        <f t="shared" si="4"/>
        <v/>
      </c>
      <c r="U75" s="28">
        <f>IF($C75&lt;&gt;"",COUNTIF($C$2:C75,C75),"")</f>
        <v>1</v>
      </c>
      <c r="V75" s="28" t="str">
        <f t="shared" si="5"/>
        <v>Prof. Dr. Sıddika Songül YALÇIN§1</v>
      </c>
      <c r="W75" s="28">
        <f>IF(U75=1,COUNTIF($U$2:U75,1),"")</f>
        <v>62</v>
      </c>
    </row>
    <row r="76" spans="1:23" ht="78.75" customHeight="1" x14ac:dyDescent="0.25">
      <c r="A76" s="42" t="s">
        <v>512</v>
      </c>
      <c r="B76" s="42" t="s">
        <v>513</v>
      </c>
      <c r="C76" s="43" t="s">
        <v>514</v>
      </c>
      <c r="D76" s="43" t="s">
        <v>515</v>
      </c>
      <c r="E76" s="44" t="s">
        <v>516</v>
      </c>
      <c r="F76" s="44" t="s">
        <v>517</v>
      </c>
      <c r="G76" s="45" t="s">
        <v>35</v>
      </c>
      <c r="H76" s="47">
        <v>46030</v>
      </c>
      <c r="I76" s="47">
        <v>46042</v>
      </c>
      <c r="J76" s="43" t="s">
        <v>121</v>
      </c>
      <c r="K76" s="43" t="s">
        <v>86</v>
      </c>
      <c r="L76" s="49" t="s">
        <v>69</v>
      </c>
      <c r="M76" s="49"/>
      <c r="N76" s="49"/>
      <c r="O76" s="48"/>
      <c r="P76" s="49" t="str">
        <f t="shared" si="3"/>
        <v>ONAY</v>
      </c>
      <c r="R76" s="50" t="str">
        <f t="shared" si="4"/>
        <v/>
      </c>
      <c r="U76" s="28">
        <f>IF($C76&lt;&gt;"",COUNTIF($C$2:C76,C76),"")</f>
        <v>1</v>
      </c>
      <c r="V76" s="28" t="str">
        <f t="shared" si="5"/>
        <v>Dr. Öğr. Üyesi Gökçen AKÇİÇEK§1</v>
      </c>
      <c r="W76" s="28">
        <f>IF(U76=1,COUNTIF($U$2:U76,1),"")</f>
        <v>63</v>
      </c>
    </row>
    <row r="77" spans="1:23" ht="63" customHeight="1" x14ac:dyDescent="0.25">
      <c r="A77" s="42" t="s">
        <v>518</v>
      </c>
      <c r="B77" s="42" t="s">
        <v>519</v>
      </c>
      <c r="C77" s="43" t="s">
        <v>520</v>
      </c>
      <c r="D77" s="43" t="s">
        <v>327</v>
      </c>
      <c r="E77" s="44" t="s">
        <v>521</v>
      </c>
      <c r="F77" s="44" t="s">
        <v>522</v>
      </c>
      <c r="G77" s="45" t="s">
        <v>34</v>
      </c>
      <c r="H77" s="47">
        <v>46031</v>
      </c>
      <c r="I77" s="47">
        <v>46042</v>
      </c>
      <c r="J77" s="43" t="s">
        <v>121</v>
      </c>
      <c r="K77" s="43" t="s">
        <v>68</v>
      </c>
      <c r="L77" s="49" t="s">
        <v>69</v>
      </c>
      <c r="M77" s="49"/>
      <c r="N77" s="49"/>
      <c r="O77" s="48"/>
      <c r="P77" s="49" t="str">
        <f t="shared" si="3"/>
        <v>ONAY</v>
      </c>
      <c r="R77" s="50" t="str">
        <f t="shared" si="4"/>
        <v/>
      </c>
      <c r="U77" s="28">
        <f>IF($C77&lt;&gt;"",COUNTIF($C$2:C77,C77),"")</f>
        <v>1</v>
      </c>
      <c r="V77" s="28" t="str">
        <f t="shared" si="5"/>
        <v>Doç. Dr. Ezgi ATİK§1</v>
      </c>
      <c r="W77" s="28">
        <f>IF(U77=1,COUNTIF($U$2:U77,1),"")</f>
        <v>64</v>
      </c>
    </row>
    <row r="78" spans="1:23" ht="63" customHeight="1" x14ac:dyDescent="0.25">
      <c r="A78" s="42" t="s">
        <v>523</v>
      </c>
      <c r="B78" s="42" t="s">
        <v>524</v>
      </c>
      <c r="C78" s="43" t="s">
        <v>525</v>
      </c>
      <c r="D78" s="43" t="s">
        <v>416</v>
      </c>
      <c r="E78" s="44" t="s">
        <v>526</v>
      </c>
      <c r="F78" s="44" t="s">
        <v>527</v>
      </c>
      <c r="G78" s="45" t="s">
        <v>34</v>
      </c>
      <c r="H78" s="47">
        <v>46031</v>
      </c>
      <c r="I78" s="47">
        <v>46042</v>
      </c>
      <c r="J78" s="43" t="s">
        <v>68</v>
      </c>
      <c r="K78" s="43" t="s">
        <v>95</v>
      </c>
      <c r="L78" s="49" t="s">
        <v>96</v>
      </c>
      <c r="M78" s="49" t="s">
        <v>69</v>
      </c>
      <c r="N78" s="49"/>
      <c r="O78" s="48"/>
      <c r="P78" s="49" t="str">
        <f t="shared" si="3"/>
        <v>ONAY</v>
      </c>
      <c r="Q78" s="27" t="s">
        <v>95</v>
      </c>
      <c r="R78" s="50" t="str">
        <f t="shared" si="4"/>
        <v/>
      </c>
      <c r="U78" s="28">
        <f>IF($C78&lt;&gt;"",COUNTIF($C$2:C78,C78),"")</f>
        <v>1</v>
      </c>
      <c r="V78" s="28" t="str">
        <f t="shared" si="5"/>
        <v>Prof. Dr. Özlem BOYBEYİ§1</v>
      </c>
      <c r="W78" s="28">
        <f>IF(U78=1,COUNTIF($U$2:U78,1),"")</f>
        <v>65</v>
      </c>
    </row>
    <row r="79" spans="1:23" ht="78.75" customHeight="1" x14ac:dyDescent="0.25">
      <c r="A79" s="42" t="s">
        <v>528</v>
      </c>
      <c r="B79" s="42" t="s">
        <v>529</v>
      </c>
      <c r="C79" s="43" t="s">
        <v>313</v>
      </c>
      <c r="D79" s="43" t="s">
        <v>237</v>
      </c>
      <c r="E79" s="44" t="s">
        <v>530</v>
      </c>
      <c r="F79" s="44" t="s">
        <v>531</v>
      </c>
      <c r="G79" s="45" t="s">
        <v>35</v>
      </c>
      <c r="H79" s="47">
        <v>46031</v>
      </c>
      <c r="I79" s="47">
        <v>46042</v>
      </c>
      <c r="J79" s="43" t="s">
        <v>95</v>
      </c>
      <c r="K79" s="43" t="s">
        <v>94</v>
      </c>
      <c r="L79" s="49" t="s">
        <v>69</v>
      </c>
      <c r="M79" s="49"/>
      <c r="N79" s="49"/>
      <c r="O79" s="48"/>
      <c r="P79" s="49" t="str">
        <f t="shared" si="3"/>
        <v>ONAY</v>
      </c>
      <c r="R79" s="50" t="str">
        <f t="shared" si="4"/>
        <v/>
      </c>
      <c r="U79" s="28">
        <f>IF($C79&lt;&gt;"",COUNTIF($C$2:C79,C79),"")</f>
        <v>2</v>
      </c>
      <c r="V79" s="28" t="str">
        <f t="shared" si="5"/>
        <v>Prof. Dr. Yasemin ÖZSÜREKCİ§2</v>
      </c>
      <c r="W79" s="28" t="str">
        <f>IF(U79=1,COUNTIF($U$2:U79,1),"")</f>
        <v/>
      </c>
    </row>
    <row r="80" spans="1:23" ht="94.5" customHeight="1" x14ac:dyDescent="0.25">
      <c r="A80" s="42" t="s">
        <v>532</v>
      </c>
      <c r="B80" s="42" t="s">
        <v>533</v>
      </c>
      <c r="C80" s="43" t="s">
        <v>534</v>
      </c>
      <c r="D80" s="43" t="s">
        <v>535</v>
      </c>
      <c r="E80" s="44" t="s">
        <v>536</v>
      </c>
      <c r="F80" s="44" t="s">
        <v>537</v>
      </c>
      <c r="G80" s="45" t="s">
        <v>37</v>
      </c>
      <c r="H80" s="47">
        <v>46031</v>
      </c>
      <c r="I80" s="47">
        <v>46042</v>
      </c>
      <c r="J80" s="43" t="s">
        <v>94</v>
      </c>
      <c r="K80" s="43" t="s">
        <v>77</v>
      </c>
      <c r="L80" s="49" t="s">
        <v>96</v>
      </c>
      <c r="M80" s="49" t="s">
        <v>69</v>
      </c>
      <c r="N80" s="49"/>
      <c r="O80" s="48"/>
      <c r="P80" s="49" t="str">
        <f t="shared" si="3"/>
        <v>ONAY</v>
      </c>
      <c r="Q80" s="27" t="s">
        <v>77</v>
      </c>
      <c r="R80" s="50" t="str">
        <f t="shared" si="4"/>
        <v/>
      </c>
      <c r="U80" s="28">
        <f>IF($C80&lt;&gt;"",COUNTIF($C$2:C80,C80),"")</f>
        <v>1</v>
      </c>
      <c r="V80" s="28" t="str">
        <f t="shared" si="5"/>
        <v>Prof. Dr. Ülkü ÜNDEĞER BUCURGAT§1</v>
      </c>
      <c r="W80" s="28">
        <f>IF(U80=1,COUNTIF($U$2:U80,1),"")</f>
        <v>66</v>
      </c>
    </row>
    <row r="81" spans="1:23" ht="78.75" customHeight="1" x14ac:dyDescent="0.25">
      <c r="A81" s="42" t="s">
        <v>538</v>
      </c>
      <c r="B81" s="42" t="s">
        <v>539</v>
      </c>
      <c r="C81" s="43" t="s">
        <v>540</v>
      </c>
      <c r="D81" s="43" t="s">
        <v>237</v>
      </c>
      <c r="E81" s="44" t="s">
        <v>541</v>
      </c>
      <c r="F81" s="44" t="s">
        <v>542</v>
      </c>
      <c r="G81" s="45" t="s">
        <v>35</v>
      </c>
      <c r="H81" s="47">
        <v>46034</v>
      </c>
      <c r="I81" s="47">
        <v>46042</v>
      </c>
      <c r="J81" s="43" t="s">
        <v>105</v>
      </c>
      <c r="K81" s="43" t="s">
        <v>68</v>
      </c>
      <c r="L81" s="49" t="s">
        <v>96</v>
      </c>
      <c r="M81" s="49" t="s">
        <v>69</v>
      </c>
      <c r="N81" s="49"/>
      <c r="O81" s="48"/>
      <c r="P81" s="49" t="str">
        <f t="shared" si="3"/>
        <v>ONAY</v>
      </c>
      <c r="Q81" s="27" t="s">
        <v>105</v>
      </c>
      <c r="R81" s="50" t="str">
        <f t="shared" si="4"/>
        <v/>
      </c>
      <c r="U81" s="28">
        <f>IF($C81&lt;&gt;"",COUNTIF($C$2:C81,C81),"")</f>
        <v>1</v>
      </c>
      <c r="V81" s="28" t="str">
        <f t="shared" si="5"/>
        <v>Doç. Dr. Erdal SAĞ§1</v>
      </c>
      <c r="W81" s="28">
        <f>IF(U81=1,COUNTIF($U$2:U81,1),"")</f>
        <v>67</v>
      </c>
    </row>
    <row r="82" spans="1:23" ht="63" customHeight="1" x14ac:dyDescent="0.25">
      <c r="A82" s="42" t="s">
        <v>543</v>
      </c>
      <c r="B82" s="42" t="s">
        <v>544</v>
      </c>
      <c r="C82" s="43" t="s">
        <v>545</v>
      </c>
      <c r="D82" s="43" t="s">
        <v>320</v>
      </c>
      <c r="E82" s="44" t="s">
        <v>546</v>
      </c>
      <c r="F82" s="44" t="s">
        <v>547</v>
      </c>
      <c r="G82" s="45" t="s">
        <v>34</v>
      </c>
      <c r="H82" s="47">
        <v>46034</v>
      </c>
      <c r="I82" s="47">
        <v>46042</v>
      </c>
      <c r="J82" s="43" t="s">
        <v>85</v>
      </c>
      <c r="K82" s="43" t="s">
        <v>113</v>
      </c>
      <c r="L82" s="49" t="s">
        <v>69</v>
      </c>
      <c r="M82" s="49"/>
      <c r="N82" s="49"/>
      <c r="O82" s="48"/>
      <c r="P82" s="49" t="str">
        <f t="shared" si="3"/>
        <v>ONAY</v>
      </c>
      <c r="R82" s="50" t="str">
        <f t="shared" si="4"/>
        <v/>
      </c>
      <c r="U82" s="28">
        <f>IF($C82&lt;&gt;"",COUNTIF($C$2:C82,C82),"")</f>
        <v>1</v>
      </c>
      <c r="V82" s="28" t="str">
        <f t="shared" si="5"/>
        <v>Prof. Dr. Taner YILMAZ§1</v>
      </c>
      <c r="W82" s="28">
        <f>IF(U82=1,COUNTIF($U$2:U82,1),"")</f>
        <v>68</v>
      </c>
    </row>
    <row r="83" spans="1:23" ht="78.75" customHeight="1" x14ac:dyDescent="0.25">
      <c r="A83" s="42" t="s">
        <v>548</v>
      </c>
      <c r="B83" s="42" t="s">
        <v>549</v>
      </c>
      <c r="C83" s="43" t="s">
        <v>550</v>
      </c>
      <c r="D83" s="43" t="s">
        <v>395</v>
      </c>
      <c r="E83" s="44" t="s">
        <v>551</v>
      </c>
      <c r="F83" s="44" t="s">
        <v>552</v>
      </c>
      <c r="G83" s="45" t="s">
        <v>34</v>
      </c>
      <c r="H83" s="47">
        <v>46034</v>
      </c>
      <c r="I83" s="47">
        <v>46042</v>
      </c>
      <c r="J83" s="43" t="s">
        <v>104</v>
      </c>
      <c r="K83" s="43" t="s">
        <v>128</v>
      </c>
      <c r="L83" s="49" t="s">
        <v>96</v>
      </c>
      <c r="M83" s="49" t="s">
        <v>69</v>
      </c>
      <c r="N83" s="49"/>
      <c r="O83" s="48"/>
      <c r="P83" s="49" t="str">
        <f t="shared" si="3"/>
        <v>ONAY</v>
      </c>
      <c r="Q83" s="27" t="s">
        <v>104</v>
      </c>
      <c r="R83" s="50" t="str">
        <f t="shared" si="4"/>
        <v/>
      </c>
      <c r="U83" s="28">
        <f>IF($C83&lt;&gt;"",COUNTIF($C$2:C83,C83),"")</f>
        <v>1</v>
      </c>
      <c r="V83" s="28" t="str">
        <f t="shared" si="5"/>
        <v>Prof. Dr. Neşe DERİCİOĞLU§1</v>
      </c>
      <c r="W83" s="28">
        <f>IF(U83=1,COUNTIF($U$2:U83,1),"")</f>
        <v>69</v>
      </c>
    </row>
    <row r="84" spans="1:23" ht="63" customHeight="1" x14ac:dyDescent="0.25">
      <c r="A84" s="42" t="s">
        <v>553</v>
      </c>
      <c r="B84" s="42" t="s">
        <v>554</v>
      </c>
      <c r="C84" s="43" t="s">
        <v>555</v>
      </c>
      <c r="D84" s="43" t="s">
        <v>110</v>
      </c>
      <c r="E84" s="44" t="s">
        <v>556</v>
      </c>
      <c r="F84" s="44" t="s">
        <v>557</v>
      </c>
      <c r="G84" s="45" t="s">
        <v>34</v>
      </c>
      <c r="H84" s="47">
        <v>46034</v>
      </c>
      <c r="I84" s="47">
        <v>46042</v>
      </c>
      <c r="J84" s="43" t="s">
        <v>94</v>
      </c>
      <c r="K84" s="43" t="s">
        <v>113</v>
      </c>
      <c r="L84" s="49" t="s">
        <v>218</v>
      </c>
      <c r="M84" s="49" t="s">
        <v>69</v>
      </c>
      <c r="N84" s="49"/>
      <c r="O84" s="48"/>
      <c r="P84" s="49" t="str">
        <f t="shared" si="3"/>
        <v>ONAY</v>
      </c>
      <c r="R84" s="50" t="str">
        <f t="shared" si="4"/>
        <v/>
      </c>
      <c r="U84" s="28">
        <f>IF($C84&lt;&gt;"",COUNTIF($C$2:C84,C84),"")</f>
        <v>1</v>
      </c>
      <c r="V84" s="28" t="str">
        <f t="shared" si="5"/>
        <v>Doç. Dr. Mert EŞME§1</v>
      </c>
      <c r="W84" s="28">
        <f>IF(U84=1,COUNTIF($U$2:U84,1),"")</f>
        <v>70</v>
      </c>
    </row>
    <row r="85" spans="1:23" ht="63" customHeight="1" x14ac:dyDescent="0.25">
      <c r="A85" s="42" t="s">
        <v>558</v>
      </c>
      <c r="B85" s="42" t="s">
        <v>559</v>
      </c>
      <c r="C85" s="43" t="s">
        <v>109</v>
      </c>
      <c r="D85" s="43" t="s">
        <v>110</v>
      </c>
      <c r="E85" s="44" t="s">
        <v>560</v>
      </c>
      <c r="F85" s="44" t="s">
        <v>561</v>
      </c>
      <c r="G85" s="45" t="s">
        <v>34</v>
      </c>
      <c r="H85" s="47">
        <v>46034</v>
      </c>
      <c r="I85" s="47">
        <v>46042</v>
      </c>
      <c r="J85" s="43" t="s">
        <v>128</v>
      </c>
      <c r="K85" s="43" t="s">
        <v>113</v>
      </c>
      <c r="L85" s="49" t="s">
        <v>218</v>
      </c>
      <c r="M85" s="49" t="s">
        <v>96</v>
      </c>
      <c r="N85" s="49"/>
      <c r="O85" s="48"/>
      <c r="P85" s="49" t="str">
        <f t="shared" si="3"/>
        <v>DÜZELTME</v>
      </c>
      <c r="R85" s="50" t="str">
        <f t="shared" si="4"/>
        <v/>
      </c>
      <c r="U85" s="28">
        <f>IF($C85&lt;&gt;"",COUNTIF($C$2:C85,C85),"")</f>
        <v>3</v>
      </c>
      <c r="V85" s="28" t="str">
        <f t="shared" si="5"/>
        <v>Prof. Dr. Meltem Gülhan HALİL§3</v>
      </c>
      <c r="W85" s="28" t="str">
        <f>IF(U85=1,COUNTIF($U$2:U85,1),"")</f>
        <v/>
      </c>
    </row>
    <row r="86" spans="1:23" ht="63" customHeight="1" x14ac:dyDescent="0.25">
      <c r="A86" s="42" t="s">
        <v>562</v>
      </c>
      <c r="B86" s="42" t="s">
        <v>563</v>
      </c>
      <c r="C86" s="43" t="s">
        <v>564</v>
      </c>
      <c r="D86" s="43" t="s">
        <v>110</v>
      </c>
      <c r="E86" s="44" t="s">
        <v>565</v>
      </c>
      <c r="F86" s="44" t="s">
        <v>566</v>
      </c>
      <c r="G86" s="45" t="s">
        <v>34</v>
      </c>
      <c r="H86" s="47">
        <v>46036</v>
      </c>
      <c r="I86" s="47">
        <v>46042</v>
      </c>
      <c r="J86" s="43" t="s">
        <v>105</v>
      </c>
      <c r="K86" s="43" t="s">
        <v>95</v>
      </c>
      <c r="L86" s="49" t="s">
        <v>69</v>
      </c>
      <c r="M86" s="49"/>
      <c r="N86" s="49"/>
      <c r="O86" s="48"/>
      <c r="P86" s="49" t="str">
        <f t="shared" si="3"/>
        <v>ONAY</v>
      </c>
      <c r="R86" s="50" t="str">
        <f t="shared" si="4"/>
        <v/>
      </c>
      <c r="U86" s="28">
        <f>IF($C86&lt;&gt;"",COUNTIF($C$2:C86,C86),"")</f>
        <v>1</v>
      </c>
      <c r="V86" s="28" t="str">
        <f t="shared" si="5"/>
        <v>Prof. Dr. Salih AKSU§1</v>
      </c>
      <c r="W86" s="28">
        <f>IF(U86=1,COUNTIF($U$2:U86,1),"")</f>
        <v>71</v>
      </c>
    </row>
    <row r="87" spans="1:23" ht="78.75" customHeight="1" x14ac:dyDescent="0.25">
      <c r="A87" s="42" t="s">
        <v>567</v>
      </c>
      <c r="B87" s="42" t="s">
        <v>568</v>
      </c>
      <c r="C87" s="43" t="s">
        <v>569</v>
      </c>
      <c r="D87" s="43" t="s">
        <v>570</v>
      </c>
      <c r="E87" s="44" t="s">
        <v>571</v>
      </c>
      <c r="F87" s="44" t="s">
        <v>572</v>
      </c>
      <c r="G87" s="45" t="s">
        <v>35</v>
      </c>
      <c r="H87" s="47">
        <v>46036</v>
      </c>
      <c r="I87" s="47">
        <v>46042</v>
      </c>
      <c r="J87" s="43" t="s">
        <v>121</v>
      </c>
      <c r="K87" s="43" t="s">
        <v>77</v>
      </c>
      <c r="L87" s="49" t="s">
        <v>96</v>
      </c>
      <c r="M87" s="49" t="s">
        <v>69</v>
      </c>
      <c r="N87" s="49"/>
      <c r="O87" s="48"/>
      <c r="P87" s="49" t="str">
        <f t="shared" si="3"/>
        <v>ONAY</v>
      </c>
      <c r="Q87" s="27" t="s">
        <v>121</v>
      </c>
      <c r="R87" s="50" t="str">
        <f t="shared" si="4"/>
        <v/>
      </c>
      <c r="U87" s="28">
        <f>IF($C87&lt;&gt;"",COUNTIF($C$2:C87,C87),"")</f>
        <v>1</v>
      </c>
      <c r="V87" s="28" t="str">
        <f t="shared" si="5"/>
        <v>Prof. Dr. Güliz Nigar GÜNCÜ§1</v>
      </c>
      <c r="W87" s="28">
        <f>IF(U87=1,COUNTIF($U$2:U87,1),"")</f>
        <v>72</v>
      </c>
    </row>
    <row r="88" spans="1:23" ht="78.75" customHeight="1" x14ac:dyDescent="0.25">
      <c r="A88" s="42" t="s">
        <v>573</v>
      </c>
      <c r="B88" s="42" t="s">
        <v>574</v>
      </c>
      <c r="C88" s="43" t="s">
        <v>508</v>
      </c>
      <c r="D88" s="43" t="s">
        <v>237</v>
      </c>
      <c r="E88" s="44" t="s">
        <v>575</v>
      </c>
      <c r="F88" s="44" t="s">
        <v>576</v>
      </c>
      <c r="G88" s="45" t="s">
        <v>34</v>
      </c>
      <c r="H88" s="47">
        <v>46036</v>
      </c>
      <c r="I88" s="47">
        <v>46042</v>
      </c>
      <c r="J88" s="43" t="s">
        <v>113</v>
      </c>
      <c r="K88" s="43" t="s">
        <v>86</v>
      </c>
      <c r="L88" s="49" t="s">
        <v>69</v>
      </c>
      <c r="M88" s="49"/>
      <c r="N88" s="49"/>
      <c r="O88" s="48"/>
      <c r="P88" s="49" t="str">
        <f t="shared" si="3"/>
        <v>ONAY</v>
      </c>
      <c r="R88" s="50" t="str">
        <f t="shared" si="4"/>
        <v/>
      </c>
      <c r="U88" s="28">
        <f>IF($C88&lt;&gt;"",COUNTIF($C$2:C88,C88),"")</f>
        <v>2</v>
      </c>
      <c r="V88" s="28" t="str">
        <f t="shared" si="5"/>
        <v>Prof. Dr. Sıddika Songül YALÇIN§2</v>
      </c>
      <c r="W88" s="28" t="str">
        <f>IF(U88=1,COUNTIF($U$2:U88,1),"")</f>
        <v/>
      </c>
    </row>
    <row r="89" spans="1:23" ht="63" customHeight="1" x14ac:dyDescent="0.25">
      <c r="A89" s="42" t="s">
        <v>577</v>
      </c>
      <c r="B89" s="42" t="s">
        <v>578</v>
      </c>
      <c r="C89" s="43" t="s">
        <v>579</v>
      </c>
      <c r="D89" s="43" t="s">
        <v>203</v>
      </c>
      <c r="E89" s="44" t="s">
        <v>580</v>
      </c>
      <c r="F89" s="44" t="s">
        <v>581</v>
      </c>
      <c r="G89" s="45" t="s">
        <v>34</v>
      </c>
      <c r="H89" s="47">
        <v>46036</v>
      </c>
      <c r="I89" s="47">
        <v>46042</v>
      </c>
      <c r="J89" s="43" t="s">
        <v>104</v>
      </c>
      <c r="K89" s="43" t="s">
        <v>105</v>
      </c>
      <c r="L89" s="49" t="s">
        <v>69</v>
      </c>
      <c r="M89" s="49"/>
      <c r="N89" s="49"/>
      <c r="O89" s="48"/>
      <c r="P89" s="49" t="str">
        <f t="shared" si="3"/>
        <v>ONAY</v>
      </c>
      <c r="R89" s="50" t="str">
        <f t="shared" si="4"/>
        <v/>
      </c>
      <c r="U89" s="28">
        <f>IF($C89&lt;&gt;"",COUNTIF($C$2:C89,C89),"")</f>
        <v>1</v>
      </c>
      <c r="V89" s="28" t="str">
        <f t="shared" si="5"/>
        <v>Doç. Dr. İrem KOÇ§1</v>
      </c>
      <c r="W89" s="28">
        <f>IF(U89=1,COUNTIF($U$2:U89,1),"")</f>
        <v>73</v>
      </c>
    </row>
    <row r="90" spans="1:23" ht="63" customHeight="1" x14ac:dyDescent="0.25">
      <c r="A90" s="42" t="s">
        <v>582</v>
      </c>
      <c r="B90" s="42" t="s">
        <v>583</v>
      </c>
      <c r="C90" s="43" t="s">
        <v>579</v>
      </c>
      <c r="D90" s="43" t="s">
        <v>203</v>
      </c>
      <c r="E90" s="44" t="s">
        <v>580</v>
      </c>
      <c r="F90" s="44" t="s">
        <v>584</v>
      </c>
      <c r="G90" s="45" t="s">
        <v>34</v>
      </c>
      <c r="H90" s="47">
        <v>46036</v>
      </c>
      <c r="I90" s="47">
        <v>46042</v>
      </c>
      <c r="J90" s="43" t="s">
        <v>86</v>
      </c>
      <c r="K90" s="43" t="s">
        <v>128</v>
      </c>
      <c r="L90" s="49" t="s">
        <v>69</v>
      </c>
      <c r="M90" s="49"/>
      <c r="N90" s="49"/>
      <c r="O90" s="48"/>
      <c r="P90" s="49" t="str">
        <f t="shared" si="3"/>
        <v>ONAY</v>
      </c>
      <c r="R90" s="50" t="str">
        <f t="shared" si="4"/>
        <v/>
      </c>
      <c r="U90" s="28">
        <f>IF($C90&lt;&gt;"",COUNTIF($C$2:C90,C90),"")</f>
        <v>2</v>
      </c>
      <c r="V90" s="28" t="str">
        <f t="shared" si="5"/>
        <v>Doç. Dr. İrem KOÇ§2</v>
      </c>
      <c r="W90" s="28" t="str">
        <f>IF(U90=1,COUNTIF($U$2:U90,1),"")</f>
        <v/>
      </c>
    </row>
    <row r="91" spans="1:23" ht="78.75" customHeight="1" x14ac:dyDescent="0.25">
      <c r="A91" s="42" t="s">
        <v>585</v>
      </c>
      <c r="B91" s="42" t="s">
        <v>586</v>
      </c>
      <c r="C91" s="43" t="s">
        <v>410</v>
      </c>
      <c r="D91" s="43" t="s">
        <v>237</v>
      </c>
      <c r="E91" s="44" t="s">
        <v>587</v>
      </c>
      <c r="F91" s="44" t="s">
        <v>588</v>
      </c>
      <c r="G91" s="45" t="s">
        <v>34</v>
      </c>
      <c r="H91" s="47">
        <v>46036</v>
      </c>
      <c r="I91" s="47">
        <v>46042</v>
      </c>
      <c r="J91" s="43" t="s">
        <v>68</v>
      </c>
      <c r="K91" s="43" t="s">
        <v>94</v>
      </c>
      <c r="L91" s="49" t="s">
        <v>96</v>
      </c>
      <c r="M91" s="49" t="s">
        <v>69</v>
      </c>
      <c r="N91" s="49"/>
      <c r="O91" s="48"/>
      <c r="P91" s="49" t="str">
        <f t="shared" si="3"/>
        <v>ONAY</v>
      </c>
      <c r="Q91" s="27" t="s">
        <v>68</v>
      </c>
      <c r="R91" s="50" t="str">
        <f t="shared" si="4"/>
        <v/>
      </c>
      <c r="U91" s="28">
        <f>IF($C91&lt;&gt;"",COUNTIF($C$2:C91,C91),"")</f>
        <v>3</v>
      </c>
      <c r="V91" s="28" t="str">
        <f t="shared" si="5"/>
        <v>Prof. Dr. Deniz ÇAĞDAŞ AYVAZ§3</v>
      </c>
      <c r="W91" s="28" t="str">
        <f>IF(U91=1,COUNTIF($U$2:U91,1),"")</f>
        <v/>
      </c>
    </row>
    <row r="92" spans="1:23" ht="63" customHeight="1" x14ac:dyDescent="0.25">
      <c r="A92" s="42" t="s">
        <v>589</v>
      </c>
      <c r="B92" s="42" t="s">
        <v>590</v>
      </c>
      <c r="C92" s="43" t="s">
        <v>591</v>
      </c>
      <c r="D92" s="43" t="s">
        <v>110</v>
      </c>
      <c r="E92" s="44" t="s">
        <v>592</v>
      </c>
      <c r="F92" s="44" t="s">
        <v>593</v>
      </c>
      <c r="G92" s="45" t="s">
        <v>34</v>
      </c>
      <c r="H92" s="47">
        <v>46036</v>
      </c>
      <c r="I92" s="47">
        <v>46042</v>
      </c>
      <c r="J92" s="43" t="s">
        <v>95</v>
      </c>
      <c r="K92" s="43" t="s">
        <v>121</v>
      </c>
      <c r="L92" s="49" t="s">
        <v>69</v>
      </c>
      <c r="M92" s="49"/>
      <c r="N92" s="49"/>
      <c r="O92" s="48"/>
      <c r="P92" s="49" t="str">
        <f t="shared" si="3"/>
        <v>ONAY</v>
      </c>
      <c r="R92" s="50" t="str">
        <f t="shared" si="4"/>
        <v/>
      </c>
      <c r="U92" s="28">
        <f>IF($C92&lt;&gt;"",COUNTIF($C$2:C92,C92),"")</f>
        <v>1</v>
      </c>
      <c r="V92" s="28" t="str">
        <f t="shared" si="5"/>
        <v>Doç. Dr. Hacı Hasan YETER§1</v>
      </c>
      <c r="W92" s="28">
        <f>IF(U92=1,COUNTIF($U$2:U92,1),"")</f>
        <v>74</v>
      </c>
    </row>
    <row r="93" spans="1:23" ht="63" customHeight="1" x14ac:dyDescent="0.25">
      <c r="A93" s="42" t="s">
        <v>594</v>
      </c>
      <c r="B93" s="42" t="s">
        <v>595</v>
      </c>
      <c r="C93" s="43" t="s">
        <v>202</v>
      </c>
      <c r="D93" s="43" t="s">
        <v>203</v>
      </c>
      <c r="E93" s="44" t="s">
        <v>596</v>
      </c>
      <c r="F93" s="44" t="s">
        <v>597</v>
      </c>
      <c r="G93" s="45" t="s">
        <v>34</v>
      </c>
      <c r="H93" s="47">
        <v>46036</v>
      </c>
      <c r="I93" s="47">
        <v>46042</v>
      </c>
      <c r="J93" s="43" t="s">
        <v>104</v>
      </c>
      <c r="K93" s="43" t="s">
        <v>113</v>
      </c>
      <c r="L93" s="49" t="s">
        <v>69</v>
      </c>
      <c r="M93" s="49"/>
      <c r="N93" s="49"/>
      <c r="O93" s="48"/>
      <c r="P93" s="49" t="str">
        <f t="shared" si="3"/>
        <v>ONAY</v>
      </c>
      <c r="R93" s="50" t="str">
        <f t="shared" si="4"/>
        <v/>
      </c>
      <c r="U93" s="28">
        <f>IF($C93&lt;&gt;"",COUNTIF($C$2:C93,C93),"")</f>
        <v>3</v>
      </c>
      <c r="V93" s="28" t="str">
        <f t="shared" si="5"/>
        <v>Dr. Öğr. Üyesi Figen BEZCİ AYGÜN§3</v>
      </c>
      <c r="W93" s="28" t="str">
        <f>IF(U93=1,COUNTIF($U$2:U93,1),"")</f>
        <v/>
      </c>
    </row>
    <row r="94" spans="1:23" ht="63" customHeight="1" x14ac:dyDescent="0.25">
      <c r="A94" s="42" t="s">
        <v>598</v>
      </c>
      <c r="B94" s="42" t="s">
        <v>599</v>
      </c>
      <c r="C94" s="43" t="s">
        <v>68</v>
      </c>
      <c r="D94" s="43" t="s">
        <v>237</v>
      </c>
      <c r="E94" s="44" t="s">
        <v>600</v>
      </c>
      <c r="F94" s="44" t="s">
        <v>601</v>
      </c>
      <c r="G94" s="45" t="s">
        <v>35</v>
      </c>
      <c r="H94" s="47">
        <v>46036</v>
      </c>
      <c r="I94" s="47">
        <v>46042</v>
      </c>
      <c r="J94" s="43" t="s">
        <v>105</v>
      </c>
      <c r="K94" s="43" t="s">
        <v>121</v>
      </c>
      <c r="L94" s="49" t="s">
        <v>69</v>
      </c>
      <c r="M94" s="49"/>
      <c r="N94" s="49"/>
      <c r="O94" s="48"/>
      <c r="P94" s="49" t="str">
        <f t="shared" si="3"/>
        <v>ONAY</v>
      </c>
      <c r="R94" s="50" t="str">
        <f t="shared" si="4"/>
        <v/>
      </c>
      <c r="U94" s="28">
        <f>IF($C94&lt;&gt;"",COUNTIF($C$2:C94,C94),"")</f>
        <v>1</v>
      </c>
      <c r="V94" s="28" t="str">
        <f t="shared" si="5"/>
        <v>Doç. Dr. Kübra AYKAÇ§1</v>
      </c>
      <c r="W94" s="28">
        <f>IF(U94=1,COUNTIF($U$2:U94,1),"")</f>
        <v>75</v>
      </c>
    </row>
    <row r="95" spans="1:23" ht="78.75" customHeight="1" x14ac:dyDescent="0.25">
      <c r="A95" s="42" t="s">
        <v>602</v>
      </c>
      <c r="B95" s="42" t="s">
        <v>603</v>
      </c>
      <c r="C95" s="43" t="s">
        <v>604</v>
      </c>
      <c r="D95" s="43" t="s">
        <v>237</v>
      </c>
      <c r="E95" s="44" t="s">
        <v>605</v>
      </c>
      <c r="F95" s="44" t="s">
        <v>606</v>
      </c>
      <c r="G95" s="45" t="s">
        <v>35</v>
      </c>
      <c r="H95" s="47">
        <v>46036</v>
      </c>
      <c r="I95" s="47">
        <v>46042</v>
      </c>
      <c r="J95" s="43" t="s">
        <v>85</v>
      </c>
      <c r="K95" s="43" t="s">
        <v>68</v>
      </c>
      <c r="L95" s="49" t="s">
        <v>96</v>
      </c>
      <c r="M95" s="49" t="s">
        <v>69</v>
      </c>
      <c r="N95" s="49"/>
      <c r="O95" s="48"/>
      <c r="P95" s="49" t="str">
        <f t="shared" si="3"/>
        <v>ONAY</v>
      </c>
      <c r="Q95" s="27" t="s">
        <v>85</v>
      </c>
      <c r="R95" s="50" t="str">
        <f t="shared" si="4"/>
        <v/>
      </c>
      <c r="U95" s="28">
        <f>IF($C95&lt;&gt;"",COUNTIF($C$2:C95,C95),"")</f>
        <v>1</v>
      </c>
      <c r="V95" s="28" t="str">
        <f t="shared" si="5"/>
        <v>Doç. Dr. Emel ISIYEL§1</v>
      </c>
      <c r="W95" s="28">
        <f>IF(U95=1,COUNTIF($U$2:U95,1),"")</f>
        <v>76</v>
      </c>
    </row>
    <row r="96" spans="1:23" ht="78.75" customHeight="1" x14ac:dyDescent="0.25">
      <c r="A96" s="42" t="s">
        <v>607</v>
      </c>
      <c r="B96" s="42" t="s">
        <v>608</v>
      </c>
      <c r="C96" s="43" t="s">
        <v>609</v>
      </c>
      <c r="D96" s="43" t="s">
        <v>110</v>
      </c>
      <c r="E96" s="44" t="s">
        <v>610</v>
      </c>
      <c r="F96" s="44" t="s">
        <v>611</v>
      </c>
      <c r="G96" s="45" t="s">
        <v>34</v>
      </c>
      <c r="H96" s="47">
        <v>46036</v>
      </c>
      <c r="I96" s="47">
        <v>46042</v>
      </c>
      <c r="J96" s="43" t="s">
        <v>94</v>
      </c>
      <c r="K96" s="43" t="s">
        <v>95</v>
      </c>
      <c r="L96" s="49" t="s">
        <v>69</v>
      </c>
      <c r="M96" s="49"/>
      <c r="N96" s="49"/>
      <c r="O96" s="48"/>
      <c r="P96" s="49" t="str">
        <f t="shared" si="3"/>
        <v>ONAY</v>
      </c>
      <c r="R96" s="50" t="str">
        <f t="shared" si="4"/>
        <v/>
      </c>
      <c r="U96" s="28">
        <f>IF($C96&lt;&gt;"",COUNTIF($C$2:C96,C96),"")</f>
        <v>1</v>
      </c>
      <c r="V96" s="28" t="str">
        <f t="shared" si="5"/>
        <v>Prof. Dr. Ayşe Tomris ERBAŞ§1</v>
      </c>
      <c r="W96" s="28">
        <f>IF(U96=1,COUNTIF($U$2:U96,1),"")</f>
        <v>77</v>
      </c>
    </row>
    <row r="97" spans="1:23" ht="47.25" customHeight="1" x14ac:dyDescent="0.25">
      <c r="A97" s="42" t="s">
        <v>612</v>
      </c>
      <c r="B97" s="42" t="s">
        <v>613</v>
      </c>
      <c r="C97" s="43" t="s">
        <v>614</v>
      </c>
      <c r="D97" s="43" t="s">
        <v>615</v>
      </c>
      <c r="E97" s="44" t="s">
        <v>616</v>
      </c>
      <c r="F97" s="44" t="s">
        <v>617</v>
      </c>
      <c r="G97" s="45" t="s">
        <v>37</v>
      </c>
      <c r="H97" s="47">
        <v>46037</v>
      </c>
      <c r="I97" s="47">
        <v>46042</v>
      </c>
      <c r="J97" s="43" t="s">
        <v>85</v>
      </c>
      <c r="K97" s="43" t="s">
        <v>94</v>
      </c>
      <c r="L97" s="49" t="s">
        <v>69</v>
      </c>
      <c r="M97" s="49"/>
      <c r="N97" s="49"/>
      <c r="O97" s="48"/>
      <c r="P97" s="49" t="str">
        <f t="shared" si="3"/>
        <v>ONAY</v>
      </c>
      <c r="R97" s="50" t="str">
        <f t="shared" si="4"/>
        <v/>
      </c>
      <c r="U97" s="28">
        <f>IF($C97&lt;&gt;"",COUNTIF($C$2:C97,C97),"")</f>
        <v>1</v>
      </c>
      <c r="V97" s="28" t="str">
        <f t="shared" si="5"/>
        <v>Doç. Dr. Aslıhan AYKARA§1</v>
      </c>
      <c r="W97" s="28">
        <f>IF(U97=1,COUNTIF($U$2:U97,1),"")</f>
        <v>78</v>
      </c>
    </row>
    <row r="98" spans="1:23" ht="47.25" customHeight="1" x14ac:dyDescent="0.25">
      <c r="A98" s="42" t="s">
        <v>618</v>
      </c>
      <c r="B98" s="42" t="s">
        <v>619</v>
      </c>
      <c r="C98" s="43" t="s">
        <v>109</v>
      </c>
      <c r="D98" s="43" t="s">
        <v>110</v>
      </c>
      <c r="E98" s="44" t="s">
        <v>620</v>
      </c>
      <c r="F98" s="44" t="s">
        <v>621</v>
      </c>
      <c r="G98" s="45" t="s">
        <v>34</v>
      </c>
      <c r="H98" s="47">
        <v>46037</v>
      </c>
      <c r="I98" s="47">
        <v>46042</v>
      </c>
      <c r="J98" s="43" t="s">
        <v>128</v>
      </c>
      <c r="K98" s="43" t="s">
        <v>77</v>
      </c>
      <c r="L98" s="49" t="s">
        <v>69</v>
      </c>
      <c r="M98" s="49"/>
      <c r="N98" s="49"/>
      <c r="O98" s="48"/>
      <c r="P98" s="49" t="str">
        <f t="shared" si="3"/>
        <v>ONAY</v>
      </c>
      <c r="R98" s="50" t="str">
        <f t="shared" si="4"/>
        <v/>
      </c>
      <c r="U98" s="28">
        <f>IF($C98&lt;&gt;"",COUNTIF($C$2:C98,C98),"")</f>
        <v>4</v>
      </c>
      <c r="V98" s="28" t="str">
        <f t="shared" si="5"/>
        <v>Prof. Dr. Meltem Gülhan HALİL§4</v>
      </c>
      <c r="W98" s="28" t="str">
        <f>IF(U98=1,COUNTIF($U$2:U98,1),"")</f>
        <v/>
      </c>
    </row>
    <row r="99" spans="1:23" ht="47.25" customHeight="1" x14ac:dyDescent="0.25">
      <c r="A99" s="42" t="s">
        <v>622</v>
      </c>
      <c r="B99" s="42" t="s">
        <v>623</v>
      </c>
      <c r="C99" s="43" t="s">
        <v>109</v>
      </c>
      <c r="D99" s="43" t="s">
        <v>110</v>
      </c>
      <c r="E99" s="44" t="s">
        <v>620</v>
      </c>
      <c r="F99" s="44" t="s">
        <v>624</v>
      </c>
      <c r="G99" s="45" t="s">
        <v>34</v>
      </c>
      <c r="H99" s="47">
        <v>46037</v>
      </c>
      <c r="I99" s="47">
        <v>46042</v>
      </c>
      <c r="J99" s="43" t="s">
        <v>128</v>
      </c>
      <c r="K99" s="43" t="s">
        <v>77</v>
      </c>
      <c r="L99" s="49" t="s">
        <v>69</v>
      </c>
      <c r="M99" s="49"/>
      <c r="N99" s="49"/>
      <c r="O99" s="48"/>
      <c r="P99" s="49" t="str">
        <f t="shared" si="3"/>
        <v>ONAY</v>
      </c>
      <c r="R99" s="50" t="str">
        <f t="shared" si="4"/>
        <v/>
      </c>
      <c r="U99" s="28">
        <f>IF($C99&lt;&gt;"",COUNTIF($C$2:C99,C99),"")</f>
        <v>5</v>
      </c>
      <c r="V99" s="28" t="str">
        <f t="shared" si="5"/>
        <v>Prof. Dr. Meltem Gülhan HALİL§5</v>
      </c>
      <c r="W99" s="28" t="str">
        <f>IF(U99=1,COUNTIF($U$2:U99,1),"")</f>
        <v/>
      </c>
    </row>
    <row r="100" spans="1:23" ht="63" customHeight="1" x14ac:dyDescent="0.25">
      <c r="A100" s="42" t="s">
        <v>625</v>
      </c>
      <c r="B100" s="42" t="s">
        <v>626</v>
      </c>
      <c r="C100" s="43" t="s">
        <v>614</v>
      </c>
      <c r="D100" s="43" t="s">
        <v>615</v>
      </c>
      <c r="E100" s="44" t="s">
        <v>627</v>
      </c>
      <c r="F100" s="44" t="s">
        <v>628</v>
      </c>
      <c r="G100" s="45" t="s">
        <v>37</v>
      </c>
      <c r="H100" s="47">
        <v>46037</v>
      </c>
      <c r="I100" s="47">
        <v>46042</v>
      </c>
      <c r="J100" s="43" t="s">
        <v>85</v>
      </c>
      <c r="K100" s="43" t="s">
        <v>86</v>
      </c>
      <c r="L100" s="49" t="s">
        <v>69</v>
      </c>
      <c r="M100" s="49"/>
      <c r="N100" s="49"/>
      <c r="O100" s="48"/>
      <c r="P100" s="49" t="str">
        <f t="shared" si="3"/>
        <v>ONAY</v>
      </c>
      <c r="R100" s="50" t="str">
        <f t="shared" si="4"/>
        <v/>
      </c>
      <c r="U100" s="28">
        <f>IF($C100&lt;&gt;"",COUNTIF($C$2:C100,C100),"")</f>
        <v>2</v>
      </c>
      <c r="V100" s="28" t="str">
        <f t="shared" si="5"/>
        <v>Doç. Dr. Aslıhan AYKARA§2</v>
      </c>
      <c r="W100" s="28" t="str">
        <f>IF(U100=1,COUNTIF($U$2:U100,1),"")</f>
        <v/>
      </c>
    </row>
    <row r="101" spans="1:23" ht="78.75" customHeight="1" x14ac:dyDescent="0.25">
      <c r="A101" s="42" t="s">
        <v>629</v>
      </c>
      <c r="B101" s="42" t="s">
        <v>630</v>
      </c>
      <c r="C101" s="43" t="s">
        <v>508</v>
      </c>
      <c r="D101" s="43" t="s">
        <v>237</v>
      </c>
      <c r="E101" s="44" t="s">
        <v>631</v>
      </c>
      <c r="F101" s="44" t="s">
        <v>632</v>
      </c>
      <c r="G101" s="45" t="s">
        <v>34</v>
      </c>
      <c r="H101" s="47">
        <v>46037</v>
      </c>
      <c r="I101" s="47">
        <v>46042</v>
      </c>
      <c r="J101" s="43" t="s">
        <v>67</v>
      </c>
      <c r="K101" s="43" t="s">
        <v>85</v>
      </c>
      <c r="L101" s="49" t="s">
        <v>69</v>
      </c>
      <c r="M101" s="49"/>
      <c r="N101" s="49"/>
      <c r="O101" s="48"/>
      <c r="P101" s="49" t="str">
        <f t="shared" si="3"/>
        <v>ONAY</v>
      </c>
      <c r="R101" s="50" t="str">
        <f t="shared" si="4"/>
        <v/>
      </c>
      <c r="U101" s="28">
        <f>IF($C101&lt;&gt;"",COUNTIF($C$2:C101,C101),"")</f>
        <v>3</v>
      </c>
      <c r="V101" s="28" t="str">
        <f t="shared" si="5"/>
        <v>Prof. Dr. Sıddika Songül YALÇIN§3</v>
      </c>
      <c r="W101" s="28" t="str">
        <f>IF(U101=1,COUNTIF($U$2:U101,1),"")</f>
        <v/>
      </c>
    </row>
    <row r="102" spans="1:23" ht="79.5" customHeight="1" x14ac:dyDescent="0.25">
      <c r="A102" s="42" t="s">
        <v>633</v>
      </c>
      <c r="B102" s="42" t="s">
        <v>634</v>
      </c>
      <c r="C102" s="43" t="s">
        <v>635</v>
      </c>
      <c r="D102" s="43" t="s">
        <v>229</v>
      </c>
      <c r="E102" s="44" t="s">
        <v>636</v>
      </c>
      <c r="F102" s="44" t="s">
        <v>637</v>
      </c>
      <c r="G102" s="45" t="s">
        <v>35</v>
      </c>
      <c r="H102" s="47">
        <v>46044</v>
      </c>
      <c r="I102" s="47">
        <v>46057</v>
      </c>
      <c r="J102" s="43" t="s">
        <v>121</v>
      </c>
      <c r="K102" s="43" t="s">
        <v>77</v>
      </c>
      <c r="L102" s="49" t="s">
        <v>69</v>
      </c>
      <c r="M102" s="49"/>
      <c r="N102" s="49"/>
      <c r="O102" s="48"/>
      <c r="P102" s="49" t="str">
        <f t="shared" si="3"/>
        <v>ONAY</v>
      </c>
      <c r="R102" s="50" t="str">
        <f t="shared" si="4"/>
        <v/>
      </c>
      <c r="U102" s="28">
        <f>IF($C102&lt;&gt;"",COUNTIF($C$2:C102,C102),"")</f>
        <v>1</v>
      </c>
      <c r="V102" s="28" t="str">
        <f t="shared" si="5"/>
        <v>Prof. Dr. Hakan Hıfzı TÜZ§1</v>
      </c>
      <c r="W102" s="28">
        <f>IF(U102=1,COUNTIF($U$2:U102,1),"")</f>
        <v>79</v>
      </c>
    </row>
    <row r="103" spans="1:23" ht="94.5" customHeight="1" x14ac:dyDescent="0.25">
      <c r="A103" s="42" t="s">
        <v>638</v>
      </c>
      <c r="B103" s="42" t="s">
        <v>639</v>
      </c>
      <c r="C103" s="43" t="s">
        <v>640</v>
      </c>
      <c r="D103" s="43" t="s">
        <v>168</v>
      </c>
      <c r="E103" s="44" t="s">
        <v>641</v>
      </c>
      <c r="F103" s="44" t="s">
        <v>642</v>
      </c>
      <c r="G103" s="45" t="s">
        <v>34</v>
      </c>
      <c r="H103" s="47">
        <v>46044</v>
      </c>
      <c r="I103" s="47">
        <v>46057</v>
      </c>
      <c r="J103" s="43" t="s">
        <v>128</v>
      </c>
      <c r="K103" s="43" t="s">
        <v>105</v>
      </c>
      <c r="L103" s="49" t="s">
        <v>96</v>
      </c>
      <c r="M103" s="49" t="s">
        <v>69</v>
      </c>
      <c r="N103" s="49"/>
      <c r="O103" s="48"/>
      <c r="P103" s="49" t="str">
        <f t="shared" si="3"/>
        <v>ONAY</v>
      </c>
      <c r="Q103" s="27" t="s">
        <v>128</v>
      </c>
      <c r="R103" s="50" t="str">
        <f t="shared" si="4"/>
        <v/>
      </c>
      <c r="U103" s="28">
        <f>IF($C103&lt;&gt;"",COUNTIF($C$2:C103,C103),"")</f>
        <v>1</v>
      </c>
      <c r="V103" s="28" t="str">
        <f t="shared" si="5"/>
        <v>Dr. Öğr. Üyesi Burkay UTKU§1</v>
      </c>
      <c r="W103" s="28">
        <f>IF(U103=1,COUNTIF($U$2:U103,1),"")</f>
        <v>80</v>
      </c>
    </row>
    <row r="104" spans="1:23" ht="63" customHeight="1" x14ac:dyDescent="0.25">
      <c r="A104" s="42" t="s">
        <v>643</v>
      </c>
      <c r="B104" s="42" t="s">
        <v>644</v>
      </c>
      <c r="C104" s="43" t="s">
        <v>95</v>
      </c>
      <c r="D104" s="43" t="s">
        <v>133</v>
      </c>
      <c r="E104" s="44" t="s">
        <v>645</v>
      </c>
      <c r="F104" s="44" t="s">
        <v>646</v>
      </c>
      <c r="G104" s="45" t="s">
        <v>35</v>
      </c>
      <c r="H104" s="47">
        <v>46044</v>
      </c>
      <c r="I104" s="47">
        <v>46057</v>
      </c>
      <c r="J104" s="43" t="s">
        <v>85</v>
      </c>
      <c r="K104" s="43" t="s">
        <v>68</v>
      </c>
      <c r="L104" s="49" t="s">
        <v>69</v>
      </c>
      <c r="M104" s="49"/>
      <c r="N104" s="49"/>
      <c r="O104" s="48"/>
      <c r="P104" s="49" t="str">
        <f t="shared" si="3"/>
        <v>ONAY</v>
      </c>
      <c r="R104" s="50" t="str">
        <f t="shared" si="4"/>
        <v/>
      </c>
      <c r="U104" s="28">
        <f>IF($C104&lt;&gt;"",COUNTIF($C$2:C104,C104),"")</f>
        <v>1</v>
      </c>
      <c r="V104" s="28" t="str">
        <f t="shared" si="5"/>
        <v>Doç. Dr. Burcu ERSÖZ ALAN§1</v>
      </c>
      <c r="W104" s="28">
        <f>IF(U104=1,COUNTIF($U$2:U104,1),"")</f>
        <v>81</v>
      </c>
    </row>
    <row r="105" spans="1:23" ht="97.5" customHeight="1" x14ac:dyDescent="0.25">
      <c r="A105" s="42" t="s">
        <v>647</v>
      </c>
      <c r="B105" s="42" t="s">
        <v>648</v>
      </c>
      <c r="C105" s="43" t="s">
        <v>649</v>
      </c>
      <c r="D105" s="43" t="s">
        <v>110</v>
      </c>
      <c r="E105" s="44" t="s">
        <v>650</v>
      </c>
      <c r="F105" s="44" t="s">
        <v>651</v>
      </c>
      <c r="G105" s="45" t="s">
        <v>34</v>
      </c>
      <c r="H105" s="47">
        <v>46044</v>
      </c>
      <c r="I105" s="47">
        <v>46057</v>
      </c>
      <c r="J105" s="43" t="s">
        <v>105</v>
      </c>
      <c r="K105" s="43" t="s">
        <v>77</v>
      </c>
      <c r="L105" s="49" t="s">
        <v>69</v>
      </c>
      <c r="M105" s="49"/>
      <c r="N105" s="49"/>
      <c r="O105" s="48"/>
      <c r="P105" s="49" t="str">
        <f t="shared" si="3"/>
        <v>ONAY</v>
      </c>
      <c r="R105" s="50" t="str">
        <f t="shared" si="4"/>
        <v/>
      </c>
      <c r="U105" s="28">
        <f>IF($C105&lt;&gt;"",COUNTIF($C$2:C105,C105),"")</f>
        <v>1</v>
      </c>
      <c r="V105" s="28" t="str">
        <f t="shared" si="5"/>
        <v>Prof. Dr. Selçuk DAĞDELEN§1</v>
      </c>
      <c r="W105" s="28">
        <f>IF(U105=1,COUNTIF($U$2:U105,1),"")</f>
        <v>82</v>
      </c>
    </row>
    <row r="106" spans="1:23" ht="78.75" customHeight="1" x14ac:dyDescent="0.25">
      <c r="A106" s="42" t="s">
        <v>652</v>
      </c>
      <c r="B106" s="42" t="s">
        <v>653</v>
      </c>
      <c r="C106" s="43" t="s">
        <v>654</v>
      </c>
      <c r="D106" s="43" t="s">
        <v>175</v>
      </c>
      <c r="E106" s="44" t="s">
        <v>655</v>
      </c>
      <c r="F106" s="44" t="s">
        <v>656</v>
      </c>
      <c r="G106" s="45" t="s">
        <v>34</v>
      </c>
      <c r="H106" s="47">
        <v>46044</v>
      </c>
      <c r="I106" s="47">
        <v>46057</v>
      </c>
      <c r="J106" s="43" t="s">
        <v>105</v>
      </c>
      <c r="K106" s="43" t="s">
        <v>67</v>
      </c>
      <c r="L106" s="49" t="s">
        <v>69</v>
      </c>
      <c r="M106" s="49"/>
      <c r="N106" s="49"/>
      <c r="O106" s="48"/>
      <c r="P106" s="49" t="str">
        <f t="shared" si="3"/>
        <v>ONAY</v>
      </c>
      <c r="R106" s="50" t="str">
        <f t="shared" si="4"/>
        <v/>
      </c>
      <c r="U106" s="28">
        <f>IF($C106&lt;&gt;"",COUNTIF($C$2:C106,C106),"")</f>
        <v>1</v>
      </c>
      <c r="V106" s="28" t="str">
        <f t="shared" si="5"/>
        <v>Öğr. Gör. Dr. Aytekin İDİKUT§1</v>
      </c>
      <c r="W106" s="28">
        <f>IF(U106=1,COUNTIF($U$2:U106,1),"")</f>
        <v>83</v>
      </c>
    </row>
    <row r="107" spans="1:23" ht="63" customHeight="1" x14ac:dyDescent="0.25">
      <c r="A107" s="42" t="s">
        <v>657</v>
      </c>
      <c r="B107" s="42" t="s">
        <v>658</v>
      </c>
      <c r="C107" s="43" t="s">
        <v>659</v>
      </c>
      <c r="D107" s="43" t="s">
        <v>244</v>
      </c>
      <c r="E107" s="44" t="s">
        <v>660</v>
      </c>
      <c r="F107" s="44" t="s">
        <v>661</v>
      </c>
      <c r="G107" s="45" t="s">
        <v>34</v>
      </c>
      <c r="H107" s="47">
        <v>46044</v>
      </c>
      <c r="I107" s="47">
        <v>46057</v>
      </c>
      <c r="J107" s="43" t="s">
        <v>95</v>
      </c>
      <c r="K107" s="43" t="s">
        <v>128</v>
      </c>
      <c r="L107" s="49" t="s">
        <v>69</v>
      </c>
      <c r="M107" s="49"/>
      <c r="N107" s="49"/>
      <c r="O107" s="48"/>
      <c r="P107" s="49" t="str">
        <f t="shared" si="3"/>
        <v>ONAY</v>
      </c>
      <c r="R107" s="50" t="str">
        <f t="shared" si="4"/>
        <v/>
      </c>
      <c r="U107" s="28">
        <f>IF($C107&lt;&gt;"",COUNTIF($C$2:C107,C107),"")</f>
        <v>1</v>
      </c>
      <c r="V107" s="28" t="str">
        <f t="shared" si="5"/>
        <v>Dr. Öğr. Üyesi Murat ÇAĞAN§1</v>
      </c>
      <c r="W107" s="28">
        <f>IF(U107=1,COUNTIF($U$2:U107,1),"")</f>
        <v>84</v>
      </c>
    </row>
    <row r="108" spans="1:23" ht="110.25" customHeight="1" x14ac:dyDescent="0.25">
      <c r="A108" s="42" t="s">
        <v>662</v>
      </c>
      <c r="B108" s="42" t="s">
        <v>663</v>
      </c>
      <c r="C108" s="43" t="s">
        <v>664</v>
      </c>
      <c r="D108" s="43" t="s">
        <v>244</v>
      </c>
      <c r="E108" s="44" t="s">
        <v>665</v>
      </c>
      <c r="F108" s="44" t="s">
        <v>666</v>
      </c>
      <c r="G108" s="45" t="s">
        <v>34</v>
      </c>
      <c r="H108" s="47">
        <v>46044</v>
      </c>
      <c r="I108" s="47">
        <v>46057</v>
      </c>
      <c r="J108" s="43" t="s">
        <v>67</v>
      </c>
      <c r="K108" s="43" t="s">
        <v>68</v>
      </c>
      <c r="L108" s="49" t="s">
        <v>96</v>
      </c>
      <c r="M108" s="49" t="s">
        <v>69</v>
      </c>
      <c r="N108" s="49"/>
      <c r="O108" s="48"/>
      <c r="P108" s="49" t="str">
        <f t="shared" si="3"/>
        <v>ONAY</v>
      </c>
      <c r="Q108" s="27" t="s">
        <v>67</v>
      </c>
      <c r="R108" s="50" t="str">
        <f t="shared" si="4"/>
        <v/>
      </c>
      <c r="U108" s="28">
        <f>IF($C108&lt;&gt;"",COUNTIF($C$2:C108,C108),"")</f>
        <v>1</v>
      </c>
      <c r="V108" s="28" t="str">
        <f t="shared" si="5"/>
        <v>Doç. Dr. Utku AKGÖR§1</v>
      </c>
      <c r="W108" s="28">
        <f>IF(U108=1,COUNTIF($U$2:U108,1),"")</f>
        <v>85</v>
      </c>
    </row>
    <row r="109" spans="1:23" ht="78.75" customHeight="1" x14ac:dyDescent="0.25">
      <c r="A109" s="42" t="s">
        <v>667</v>
      </c>
      <c r="B109" s="42" t="s">
        <v>668</v>
      </c>
      <c r="C109" s="43" t="s">
        <v>669</v>
      </c>
      <c r="D109" s="43" t="s">
        <v>515</v>
      </c>
      <c r="E109" s="44" t="s">
        <v>670</v>
      </c>
      <c r="F109" s="44" t="s">
        <v>671</v>
      </c>
      <c r="G109" s="45" t="s">
        <v>34</v>
      </c>
      <c r="H109" s="47">
        <v>46044</v>
      </c>
      <c r="I109" s="47">
        <v>46057</v>
      </c>
      <c r="J109" s="43" t="s">
        <v>121</v>
      </c>
      <c r="K109" s="43" t="s">
        <v>95</v>
      </c>
      <c r="L109" s="49" t="s">
        <v>69</v>
      </c>
      <c r="M109" s="49"/>
      <c r="N109" s="49"/>
      <c r="O109" s="48"/>
      <c r="P109" s="49" t="str">
        <f t="shared" si="3"/>
        <v>ONAY</v>
      </c>
      <c r="R109" s="50" t="str">
        <f t="shared" si="4"/>
        <v/>
      </c>
      <c r="U109" s="28">
        <f>IF($C109&lt;&gt;"",COUNTIF($C$2:C109,C109),"")</f>
        <v>1</v>
      </c>
      <c r="V109" s="28" t="str">
        <f t="shared" si="5"/>
        <v>Arş. Gör. Dt. Dilara KARA§1</v>
      </c>
      <c r="W109" s="28">
        <f>IF(U109=1,COUNTIF($U$2:U109,1),"")</f>
        <v>86</v>
      </c>
    </row>
    <row r="110" spans="1:23" ht="78.75" customHeight="1" x14ac:dyDescent="0.25">
      <c r="A110" s="42" t="s">
        <v>672</v>
      </c>
      <c r="B110" s="42" t="s">
        <v>673</v>
      </c>
      <c r="C110" s="43" t="s">
        <v>674</v>
      </c>
      <c r="D110" s="43" t="s">
        <v>237</v>
      </c>
      <c r="E110" s="44" t="s">
        <v>675</v>
      </c>
      <c r="F110" s="44" t="s">
        <v>676</v>
      </c>
      <c r="G110" s="45" t="s">
        <v>34</v>
      </c>
      <c r="H110" s="47">
        <v>46044</v>
      </c>
      <c r="I110" s="47">
        <v>46057</v>
      </c>
      <c r="J110" s="43" t="s">
        <v>68</v>
      </c>
      <c r="K110" s="43" t="s">
        <v>77</v>
      </c>
      <c r="L110" s="49" t="s">
        <v>69</v>
      </c>
      <c r="M110" s="49"/>
      <c r="N110" s="49"/>
      <c r="O110" s="48"/>
      <c r="P110" s="49" t="str">
        <f t="shared" si="3"/>
        <v>ONAY</v>
      </c>
      <c r="R110" s="50" t="str">
        <f t="shared" si="4"/>
        <v/>
      </c>
      <c r="U110" s="28">
        <f>IF($C110&lt;&gt;"",COUNTIF($C$2:C110,C110),"")</f>
        <v>1</v>
      </c>
      <c r="V110" s="28" t="str">
        <f t="shared" si="5"/>
        <v>Arş. Gör. Dr. Sebiha Şükran GÜNDEŞLİ§1</v>
      </c>
      <c r="W110" s="28">
        <f>IF(U110=1,COUNTIF($U$2:U110,1),"")</f>
        <v>87</v>
      </c>
    </row>
    <row r="111" spans="1:23" ht="81.75" customHeight="1" x14ac:dyDescent="0.25">
      <c r="A111" s="42" t="s">
        <v>677</v>
      </c>
      <c r="B111" s="42" t="s">
        <v>678</v>
      </c>
      <c r="C111" s="43" t="s">
        <v>427</v>
      </c>
      <c r="D111" s="43" t="s">
        <v>428</v>
      </c>
      <c r="E111" s="44" t="s">
        <v>679</v>
      </c>
      <c r="F111" s="44" t="s">
        <v>680</v>
      </c>
      <c r="G111" s="45" t="s">
        <v>34</v>
      </c>
      <c r="H111" s="47">
        <v>46044</v>
      </c>
      <c r="I111" s="47">
        <v>46057</v>
      </c>
      <c r="J111" s="43" t="s">
        <v>77</v>
      </c>
      <c r="K111" s="43" t="s">
        <v>121</v>
      </c>
      <c r="L111" s="49" t="s">
        <v>69</v>
      </c>
      <c r="M111" s="49"/>
      <c r="N111" s="49"/>
      <c r="O111" s="48"/>
      <c r="P111" s="49" t="str">
        <f t="shared" si="3"/>
        <v>ONAY</v>
      </c>
      <c r="R111" s="50" t="str">
        <f t="shared" si="4"/>
        <v/>
      </c>
      <c r="U111" s="28">
        <f>IF($C111&lt;&gt;"",COUNTIF($C$2:C111,C111),"")</f>
        <v>3</v>
      </c>
      <c r="V111" s="28" t="str">
        <f t="shared" si="5"/>
        <v>Prof. Dr. Salih Kutay DEMİRKAN§3</v>
      </c>
      <c r="W111" s="28" t="str">
        <f>IF(U111=1,COUNTIF($U$2:U111,1),"")</f>
        <v/>
      </c>
    </row>
    <row r="112" spans="1:23" ht="94.5" customHeight="1" x14ac:dyDescent="0.25">
      <c r="A112" s="42" t="s">
        <v>681</v>
      </c>
      <c r="B112" s="42" t="s">
        <v>682</v>
      </c>
      <c r="C112" s="43" t="s">
        <v>683</v>
      </c>
      <c r="D112" s="43" t="s">
        <v>395</v>
      </c>
      <c r="E112" s="44" t="s">
        <v>684</v>
      </c>
      <c r="F112" s="44" t="s">
        <v>685</v>
      </c>
      <c r="G112" s="45" t="s">
        <v>34</v>
      </c>
      <c r="H112" s="47">
        <v>46044</v>
      </c>
      <c r="I112" s="47">
        <v>46057</v>
      </c>
      <c r="J112" s="43" t="s">
        <v>68</v>
      </c>
      <c r="K112" s="43" t="s">
        <v>95</v>
      </c>
      <c r="L112" s="49" t="s">
        <v>96</v>
      </c>
      <c r="M112" s="49" t="s">
        <v>69</v>
      </c>
      <c r="N112" s="49"/>
      <c r="O112" s="48"/>
      <c r="P112" s="49" t="str">
        <f t="shared" si="3"/>
        <v>ONAY</v>
      </c>
      <c r="Q112" s="27" t="s">
        <v>95</v>
      </c>
      <c r="R112" s="50" t="str">
        <f t="shared" si="4"/>
        <v/>
      </c>
      <c r="U112" s="28">
        <f>IF($C112&lt;&gt;"",COUNTIF($C$2:C112,C112),"")</f>
        <v>1</v>
      </c>
      <c r="V112" s="28" t="str">
        <f t="shared" si="5"/>
        <v>Prof. Dr. Çağrı Mesut TEMUÇİN§1</v>
      </c>
      <c r="W112" s="28">
        <f>IF(U112=1,COUNTIF($U$2:U112,1),"")</f>
        <v>88</v>
      </c>
    </row>
    <row r="113" spans="1:23" ht="63" customHeight="1" x14ac:dyDescent="0.25">
      <c r="A113" s="42" t="s">
        <v>686</v>
      </c>
      <c r="B113" s="42" t="s">
        <v>687</v>
      </c>
      <c r="C113" s="43" t="s">
        <v>688</v>
      </c>
      <c r="D113" s="43" t="s">
        <v>327</v>
      </c>
      <c r="E113" s="44" t="s">
        <v>689</v>
      </c>
      <c r="F113" s="44" t="s">
        <v>690</v>
      </c>
      <c r="G113" s="45" t="s">
        <v>34</v>
      </c>
      <c r="H113" s="47">
        <v>46044</v>
      </c>
      <c r="I113" s="47">
        <v>46057</v>
      </c>
      <c r="J113" s="43" t="s">
        <v>121</v>
      </c>
      <c r="K113" s="43" t="s">
        <v>128</v>
      </c>
      <c r="L113" s="49" t="s">
        <v>69</v>
      </c>
      <c r="M113" s="49"/>
      <c r="N113" s="49"/>
      <c r="O113" s="48"/>
      <c r="P113" s="49" t="str">
        <f t="shared" si="3"/>
        <v>ONAY</v>
      </c>
      <c r="R113" s="50" t="str">
        <f t="shared" si="4"/>
        <v/>
      </c>
      <c r="U113" s="28">
        <f>IF($C113&lt;&gt;"",COUNTIF($C$2:C113,C113),"")</f>
        <v>1</v>
      </c>
      <c r="V113" s="28" t="str">
        <f t="shared" si="5"/>
        <v>Dr. Öğr. Üyesi Irmak OCAK§1</v>
      </c>
      <c r="W113" s="28">
        <f>IF(U113=1,COUNTIF($U$2:U113,1),"")</f>
        <v>89</v>
      </c>
    </row>
    <row r="114" spans="1:23" ht="78.75" customHeight="1" x14ac:dyDescent="0.25">
      <c r="A114" s="42" t="s">
        <v>691</v>
      </c>
      <c r="B114" s="42" t="s">
        <v>692</v>
      </c>
      <c r="C114" s="43" t="s">
        <v>113</v>
      </c>
      <c r="D114" s="43" t="s">
        <v>693</v>
      </c>
      <c r="E114" s="44" t="s">
        <v>694</v>
      </c>
      <c r="F114" s="44" t="s">
        <v>695</v>
      </c>
      <c r="G114" s="45" t="s">
        <v>37</v>
      </c>
      <c r="H114" s="47">
        <v>46044</v>
      </c>
      <c r="I114" s="47">
        <v>46057</v>
      </c>
      <c r="J114" s="43" t="s">
        <v>67</v>
      </c>
      <c r="K114" s="43" t="s">
        <v>128</v>
      </c>
      <c r="L114" s="49" t="s">
        <v>96</v>
      </c>
      <c r="M114" s="49" t="s">
        <v>69</v>
      </c>
      <c r="N114" s="49"/>
      <c r="O114" s="48"/>
      <c r="P114" s="49" t="str">
        <f t="shared" si="3"/>
        <v>ONAY</v>
      </c>
      <c r="Q114" s="27" t="s">
        <v>67</v>
      </c>
      <c r="R114" s="50" t="str">
        <f t="shared" si="4"/>
        <v/>
      </c>
      <c r="U114" s="28">
        <f>IF($C114&lt;&gt;"",COUNTIF($C$2:C114,C114),"")</f>
        <v>1</v>
      </c>
      <c r="V114" s="28" t="str">
        <f t="shared" si="5"/>
        <v>Prof. Dr. Ayşe KİN İŞLER§1</v>
      </c>
      <c r="W114" s="28">
        <f>IF(U114=1,COUNTIF($U$2:U114,1),"")</f>
        <v>90</v>
      </c>
    </row>
    <row r="115" spans="1:23" ht="110.25" customHeight="1" x14ac:dyDescent="0.25">
      <c r="A115" s="42" t="s">
        <v>696</v>
      </c>
      <c r="B115" s="42" t="s">
        <v>697</v>
      </c>
      <c r="C115" s="43" t="s">
        <v>283</v>
      </c>
      <c r="D115" s="43" t="s">
        <v>175</v>
      </c>
      <c r="E115" s="44" t="s">
        <v>698</v>
      </c>
      <c r="F115" s="44" t="s">
        <v>699</v>
      </c>
      <c r="G115" s="45" t="s">
        <v>34</v>
      </c>
      <c r="H115" s="47">
        <v>46044</v>
      </c>
      <c r="I115" s="47">
        <v>46057</v>
      </c>
      <c r="J115" s="43" t="s">
        <v>85</v>
      </c>
      <c r="K115" s="43" t="s">
        <v>95</v>
      </c>
      <c r="L115" s="49" t="s">
        <v>69</v>
      </c>
      <c r="M115" s="49"/>
      <c r="N115" s="49"/>
      <c r="O115" s="48"/>
      <c r="P115" s="49" t="str">
        <f t="shared" si="3"/>
        <v>ONAY</v>
      </c>
      <c r="R115" s="50" t="str">
        <f t="shared" si="4"/>
        <v/>
      </c>
      <c r="U115" s="28">
        <f>IF($C115&lt;&gt;"",COUNTIF($C$2:C115,C115),"")</f>
        <v>2</v>
      </c>
      <c r="V115" s="28" t="str">
        <f t="shared" si="5"/>
        <v>Prof. Dr. Ebru DAMADOĞLU§2</v>
      </c>
      <c r="W115" s="28" t="str">
        <f>IF(U115=1,COUNTIF($U$2:U115,1),"")</f>
        <v/>
      </c>
    </row>
    <row r="116" spans="1:23" ht="63" customHeight="1" x14ac:dyDescent="0.25">
      <c r="A116" s="42" t="s">
        <v>700</v>
      </c>
      <c r="B116" s="42" t="s">
        <v>701</v>
      </c>
      <c r="C116" s="43" t="s">
        <v>702</v>
      </c>
      <c r="D116" s="43" t="s">
        <v>378</v>
      </c>
      <c r="E116" s="44" t="s">
        <v>703</v>
      </c>
      <c r="F116" s="44" t="s">
        <v>704</v>
      </c>
      <c r="G116" s="45" t="s">
        <v>35</v>
      </c>
      <c r="H116" s="47">
        <v>46044</v>
      </c>
      <c r="I116" s="47">
        <v>46057</v>
      </c>
      <c r="J116" s="43" t="s">
        <v>85</v>
      </c>
      <c r="K116" s="43" t="s">
        <v>105</v>
      </c>
      <c r="L116" s="49" t="s">
        <v>96</v>
      </c>
      <c r="M116" s="49"/>
      <c r="N116" s="49"/>
      <c r="O116" s="48"/>
      <c r="P116" s="49" t="str">
        <f t="shared" si="3"/>
        <v>DÜZELTME</v>
      </c>
      <c r="R116" s="50" t="str">
        <f t="shared" si="4"/>
        <v/>
      </c>
      <c r="U116" s="28">
        <f>IF($C116&lt;&gt;"",COUNTIF($C$2:C116,C116),"")</f>
        <v>1</v>
      </c>
      <c r="V116" s="28" t="str">
        <f t="shared" si="5"/>
        <v>Prof. Dr. Alp ÇETİN§1</v>
      </c>
      <c r="W116" s="28">
        <f>IF(U116=1,COUNTIF($U$2:U116,1),"")</f>
        <v>91</v>
      </c>
    </row>
    <row r="117" spans="1:23" ht="78.75" customHeight="1" x14ac:dyDescent="0.25">
      <c r="A117" s="42" t="s">
        <v>705</v>
      </c>
      <c r="B117" s="42" t="s">
        <v>706</v>
      </c>
      <c r="C117" s="43" t="s">
        <v>707</v>
      </c>
      <c r="D117" s="43" t="s">
        <v>295</v>
      </c>
      <c r="E117" s="44" t="s">
        <v>708</v>
      </c>
      <c r="F117" s="44" t="s">
        <v>709</v>
      </c>
      <c r="G117" s="45" t="s">
        <v>37</v>
      </c>
      <c r="H117" s="47">
        <v>46044</v>
      </c>
      <c r="I117" s="47">
        <v>46057</v>
      </c>
      <c r="J117" s="43" t="s">
        <v>67</v>
      </c>
      <c r="K117" s="43" t="s">
        <v>95</v>
      </c>
      <c r="L117" s="49" t="s">
        <v>69</v>
      </c>
      <c r="M117" s="49"/>
      <c r="N117" s="49"/>
      <c r="O117" s="48"/>
      <c r="P117" s="49" t="str">
        <f t="shared" si="3"/>
        <v>ONAY</v>
      </c>
      <c r="R117" s="50" t="str">
        <f t="shared" si="4"/>
        <v/>
      </c>
      <c r="U117" s="28">
        <f>IF($C117&lt;&gt;"",COUNTIF($C$2:C117,C117),"")</f>
        <v>1</v>
      </c>
      <c r="V117" s="28" t="str">
        <f t="shared" si="5"/>
        <v>Doç. Dr. Ceren GÜNENÇ BEŞER§1</v>
      </c>
      <c r="W117" s="28">
        <f>IF(U117=1,COUNTIF($U$2:U117,1),"")</f>
        <v>92</v>
      </c>
    </row>
    <row r="118" spans="1:23" ht="63" customHeight="1" x14ac:dyDescent="0.25">
      <c r="A118" s="42" t="s">
        <v>710</v>
      </c>
      <c r="B118" s="42" t="s">
        <v>711</v>
      </c>
      <c r="C118" s="43" t="s">
        <v>712</v>
      </c>
      <c r="D118" s="43" t="s">
        <v>110</v>
      </c>
      <c r="E118" s="44" t="s">
        <v>713</v>
      </c>
      <c r="F118" s="44" t="s">
        <v>714</v>
      </c>
      <c r="G118" s="45" t="s">
        <v>34</v>
      </c>
      <c r="H118" s="47">
        <v>46044</v>
      </c>
      <c r="I118" s="47">
        <v>46057</v>
      </c>
      <c r="J118" s="43" t="s">
        <v>105</v>
      </c>
      <c r="K118" s="43" t="s">
        <v>128</v>
      </c>
      <c r="L118" s="49" t="s">
        <v>96</v>
      </c>
      <c r="M118" s="49" t="s">
        <v>69</v>
      </c>
      <c r="N118" s="49"/>
      <c r="O118" s="48"/>
      <c r="P118" s="49" t="str">
        <f t="shared" si="3"/>
        <v>ONAY</v>
      </c>
      <c r="Q118" s="27" t="s">
        <v>128</v>
      </c>
      <c r="R118" s="50" t="str">
        <f t="shared" si="4"/>
        <v/>
      </c>
      <c r="U118" s="28">
        <f>IF($C118&lt;&gt;"",COUNTIF($C$2:C118,C118),"")</f>
        <v>1</v>
      </c>
      <c r="V118" s="28" t="str">
        <f t="shared" si="5"/>
        <v>Prof. Dr. Hatice Yasemin BALABAN§1</v>
      </c>
      <c r="W118" s="28">
        <f>IF(U118=1,COUNTIF($U$2:U118,1),"")</f>
        <v>93</v>
      </c>
    </row>
    <row r="119" spans="1:23" ht="94.5" customHeight="1" x14ac:dyDescent="0.25">
      <c r="A119" s="42" t="s">
        <v>715</v>
      </c>
      <c r="B119" s="42" t="s">
        <v>716</v>
      </c>
      <c r="C119" s="43" t="s">
        <v>717</v>
      </c>
      <c r="D119" s="43" t="s">
        <v>718</v>
      </c>
      <c r="E119" s="44" t="s">
        <v>719</v>
      </c>
      <c r="F119" s="44" t="s">
        <v>720</v>
      </c>
      <c r="G119" s="45" t="s">
        <v>34</v>
      </c>
      <c r="H119" s="47">
        <v>46045</v>
      </c>
      <c r="I119" s="47">
        <v>46057</v>
      </c>
      <c r="J119" s="43" t="s">
        <v>67</v>
      </c>
      <c r="K119" s="43" t="s">
        <v>85</v>
      </c>
      <c r="L119" s="49" t="s">
        <v>96</v>
      </c>
      <c r="M119" s="49" t="s">
        <v>69</v>
      </c>
      <c r="N119" s="49"/>
      <c r="O119" s="48"/>
      <c r="P119" s="49" t="str">
        <f t="shared" si="3"/>
        <v>ONAY</v>
      </c>
      <c r="Q119" s="27" t="s">
        <v>85</v>
      </c>
      <c r="R119" s="50" t="str">
        <f t="shared" si="4"/>
        <v/>
      </c>
      <c r="U119" s="28">
        <f>IF($C119&lt;&gt;"",COUNTIF($C$2:C119,C119),"")</f>
        <v>1</v>
      </c>
      <c r="V119" s="28" t="str">
        <f t="shared" si="5"/>
        <v>Doç. Dr. Serra ÖRSTEN§1</v>
      </c>
      <c r="W119" s="28">
        <f>IF(U119=1,COUNTIF($U$2:U119,1),"")</f>
        <v>94</v>
      </c>
    </row>
    <row r="120" spans="1:23" ht="63" customHeight="1" x14ac:dyDescent="0.25">
      <c r="A120" s="42" t="s">
        <v>721</v>
      </c>
      <c r="B120" s="42" t="s">
        <v>722</v>
      </c>
      <c r="C120" s="43" t="s">
        <v>723</v>
      </c>
      <c r="D120" s="43" t="s">
        <v>295</v>
      </c>
      <c r="E120" s="44" t="s">
        <v>724</v>
      </c>
      <c r="F120" s="44" t="s">
        <v>725</v>
      </c>
      <c r="G120" s="45" t="s">
        <v>34</v>
      </c>
      <c r="H120" s="47">
        <v>46045</v>
      </c>
      <c r="I120" s="47">
        <v>46057</v>
      </c>
      <c r="J120" s="43" t="s">
        <v>67</v>
      </c>
      <c r="K120" s="43" t="s">
        <v>121</v>
      </c>
      <c r="L120" s="49" t="s">
        <v>96</v>
      </c>
      <c r="M120" s="49" t="s">
        <v>69</v>
      </c>
      <c r="N120" s="49"/>
      <c r="O120" s="48"/>
      <c r="P120" s="49" t="str">
        <f t="shared" si="3"/>
        <v>ONAY</v>
      </c>
      <c r="Q120" s="27" t="s">
        <v>67</v>
      </c>
      <c r="R120" s="50" t="str">
        <f t="shared" si="4"/>
        <v/>
      </c>
      <c r="U120" s="28">
        <f>IF($C120&lt;&gt;"",COUNTIF($C$2:C120,C120),"")</f>
        <v>1</v>
      </c>
      <c r="V120" s="28" t="str">
        <f t="shared" si="5"/>
        <v>Dr. Öğr. Üyesi Hilal AKDEMİR AKTAŞ§1</v>
      </c>
      <c r="W120" s="28">
        <f>IF(U120=1,COUNTIF($U$2:U120,1),"")</f>
        <v>95</v>
      </c>
    </row>
    <row r="121" spans="1:23" ht="94.5" customHeight="1" x14ac:dyDescent="0.25">
      <c r="A121" s="42" t="s">
        <v>726</v>
      </c>
      <c r="B121" s="42" t="s">
        <v>727</v>
      </c>
      <c r="C121" s="43" t="s">
        <v>728</v>
      </c>
      <c r="D121" s="43" t="s">
        <v>729</v>
      </c>
      <c r="E121" s="44" t="s">
        <v>730</v>
      </c>
      <c r="F121" s="44" t="s">
        <v>731</v>
      </c>
      <c r="G121" s="45" t="s">
        <v>34</v>
      </c>
      <c r="H121" s="47">
        <v>46045</v>
      </c>
      <c r="I121" s="47">
        <v>46057</v>
      </c>
      <c r="J121" s="43" t="s">
        <v>67</v>
      </c>
      <c r="K121" s="43" t="s">
        <v>68</v>
      </c>
      <c r="L121" s="49" t="s">
        <v>96</v>
      </c>
      <c r="M121" s="49" t="s">
        <v>69</v>
      </c>
      <c r="N121" s="49"/>
      <c r="O121" s="48"/>
      <c r="P121" s="49" t="str">
        <f t="shared" si="3"/>
        <v>ONAY</v>
      </c>
      <c r="Q121" s="27" t="s">
        <v>67</v>
      </c>
      <c r="R121" s="50" t="str">
        <f t="shared" si="4"/>
        <v/>
      </c>
      <c r="U121" s="28">
        <f>IF($C121&lt;&gt;"",COUNTIF($C$2:C121,C121),"")</f>
        <v>1</v>
      </c>
      <c r="V121" s="28" t="str">
        <f t="shared" si="5"/>
        <v>Prof. Dr. Rıza Köksal ÖZGÜL§1</v>
      </c>
      <c r="W121" s="28">
        <f>IF(U121=1,COUNTIF($U$2:U121,1),"")</f>
        <v>96</v>
      </c>
    </row>
    <row r="122" spans="1:23" ht="78.75" customHeight="1" x14ac:dyDescent="0.25">
      <c r="A122" s="42" t="s">
        <v>732</v>
      </c>
      <c r="B122" s="42" t="s">
        <v>733</v>
      </c>
      <c r="C122" s="43" t="s">
        <v>113</v>
      </c>
      <c r="D122" s="43" t="s">
        <v>693</v>
      </c>
      <c r="E122" s="44" t="s">
        <v>734</v>
      </c>
      <c r="F122" s="44" t="s">
        <v>735</v>
      </c>
      <c r="G122" s="45" t="s">
        <v>34</v>
      </c>
      <c r="H122" s="47">
        <v>46045</v>
      </c>
      <c r="I122" s="47">
        <v>46057</v>
      </c>
      <c r="J122" s="43" t="s">
        <v>67</v>
      </c>
      <c r="K122" s="43" t="s">
        <v>121</v>
      </c>
      <c r="L122" s="49" t="s">
        <v>96</v>
      </c>
      <c r="M122" s="49" t="s">
        <v>69</v>
      </c>
      <c r="N122" s="49"/>
      <c r="O122" s="48"/>
      <c r="P122" s="49" t="str">
        <f t="shared" si="3"/>
        <v>ONAY</v>
      </c>
      <c r="Q122" s="27" t="s">
        <v>67</v>
      </c>
      <c r="R122" s="50" t="str">
        <f t="shared" si="4"/>
        <v/>
      </c>
      <c r="U122" s="28">
        <f>IF($C122&lt;&gt;"",COUNTIF($C$2:C122,C122),"")</f>
        <v>2</v>
      </c>
      <c r="V122" s="28" t="str">
        <f t="shared" si="5"/>
        <v>Prof. Dr. Ayşe KİN İŞLER§2</v>
      </c>
      <c r="W122" s="28" t="str">
        <f>IF(U122=1,COUNTIF($U$2:U122,1),"")</f>
        <v/>
      </c>
    </row>
    <row r="123" spans="1:23" ht="65.25" customHeight="1" x14ac:dyDescent="0.25">
      <c r="A123" s="42" t="s">
        <v>736</v>
      </c>
      <c r="B123" s="42" t="s">
        <v>737</v>
      </c>
      <c r="C123" s="43" t="s">
        <v>470</v>
      </c>
      <c r="D123" s="43" t="s">
        <v>196</v>
      </c>
      <c r="E123" s="44" t="s">
        <v>738</v>
      </c>
      <c r="F123" s="44" t="s">
        <v>739</v>
      </c>
      <c r="G123" s="45" t="s">
        <v>34</v>
      </c>
      <c r="H123" s="47">
        <v>46045</v>
      </c>
      <c r="I123" s="47">
        <v>46057</v>
      </c>
      <c r="J123" s="43" t="s">
        <v>105</v>
      </c>
      <c r="K123" s="43" t="s">
        <v>77</v>
      </c>
      <c r="L123" s="49" t="s">
        <v>96</v>
      </c>
      <c r="M123" s="49" t="s">
        <v>69</v>
      </c>
      <c r="N123" s="49"/>
      <c r="O123" s="48"/>
      <c r="P123" s="49" t="str">
        <f t="shared" si="3"/>
        <v>ONAY</v>
      </c>
      <c r="Q123" s="27" t="s">
        <v>105</v>
      </c>
      <c r="R123" s="50" t="str">
        <f t="shared" si="4"/>
        <v/>
      </c>
      <c r="U123" s="28">
        <f>IF($C123&lt;&gt;"",COUNTIF($C$2:C123,C123),"")</f>
        <v>2</v>
      </c>
      <c r="V123" s="28" t="str">
        <f t="shared" si="5"/>
        <v>Dr. Öğr. Üyesi Serkan UYSAL§2</v>
      </c>
      <c r="W123" s="28" t="str">
        <f>IF(U123=1,COUNTIF($U$2:U123,1),"")</f>
        <v/>
      </c>
    </row>
    <row r="124" spans="1:23" ht="78.75" customHeight="1" x14ac:dyDescent="0.25">
      <c r="A124" s="42" t="s">
        <v>740</v>
      </c>
      <c r="B124" s="42" t="s">
        <v>741</v>
      </c>
      <c r="C124" s="43" t="s">
        <v>742</v>
      </c>
      <c r="D124" s="43" t="s">
        <v>110</v>
      </c>
      <c r="E124" s="44" t="s">
        <v>743</v>
      </c>
      <c r="F124" s="44" t="s">
        <v>744</v>
      </c>
      <c r="G124" s="45" t="s">
        <v>34</v>
      </c>
      <c r="H124" s="47">
        <v>46045</v>
      </c>
      <c r="I124" s="47">
        <v>46057</v>
      </c>
      <c r="J124" s="43" t="s">
        <v>85</v>
      </c>
      <c r="K124" s="43" t="s">
        <v>128</v>
      </c>
      <c r="L124" s="49" t="s">
        <v>69</v>
      </c>
      <c r="M124" s="49"/>
      <c r="N124" s="49"/>
      <c r="O124" s="48"/>
      <c r="P124" s="49" t="str">
        <f t="shared" si="3"/>
        <v>ONAY</v>
      </c>
      <c r="R124" s="50" t="str">
        <f t="shared" si="4"/>
        <v/>
      </c>
      <c r="U124" s="28">
        <f>IF($C124&lt;&gt;"",COUNTIF($C$2:C124,C124),"")</f>
        <v>1</v>
      </c>
      <c r="V124" s="28" t="str">
        <f t="shared" si="5"/>
        <v>Doç. Dr. Süleyman Nahit ŞENDUR§1</v>
      </c>
      <c r="W124" s="28">
        <f>IF(U124=1,COUNTIF($U$2:U124,1),"")</f>
        <v>97</v>
      </c>
    </row>
    <row r="125" spans="1:23" ht="94.5" customHeight="1" x14ac:dyDescent="0.25">
      <c r="A125" s="42" t="s">
        <v>745</v>
      </c>
      <c r="B125" s="42" t="s">
        <v>746</v>
      </c>
      <c r="C125" s="43" t="s">
        <v>104</v>
      </c>
      <c r="D125" s="43" t="s">
        <v>461</v>
      </c>
      <c r="E125" s="44" t="s">
        <v>747</v>
      </c>
      <c r="F125" s="44" t="s">
        <v>748</v>
      </c>
      <c r="G125" s="45" t="s">
        <v>34</v>
      </c>
      <c r="H125" s="47">
        <v>46045</v>
      </c>
      <c r="I125" s="47">
        <v>46057</v>
      </c>
      <c r="J125" s="43" t="s">
        <v>95</v>
      </c>
      <c r="K125" s="43" t="s">
        <v>67</v>
      </c>
      <c r="L125" s="49" t="s">
        <v>96</v>
      </c>
      <c r="M125" s="49"/>
      <c r="N125" s="49"/>
      <c r="O125" s="48"/>
      <c r="P125" s="49" t="str">
        <f t="shared" si="3"/>
        <v>DÜZELTME</v>
      </c>
      <c r="R125" s="50" t="str">
        <f t="shared" si="4"/>
        <v/>
      </c>
      <c r="U125" s="28">
        <f>IF($C125&lt;&gt;"",COUNTIF($C$2:C125,C125),"")</f>
        <v>1</v>
      </c>
      <c r="V125" s="28" t="str">
        <f t="shared" si="5"/>
        <v>Prof. Dr. Yavuz AYHAN§1</v>
      </c>
      <c r="W125" s="28">
        <f>IF(U125=1,COUNTIF($U$2:U125,1),"")</f>
        <v>98</v>
      </c>
    </row>
    <row r="126" spans="1:23" ht="110.25" customHeight="1" x14ac:dyDescent="0.25">
      <c r="A126" s="42" t="s">
        <v>749</v>
      </c>
      <c r="B126" s="42" t="s">
        <v>750</v>
      </c>
      <c r="C126" s="43" t="s">
        <v>174</v>
      </c>
      <c r="D126" s="43" t="s">
        <v>175</v>
      </c>
      <c r="E126" s="44" t="s">
        <v>751</v>
      </c>
      <c r="F126" s="44" t="s">
        <v>752</v>
      </c>
      <c r="G126" s="45" t="s">
        <v>34</v>
      </c>
      <c r="H126" s="47">
        <v>46045</v>
      </c>
      <c r="I126" s="47">
        <v>46057</v>
      </c>
      <c r="J126" s="43" t="s">
        <v>105</v>
      </c>
      <c r="K126" s="43" t="s">
        <v>68</v>
      </c>
      <c r="L126" s="49" t="s">
        <v>96</v>
      </c>
      <c r="M126" s="49"/>
      <c r="N126" s="49"/>
      <c r="O126" s="48"/>
      <c r="P126" s="49" t="str">
        <f t="shared" si="3"/>
        <v>DÜZELTME</v>
      </c>
      <c r="R126" s="50" t="str">
        <f t="shared" si="4"/>
        <v/>
      </c>
      <c r="U126" s="28">
        <f>IF($C126&lt;&gt;"",COUNTIF($C$2:C126,C126),"")</f>
        <v>4</v>
      </c>
      <c r="V126" s="28" t="str">
        <f t="shared" si="5"/>
        <v>Prof. Dr. Ali Fuat KALYONCU§4</v>
      </c>
      <c r="W126" s="28" t="str">
        <f>IF(U126=1,COUNTIF($U$2:U126,1),"")</f>
        <v/>
      </c>
    </row>
    <row r="127" spans="1:23" ht="94.5" customHeight="1" x14ac:dyDescent="0.25">
      <c r="A127" s="42" t="s">
        <v>753</v>
      </c>
      <c r="B127" s="42" t="s">
        <v>754</v>
      </c>
      <c r="C127" s="43" t="s">
        <v>755</v>
      </c>
      <c r="D127" s="43" t="s">
        <v>756</v>
      </c>
      <c r="E127" s="44" t="s">
        <v>757</v>
      </c>
      <c r="F127" s="44" t="s">
        <v>758</v>
      </c>
      <c r="G127" s="45" t="s">
        <v>37</v>
      </c>
      <c r="H127" s="47">
        <v>46045</v>
      </c>
      <c r="I127" s="47">
        <v>46057</v>
      </c>
      <c r="J127" s="43" t="s">
        <v>68</v>
      </c>
      <c r="K127" s="43" t="s">
        <v>77</v>
      </c>
      <c r="L127" s="49" t="s">
        <v>96</v>
      </c>
      <c r="M127" s="49" t="s">
        <v>69</v>
      </c>
      <c r="N127" s="49"/>
      <c r="O127" s="48"/>
      <c r="P127" s="49" t="str">
        <f t="shared" si="3"/>
        <v>ONAY</v>
      </c>
      <c r="Q127" s="27" t="s">
        <v>77</v>
      </c>
      <c r="R127" s="50" t="str">
        <f t="shared" si="4"/>
        <v/>
      </c>
      <c r="U127" s="28">
        <f>IF($C127&lt;&gt;"",COUNTIF($C$2:C127,C127),"")</f>
        <v>1</v>
      </c>
      <c r="V127" s="28" t="str">
        <f t="shared" si="5"/>
        <v>Doç. Dr. Ceren ÖZKUL KOÇAK§1</v>
      </c>
      <c r="W127" s="28">
        <f>IF(U127=1,COUNTIF($U$2:U127,1),"")</f>
        <v>99</v>
      </c>
    </row>
    <row r="128" spans="1:23" ht="63" customHeight="1" x14ac:dyDescent="0.25">
      <c r="A128" s="42" t="s">
        <v>759</v>
      </c>
      <c r="B128" s="42" t="s">
        <v>760</v>
      </c>
      <c r="C128" s="43" t="s">
        <v>214</v>
      </c>
      <c r="D128" s="43" t="s">
        <v>215</v>
      </c>
      <c r="E128" s="44" t="s">
        <v>761</v>
      </c>
      <c r="F128" s="44" t="s">
        <v>762</v>
      </c>
      <c r="G128" s="45" t="s">
        <v>37</v>
      </c>
      <c r="H128" s="47">
        <v>46045</v>
      </c>
      <c r="I128" s="47">
        <v>46057</v>
      </c>
      <c r="J128" s="43" t="s">
        <v>67</v>
      </c>
      <c r="K128" s="43" t="s">
        <v>77</v>
      </c>
      <c r="L128" s="49" t="s">
        <v>69</v>
      </c>
      <c r="M128" s="49"/>
      <c r="N128" s="49"/>
      <c r="O128" s="48"/>
      <c r="P128" s="49" t="str">
        <f t="shared" si="3"/>
        <v>ONAY</v>
      </c>
      <c r="R128" s="50" t="str">
        <f t="shared" si="4"/>
        <v/>
      </c>
      <c r="U128" s="28">
        <f>IF($C128&lt;&gt;"",COUNTIF($C$2:C128,C128),"")</f>
        <v>2</v>
      </c>
      <c r="V128" s="28" t="str">
        <f t="shared" si="5"/>
        <v>Prof. Dr. Oğuz IŞIK§2</v>
      </c>
      <c r="W128" s="28" t="str">
        <f>IF(U128=1,COUNTIF($U$2:U128,1),"")</f>
        <v/>
      </c>
    </row>
    <row r="129" spans="1:23" ht="78.75" customHeight="1" x14ac:dyDescent="0.25">
      <c r="A129" s="42" t="s">
        <v>763</v>
      </c>
      <c r="B129" s="42" t="s">
        <v>764</v>
      </c>
      <c r="C129" s="43" t="s">
        <v>765</v>
      </c>
      <c r="D129" s="43" t="s">
        <v>237</v>
      </c>
      <c r="E129" s="44" t="s">
        <v>766</v>
      </c>
      <c r="F129" s="44" t="s">
        <v>767</v>
      </c>
      <c r="G129" s="45" t="s">
        <v>35</v>
      </c>
      <c r="H129" s="47">
        <v>46045</v>
      </c>
      <c r="I129" s="47">
        <v>46057</v>
      </c>
      <c r="J129" s="43" t="s">
        <v>95</v>
      </c>
      <c r="K129" s="43" t="s">
        <v>85</v>
      </c>
      <c r="L129" s="49" t="s">
        <v>96</v>
      </c>
      <c r="M129" s="49" t="s">
        <v>69</v>
      </c>
      <c r="N129" s="49"/>
      <c r="O129" s="48"/>
      <c r="P129" s="49" t="str">
        <f t="shared" si="3"/>
        <v>ONAY</v>
      </c>
      <c r="Q129" s="27" t="s">
        <v>85</v>
      </c>
      <c r="R129" s="50" t="str">
        <f t="shared" si="4"/>
        <v/>
      </c>
      <c r="U129" s="28">
        <f>IF($C129&lt;&gt;"",COUNTIF($C$2:C129,C129),"")</f>
        <v>1</v>
      </c>
      <c r="V129" s="28" t="str">
        <f t="shared" si="5"/>
        <v>Dr. Öğr. Üyesi Ayşe METE YEŞİL§1</v>
      </c>
      <c r="W129" s="28">
        <f>IF(U129=1,COUNTIF($U$2:U129,1),"")</f>
        <v>100</v>
      </c>
    </row>
    <row r="130" spans="1:23" ht="78.75" customHeight="1" x14ac:dyDescent="0.25">
      <c r="A130" s="42" t="s">
        <v>768</v>
      </c>
      <c r="B130" s="42" t="s">
        <v>769</v>
      </c>
      <c r="C130" s="43" t="s">
        <v>770</v>
      </c>
      <c r="D130" s="43" t="s">
        <v>133</v>
      </c>
      <c r="E130" s="44" t="s">
        <v>771</v>
      </c>
      <c r="F130" s="44" t="s">
        <v>772</v>
      </c>
      <c r="G130" s="45" t="s">
        <v>35</v>
      </c>
      <c r="H130" s="47">
        <v>46045</v>
      </c>
      <c r="I130" s="47">
        <v>46057</v>
      </c>
      <c r="J130" s="43" t="s">
        <v>95</v>
      </c>
      <c r="K130" s="43" t="s">
        <v>128</v>
      </c>
      <c r="L130" s="49" t="s">
        <v>69</v>
      </c>
      <c r="M130" s="49"/>
      <c r="N130" s="49"/>
      <c r="O130" s="48"/>
      <c r="P130" s="49" t="str">
        <f t="shared" ref="P130:P193" si="6">IF(O130&lt;&gt;"",O130, IF(N130&lt;&gt;"",N130, IF(M130&lt;&gt;"",M130, L130)))</f>
        <v>ONAY</v>
      </c>
      <c r="R130" s="50" t="str">
        <f t="shared" ref="R130:R193" si="7">IF(AND($I130&lt;&gt;"",$I130&gt;=DATE(2026,6,23),COUNTIFS($C:$C,$C130,$I:$I,$I130)&gt;2),"⚠ "&amp;COUNTIFS($C:$C,$C130,$I:$I,$I130)&amp;" BAŞVURU!","")</f>
        <v/>
      </c>
      <c r="U130" s="28">
        <f>IF($C130&lt;&gt;"",COUNTIF($C$2:C130,C130),"")</f>
        <v>1</v>
      </c>
      <c r="V130" s="28" t="str">
        <f t="shared" ref="V130:V193" si="8">IF($C130&lt;&gt;"",C130&amp;"§"&amp;U130,"")</f>
        <v>Prof. Dr. Dilşad FOTO ÖZDEMİR§1</v>
      </c>
      <c r="W130" s="28">
        <f>IF(U130=1,COUNTIF($U$2:U130,1),"")</f>
        <v>101</v>
      </c>
    </row>
    <row r="131" spans="1:23" ht="79.5" customHeight="1" x14ac:dyDescent="0.25">
      <c r="A131" s="42" t="s">
        <v>773</v>
      </c>
      <c r="B131" s="42" t="s">
        <v>774</v>
      </c>
      <c r="C131" s="43" t="s">
        <v>775</v>
      </c>
      <c r="D131" s="43" t="s">
        <v>320</v>
      </c>
      <c r="E131" s="44" t="s">
        <v>776</v>
      </c>
      <c r="F131" s="44" t="s">
        <v>777</v>
      </c>
      <c r="G131" s="45" t="s">
        <v>35</v>
      </c>
      <c r="H131" s="47">
        <v>46045</v>
      </c>
      <c r="I131" s="47">
        <v>46057</v>
      </c>
      <c r="J131" s="43" t="s">
        <v>105</v>
      </c>
      <c r="K131" s="43" t="s">
        <v>121</v>
      </c>
      <c r="L131" s="49" t="s">
        <v>69</v>
      </c>
      <c r="M131" s="49"/>
      <c r="N131" s="49"/>
      <c r="O131" s="48"/>
      <c r="P131" s="49" t="str">
        <f t="shared" si="6"/>
        <v>ONAY</v>
      </c>
      <c r="R131" s="50" t="str">
        <f t="shared" si="7"/>
        <v/>
      </c>
      <c r="U131" s="28">
        <f>IF($C131&lt;&gt;"",COUNTIF($C$2:C131,C131),"")</f>
        <v>1</v>
      </c>
      <c r="V131" s="28" t="str">
        <f t="shared" si="8"/>
        <v>Prof. Dr. Serdar ÖZER§1</v>
      </c>
      <c r="W131" s="28">
        <f>IF(U131=1,COUNTIF($U$2:U131,1),"")</f>
        <v>102</v>
      </c>
    </row>
    <row r="132" spans="1:23" ht="63" customHeight="1" x14ac:dyDescent="0.25">
      <c r="A132" s="42" t="s">
        <v>778</v>
      </c>
      <c r="B132" s="42" t="s">
        <v>779</v>
      </c>
      <c r="C132" s="43" t="s">
        <v>712</v>
      </c>
      <c r="D132" s="43" t="s">
        <v>110</v>
      </c>
      <c r="E132" s="44" t="s">
        <v>713</v>
      </c>
      <c r="F132" s="44" t="s">
        <v>780</v>
      </c>
      <c r="G132" s="45" t="s">
        <v>34</v>
      </c>
      <c r="H132" s="47">
        <v>46045</v>
      </c>
      <c r="I132" s="47">
        <v>46057</v>
      </c>
      <c r="J132" s="43" t="s">
        <v>128</v>
      </c>
      <c r="K132" s="43" t="s">
        <v>68</v>
      </c>
      <c r="L132" s="49" t="s">
        <v>96</v>
      </c>
      <c r="M132" s="49" t="s">
        <v>96</v>
      </c>
      <c r="N132" s="49" t="s">
        <v>69</v>
      </c>
      <c r="O132" s="48"/>
      <c r="P132" s="49" t="str">
        <f t="shared" si="6"/>
        <v>ONAY</v>
      </c>
      <c r="Q132" s="27" t="s">
        <v>128</v>
      </c>
      <c r="R132" s="50" t="str">
        <f t="shared" si="7"/>
        <v/>
      </c>
      <c r="U132" s="28">
        <f>IF($C132&lt;&gt;"",COUNTIF($C$2:C132,C132),"")</f>
        <v>2</v>
      </c>
      <c r="V132" s="28" t="str">
        <f t="shared" si="8"/>
        <v>Prof. Dr. Hatice Yasemin BALABAN§2</v>
      </c>
      <c r="W132" s="28" t="str">
        <f>IF(U132=1,COUNTIF($U$2:U132,1),"")</f>
        <v/>
      </c>
    </row>
    <row r="133" spans="1:23" ht="64.5" customHeight="1" x14ac:dyDescent="0.25">
      <c r="A133" s="42" t="s">
        <v>781</v>
      </c>
      <c r="B133" s="42" t="s">
        <v>782</v>
      </c>
      <c r="C133" s="43" t="s">
        <v>783</v>
      </c>
      <c r="D133" s="43" t="s">
        <v>110</v>
      </c>
      <c r="E133" s="44" t="s">
        <v>784</v>
      </c>
      <c r="F133" s="44" t="s">
        <v>785</v>
      </c>
      <c r="G133" s="45" t="s">
        <v>35</v>
      </c>
      <c r="H133" s="47">
        <v>46045</v>
      </c>
      <c r="I133" s="47">
        <v>46057</v>
      </c>
      <c r="J133" s="43" t="s">
        <v>128</v>
      </c>
      <c r="K133" s="43" t="s">
        <v>95</v>
      </c>
      <c r="L133" s="49" t="s">
        <v>69</v>
      </c>
      <c r="M133" s="49"/>
      <c r="N133" s="49"/>
      <c r="O133" s="48"/>
      <c r="P133" s="49" t="str">
        <f t="shared" si="6"/>
        <v>ONAY</v>
      </c>
      <c r="R133" s="50" t="str">
        <f t="shared" si="7"/>
        <v/>
      </c>
      <c r="U133" s="28">
        <f>IF($C133&lt;&gt;"",COUNTIF($C$2:C133,C133),"")</f>
        <v>1</v>
      </c>
      <c r="V133" s="28" t="str">
        <f t="shared" si="8"/>
        <v>Prof. Dr. Yahya BÜYÜKAŞIK§1</v>
      </c>
      <c r="W133" s="28">
        <f>IF(U133=1,COUNTIF($U$2:U133,1),"")</f>
        <v>103</v>
      </c>
    </row>
    <row r="134" spans="1:23" ht="78.75" customHeight="1" x14ac:dyDescent="0.25">
      <c r="A134" s="42" t="s">
        <v>786</v>
      </c>
      <c r="B134" s="42" t="s">
        <v>787</v>
      </c>
      <c r="C134" s="43" t="s">
        <v>788</v>
      </c>
      <c r="D134" s="43" t="s">
        <v>428</v>
      </c>
      <c r="E134" s="44" t="s">
        <v>789</v>
      </c>
      <c r="F134" s="44" t="s">
        <v>790</v>
      </c>
      <c r="G134" s="45" t="s">
        <v>34</v>
      </c>
      <c r="H134" s="47">
        <v>46045</v>
      </c>
      <c r="I134" s="47">
        <v>46057</v>
      </c>
      <c r="J134" s="43" t="s">
        <v>85</v>
      </c>
      <c r="K134" s="43" t="s">
        <v>77</v>
      </c>
      <c r="L134" s="49" t="s">
        <v>96</v>
      </c>
      <c r="M134" s="49" t="s">
        <v>69</v>
      </c>
      <c r="N134" s="49"/>
      <c r="O134" s="48"/>
      <c r="P134" s="49" t="str">
        <f t="shared" si="6"/>
        <v>ONAY</v>
      </c>
      <c r="Q134" s="27" t="s">
        <v>85</v>
      </c>
      <c r="R134" s="50" t="str">
        <f t="shared" si="7"/>
        <v/>
      </c>
      <c r="U134" s="28">
        <f>IF($C134&lt;&gt;"",COUNTIF($C$2:C134,C134),"")</f>
        <v>1</v>
      </c>
      <c r="V134" s="28" t="str">
        <f t="shared" si="8"/>
        <v>Prof. Dr. Aygin EKİNCİOĞLU§1</v>
      </c>
      <c r="W134" s="28">
        <f>IF(U134=1,COUNTIF($U$2:U134,1),"")</f>
        <v>104</v>
      </c>
    </row>
    <row r="135" spans="1:23" ht="94.5" customHeight="1" x14ac:dyDescent="0.25">
      <c r="A135" s="42" t="s">
        <v>791</v>
      </c>
      <c r="B135" s="42" t="s">
        <v>792</v>
      </c>
      <c r="C135" s="43" t="s">
        <v>81</v>
      </c>
      <c r="D135" s="43" t="s">
        <v>82</v>
      </c>
      <c r="E135" s="44" t="s">
        <v>793</v>
      </c>
      <c r="F135" s="44" t="s">
        <v>794</v>
      </c>
      <c r="G135" s="45" t="s">
        <v>34</v>
      </c>
      <c r="H135" s="47">
        <v>46045</v>
      </c>
      <c r="I135" s="47">
        <v>46057</v>
      </c>
      <c r="J135" s="43" t="s">
        <v>85</v>
      </c>
      <c r="K135" s="43" t="s">
        <v>105</v>
      </c>
      <c r="L135" s="49" t="s">
        <v>69</v>
      </c>
      <c r="M135" s="49"/>
      <c r="N135" s="49"/>
      <c r="O135" s="48"/>
      <c r="P135" s="49" t="str">
        <f t="shared" si="6"/>
        <v>ONAY</v>
      </c>
      <c r="R135" s="50" t="str">
        <f t="shared" si="7"/>
        <v/>
      </c>
      <c r="U135" s="28">
        <f>IF($C135&lt;&gt;"",COUNTIF($C$2:C135,C135),"")</f>
        <v>2</v>
      </c>
      <c r="V135" s="28" t="str">
        <f t="shared" si="8"/>
        <v>Doç. Dr. Gamze DURHAN§2</v>
      </c>
      <c r="W135" s="28" t="str">
        <f>IF(U135=1,COUNTIF($U$2:U135,1),"")</f>
        <v/>
      </c>
    </row>
    <row r="136" spans="1:23" ht="78.75" customHeight="1" x14ac:dyDescent="0.25">
      <c r="A136" s="42" t="s">
        <v>795</v>
      </c>
      <c r="B136" s="42" t="s">
        <v>796</v>
      </c>
      <c r="C136" s="43" t="s">
        <v>520</v>
      </c>
      <c r="D136" s="43" t="s">
        <v>327</v>
      </c>
      <c r="E136" s="44" t="s">
        <v>797</v>
      </c>
      <c r="F136" s="44" t="s">
        <v>798</v>
      </c>
      <c r="G136" s="45" t="s">
        <v>34</v>
      </c>
      <c r="H136" s="47">
        <v>46045</v>
      </c>
      <c r="I136" s="47">
        <v>46057</v>
      </c>
      <c r="J136" s="43" t="s">
        <v>121</v>
      </c>
      <c r="K136" s="43" t="s">
        <v>77</v>
      </c>
      <c r="L136" s="49" t="s">
        <v>96</v>
      </c>
      <c r="M136" s="49" t="s">
        <v>69</v>
      </c>
      <c r="N136" s="49"/>
      <c r="O136" s="48"/>
      <c r="P136" s="49" t="str">
        <f t="shared" si="6"/>
        <v>ONAY</v>
      </c>
      <c r="Q136" s="27" t="s">
        <v>77</v>
      </c>
      <c r="R136" s="50" t="str">
        <f t="shared" si="7"/>
        <v/>
      </c>
      <c r="U136" s="28">
        <f>IF($C136&lt;&gt;"",COUNTIF($C$2:C136,C136),"")</f>
        <v>2</v>
      </c>
      <c r="V136" s="28" t="str">
        <f t="shared" si="8"/>
        <v>Doç. Dr. Ezgi ATİK§2</v>
      </c>
      <c r="W136" s="28" t="str">
        <f>IF(U136=1,COUNTIF($U$2:U136,1),"")</f>
        <v/>
      </c>
    </row>
    <row r="137" spans="1:23" ht="63" customHeight="1" x14ac:dyDescent="0.25">
      <c r="A137" s="42" t="s">
        <v>799</v>
      </c>
      <c r="B137" s="42" t="s">
        <v>800</v>
      </c>
      <c r="C137" s="43" t="s">
        <v>801</v>
      </c>
      <c r="D137" s="43" t="s">
        <v>802</v>
      </c>
      <c r="E137" s="44" t="s">
        <v>803</v>
      </c>
      <c r="F137" s="44" t="s">
        <v>804</v>
      </c>
      <c r="G137" s="45" t="s">
        <v>36</v>
      </c>
      <c r="H137" s="47">
        <v>46045</v>
      </c>
      <c r="I137" s="47">
        <v>46057</v>
      </c>
      <c r="J137" s="43" t="s">
        <v>85</v>
      </c>
      <c r="K137" s="43" t="s">
        <v>121</v>
      </c>
      <c r="L137" s="49" t="s">
        <v>69</v>
      </c>
      <c r="M137" s="49"/>
      <c r="N137" s="49"/>
      <c r="O137" s="48"/>
      <c r="P137" s="49" t="str">
        <f t="shared" si="6"/>
        <v>ONAY</v>
      </c>
      <c r="R137" s="50" t="str">
        <f t="shared" si="7"/>
        <v/>
      </c>
      <c r="U137" s="28">
        <f>IF($C137&lt;&gt;"",COUNTIF($C$2:C137,C137),"")</f>
        <v>1</v>
      </c>
      <c r="V137" s="28" t="str">
        <f t="shared" si="8"/>
        <v>Dr. Öğr. Üyesi Arda ÇETİNKAYA§1</v>
      </c>
      <c r="W137" s="28">
        <f>IF(U137=1,COUNTIF($U$2:U137,1),"")</f>
        <v>105</v>
      </c>
    </row>
    <row r="138" spans="1:23" ht="78.75" customHeight="1" x14ac:dyDescent="0.25">
      <c r="A138" s="42" t="s">
        <v>805</v>
      </c>
      <c r="B138" s="42" t="s">
        <v>806</v>
      </c>
      <c r="C138" s="43" t="s">
        <v>807</v>
      </c>
      <c r="D138" s="43" t="s">
        <v>320</v>
      </c>
      <c r="E138" s="44" t="s">
        <v>808</v>
      </c>
      <c r="F138" s="44" t="s">
        <v>809</v>
      </c>
      <c r="G138" s="45" t="s">
        <v>34</v>
      </c>
      <c r="H138" s="47">
        <v>46048</v>
      </c>
      <c r="I138" s="47">
        <v>46057</v>
      </c>
      <c r="J138" s="43" t="s">
        <v>85</v>
      </c>
      <c r="K138" s="43" t="s">
        <v>68</v>
      </c>
      <c r="L138" s="49" t="s">
        <v>69</v>
      </c>
      <c r="M138" s="49"/>
      <c r="N138" s="49"/>
      <c r="O138" s="48"/>
      <c r="P138" s="49" t="str">
        <f t="shared" si="6"/>
        <v>ONAY</v>
      </c>
      <c r="R138" s="50" t="str">
        <f t="shared" si="7"/>
        <v/>
      </c>
      <c r="U138" s="28">
        <f>IF($C138&lt;&gt;"",COUNTIF($C$2:C138,C138),"")</f>
        <v>1</v>
      </c>
      <c r="V138" s="28" t="str">
        <f t="shared" si="8"/>
        <v>Dr. Öğr. Üyesi Ergin EROĞLU§1</v>
      </c>
      <c r="W138" s="28">
        <f>IF(U138=1,COUNTIF($U$2:U138,1),"")</f>
        <v>106</v>
      </c>
    </row>
    <row r="139" spans="1:23" ht="110.25" customHeight="1" x14ac:dyDescent="0.25">
      <c r="A139" s="42" t="s">
        <v>810</v>
      </c>
      <c r="B139" s="42" t="s">
        <v>811</v>
      </c>
      <c r="C139" s="43" t="s">
        <v>812</v>
      </c>
      <c r="D139" s="43" t="s">
        <v>237</v>
      </c>
      <c r="E139" s="44" t="s">
        <v>813</v>
      </c>
      <c r="F139" s="44" t="s">
        <v>814</v>
      </c>
      <c r="G139" s="45" t="s">
        <v>34</v>
      </c>
      <c r="H139" s="47">
        <v>46048</v>
      </c>
      <c r="I139" s="47">
        <v>46057</v>
      </c>
      <c r="J139" s="43" t="s">
        <v>67</v>
      </c>
      <c r="K139" s="43" t="s">
        <v>95</v>
      </c>
      <c r="L139" s="49" t="s">
        <v>69</v>
      </c>
      <c r="M139" s="49"/>
      <c r="N139" s="49"/>
      <c r="O139" s="48"/>
      <c r="P139" s="49" t="str">
        <f t="shared" si="6"/>
        <v>ONAY</v>
      </c>
      <c r="R139" s="50" t="str">
        <f t="shared" si="7"/>
        <v/>
      </c>
      <c r="U139" s="28">
        <f>IF($C139&lt;&gt;"",COUNTIF($C$2:C139,C139),"")</f>
        <v>1</v>
      </c>
      <c r="V139" s="28" t="str">
        <f t="shared" si="8"/>
        <v>Prof. Dr. Hülya DEMİR§1</v>
      </c>
      <c r="W139" s="28">
        <f>IF(U139=1,COUNTIF($U$2:U139,1),"")</f>
        <v>107</v>
      </c>
    </row>
    <row r="140" spans="1:23" ht="63" customHeight="1" x14ac:dyDescent="0.25">
      <c r="A140" s="42" t="s">
        <v>815</v>
      </c>
      <c r="B140" s="42" t="s">
        <v>816</v>
      </c>
      <c r="C140" s="43" t="s">
        <v>817</v>
      </c>
      <c r="D140" s="43" t="s">
        <v>110</v>
      </c>
      <c r="E140" s="44" t="s">
        <v>818</v>
      </c>
      <c r="F140" s="44" t="s">
        <v>819</v>
      </c>
      <c r="G140" s="45" t="s">
        <v>34</v>
      </c>
      <c r="H140" s="47">
        <v>46048</v>
      </c>
      <c r="I140" s="47">
        <v>46057</v>
      </c>
      <c r="J140" s="43" t="s">
        <v>68</v>
      </c>
      <c r="K140" s="43" t="s">
        <v>128</v>
      </c>
      <c r="L140" s="49" t="s">
        <v>69</v>
      </c>
      <c r="M140" s="49"/>
      <c r="N140" s="49"/>
      <c r="O140" s="48"/>
      <c r="P140" s="49" t="str">
        <f t="shared" si="6"/>
        <v>ONAY</v>
      </c>
      <c r="R140" s="50" t="str">
        <f t="shared" si="7"/>
        <v/>
      </c>
      <c r="U140" s="28">
        <f>IF($C140&lt;&gt;"",COUNTIF($C$2:C140,C140),"")</f>
        <v>1</v>
      </c>
      <c r="V140" s="28" t="str">
        <f t="shared" si="8"/>
        <v>Doç. Dr. Seda Hanife OĞUZ BAYKAL§1</v>
      </c>
      <c r="W140" s="28">
        <f>IF(U140=1,COUNTIF($U$2:U140,1),"")</f>
        <v>108</v>
      </c>
    </row>
    <row r="141" spans="1:23" ht="80.25" customHeight="1" x14ac:dyDescent="0.25">
      <c r="A141" s="42" t="s">
        <v>820</v>
      </c>
      <c r="B141" s="42" t="s">
        <v>821</v>
      </c>
      <c r="C141" s="43" t="s">
        <v>609</v>
      </c>
      <c r="D141" s="43" t="s">
        <v>110</v>
      </c>
      <c r="E141" s="44" t="s">
        <v>822</v>
      </c>
      <c r="F141" s="44" t="s">
        <v>823</v>
      </c>
      <c r="G141" s="45" t="s">
        <v>34</v>
      </c>
      <c r="H141" s="47">
        <v>46048</v>
      </c>
      <c r="I141" s="47">
        <v>46057</v>
      </c>
      <c r="J141" s="43" t="s">
        <v>128</v>
      </c>
      <c r="K141" s="43" t="s">
        <v>105</v>
      </c>
      <c r="L141" s="49" t="s">
        <v>69</v>
      </c>
      <c r="M141" s="49"/>
      <c r="N141" s="49"/>
      <c r="O141" s="48"/>
      <c r="P141" s="49" t="str">
        <f t="shared" si="6"/>
        <v>ONAY</v>
      </c>
      <c r="R141" s="50" t="str">
        <f t="shared" si="7"/>
        <v/>
      </c>
      <c r="U141" s="28">
        <f>IF($C141&lt;&gt;"",COUNTIF($C$2:C141,C141),"")</f>
        <v>2</v>
      </c>
      <c r="V141" s="28" t="str">
        <f t="shared" si="8"/>
        <v>Prof. Dr. Ayşe Tomris ERBAŞ§2</v>
      </c>
      <c r="W141" s="28" t="str">
        <f>IF(U141=1,COUNTIF($U$2:U141,1),"")</f>
        <v/>
      </c>
    </row>
    <row r="142" spans="1:23" ht="126" customHeight="1" x14ac:dyDescent="0.25">
      <c r="A142" s="42" t="s">
        <v>824</v>
      </c>
      <c r="B142" s="42" t="s">
        <v>825</v>
      </c>
      <c r="C142" s="43" t="s">
        <v>826</v>
      </c>
      <c r="D142" s="43" t="s">
        <v>237</v>
      </c>
      <c r="E142" s="44" t="s">
        <v>827</v>
      </c>
      <c r="F142" s="44" t="s">
        <v>828</v>
      </c>
      <c r="G142" s="45" t="s">
        <v>34</v>
      </c>
      <c r="H142" s="47">
        <v>46048</v>
      </c>
      <c r="I142" s="47">
        <v>46057</v>
      </c>
      <c r="J142" s="43" t="s">
        <v>85</v>
      </c>
      <c r="K142" s="43" t="s">
        <v>68</v>
      </c>
      <c r="L142" s="49" t="s">
        <v>232</v>
      </c>
      <c r="M142" s="49"/>
      <c r="N142" s="49"/>
      <c r="O142" s="48"/>
      <c r="P142" s="49" t="str">
        <f t="shared" si="6"/>
        <v>KAEK</v>
      </c>
      <c r="R142" s="50" t="str">
        <f t="shared" si="7"/>
        <v/>
      </c>
      <c r="U142" s="28">
        <f>IF($C142&lt;&gt;"",COUNTIF($C$2:C142,C142),"")</f>
        <v>1</v>
      </c>
      <c r="V142" s="28" t="str">
        <f t="shared" si="8"/>
        <v>Prof. Dr. Deniz DOĞRU ERSÖZ§1</v>
      </c>
      <c r="W142" s="28">
        <f>IF(U142=1,COUNTIF($U$2:U142,1),"")</f>
        <v>109</v>
      </c>
    </row>
    <row r="143" spans="1:23" ht="63" customHeight="1" x14ac:dyDescent="0.25">
      <c r="A143" s="42" t="s">
        <v>829</v>
      </c>
      <c r="B143" s="42" t="s">
        <v>830</v>
      </c>
      <c r="C143" s="43" t="s">
        <v>831</v>
      </c>
      <c r="D143" s="43" t="s">
        <v>428</v>
      </c>
      <c r="E143" s="44" t="s">
        <v>832</v>
      </c>
      <c r="F143" s="44" t="s">
        <v>833</v>
      </c>
      <c r="G143" s="45" t="s">
        <v>34</v>
      </c>
      <c r="H143" s="47">
        <v>46048</v>
      </c>
      <c r="I143" s="47">
        <v>46057</v>
      </c>
      <c r="J143" s="43" t="s">
        <v>77</v>
      </c>
      <c r="K143" s="43" t="s">
        <v>105</v>
      </c>
      <c r="L143" s="49" t="s">
        <v>69</v>
      </c>
      <c r="M143" s="49"/>
      <c r="N143" s="49"/>
      <c r="O143" s="48"/>
      <c r="P143" s="49" t="str">
        <f t="shared" si="6"/>
        <v>ONAY</v>
      </c>
      <c r="R143" s="50" t="str">
        <f t="shared" si="7"/>
        <v/>
      </c>
      <c r="U143" s="28">
        <f>IF($C143&lt;&gt;"",COUNTIF($C$2:C143,C143),"")</f>
        <v>1</v>
      </c>
      <c r="V143" s="28" t="str">
        <f t="shared" si="8"/>
        <v>Dr. Öğr. Üyesi Emre KARA§1</v>
      </c>
      <c r="W143" s="28">
        <f>IF(U143=1,COUNTIF($U$2:U143,1),"")</f>
        <v>110</v>
      </c>
    </row>
    <row r="144" spans="1:23" ht="63" customHeight="1" x14ac:dyDescent="0.25">
      <c r="A144" s="42" t="s">
        <v>834</v>
      </c>
      <c r="B144" s="42" t="s">
        <v>835</v>
      </c>
      <c r="C144" s="43" t="s">
        <v>415</v>
      </c>
      <c r="D144" s="43" t="s">
        <v>416</v>
      </c>
      <c r="E144" s="44" t="s">
        <v>836</v>
      </c>
      <c r="F144" s="44" t="s">
        <v>837</v>
      </c>
      <c r="G144" s="45" t="s">
        <v>34</v>
      </c>
      <c r="H144" s="47">
        <v>46049</v>
      </c>
      <c r="I144" s="47">
        <v>46057</v>
      </c>
      <c r="J144" s="43" t="s">
        <v>85</v>
      </c>
      <c r="K144" s="43" t="s">
        <v>95</v>
      </c>
      <c r="L144" s="49" t="s">
        <v>96</v>
      </c>
      <c r="M144" s="49" t="s">
        <v>69</v>
      </c>
      <c r="N144" s="49"/>
      <c r="O144" s="48"/>
      <c r="P144" s="49" t="str">
        <f t="shared" si="6"/>
        <v>ONAY</v>
      </c>
      <c r="Q144" s="27" t="s">
        <v>85</v>
      </c>
      <c r="R144" s="50" t="str">
        <f t="shared" si="7"/>
        <v/>
      </c>
      <c r="U144" s="28">
        <f>IF($C144&lt;&gt;"",COUNTIF($C$2:C144,C144),"")</f>
        <v>2</v>
      </c>
      <c r="V144" s="28" t="str">
        <f t="shared" si="8"/>
        <v>Prof. Dr. Tutku SOYER§2</v>
      </c>
      <c r="W144" s="28" t="str">
        <f>IF(U144=1,COUNTIF($U$2:U144,1),"")</f>
        <v/>
      </c>
    </row>
    <row r="145" spans="1:23" ht="94.5" customHeight="1" x14ac:dyDescent="0.25">
      <c r="A145" s="42" t="s">
        <v>838</v>
      </c>
      <c r="B145" s="42" t="s">
        <v>839</v>
      </c>
      <c r="C145" s="43" t="s">
        <v>840</v>
      </c>
      <c r="D145" s="43" t="s">
        <v>237</v>
      </c>
      <c r="E145" s="44" t="s">
        <v>841</v>
      </c>
      <c r="F145" s="44" t="s">
        <v>842</v>
      </c>
      <c r="G145" s="45" t="s">
        <v>35</v>
      </c>
      <c r="H145" s="47">
        <v>46049</v>
      </c>
      <c r="I145" s="47">
        <v>46057</v>
      </c>
      <c r="J145" s="43" t="s">
        <v>68</v>
      </c>
      <c r="K145" s="43" t="s">
        <v>121</v>
      </c>
      <c r="L145" s="49" t="s">
        <v>69</v>
      </c>
      <c r="M145" s="49"/>
      <c r="N145" s="49"/>
      <c r="O145" s="48"/>
      <c r="P145" s="49" t="str">
        <f t="shared" si="6"/>
        <v>ONAY</v>
      </c>
      <c r="R145" s="50" t="str">
        <f t="shared" si="7"/>
        <v/>
      </c>
      <c r="U145" s="28">
        <f>IF($C145&lt;&gt;"",COUNTIF($C$2:C145,C145),"")</f>
        <v>1</v>
      </c>
      <c r="V145" s="28" t="str">
        <f t="shared" si="8"/>
        <v>Prof. Dr. Nagehan EMİRALİOĞLU ORDUKAYA§1</v>
      </c>
      <c r="W145" s="28">
        <f>IF(U145=1,COUNTIF($U$2:U145,1),"")</f>
        <v>111</v>
      </c>
    </row>
    <row r="146" spans="1:23" ht="63" customHeight="1" x14ac:dyDescent="0.25">
      <c r="A146" s="42" t="s">
        <v>843</v>
      </c>
      <c r="B146" s="42" t="s">
        <v>844</v>
      </c>
      <c r="C146" s="43" t="s">
        <v>450</v>
      </c>
      <c r="D146" s="43" t="s">
        <v>428</v>
      </c>
      <c r="E146" s="44" t="s">
        <v>845</v>
      </c>
      <c r="F146" s="44" t="s">
        <v>846</v>
      </c>
      <c r="G146" s="45" t="s">
        <v>34</v>
      </c>
      <c r="H146" s="47">
        <v>46049</v>
      </c>
      <c r="I146" s="47">
        <v>46057</v>
      </c>
      <c r="J146" s="43" t="s">
        <v>77</v>
      </c>
      <c r="K146" s="43" t="s">
        <v>121</v>
      </c>
      <c r="L146" s="49" t="s">
        <v>69</v>
      </c>
      <c r="M146" s="49"/>
      <c r="N146" s="49"/>
      <c r="O146" s="48"/>
      <c r="P146" s="49" t="str">
        <f t="shared" si="6"/>
        <v>ONAY</v>
      </c>
      <c r="R146" s="50" t="str">
        <f t="shared" si="7"/>
        <v/>
      </c>
      <c r="U146" s="28">
        <f>IF($C146&lt;&gt;"",COUNTIF($C$2:C146,C146),"")</f>
        <v>3</v>
      </c>
      <c r="V146" s="28" t="str">
        <f t="shared" si="8"/>
        <v>Dr. Öğr. Üyesi Burcu KELLECİ ÇAKIR§3</v>
      </c>
      <c r="W146" s="28" t="str">
        <f>IF(U146=1,COUNTIF($U$2:U146,1),"")</f>
        <v/>
      </c>
    </row>
    <row r="147" spans="1:23" ht="81" customHeight="1" x14ac:dyDescent="0.25">
      <c r="A147" s="42" t="s">
        <v>847</v>
      </c>
      <c r="B147" s="42" t="s">
        <v>848</v>
      </c>
      <c r="C147" s="43" t="s">
        <v>849</v>
      </c>
      <c r="D147" s="54" t="s">
        <v>850</v>
      </c>
      <c r="E147" s="44" t="s">
        <v>851</v>
      </c>
      <c r="F147" s="44" t="s">
        <v>852</v>
      </c>
      <c r="G147" s="45" t="s">
        <v>34</v>
      </c>
      <c r="H147" s="47">
        <v>46058</v>
      </c>
      <c r="I147" s="47">
        <v>46070</v>
      </c>
      <c r="J147" s="43" t="s">
        <v>128</v>
      </c>
      <c r="K147" s="43" t="s">
        <v>68</v>
      </c>
      <c r="L147" s="49" t="s">
        <v>69</v>
      </c>
      <c r="M147" s="49"/>
      <c r="N147" s="49"/>
      <c r="O147" s="48"/>
      <c r="P147" s="49" t="str">
        <f t="shared" si="6"/>
        <v>ONAY</v>
      </c>
      <c r="R147" s="50" t="str">
        <f t="shared" si="7"/>
        <v/>
      </c>
      <c r="U147" s="28">
        <f>IF($C147&lt;&gt;"",COUNTIF($C$2:C147,C147),"")</f>
        <v>1</v>
      </c>
      <c r="V147" s="28" t="str">
        <f t="shared" si="8"/>
        <v>Doç. Dr. Gölşah KÖK§1</v>
      </c>
      <c r="W147" s="28">
        <f>IF(U147=1,COUNTIF($U$2:U147,1),"")</f>
        <v>112</v>
      </c>
    </row>
    <row r="148" spans="1:23" ht="78.75" customHeight="1" x14ac:dyDescent="0.25">
      <c r="A148" s="42" t="s">
        <v>853</v>
      </c>
      <c r="B148" s="42" t="s">
        <v>854</v>
      </c>
      <c r="C148" s="43" t="s">
        <v>855</v>
      </c>
      <c r="D148" s="43" t="s">
        <v>189</v>
      </c>
      <c r="E148" s="44" t="s">
        <v>856</v>
      </c>
      <c r="F148" s="44" t="s">
        <v>857</v>
      </c>
      <c r="G148" s="45" t="s">
        <v>34</v>
      </c>
      <c r="H148" s="47">
        <v>46058</v>
      </c>
      <c r="I148" s="47">
        <v>46070</v>
      </c>
      <c r="J148" s="43" t="s">
        <v>85</v>
      </c>
      <c r="K148" s="43" t="s">
        <v>86</v>
      </c>
      <c r="L148" s="49" t="s">
        <v>232</v>
      </c>
      <c r="M148" s="49"/>
      <c r="N148" s="49"/>
      <c r="O148" s="48"/>
      <c r="P148" s="49" t="str">
        <f t="shared" si="6"/>
        <v>KAEK</v>
      </c>
      <c r="R148" s="50" t="str">
        <f t="shared" si="7"/>
        <v/>
      </c>
      <c r="U148" s="28">
        <f>IF($C148&lt;&gt;"",COUNTIF($C$2:C148,C148),"")</f>
        <v>1</v>
      </c>
      <c r="V148" s="28" t="str">
        <f t="shared" si="8"/>
        <v>Öğr. Gör. Dr. Pınar ÖZDEMİR YAŞAR§1</v>
      </c>
      <c r="W148" s="28">
        <f>IF(U148=1,COUNTIF($U$2:U148,1),"")</f>
        <v>113</v>
      </c>
    </row>
    <row r="149" spans="1:23" ht="78.75" customHeight="1" x14ac:dyDescent="0.25">
      <c r="A149" s="42" t="s">
        <v>858</v>
      </c>
      <c r="B149" s="42" t="s">
        <v>859</v>
      </c>
      <c r="C149" s="43" t="s">
        <v>742</v>
      </c>
      <c r="D149" s="43" t="s">
        <v>110</v>
      </c>
      <c r="E149" s="44" t="s">
        <v>860</v>
      </c>
      <c r="F149" s="44" t="s">
        <v>861</v>
      </c>
      <c r="G149" s="45" t="s">
        <v>34</v>
      </c>
      <c r="H149" s="47">
        <v>46058</v>
      </c>
      <c r="I149" s="47">
        <v>46070</v>
      </c>
      <c r="J149" s="43" t="s">
        <v>104</v>
      </c>
      <c r="K149" s="43" t="s">
        <v>77</v>
      </c>
      <c r="L149" s="49" t="s">
        <v>69</v>
      </c>
      <c r="M149" s="49"/>
      <c r="N149" s="49"/>
      <c r="O149" s="48"/>
      <c r="P149" s="49" t="str">
        <f t="shared" si="6"/>
        <v>ONAY</v>
      </c>
      <c r="R149" s="50" t="str">
        <f t="shared" si="7"/>
        <v/>
      </c>
      <c r="U149" s="28">
        <f>IF($C149&lt;&gt;"",COUNTIF($C$2:C149,C149),"")</f>
        <v>2</v>
      </c>
      <c r="V149" s="28" t="str">
        <f t="shared" si="8"/>
        <v>Doç. Dr. Süleyman Nahit ŞENDUR§2</v>
      </c>
      <c r="W149" s="28" t="str">
        <f>IF(U149=1,COUNTIF($U$2:U149,1),"")</f>
        <v/>
      </c>
    </row>
    <row r="150" spans="1:23" ht="78.75" customHeight="1" x14ac:dyDescent="0.25">
      <c r="A150" s="42" t="s">
        <v>862</v>
      </c>
      <c r="B150" s="42" t="s">
        <v>863</v>
      </c>
      <c r="C150" s="43" t="s">
        <v>742</v>
      </c>
      <c r="D150" s="43" t="s">
        <v>110</v>
      </c>
      <c r="E150" s="44" t="s">
        <v>860</v>
      </c>
      <c r="F150" s="44" t="s">
        <v>864</v>
      </c>
      <c r="G150" s="45" t="s">
        <v>34</v>
      </c>
      <c r="H150" s="47">
        <v>46058</v>
      </c>
      <c r="I150" s="47">
        <v>46070</v>
      </c>
      <c r="J150" s="43" t="s">
        <v>128</v>
      </c>
      <c r="K150" s="43" t="s">
        <v>94</v>
      </c>
      <c r="L150" s="49" t="s">
        <v>69</v>
      </c>
      <c r="M150" s="49"/>
      <c r="N150" s="49"/>
      <c r="O150" s="48"/>
      <c r="P150" s="49" t="str">
        <f t="shared" si="6"/>
        <v>ONAY</v>
      </c>
      <c r="R150" s="50" t="str">
        <f t="shared" si="7"/>
        <v/>
      </c>
      <c r="U150" s="28">
        <f>IF($C150&lt;&gt;"",COUNTIF($C$2:C150,C150),"")</f>
        <v>3</v>
      </c>
      <c r="V150" s="28" t="str">
        <f t="shared" si="8"/>
        <v>Doç. Dr. Süleyman Nahit ŞENDUR§3</v>
      </c>
      <c r="W150" s="28" t="str">
        <f>IF(U150=1,COUNTIF($U$2:U150,1),"")</f>
        <v/>
      </c>
    </row>
    <row r="151" spans="1:23" ht="78.75" customHeight="1" x14ac:dyDescent="0.25">
      <c r="A151" s="42" t="s">
        <v>865</v>
      </c>
      <c r="B151" s="42" t="s">
        <v>866</v>
      </c>
      <c r="C151" s="43" t="s">
        <v>742</v>
      </c>
      <c r="D151" s="43" t="s">
        <v>110</v>
      </c>
      <c r="E151" s="44" t="s">
        <v>867</v>
      </c>
      <c r="F151" s="44" t="s">
        <v>868</v>
      </c>
      <c r="G151" s="45" t="s">
        <v>34</v>
      </c>
      <c r="H151" s="47">
        <v>46058</v>
      </c>
      <c r="I151" s="47">
        <v>46070</v>
      </c>
      <c r="J151" s="43" t="s">
        <v>95</v>
      </c>
      <c r="K151" s="43" t="s">
        <v>86</v>
      </c>
      <c r="L151" s="49" t="s">
        <v>69</v>
      </c>
      <c r="M151" s="49"/>
      <c r="N151" s="49"/>
      <c r="O151" s="48"/>
      <c r="P151" s="49" t="str">
        <f t="shared" si="6"/>
        <v>ONAY</v>
      </c>
      <c r="R151" s="50" t="str">
        <f t="shared" si="7"/>
        <v/>
      </c>
      <c r="U151" s="28">
        <f>IF($C151&lt;&gt;"",COUNTIF($C$2:C151,C151),"")</f>
        <v>4</v>
      </c>
      <c r="V151" s="28" t="str">
        <f t="shared" si="8"/>
        <v>Doç. Dr. Süleyman Nahit ŞENDUR§4</v>
      </c>
      <c r="W151" s="28" t="str">
        <f>IF(U151=1,COUNTIF($U$2:U151,1),"")</f>
        <v/>
      </c>
    </row>
    <row r="152" spans="1:23" ht="63" customHeight="1" x14ac:dyDescent="0.25">
      <c r="A152" s="42" t="s">
        <v>869</v>
      </c>
      <c r="B152" s="42" t="s">
        <v>870</v>
      </c>
      <c r="C152" s="43" t="s">
        <v>202</v>
      </c>
      <c r="D152" s="43" t="s">
        <v>203</v>
      </c>
      <c r="E152" s="44" t="s">
        <v>871</v>
      </c>
      <c r="F152" s="44" t="s">
        <v>872</v>
      </c>
      <c r="G152" s="45" t="s">
        <v>34</v>
      </c>
      <c r="H152" s="47">
        <v>46058</v>
      </c>
      <c r="I152" s="47">
        <v>46070</v>
      </c>
      <c r="J152" s="43" t="s">
        <v>85</v>
      </c>
      <c r="K152" s="43" t="s">
        <v>121</v>
      </c>
      <c r="L152" s="49" t="s">
        <v>96</v>
      </c>
      <c r="M152" s="49" t="s">
        <v>69</v>
      </c>
      <c r="N152" s="49"/>
      <c r="O152" s="48"/>
      <c r="P152" s="49" t="str">
        <f t="shared" si="6"/>
        <v>ONAY</v>
      </c>
      <c r="Q152" s="27" t="s">
        <v>85</v>
      </c>
      <c r="R152" s="50" t="str">
        <f t="shared" si="7"/>
        <v/>
      </c>
      <c r="U152" s="28">
        <f>IF($C152&lt;&gt;"",COUNTIF($C$2:C152,C152),"")</f>
        <v>4</v>
      </c>
      <c r="V152" s="28" t="str">
        <f t="shared" si="8"/>
        <v>Dr. Öğr. Üyesi Figen BEZCİ AYGÜN§4</v>
      </c>
      <c r="W152" s="28" t="str">
        <f>IF(U152=1,COUNTIF($U$2:U152,1),"")</f>
        <v/>
      </c>
    </row>
    <row r="153" spans="1:23" ht="94.5" customHeight="1" x14ac:dyDescent="0.25">
      <c r="A153" s="42" t="s">
        <v>873</v>
      </c>
      <c r="B153" s="42" t="s">
        <v>874</v>
      </c>
      <c r="C153" s="43" t="s">
        <v>109</v>
      </c>
      <c r="D153" s="43" t="s">
        <v>110</v>
      </c>
      <c r="E153" s="44" t="s">
        <v>875</v>
      </c>
      <c r="F153" s="44" t="s">
        <v>876</v>
      </c>
      <c r="G153" s="45" t="s">
        <v>37</v>
      </c>
      <c r="H153" s="47">
        <v>46058</v>
      </c>
      <c r="I153" s="47">
        <v>46070</v>
      </c>
      <c r="J153" s="43" t="s">
        <v>104</v>
      </c>
      <c r="K153" s="43" t="s">
        <v>77</v>
      </c>
      <c r="L153" s="49" t="s">
        <v>218</v>
      </c>
      <c r="M153" s="49" t="s">
        <v>96</v>
      </c>
      <c r="N153" s="49" t="s">
        <v>69</v>
      </c>
      <c r="O153" s="48"/>
      <c r="P153" s="49" t="str">
        <f t="shared" si="6"/>
        <v>ONAY</v>
      </c>
      <c r="Q153" s="27" t="s">
        <v>77</v>
      </c>
      <c r="R153" s="50" t="str">
        <f t="shared" si="7"/>
        <v/>
      </c>
      <c r="U153" s="28">
        <f>IF($C153&lt;&gt;"",COUNTIF($C$2:C153,C153),"")</f>
        <v>6</v>
      </c>
      <c r="V153" s="28" t="str">
        <f t="shared" si="8"/>
        <v>Prof. Dr. Meltem Gülhan HALİL§6</v>
      </c>
      <c r="W153" s="28" t="str">
        <f>IF(U153=1,COUNTIF($U$2:U153,1),"")</f>
        <v/>
      </c>
    </row>
    <row r="154" spans="1:23" ht="63" customHeight="1" x14ac:dyDescent="0.25">
      <c r="A154" s="42" t="s">
        <v>877</v>
      </c>
      <c r="B154" s="42" t="s">
        <v>878</v>
      </c>
      <c r="C154" s="43" t="s">
        <v>879</v>
      </c>
      <c r="D154" s="43" t="s">
        <v>422</v>
      </c>
      <c r="E154" s="44" t="s">
        <v>880</v>
      </c>
      <c r="F154" s="44" t="s">
        <v>881</v>
      </c>
      <c r="G154" s="45" t="s">
        <v>34</v>
      </c>
      <c r="H154" s="47">
        <v>46058</v>
      </c>
      <c r="I154" s="47">
        <v>46070</v>
      </c>
      <c r="J154" s="43" t="s">
        <v>68</v>
      </c>
      <c r="K154" s="43" t="s">
        <v>94</v>
      </c>
      <c r="L154" s="49" t="s">
        <v>96</v>
      </c>
      <c r="M154" s="49" t="s">
        <v>69</v>
      </c>
      <c r="N154" s="49"/>
      <c r="O154" s="48"/>
      <c r="P154" s="49" t="str">
        <f t="shared" si="6"/>
        <v>ONAY</v>
      </c>
      <c r="Q154" s="27" t="s">
        <v>68</v>
      </c>
      <c r="R154" s="50" t="str">
        <f t="shared" si="7"/>
        <v/>
      </c>
      <c r="U154" s="28">
        <f>IF($C154&lt;&gt;"",COUNTIF($C$2:C154,C154),"")</f>
        <v>1</v>
      </c>
      <c r="V154" s="28" t="str">
        <f t="shared" si="8"/>
        <v>Dr. Öğr. Üyesi Barış KAFA§1</v>
      </c>
      <c r="W154" s="28">
        <f>IF(U154=1,COUNTIF($U$2:U154,1),"")</f>
        <v>114</v>
      </c>
    </row>
    <row r="155" spans="1:23" ht="63" customHeight="1" x14ac:dyDescent="0.25">
      <c r="A155" s="42" t="s">
        <v>882</v>
      </c>
      <c r="B155" s="42" t="s">
        <v>883</v>
      </c>
      <c r="C155" s="43" t="s">
        <v>884</v>
      </c>
      <c r="D155" s="43" t="s">
        <v>615</v>
      </c>
      <c r="E155" s="44" t="s">
        <v>885</v>
      </c>
      <c r="F155" s="44" t="s">
        <v>886</v>
      </c>
      <c r="G155" s="45" t="s">
        <v>37</v>
      </c>
      <c r="H155" s="47">
        <v>46058</v>
      </c>
      <c r="I155" s="47">
        <v>46070</v>
      </c>
      <c r="J155" s="43" t="s">
        <v>85</v>
      </c>
      <c r="K155" s="43" t="s">
        <v>95</v>
      </c>
      <c r="L155" s="49" t="s">
        <v>69</v>
      </c>
      <c r="M155" s="49"/>
      <c r="N155" s="49"/>
      <c r="O155" s="48"/>
      <c r="P155" s="49" t="str">
        <f t="shared" si="6"/>
        <v>ONAY</v>
      </c>
      <c r="R155" s="50" t="str">
        <f t="shared" si="7"/>
        <v/>
      </c>
      <c r="U155" s="28">
        <f>IF($C155&lt;&gt;"",COUNTIF($C$2:C155,C155),"")</f>
        <v>1</v>
      </c>
      <c r="V155" s="28" t="str">
        <f t="shared" si="8"/>
        <v>Doç. Dr. Burcu HATİBOĞLU§1</v>
      </c>
      <c r="W155" s="28">
        <f>IF(U155=1,COUNTIF($U$2:U155,1),"")</f>
        <v>115</v>
      </c>
    </row>
    <row r="156" spans="1:23" ht="47.25" customHeight="1" x14ac:dyDescent="0.25">
      <c r="A156" s="42" t="s">
        <v>887</v>
      </c>
      <c r="B156" s="42" t="s">
        <v>888</v>
      </c>
      <c r="C156" s="43" t="s">
        <v>889</v>
      </c>
      <c r="D156" s="43" t="s">
        <v>570</v>
      </c>
      <c r="E156" s="44" t="s">
        <v>890</v>
      </c>
      <c r="F156" s="44" t="s">
        <v>891</v>
      </c>
      <c r="G156" s="45" t="s">
        <v>34</v>
      </c>
      <c r="H156" s="47">
        <v>46058</v>
      </c>
      <c r="I156" s="47">
        <v>46070</v>
      </c>
      <c r="J156" s="43" t="s">
        <v>121</v>
      </c>
      <c r="K156" s="43" t="s">
        <v>113</v>
      </c>
      <c r="L156" s="49" t="s">
        <v>69</v>
      </c>
      <c r="M156" s="49"/>
      <c r="N156" s="49"/>
      <c r="O156" s="48"/>
      <c r="P156" s="49" t="str">
        <f t="shared" si="6"/>
        <v>ONAY</v>
      </c>
      <c r="R156" s="50" t="str">
        <f t="shared" si="7"/>
        <v/>
      </c>
      <c r="U156" s="28">
        <f>IF($C156&lt;&gt;"",COUNTIF($C$2:C156,C156),"")</f>
        <v>1</v>
      </c>
      <c r="V156" s="28" t="str">
        <f t="shared" si="8"/>
        <v>Dr. Öğr. Üyesi Hanife Merva PARLAK§1</v>
      </c>
      <c r="W156" s="28">
        <f>IF(U156=1,COUNTIF($U$2:U156,1),"")</f>
        <v>116</v>
      </c>
    </row>
    <row r="157" spans="1:23" ht="78.75" customHeight="1" x14ac:dyDescent="0.25">
      <c r="A157" s="42" t="s">
        <v>892</v>
      </c>
      <c r="B157" s="42" t="s">
        <v>893</v>
      </c>
      <c r="C157" s="43" t="s">
        <v>313</v>
      </c>
      <c r="D157" s="43" t="s">
        <v>237</v>
      </c>
      <c r="E157" s="44" t="s">
        <v>894</v>
      </c>
      <c r="F157" s="44" t="s">
        <v>895</v>
      </c>
      <c r="G157" s="45" t="s">
        <v>34</v>
      </c>
      <c r="H157" s="47">
        <v>46058</v>
      </c>
      <c r="I157" s="47">
        <v>46070</v>
      </c>
      <c r="J157" s="43" t="s">
        <v>85</v>
      </c>
      <c r="K157" s="43" t="s">
        <v>86</v>
      </c>
      <c r="L157" s="49" t="s">
        <v>96</v>
      </c>
      <c r="M157" s="49" t="s">
        <v>69</v>
      </c>
      <c r="N157" s="49"/>
      <c r="O157" s="48"/>
      <c r="P157" s="49" t="str">
        <f t="shared" si="6"/>
        <v>ONAY</v>
      </c>
      <c r="Q157" s="27" t="s">
        <v>85</v>
      </c>
      <c r="R157" s="50" t="str">
        <f t="shared" si="7"/>
        <v/>
      </c>
      <c r="U157" s="28">
        <f>IF($C157&lt;&gt;"",COUNTIF($C$2:C157,C157),"")</f>
        <v>3</v>
      </c>
      <c r="V157" s="28" t="str">
        <f t="shared" si="8"/>
        <v>Prof. Dr. Yasemin ÖZSÜREKCİ§3</v>
      </c>
      <c r="W157" s="28" t="str">
        <f>IF(U157=1,COUNTIF($U$2:U157,1),"")</f>
        <v/>
      </c>
    </row>
    <row r="158" spans="1:23" ht="94.5" customHeight="1" x14ac:dyDescent="0.25">
      <c r="A158" s="42" t="s">
        <v>896</v>
      </c>
      <c r="B158" s="42" t="s">
        <v>897</v>
      </c>
      <c r="C158" s="43" t="s">
        <v>898</v>
      </c>
      <c r="D158" s="43" t="s">
        <v>118</v>
      </c>
      <c r="E158" s="44" t="s">
        <v>899</v>
      </c>
      <c r="F158" s="44" t="s">
        <v>900</v>
      </c>
      <c r="G158" s="45" t="s">
        <v>37</v>
      </c>
      <c r="H158" s="47">
        <v>46058</v>
      </c>
      <c r="I158" s="47">
        <v>46070</v>
      </c>
      <c r="J158" s="43" t="s">
        <v>121</v>
      </c>
      <c r="K158" s="43" t="s">
        <v>68</v>
      </c>
      <c r="L158" s="49" t="s">
        <v>69</v>
      </c>
      <c r="M158" s="49"/>
      <c r="N158" s="49"/>
      <c r="O158" s="48"/>
      <c r="P158" s="49" t="str">
        <f t="shared" si="6"/>
        <v>ONAY</v>
      </c>
      <c r="R158" s="50" t="str">
        <f t="shared" si="7"/>
        <v/>
      </c>
      <c r="U158" s="28">
        <f>IF($C158&lt;&gt;"",COUNTIF($C$2:C158,C158),"")</f>
        <v>1</v>
      </c>
      <c r="V158" s="28" t="str">
        <f t="shared" si="8"/>
        <v>Prof. Dr. Hatice DOĞAN BUZOĞLU§1</v>
      </c>
      <c r="W158" s="28">
        <f>IF(U158=1,COUNTIF($U$2:U158,1),"")</f>
        <v>117</v>
      </c>
    </row>
    <row r="159" spans="1:23" ht="63" customHeight="1" x14ac:dyDescent="0.25">
      <c r="A159" s="42" t="s">
        <v>901</v>
      </c>
      <c r="B159" s="42" t="s">
        <v>902</v>
      </c>
      <c r="C159" s="43" t="s">
        <v>903</v>
      </c>
      <c r="D159" s="43" t="s">
        <v>189</v>
      </c>
      <c r="E159" s="44" t="s">
        <v>904</v>
      </c>
      <c r="F159" s="44" t="s">
        <v>905</v>
      </c>
      <c r="G159" s="45" t="s">
        <v>35</v>
      </c>
      <c r="H159" s="47">
        <v>46058</v>
      </c>
      <c r="I159" s="47">
        <v>46070</v>
      </c>
      <c r="J159" s="43" t="s">
        <v>86</v>
      </c>
      <c r="K159" s="43" t="s">
        <v>95</v>
      </c>
      <c r="L159" s="49" t="s">
        <v>96</v>
      </c>
      <c r="M159" s="49" t="s">
        <v>69</v>
      </c>
      <c r="N159" s="49"/>
      <c r="O159" s="48"/>
      <c r="P159" s="49" t="str">
        <f t="shared" si="6"/>
        <v>ONAY</v>
      </c>
      <c r="Q159" s="27" t="s">
        <v>86</v>
      </c>
      <c r="R159" s="50" t="str">
        <f t="shared" si="7"/>
        <v/>
      </c>
      <c r="U159" s="28">
        <f>IF($C159&lt;&gt;"",COUNTIF($C$2:C159,C159),"")</f>
        <v>1</v>
      </c>
      <c r="V159" s="28" t="str">
        <f t="shared" si="8"/>
        <v>Doç. Dr. Almıla Gülsün PAMUK§1</v>
      </c>
      <c r="W159" s="28">
        <f>IF(U159=1,COUNTIF($U$2:U159,1),"")</f>
        <v>118</v>
      </c>
    </row>
    <row r="160" spans="1:23" ht="94.5" customHeight="1" x14ac:dyDescent="0.25">
      <c r="A160" s="42" t="s">
        <v>906</v>
      </c>
      <c r="B160" s="42" t="s">
        <v>907</v>
      </c>
      <c r="C160" s="43" t="s">
        <v>908</v>
      </c>
      <c r="D160" s="43" t="s">
        <v>320</v>
      </c>
      <c r="E160" s="44" t="s">
        <v>909</v>
      </c>
      <c r="F160" s="44" t="s">
        <v>910</v>
      </c>
      <c r="G160" s="45" t="s">
        <v>35</v>
      </c>
      <c r="H160" s="47">
        <v>46058</v>
      </c>
      <c r="I160" s="47">
        <v>46070</v>
      </c>
      <c r="J160" s="43" t="s">
        <v>113</v>
      </c>
      <c r="K160" s="43" t="s">
        <v>128</v>
      </c>
      <c r="L160" s="49" t="s">
        <v>96</v>
      </c>
      <c r="M160" s="49" t="s">
        <v>69</v>
      </c>
      <c r="N160" s="49"/>
      <c r="O160" s="48"/>
      <c r="P160" s="49" t="str">
        <f t="shared" si="6"/>
        <v>ONAY</v>
      </c>
      <c r="Q160" s="27" t="s">
        <v>113</v>
      </c>
      <c r="R160" s="50" t="str">
        <f t="shared" si="7"/>
        <v/>
      </c>
      <c r="U160" s="28">
        <f>IF($C160&lt;&gt;"",COUNTIF($C$2:C160,C160),"")</f>
        <v>1</v>
      </c>
      <c r="V160" s="28" t="str">
        <f t="shared" si="8"/>
        <v>Doç. Dr. Gamze ATAY§1</v>
      </c>
      <c r="W160" s="28">
        <f>IF(U160=1,COUNTIF($U$2:U160,1),"")</f>
        <v>119</v>
      </c>
    </row>
    <row r="161" spans="1:23" ht="80.25" customHeight="1" x14ac:dyDescent="0.25">
      <c r="A161" s="42" t="s">
        <v>911</v>
      </c>
      <c r="B161" s="42" t="s">
        <v>912</v>
      </c>
      <c r="C161" s="43" t="s">
        <v>313</v>
      </c>
      <c r="D161" s="43" t="s">
        <v>237</v>
      </c>
      <c r="E161" s="44" t="s">
        <v>913</v>
      </c>
      <c r="F161" s="44" t="s">
        <v>914</v>
      </c>
      <c r="G161" s="45" t="s">
        <v>34</v>
      </c>
      <c r="H161" s="47">
        <v>46059</v>
      </c>
      <c r="I161" s="47">
        <v>46070</v>
      </c>
      <c r="J161" s="43" t="s">
        <v>68</v>
      </c>
      <c r="K161" s="43" t="s">
        <v>94</v>
      </c>
      <c r="L161" s="49" t="s">
        <v>178</v>
      </c>
      <c r="M161" s="49"/>
      <c r="N161" s="49"/>
      <c r="O161" s="48"/>
      <c r="P161" s="49" t="str">
        <f t="shared" si="6"/>
        <v>RET</v>
      </c>
      <c r="R161" s="50" t="str">
        <f t="shared" si="7"/>
        <v/>
      </c>
      <c r="S161" s="55" t="s">
        <v>915</v>
      </c>
      <c r="U161" s="28">
        <f>IF($C161&lt;&gt;"",COUNTIF($C$2:C161,C161),"")</f>
        <v>4</v>
      </c>
      <c r="V161" s="28" t="str">
        <f t="shared" si="8"/>
        <v>Prof. Dr. Yasemin ÖZSÜREKCİ§4</v>
      </c>
      <c r="W161" s="28" t="str">
        <f>IF(U161=1,COUNTIF($U$2:U161,1),"")</f>
        <v/>
      </c>
    </row>
    <row r="162" spans="1:23" ht="78.75" customHeight="1" x14ac:dyDescent="0.25">
      <c r="A162" s="42" t="s">
        <v>916</v>
      </c>
      <c r="B162" s="42" t="s">
        <v>917</v>
      </c>
      <c r="C162" s="43" t="s">
        <v>450</v>
      </c>
      <c r="D162" s="43" t="s">
        <v>428</v>
      </c>
      <c r="E162" s="44" t="s">
        <v>918</v>
      </c>
      <c r="F162" s="44" t="s">
        <v>919</v>
      </c>
      <c r="G162" s="45" t="s">
        <v>34</v>
      </c>
      <c r="H162" s="47">
        <v>46059</v>
      </c>
      <c r="I162" s="47">
        <v>46070</v>
      </c>
      <c r="J162" s="43" t="s">
        <v>128</v>
      </c>
      <c r="K162" s="43" t="s">
        <v>113</v>
      </c>
      <c r="L162" s="49" t="s">
        <v>69</v>
      </c>
      <c r="M162" s="49"/>
      <c r="N162" s="49"/>
      <c r="O162" s="48"/>
      <c r="P162" s="49" t="str">
        <f t="shared" si="6"/>
        <v>ONAY</v>
      </c>
      <c r="R162" s="50" t="str">
        <f t="shared" si="7"/>
        <v/>
      </c>
      <c r="U162" s="28">
        <f>IF($C162&lt;&gt;"",COUNTIF($C$2:C162,C162),"")</f>
        <v>4</v>
      </c>
      <c r="V162" s="28" t="str">
        <f t="shared" si="8"/>
        <v>Dr. Öğr. Üyesi Burcu KELLECİ ÇAKIR§4</v>
      </c>
      <c r="W162" s="28" t="str">
        <f>IF(U162=1,COUNTIF($U$2:U162,1),"")</f>
        <v/>
      </c>
    </row>
    <row r="163" spans="1:23" ht="63" customHeight="1" x14ac:dyDescent="0.25">
      <c r="A163" s="42" t="s">
        <v>920</v>
      </c>
      <c r="B163" s="42" t="s">
        <v>921</v>
      </c>
      <c r="C163" s="43" t="s">
        <v>922</v>
      </c>
      <c r="D163" s="43" t="s">
        <v>923</v>
      </c>
      <c r="E163" s="44" t="s">
        <v>924</v>
      </c>
      <c r="F163" s="44" t="s">
        <v>925</v>
      </c>
      <c r="G163" s="45" t="s">
        <v>34</v>
      </c>
      <c r="H163" s="47">
        <v>46059</v>
      </c>
      <c r="I163" s="47">
        <v>46070</v>
      </c>
      <c r="J163" s="43" t="s">
        <v>104</v>
      </c>
      <c r="K163" s="43" t="s">
        <v>77</v>
      </c>
      <c r="L163" s="49" t="s">
        <v>96</v>
      </c>
      <c r="M163" s="49" t="s">
        <v>69</v>
      </c>
      <c r="N163" s="49"/>
      <c r="O163" s="48"/>
      <c r="P163" s="49" t="str">
        <f t="shared" si="6"/>
        <v>ONAY</v>
      </c>
      <c r="Q163" s="27" t="s">
        <v>104</v>
      </c>
      <c r="R163" s="50" t="str">
        <f t="shared" si="7"/>
        <v/>
      </c>
      <c r="U163" s="28">
        <f>IF($C163&lt;&gt;"",COUNTIF($C$2:C163,C163),"")</f>
        <v>1</v>
      </c>
      <c r="V163" s="28" t="str">
        <f t="shared" si="8"/>
        <v>Doç. Dr. Hilal KORKMAZ§1</v>
      </c>
      <c r="W163" s="28">
        <f>IF(U163=1,COUNTIF($U$2:U163,1),"")</f>
        <v>120</v>
      </c>
    </row>
    <row r="164" spans="1:23" ht="81.75" customHeight="1" x14ac:dyDescent="0.25">
      <c r="A164" s="42" t="s">
        <v>926</v>
      </c>
      <c r="B164" s="42" t="s">
        <v>927</v>
      </c>
      <c r="C164" s="43" t="s">
        <v>555</v>
      </c>
      <c r="D164" s="43" t="s">
        <v>110</v>
      </c>
      <c r="E164" s="44" t="s">
        <v>928</v>
      </c>
      <c r="F164" s="44" t="s">
        <v>929</v>
      </c>
      <c r="G164" s="45" t="s">
        <v>35</v>
      </c>
      <c r="H164" s="47">
        <v>46059</v>
      </c>
      <c r="I164" s="47">
        <v>46070</v>
      </c>
      <c r="J164" s="43" t="s">
        <v>104</v>
      </c>
      <c r="K164" s="43" t="s">
        <v>77</v>
      </c>
      <c r="L164" s="49" t="s">
        <v>69</v>
      </c>
      <c r="M164" s="49"/>
      <c r="N164" s="49"/>
      <c r="O164" s="48"/>
      <c r="P164" s="49" t="str">
        <f t="shared" si="6"/>
        <v>ONAY</v>
      </c>
      <c r="R164" s="50" t="str">
        <f t="shared" si="7"/>
        <v/>
      </c>
      <c r="U164" s="28">
        <f>IF($C164&lt;&gt;"",COUNTIF($C$2:C164,C164),"")</f>
        <v>2</v>
      </c>
      <c r="V164" s="28" t="str">
        <f t="shared" si="8"/>
        <v>Doç. Dr. Mert EŞME§2</v>
      </c>
      <c r="W164" s="28" t="str">
        <f>IF(U164=1,COUNTIF($U$2:U164,1),"")</f>
        <v/>
      </c>
    </row>
    <row r="165" spans="1:23" ht="78.75" customHeight="1" x14ac:dyDescent="0.25">
      <c r="A165" s="42" t="s">
        <v>930</v>
      </c>
      <c r="B165" s="42" t="s">
        <v>931</v>
      </c>
      <c r="C165" s="43" t="s">
        <v>243</v>
      </c>
      <c r="D165" s="43" t="s">
        <v>244</v>
      </c>
      <c r="E165" s="44" t="s">
        <v>932</v>
      </c>
      <c r="F165" s="44" t="s">
        <v>933</v>
      </c>
      <c r="G165" s="45" t="s">
        <v>34</v>
      </c>
      <c r="H165" s="47">
        <v>46059</v>
      </c>
      <c r="I165" s="47">
        <v>46070</v>
      </c>
      <c r="J165" s="43" t="s">
        <v>85</v>
      </c>
      <c r="K165" s="43" t="s">
        <v>86</v>
      </c>
      <c r="L165" s="49" t="s">
        <v>96</v>
      </c>
      <c r="M165" s="49" t="s">
        <v>69</v>
      </c>
      <c r="N165" s="49"/>
      <c r="O165" s="48"/>
      <c r="P165" s="49" t="str">
        <f t="shared" si="6"/>
        <v>ONAY</v>
      </c>
      <c r="Q165" s="27" t="s">
        <v>85</v>
      </c>
      <c r="R165" s="50" t="str">
        <f t="shared" si="7"/>
        <v/>
      </c>
      <c r="U165" s="28">
        <f>IF($C165&lt;&gt;"",COUNTIF($C$2:C165,C165),"")</f>
        <v>2</v>
      </c>
      <c r="V165" s="28" t="str">
        <f t="shared" si="8"/>
        <v>Dr. Öğr. Üyesi Gonca ÖZTEN DERE§2</v>
      </c>
      <c r="W165" s="28" t="str">
        <f>IF(U165=1,COUNTIF($U$2:U165,1),"")</f>
        <v/>
      </c>
    </row>
    <row r="166" spans="1:23" ht="78.75" customHeight="1" x14ac:dyDescent="0.25">
      <c r="A166" s="42" t="s">
        <v>934</v>
      </c>
      <c r="B166" s="42" t="s">
        <v>935</v>
      </c>
      <c r="C166" s="43" t="s">
        <v>243</v>
      </c>
      <c r="D166" s="43" t="s">
        <v>244</v>
      </c>
      <c r="E166" s="44" t="s">
        <v>936</v>
      </c>
      <c r="F166" s="44" t="s">
        <v>937</v>
      </c>
      <c r="G166" s="45" t="s">
        <v>34</v>
      </c>
      <c r="H166" s="47">
        <v>46059</v>
      </c>
      <c r="I166" s="47">
        <v>46070</v>
      </c>
      <c r="J166" s="43" t="s">
        <v>85</v>
      </c>
      <c r="K166" s="43" t="s">
        <v>86</v>
      </c>
      <c r="L166" s="49" t="s">
        <v>96</v>
      </c>
      <c r="M166" s="49" t="s">
        <v>69</v>
      </c>
      <c r="N166" s="49"/>
      <c r="O166" s="48"/>
      <c r="P166" s="49" t="str">
        <f t="shared" si="6"/>
        <v>ONAY</v>
      </c>
      <c r="Q166" s="27" t="s">
        <v>85</v>
      </c>
      <c r="R166" s="50" t="str">
        <f t="shared" si="7"/>
        <v/>
      </c>
      <c r="U166" s="28">
        <f>IF($C166&lt;&gt;"",COUNTIF($C$2:C166,C166),"")</f>
        <v>3</v>
      </c>
      <c r="V166" s="28" t="str">
        <f t="shared" si="8"/>
        <v>Dr. Öğr. Üyesi Gonca ÖZTEN DERE§3</v>
      </c>
      <c r="W166" s="28" t="str">
        <f>IF(U166=1,COUNTIF($U$2:U166,1),"")</f>
        <v/>
      </c>
    </row>
    <row r="167" spans="1:23" ht="63" customHeight="1" x14ac:dyDescent="0.25">
      <c r="A167" s="42" t="s">
        <v>938</v>
      </c>
      <c r="B167" s="42" t="s">
        <v>939</v>
      </c>
      <c r="C167" s="43" t="s">
        <v>421</v>
      </c>
      <c r="D167" s="43" t="s">
        <v>422</v>
      </c>
      <c r="E167" s="44" t="s">
        <v>940</v>
      </c>
      <c r="F167" s="44" t="s">
        <v>941</v>
      </c>
      <c r="G167" s="45" t="s">
        <v>34</v>
      </c>
      <c r="H167" s="47">
        <v>46059</v>
      </c>
      <c r="I167" s="47">
        <v>46070</v>
      </c>
      <c r="J167" s="43" t="s">
        <v>86</v>
      </c>
      <c r="K167" s="43" t="s">
        <v>95</v>
      </c>
      <c r="L167" s="49" t="s">
        <v>96</v>
      </c>
      <c r="M167" s="49"/>
      <c r="N167" s="49"/>
      <c r="O167" s="48"/>
      <c r="P167" s="49" t="str">
        <f t="shared" si="6"/>
        <v>DÜZELTME</v>
      </c>
      <c r="R167" s="50" t="str">
        <f t="shared" si="7"/>
        <v/>
      </c>
      <c r="U167" s="28">
        <f>IF($C167&lt;&gt;"",COUNTIF($C$2:C167,C167),"")</f>
        <v>2</v>
      </c>
      <c r="V167" s="28" t="str">
        <f t="shared" si="8"/>
        <v>Prof. Dr. Mehmet AYVAZ§2</v>
      </c>
      <c r="W167" s="28" t="str">
        <f>IF(U167=1,COUNTIF($U$2:U167,1),"")</f>
        <v/>
      </c>
    </row>
    <row r="168" spans="1:23" ht="63" customHeight="1" x14ac:dyDescent="0.25">
      <c r="A168" s="42" t="s">
        <v>942</v>
      </c>
      <c r="B168" s="42" t="s">
        <v>943</v>
      </c>
      <c r="C168" s="43" t="s">
        <v>421</v>
      </c>
      <c r="D168" s="43" t="s">
        <v>422</v>
      </c>
      <c r="E168" s="44" t="s">
        <v>940</v>
      </c>
      <c r="F168" s="44" t="s">
        <v>944</v>
      </c>
      <c r="G168" s="45" t="s">
        <v>34</v>
      </c>
      <c r="H168" s="47">
        <v>46059</v>
      </c>
      <c r="I168" s="47">
        <v>46070</v>
      </c>
      <c r="J168" s="43" t="s">
        <v>67</v>
      </c>
      <c r="K168" s="43" t="s">
        <v>77</v>
      </c>
      <c r="L168" s="49" t="s">
        <v>96</v>
      </c>
      <c r="M168" s="49"/>
      <c r="N168" s="49"/>
      <c r="O168" s="48"/>
      <c r="P168" s="49" t="str">
        <f t="shared" si="6"/>
        <v>DÜZELTME</v>
      </c>
      <c r="R168" s="50" t="str">
        <f t="shared" si="7"/>
        <v/>
      </c>
      <c r="U168" s="28">
        <f>IF($C168&lt;&gt;"",COUNTIF($C$2:C168,C168),"")</f>
        <v>3</v>
      </c>
      <c r="V168" s="28" t="str">
        <f t="shared" si="8"/>
        <v>Prof. Dr. Mehmet AYVAZ§3</v>
      </c>
      <c r="W168" s="28" t="str">
        <f>IF(U168=1,COUNTIF($U$2:U168,1),"")</f>
        <v/>
      </c>
    </row>
    <row r="169" spans="1:23" ht="78.75" customHeight="1" x14ac:dyDescent="0.25">
      <c r="A169" s="42" t="s">
        <v>945</v>
      </c>
      <c r="B169" s="42" t="s">
        <v>946</v>
      </c>
      <c r="C169" s="43" t="s">
        <v>683</v>
      </c>
      <c r="D169" s="43" t="s">
        <v>395</v>
      </c>
      <c r="E169" s="44" t="s">
        <v>947</v>
      </c>
      <c r="F169" s="44" t="s">
        <v>948</v>
      </c>
      <c r="G169" s="45" t="s">
        <v>34</v>
      </c>
      <c r="H169" s="47">
        <v>46059</v>
      </c>
      <c r="I169" s="47">
        <v>46070</v>
      </c>
      <c r="J169" s="43" t="s">
        <v>104</v>
      </c>
      <c r="K169" s="43" t="s">
        <v>113</v>
      </c>
      <c r="L169" s="49" t="s">
        <v>69</v>
      </c>
      <c r="M169" s="49"/>
      <c r="N169" s="49"/>
      <c r="O169" s="48"/>
      <c r="P169" s="49" t="str">
        <f t="shared" si="6"/>
        <v>ONAY</v>
      </c>
      <c r="R169" s="50" t="str">
        <f t="shared" si="7"/>
        <v/>
      </c>
      <c r="U169" s="28">
        <f>IF($C169&lt;&gt;"",COUNTIF($C$2:C169,C169),"")</f>
        <v>2</v>
      </c>
      <c r="V169" s="28" t="str">
        <f t="shared" si="8"/>
        <v>Prof. Dr. Çağrı Mesut TEMUÇİN§2</v>
      </c>
      <c r="W169" s="28" t="str">
        <f>IF(U169=1,COUNTIF($U$2:U169,1),"")</f>
        <v/>
      </c>
    </row>
    <row r="170" spans="1:23" ht="78.75" customHeight="1" x14ac:dyDescent="0.25">
      <c r="A170" s="42" t="s">
        <v>949</v>
      </c>
      <c r="B170" s="42" t="s">
        <v>950</v>
      </c>
      <c r="C170" s="43" t="s">
        <v>664</v>
      </c>
      <c r="D170" s="43" t="s">
        <v>244</v>
      </c>
      <c r="E170" s="44" t="s">
        <v>951</v>
      </c>
      <c r="F170" s="44" t="s">
        <v>952</v>
      </c>
      <c r="G170" s="45" t="s">
        <v>34</v>
      </c>
      <c r="H170" s="47">
        <v>46059</v>
      </c>
      <c r="I170" s="47">
        <v>46070</v>
      </c>
      <c r="J170" s="43" t="s">
        <v>67</v>
      </c>
      <c r="K170" s="43" t="s">
        <v>94</v>
      </c>
      <c r="L170" s="49" t="s">
        <v>69</v>
      </c>
      <c r="M170" s="49"/>
      <c r="N170" s="49"/>
      <c r="O170" s="48"/>
      <c r="P170" s="49" t="str">
        <f t="shared" si="6"/>
        <v>ONAY</v>
      </c>
      <c r="R170" s="50" t="str">
        <f t="shared" si="7"/>
        <v/>
      </c>
      <c r="U170" s="28">
        <f>IF($C170&lt;&gt;"",COUNTIF($C$2:C170,C170),"")</f>
        <v>2</v>
      </c>
      <c r="V170" s="28" t="str">
        <f t="shared" si="8"/>
        <v>Doç. Dr. Utku AKGÖR§2</v>
      </c>
      <c r="W170" s="28" t="str">
        <f>IF(U170=1,COUNTIF($U$2:U170,1),"")</f>
        <v/>
      </c>
    </row>
    <row r="171" spans="1:23" ht="81.75" customHeight="1" x14ac:dyDescent="0.25">
      <c r="A171" s="42" t="s">
        <v>953</v>
      </c>
      <c r="B171" s="42" t="s">
        <v>954</v>
      </c>
      <c r="C171" s="43" t="s">
        <v>955</v>
      </c>
      <c r="D171" s="43" t="s">
        <v>244</v>
      </c>
      <c r="E171" s="44" t="s">
        <v>956</v>
      </c>
      <c r="F171" s="44" t="s">
        <v>957</v>
      </c>
      <c r="G171" s="45" t="s">
        <v>34</v>
      </c>
      <c r="H171" s="47">
        <v>46059</v>
      </c>
      <c r="I171" s="47">
        <v>46070</v>
      </c>
      <c r="J171" s="43" t="s">
        <v>67</v>
      </c>
      <c r="K171" s="43" t="s">
        <v>94</v>
      </c>
      <c r="L171" s="49" t="s">
        <v>69</v>
      </c>
      <c r="M171" s="49"/>
      <c r="N171" s="49"/>
      <c r="O171" s="48"/>
      <c r="P171" s="49" t="str">
        <f t="shared" si="6"/>
        <v>ONAY</v>
      </c>
      <c r="R171" s="50" t="str">
        <f t="shared" si="7"/>
        <v/>
      </c>
      <c r="U171" s="28">
        <f>IF($C171&lt;&gt;"",COUNTIF($C$2:C171,C171),"")</f>
        <v>1</v>
      </c>
      <c r="V171" s="28" t="str">
        <f t="shared" si="8"/>
        <v>Doç. Dr. Derman BAŞARAN§1</v>
      </c>
      <c r="W171" s="28">
        <f>IF(U171=1,COUNTIF($U$2:U171,1),"")</f>
        <v>121</v>
      </c>
    </row>
    <row r="172" spans="1:23" ht="63" customHeight="1" x14ac:dyDescent="0.25">
      <c r="A172" s="42" t="s">
        <v>958</v>
      </c>
      <c r="B172" s="42" t="s">
        <v>959</v>
      </c>
      <c r="C172" s="43" t="s">
        <v>313</v>
      </c>
      <c r="D172" s="43" t="s">
        <v>237</v>
      </c>
      <c r="E172" s="44" t="s">
        <v>960</v>
      </c>
      <c r="F172" s="44" t="s">
        <v>961</v>
      </c>
      <c r="G172" s="45" t="s">
        <v>34</v>
      </c>
      <c r="H172" s="47">
        <v>46059</v>
      </c>
      <c r="I172" s="47">
        <v>46070</v>
      </c>
      <c r="J172" s="43" t="s">
        <v>68</v>
      </c>
      <c r="K172" s="43" t="s">
        <v>95</v>
      </c>
      <c r="L172" s="49" t="s">
        <v>96</v>
      </c>
      <c r="M172" s="49" t="s">
        <v>69</v>
      </c>
      <c r="N172" s="49"/>
      <c r="O172" s="48"/>
      <c r="P172" s="49" t="str">
        <f t="shared" si="6"/>
        <v>ONAY</v>
      </c>
      <c r="Q172" s="27" t="s">
        <v>68</v>
      </c>
      <c r="R172" s="50" t="str">
        <f t="shared" si="7"/>
        <v/>
      </c>
      <c r="U172" s="28">
        <f>IF($C172&lt;&gt;"",COUNTIF($C$2:C172,C172),"")</f>
        <v>5</v>
      </c>
      <c r="V172" s="28" t="str">
        <f t="shared" si="8"/>
        <v>Prof. Dr. Yasemin ÖZSÜREKCİ§5</v>
      </c>
      <c r="W172" s="28" t="str">
        <f>IF(U172=1,COUNTIF($U$2:U172,1),"")</f>
        <v/>
      </c>
    </row>
    <row r="173" spans="1:23" ht="78.75" customHeight="1" x14ac:dyDescent="0.25">
      <c r="A173" s="42" t="s">
        <v>962</v>
      </c>
      <c r="B173" s="42" t="s">
        <v>963</v>
      </c>
      <c r="C173" s="43" t="s">
        <v>555</v>
      </c>
      <c r="D173" s="43" t="s">
        <v>110</v>
      </c>
      <c r="E173" s="44" t="s">
        <v>964</v>
      </c>
      <c r="F173" s="44" t="s">
        <v>965</v>
      </c>
      <c r="G173" s="45" t="s">
        <v>34</v>
      </c>
      <c r="H173" s="47">
        <v>46059</v>
      </c>
      <c r="I173" s="47">
        <v>46070</v>
      </c>
      <c r="J173" s="43" t="s">
        <v>113</v>
      </c>
      <c r="K173" s="43" t="s">
        <v>128</v>
      </c>
      <c r="L173" s="49" t="s">
        <v>96</v>
      </c>
      <c r="M173" s="49" t="s">
        <v>69</v>
      </c>
      <c r="N173" s="49"/>
      <c r="O173" s="48"/>
      <c r="P173" s="49" t="str">
        <f t="shared" si="6"/>
        <v>ONAY</v>
      </c>
      <c r="Q173" s="27" t="s">
        <v>113</v>
      </c>
      <c r="R173" s="50" t="str">
        <f t="shared" si="7"/>
        <v/>
      </c>
      <c r="U173" s="28">
        <f>IF($C173&lt;&gt;"",COUNTIF($C$2:C173,C173),"")</f>
        <v>3</v>
      </c>
      <c r="V173" s="28" t="str">
        <f t="shared" si="8"/>
        <v>Doç. Dr. Mert EŞME§3</v>
      </c>
      <c r="W173" s="28" t="str">
        <f>IF(U173=1,COUNTIF($U$2:U173,1),"")</f>
        <v/>
      </c>
    </row>
    <row r="174" spans="1:23" ht="80.25" customHeight="1" x14ac:dyDescent="0.25">
      <c r="A174" s="42" t="s">
        <v>966</v>
      </c>
      <c r="B174" s="42" t="s">
        <v>967</v>
      </c>
      <c r="C174" s="43" t="s">
        <v>968</v>
      </c>
      <c r="D174" s="43" t="s">
        <v>372</v>
      </c>
      <c r="E174" s="44" t="s">
        <v>969</v>
      </c>
      <c r="F174" s="44" t="s">
        <v>970</v>
      </c>
      <c r="G174" s="45" t="s">
        <v>34</v>
      </c>
      <c r="H174" s="47">
        <v>46059</v>
      </c>
      <c r="I174" s="47">
        <v>46070</v>
      </c>
      <c r="J174" s="43" t="s">
        <v>67</v>
      </c>
      <c r="K174" s="43" t="s">
        <v>121</v>
      </c>
      <c r="L174" s="49" t="s">
        <v>69</v>
      </c>
      <c r="M174" s="49"/>
      <c r="N174" s="49"/>
      <c r="O174" s="48"/>
      <c r="P174" s="49" t="str">
        <f t="shared" si="6"/>
        <v>ONAY</v>
      </c>
      <c r="R174" s="50" t="str">
        <f t="shared" si="7"/>
        <v/>
      </c>
      <c r="U174" s="28">
        <f>IF($C174&lt;&gt;"",COUNTIF($C$2:C174,C174),"")</f>
        <v>1</v>
      </c>
      <c r="V174" s="28" t="str">
        <f t="shared" si="8"/>
        <v>Doç. Dr. Duygu GÜLSEREN§1</v>
      </c>
      <c r="W174" s="28">
        <f>IF(U174=1,COUNTIF($U$2:U174,1),"")</f>
        <v>122</v>
      </c>
    </row>
    <row r="175" spans="1:23" ht="94.5" customHeight="1" x14ac:dyDescent="0.25">
      <c r="A175" s="42" t="s">
        <v>971</v>
      </c>
      <c r="B175" s="42" t="s">
        <v>972</v>
      </c>
      <c r="C175" s="43" t="s">
        <v>973</v>
      </c>
      <c r="D175" s="43" t="s">
        <v>422</v>
      </c>
      <c r="E175" s="44" t="s">
        <v>974</v>
      </c>
      <c r="F175" s="44" t="s">
        <v>975</v>
      </c>
      <c r="G175" s="45" t="s">
        <v>36</v>
      </c>
      <c r="H175" s="47">
        <v>46062</v>
      </c>
      <c r="I175" s="47">
        <v>46070</v>
      </c>
      <c r="J175" s="43" t="s">
        <v>67</v>
      </c>
      <c r="K175" s="43" t="s">
        <v>77</v>
      </c>
      <c r="L175" s="49" t="s">
        <v>96</v>
      </c>
      <c r="M175" s="49" t="s">
        <v>69</v>
      </c>
      <c r="N175" s="49"/>
      <c r="O175" s="48"/>
      <c r="P175" s="49" t="str">
        <f t="shared" si="6"/>
        <v>ONAY</v>
      </c>
      <c r="Q175" s="27" t="s">
        <v>67</v>
      </c>
      <c r="R175" s="50" t="str">
        <f t="shared" si="7"/>
        <v/>
      </c>
      <c r="U175" s="28">
        <f>IF($C175&lt;&gt;"",COUNTIF($C$2:C175,C175),"")</f>
        <v>1</v>
      </c>
      <c r="V175" s="28" t="str">
        <f t="shared" si="8"/>
        <v>Prof. Dr. Egemen TURHAN§1</v>
      </c>
      <c r="W175" s="28">
        <f>IF(U175=1,COUNTIF($U$2:U175,1),"")</f>
        <v>123</v>
      </c>
    </row>
    <row r="176" spans="1:23" ht="95.25" customHeight="1" x14ac:dyDescent="0.25">
      <c r="A176" s="42" t="s">
        <v>976</v>
      </c>
      <c r="B176" s="42" t="s">
        <v>977</v>
      </c>
      <c r="C176" s="43" t="s">
        <v>978</v>
      </c>
      <c r="D176" s="43" t="s">
        <v>175</v>
      </c>
      <c r="E176" s="44" t="s">
        <v>979</v>
      </c>
      <c r="F176" s="44" t="s">
        <v>980</v>
      </c>
      <c r="G176" s="45" t="s">
        <v>35</v>
      </c>
      <c r="H176" s="47">
        <v>46062</v>
      </c>
      <c r="I176" s="47">
        <v>46070</v>
      </c>
      <c r="J176" s="43" t="s">
        <v>67</v>
      </c>
      <c r="K176" s="43" t="s">
        <v>104</v>
      </c>
      <c r="L176" s="49" t="s">
        <v>96</v>
      </c>
      <c r="M176" s="49" t="s">
        <v>69</v>
      </c>
      <c r="N176" s="49"/>
      <c r="O176" s="48"/>
      <c r="P176" s="49" t="str">
        <f t="shared" si="6"/>
        <v>ONAY</v>
      </c>
      <c r="Q176" s="27" t="s">
        <v>67</v>
      </c>
      <c r="R176" s="50" t="str">
        <f t="shared" si="7"/>
        <v/>
      </c>
      <c r="U176" s="28">
        <f>IF($C176&lt;&gt;"",COUNTIF($C$2:C176,C176),"")</f>
        <v>1</v>
      </c>
      <c r="V176" s="28" t="str">
        <f t="shared" si="8"/>
        <v>Prof. Dr. Sevinç SARINÇ§1</v>
      </c>
      <c r="W176" s="28">
        <f>IF(U176=1,COUNTIF($U$2:U176,1),"")</f>
        <v>124</v>
      </c>
    </row>
    <row r="177" spans="1:23" ht="94.5" customHeight="1" x14ac:dyDescent="0.25">
      <c r="A177" s="42" t="s">
        <v>981</v>
      </c>
      <c r="B177" s="42" t="s">
        <v>982</v>
      </c>
      <c r="C177" s="43" t="s">
        <v>983</v>
      </c>
      <c r="D177" s="43" t="s">
        <v>435</v>
      </c>
      <c r="E177" s="44" t="s">
        <v>984</v>
      </c>
      <c r="F177" s="44" t="s">
        <v>985</v>
      </c>
      <c r="G177" s="45" t="s">
        <v>34</v>
      </c>
      <c r="H177" s="47">
        <v>46062</v>
      </c>
      <c r="I177" s="47">
        <v>46070</v>
      </c>
      <c r="J177" s="43" t="s">
        <v>128</v>
      </c>
      <c r="K177" s="43" t="s">
        <v>104</v>
      </c>
      <c r="L177" s="49" t="s">
        <v>69</v>
      </c>
      <c r="M177" s="49"/>
      <c r="N177" s="49"/>
      <c r="O177" s="48"/>
      <c r="P177" s="49" t="str">
        <f t="shared" si="6"/>
        <v>ONAY</v>
      </c>
      <c r="R177" s="50" t="str">
        <f t="shared" si="7"/>
        <v/>
      </c>
      <c r="U177" s="28">
        <f>IF($C177&lt;&gt;"",COUNTIF($C$2:C177,C177),"")</f>
        <v>1</v>
      </c>
      <c r="V177" s="28" t="str">
        <f t="shared" si="8"/>
        <v>Prof. Dr. Serdar TEKGÜL§1</v>
      </c>
      <c r="W177" s="28">
        <f>IF(U177=1,COUNTIF($U$2:U177,1),"")</f>
        <v>125</v>
      </c>
    </row>
    <row r="178" spans="1:23" ht="63" customHeight="1" x14ac:dyDescent="0.25">
      <c r="A178" s="42" t="s">
        <v>986</v>
      </c>
      <c r="B178" s="42" t="s">
        <v>987</v>
      </c>
      <c r="C178" s="43" t="s">
        <v>988</v>
      </c>
      <c r="D178" s="43" t="s">
        <v>435</v>
      </c>
      <c r="E178" s="44" t="s">
        <v>989</v>
      </c>
      <c r="F178" s="44" t="s">
        <v>990</v>
      </c>
      <c r="G178" s="45" t="s">
        <v>34</v>
      </c>
      <c r="H178" s="47">
        <v>46062</v>
      </c>
      <c r="I178" s="47">
        <v>46070</v>
      </c>
      <c r="J178" s="43" t="s">
        <v>68</v>
      </c>
      <c r="K178" s="43" t="s">
        <v>95</v>
      </c>
      <c r="L178" s="49" t="s">
        <v>69</v>
      </c>
      <c r="M178" s="49"/>
      <c r="N178" s="49"/>
      <c r="O178" s="48"/>
      <c r="P178" s="49" t="str">
        <f t="shared" si="6"/>
        <v>ONAY</v>
      </c>
      <c r="R178" s="50" t="str">
        <f t="shared" si="7"/>
        <v/>
      </c>
      <c r="U178" s="28">
        <f>IF($C178&lt;&gt;"",COUNTIF($C$2:C178,C178),"")</f>
        <v>1</v>
      </c>
      <c r="V178" s="28" t="str">
        <f t="shared" si="8"/>
        <v>Doç. Dr. Mesut ALTAN§1</v>
      </c>
      <c r="W178" s="28">
        <f>IF(U178=1,COUNTIF($U$2:U178,1),"")</f>
        <v>126</v>
      </c>
    </row>
    <row r="179" spans="1:23" ht="63" customHeight="1" x14ac:dyDescent="0.25">
      <c r="A179" s="42" t="s">
        <v>991</v>
      </c>
      <c r="B179" s="42" t="s">
        <v>992</v>
      </c>
      <c r="C179" s="43" t="s">
        <v>988</v>
      </c>
      <c r="D179" s="43" t="s">
        <v>435</v>
      </c>
      <c r="E179" s="44" t="s">
        <v>989</v>
      </c>
      <c r="F179" s="44" t="s">
        <v>993</v>
      </c>
      <c r="G179" s="45" t="s">
        <v>34</v>
      </c>
      <c r="H179" s="47">
        <v>46062</v>
      </c>
      <c r="I179" s="47">
        <v>46070</v>
      </c>
      <c r="J179" s="43" t="s">
        <v>68</v>
      </c>
      <c r="K179" s="43" t="s">
        <v>95</v>
      </c>
      <c r="L179" s="49" t="s">
        <v>69</v>
      </c>
      <c r="M179" s="49"/>
      <c r="N179" s="49"/>
      <c r="O179" s="48"/>
      <c r="P179" s="49" t="str">
        <f t="shared" si="6"/>
        <v>ONAY</v>
      </c>
      <c r="R179" s="50" t="str">
        <f t="shared" si="7"/>
        <v/>
      </c>
      <c r="U179" s="28">
        <f>IF($C179&lt;&gt;"",COUNTIF($C$2:C179,C179),"")</f>
        <v>2</v>
      </c>
      <c r="V179" s="28" t="str">
        <f t="shared" si="8"/>
        <v>Doç. Dr. Mesut ALTAN§2</v>
      </c>
      <c r="W179" s="28" t="str">
        <f>IF(U179=1,COUNTIF($U$2:U179,1),"")</f>
        <v/>
      </c>
    </row>
    <row r="180" spans="1:23" ht="63" customHeight="1" x14ac:dyDescent="0.25">
      <c r="A180" s="42" t="s">
        <v>994</v>
      </c>
      <c r="B180" s="42" t="s">
        <v>995</v>
      </c>
      <c r="C180" s="43" t="s">
        <v>996</v>
      </c>
      <c r="D180" s="43" t="s">
        <v>997</v>
      </c>
      <c r="E180" s="44" t="s">
        <v>998</v>
      </c>
      <c r="F180" s="44" t="s">
        <v>999</v>
      </c>
      <c r="G180" s="45" t="s">
        <v>34</v>
      </c>
      <c r="H180" s="47">
        <v>46062</v>
      </c>
      <c r="I180" s="47">
        <v>46070</v>
      </c>
      <c r="J180" s="43" t="s">
        <v>94</v>
      </c>
      <c r="K180" s="43" t="s">
        <v>113</v>
      </c>
      <c r="L180" s="49" t="s">
        <v>96</v>
      </c>
      <c r="M180" s="49" t="s">
        <v>69</v>
      </c>
      <c r="N180" s="49"/>
      <c r="O180" s="48"/>
      <c r="P180" s="49" t="str">
        <f t="shared" si="6"/>
        <v>ONAY</v>
      </c>
      <c r="Q180" s="27" t="s">
        <v>94</v>
      </c>
      <c r="R180" s="50" t="str">
        <f t="shared" si="7"/>
        <v/>
      </c>
      <c r="U180" s="28">
        <f>IF($C180&lt;&gt;"",COUNTIF($C$2:C180,C180),"")</f>
        <v>1</v>
      </c>
      <c r="V180" s="28" t="str">
        <f t="shared" si="8"/>
        <v>Doç. Dr. İzzet FİDANCI§1</v>
      </c>
      <c r="W180" s="28">
        <f>IF(U180=1,COUNTIF($U$2:U180,1),"")</f>
        <v>127</v>
      </c>
    </row>
    <row r="181" spans="1:23" ht="63" customHeight="1" x14ac:dyDescent="0.25">
      <c r="A181" s="42" t="s">
        <v>1000</v>
      </c>
      <c r="B181" s="42" t="s">
        <v>1001</v>
      </c>
      <c r="C181" s="43" t="s">
        <v>262</v>
      </c>
      <c r="D181" s="43" t="s">
        <v>110</v>
      </c>
      <c r="E181" s="44" t="s">
        <v>1002</v>
      </c>
      <c r="F181" s="44" t="s">
        <v>1003</v>
      </c>
      <c r="G181" s="45" t="s">
        <v>35</v>
      </c>
      <c r="H181" s="47">
        <v>46062</v>
      </c>
      <c r="I181" s="47">
        <v>46070</v>
      </c>
      <c r="J181" s="43" t="s">
        <v>67</v>
      </c>
      <c r="K181" s="43" t="s">
        <v>121</v>
      </c>
      <c r="L181" s="49" t="s">
        <v>96</v>
      </c>
      <c r="M181" s="49" t="s">
        <v>69</v>
      </c>
      <c r="N181" s="49"/>
      <c r="O181" s="48"/>
      <c r="P181" s="49" t="str">
        <f t="shared" si="6"/>
        <v>ONAY</v>
      </c>
      <c r="Q181" s="27" t="s">
        <v>67</v>
      </c>
      <c r="R181" s="50" t="str">
        <f t="shared" si="7"/>
        <v/>
      </c>
      <c r="U181" s="28">
        <f>IF($C181&lt;&gt;"",COUNTIF($C$2:C181,C181),"")</f>
        <v>2</v>
      </c>
      <c r="V181" s="28" t="str">
        <f t="shared" si="8"/>
        <v>Doç. Dr. Levent KILIÇ§2</v>
      </c>
      <c r="W181" s="28" t="str">
        <f>IF(U181=1,COUNTIF($U$2:U181,1),"")</f>
        <v/>
      </c>
    </row>
    <row r="182" spans="1:23" ht="94.5" customHeight="1" x14ac:dyDescent="0.25">
      <c r="A182" s="42" t="s">
        <v>1004</v>
      </c>
      <c r="B182" s="42" t="s">
        <v>1005</v>
      </c>
      <c r="C182" s="43" t="s">
        <v>1006</v>
      </c>
      <c r="D182" s="43" t="s">
        <v>729</v>
      </c>
      <c r="E182" s="44" t="s">
        <v>1007</v>
      </c>
      <c r="F182" s="44" t="s">
        <v>1008</v>
      </c>
      <c r="G182" s="45" t="s">
        <v>36</v>
      </c>
      <c r="H182" s="47">
        <v>46063</v>
      </c>
      <c r="I182" s="47">
        <v>46070</v>
      </c>
      <c r="J182" s="43" t="s">
        <v>67</v>
      </c>
      <c r="K182" s="43" t="s">
        <v>94</v>
      </c>
      <c r="L182" s="49" t="s">
        <v>96</v>
      </c>
      <c r="M182" s="49" t="s">
        <v>69</v>
      </c>
      <c r="N182" s="49"/>
      <c r="O182" s="48"/>
      <c r="P182" s="49" t="str">
        <f t="shared" si="6"/>
        <v>ONAY</v>
      </c>
      <c r="Q182" s="27" t="s">
        <v>67</v>
      </c>
      <c r="R182" s="50" t="str">
        <f t="shared" si="7"/>
        <v/>
      </c>
      <c r="U182" s="28">
        <f>IF($C182&lt;&gt;"",COUNTIF($C$2:C182,C182),"")</f>
        <v>1</v>
      </c>
      <c r="V182" s="28" t="str">
        <f t="shared" si="8"/>
        <v>Doç. Dr. Basri GÜLBAKAN§1</v>
      </c>
      <c r="W182" s="28">
        <f>IF(U182=1,COUNTIF($U$2:U182,1),"")</f>
        <v>128</v>
      </c>
    </row>
    <row r="183" spans="1:23" ht="63" customHeight="1" x14ac:dyDescent="0.25">
      <c r="A183" s="42" t="s">
        <v>1009</v>
      </c>
      <c r="B183" s="42" t="s">
        <v>1010</v>
      </c>
      <c r="C183" s="43" t="s">
        <v>1011</v>
      </c>
      <c r="D183" s="43" t="s">
        <v>570</v>
      </c>
      <c r="E183" s="44" t="s">
        <v>1012</v>
      </c>
      <c r="F183" s="44" t="s">
        <v>1013</v>
      </c>
      <c r="G183" s="45" t="s">
        <v>34</v>
      </c>
      <c r="H183" s="47">
        <v>46063</v>
      </c>
      <c r="I183" s="47">
        <v>46070</v>
      </c>
      <c r="J183" s="43" t="s">
        <v>85</v>
      </c>
      <c r="K183" s="43" t="s">
        <v>121</v>
      </c>
      <c r="L183" s="49" t="s">
        <v>69</v>
      </c>
      <c r="M183" s="49"/>
      <c r="N183" s="49"/>
      <c r="O183" s="48"/>
      <c r="P183" s="49" t="str">
        <f t="shared" si="6"/>
        <v>ONAY</v>
      </c>
      <c r="R183" s="50" t="str">
        <f t="shared" si="7"/>
        <v/>
      </c>
      <c r="U183" s="28">
        <f>IF($C183&lt;&gt;"",COUNTIF($C$2:C183,C183),"")</f>
        <v>1</v>
      </c>
      <c r="V183" s="28" t="str">
        <f t="shared" si="8"/>
        <v>Dr. Öğr. Üyesi Merva PARLAK§1</v>
      </c>
      <c r="W183" s="28">
        <f>IF(U183=1,COUNTIF($U$2:U183,1),"")</f>
        <v>129</v>
      </c>
    </row>
    <row r="184" spans="1:23" ht="63" customHeight="1" x14ac:dyDescent="0.25">
      <c r="A184" s="42" t="s">
        <v>1014</v>
      </c>
      <c r="B184" s="42" t="s">
        <v>1015</v>
      </c>
      <c r="C184" s="43" t="s">
        <v>1016</v>
      </c>
      <c r="D184" s="43" t="s">
        <v>445</v>
      </c>
      <c r="E184" s="44" t="s">
        <v>1017</v>
      </c>
      <c r="F184" s="44" t="s">
        <v>1018</v>
      </c>
      <c r="G184" s="45" t="s">
        <v>35</v>
      </c>
      <c r="H184" s="47">
        <v>46063</v>
      </c>
      <c r="I184" s="47">
        <v>46070</v>
      </c>
      <c r="J184" s="43" t="s">
        <v>121</v>
      </c>
      <c r="K184" s="43" t="s">
        <v>77</v>
      </c>
      <c r="L184" s="49" t="s">
        <v>218</v>
      </c>
      <c r="M184" s="49" t="s">
        <v>96</v>
      </c>
      <c r="N184" s="49" t="s">
        <v>69</v>
      </c>
      <c r="O184" s="48"/>
      <c r="P184" s="49" t="str">
        <f t="shared" si="6"/>
        <v>ONAY</v>
      </c>
      <c r="Q184" s="27" t="s">
        <v>85</v>
      </c>
      <c r="R184" s="50" t="str">
        <f t="shared" si="7"/>
        <v/>
      </c>
      <c r="U184" s="28">
        <f>IF($C184&lt;&gt;"",COUNTIF($C$2:C184,C184),"")</f>
        <v>1</v>
      </c>
      <c r="V184" s="28" t="str">
        <f t="shared" si="8"/>
        <v>Prof. Dr. Mustafa Barış GÜNCÜ§1</v>
      </c>
      <c r="W184" s="28">
        <f>IF(U184=1,COUNTIF($U$2:U184,1),"")</f>
        <v>130</v>
      </c>
    </row>
    <row r="185" spans="1:23" ht="78.75" customHeight="1" x14ac:dyDescent="0.25">
      <c r="A185" s="42" t="s">
        <v>1019</v>
      </c>
      <c r="B185" s="42" t="s">
        <v>1020</v>
      </c>
      <c r="C185" s="43" t="s">
        <v>1021</v>
      </c>
      <c r="D185" s="43" t="s">
        <v>1022</v>
      </c>
      <c r="E185" s="44" t="s">
        <v>1023</v>
      </c>
      <c r="F185" s="44" t="s">
        <v>1024</v>
      </c>
      <c r="G185" s="45" t="s">
        <v>34</v>
      </c>
      <c r="H185" s="47">
        <v>46064</v>
      </c>
      <c r="I185" s="47">
        <v>46070</v>
      </c>
      <c r="J185" s="43" t="s">
        <v>121</v>
      </c>
      <c r="K185" s="43" t="s">
        <v>113</v>
      </c>
      <c r="L185" s="49" t="s">
        <v>69</v>
      </c>
      <c r="M185" s="49"/>
      <c r="N185" s="49"/>
      <c r="O185" s="48"/>
      <c r="P185" s="49" t="str">
        <f t="shared" si="6"/>
        <v>ONAY</v>
      </c>
      <c r="R185" s="50" t="str">
        <f t="shared" si="7"/>
        <v/>
      </c>
      <c r="U185" s="28">
        <f>IF($C185&lt;&gt;"",COUNTIF($C$2:C185,C185),"")</f>
        <v>1</v>
      </c>
      <c r="V185" s="28" t="str">
        <f t="shared" si="8"/>
        <v>Dr. Öğr. Üyesi Aybüke USLU TEKCE§1</v>
      </c>
      <c r="W185" s="28">
        <f>IF(U185=1,COUNTIF($U$2:U185,1),"")</f>
        <v>131</v>
      </c>
    </row>
    <row r="186" spans="1:23" ht="78.75" customHeight="1" x14ac:dyDescent="0.25">
      <c r="A186" s="42" t="s">
        <v>1025</v>
      </c>
      <c r="B186" s="42" t="s">
        <v>1026</v>
      </c>
      <c r="C186" s="43" t="s">
        <v>81</v>
      </c>
      <c r="D186" s="43" t="s">
        <v>82</v>
      </c>
      <c r="E186" s="44" t="s">
        <v>1027</v>
      </c>
      <c r="F186" s="44" t="s">
        <v>1028</v>
      </c>
      <c r="G186" s="45" t="s">
        <v>35</v>
      </c>
      <c r="H186" s="47">
        <v>46064</v>
      </c>
      <c r="I186" s="47">
        <v>46070</v>
      </c>
      <c r="J186" s="43" t="s">
        <v>128</v>
      </c>
      <c r="K186" s="43" t="s">
        <v>86</v>
      </c>
      <c r="L186" s="49" t="s">
        <v>69</v>
      </c>
      <c r="M186" s="49"/>
      <c r="N186" s="49"/>
      <c r="O186" s="48"/>
      <c r="P186" s="49" t="str">
        <f t="shared" si="6"/>
        <v>ONAY</v>
      </c>
      <c r="R186" s="50" t="str">
        <f t="shared" si="7"/>
        <v/>
      </c>
      <c r="U186" s="28">
        <f>IF($C186&lt;&gt;"",COUNTIF($C$2:C186,C186),"")</f>
        <v>3</v>
      </c>
      <c r="V186" s="28" t="str">
        <f t="shared" si="8"/>
        <v>Doç. Dr. Gamze DURHAN§3</v>
      </c>
      <c r="W186" s="28" t="str">
        <f>IF(U186=1,COUNTIF($U$2:U186,1),"")</f>
        <v/>
      </c>
    </row>
    <row r="187" spans="1:23" ht="96" customHeight="1" x14ac:dyDescent="0.25">
      <c r="A187" s="42" t="s">
        <v>1029</v>
      </c>
      <c r="B187" s="42" t="s">
        <v>1030</v>
      </c>
      <c r="C187" s="43" t="s">
        <v>243</v>
      </c>
      <c r="D187" s="43" t="s">
        <v>244</v>
      </c>
      <c r="E187" s="44" t="s">
        <v>1031</v>
      </c>
      <c r="F187" s="44" t="s">
        <v>1032</v>
      </c>
      <c r="G187" s="45" t="s">
        <v>34</v>
      </c>
      <c r="H187" s="47">
        <v>46064</v>
      </c>
      <c r="I187" s="47">
        <v>46070</v>
      </c>
      <c r="J187" s="43" t="s">
        <v>94</v>
      </c>
      <c r="K187" s="43" t="s">
        <v>128</v>
      </c>
      <c r="L187" s="49" t="s">
        <v>178</v>
      </c>
      <c r="M187" s="49"/>
      <c r="N187" s="49"/>
      <c r="O187" s="48"/>
      <c r="P187" s="49" t="str">
        <f t="shared" si="6"/>
        <v>RET</v>
      </c>
      <c r="R187" s="50" t="str">
        <f t="shared" si="7"/>
        <v/>
      </c>
      <c r="U187" s="28">
        <f>IF($C187&lt;&gt;"",COUNTIF($C$2:C187,C187),"")</f>
        <v>4</v>
      </c>
      <c r="V187" s="28" t="str">
        <f t="shared" si="8"/>
        <v>Dr. Öğr. Üyesi Gonca ÖZTEN DERE§4</v>
      </c>
      <c r="W187" s="28" t="str">
        <f>IF(U187=1,COUNTIF($U$2:U187,1),"")</f>
        <v/>
      </c>
    </row>
    <row r="188" spans="1:23" ht="63" customHeight="1" x14ac:dyDescent="0.25">
      <c r="A188" s="42" t="s">
        <v>1033</v>
      </c>
      <c r="B188" s="42" t="s">
        <v>1034</v>
      </c>
      <c r="C188" s="43" t="s">
        <v>1035</v>
      </c>
      <c r="D188" s="43" t="s">
        <v>320</v>
      </c>
      <c r="E188" s="44" t="s">
        <v>1036</v>
      </c>
      <c r="F188" s="44" t="s">
        <v>1037</v>
      </c>
      <c r="G188" s="45" t="s">
        <v>34</v>
      </c>
      <c r="H188" s="47">
        <v>46064</v>
      </c>
      <c r="I188" s="47">
        <v>46070</v>
      </c>
      <c r="J188" s="43" t="s">
        <v>85</v>
      </c>
      <c r="K188" s="43" t="s">
        <v>77</v>
      </c>
      <c r="L188" s="49" t="s">
        <v>178</v>
      </c>
      <c r="M188" s="49"/>
      <c r="N188" s="49"/>
      <c r="O188" s="48"/>
      <c r="P188" s="49" t="str">
        <f t="shared" si="6"/>
        <v>RET</v>
      </c>
      <c r="R188" s="50" t="str">
        <f t="shared" si="7"/>
        <v/>
      </c>
      <c r="U188" s="28">
        <f>IF($C188&lt;&gt;"",COUNTIF($C$2:C188,C188),"")</f>
        <v>1</v>
      </c>
      <c r="V188" s="28" t="str">
        <f t="shared" si="8"/>
        <v>Dr. Öğr. Üyesi Muhammed Çağrı KÜLEKCİ§1</v>
      </c>
      <c r="W188" s="28">
        <f>IF(U188=1,COUNTIF($U$2:U188,1),"")</f>
        <v>132</v>
      </c>
    </row>
    <row r="189" spans="1:23" ht="110.25" customHeight="1" x14ac:dyDescent="0.25">
      <c r="A189" s="42" t="s">
        <v>1038</v>
      </c>
      <c r="B189" s="42" t="s">
        <v>1039</v>
      </c>
      <c r="C189" s="43" t="s">
        <v>1040</v>
      </c>
      <c r="D189" s="43" t="s">
        <v>237</v>
      </c>
      <c r="E189" s="44" t="s">
        <v>1041</v>
      </c>
      <c r="F189" s="44" t="s">
        <v>1042</v>
      </c>
      <c r="G189" s="45" t="s">
        <v>35</v>
      </c>
      <c r="H189" s="47">
        <v>46064</v>
      </c>
      <c r="I189" s="47">
        <v>46070</v>
      </c>
      <c r="J189" s="43" t="s">
        <v>104</v>
      </c>
      <c r="K189" s="43" t="s">
        <v>113</v>
      </c>
      <c r="L189" s="49" t="s">
        <v>96</v>
      </c>
      <c r="M189" s="49" t="s">
        <v>69</v>
      </c>
      <c r="N189" s="49"/>
      <c r="O189" s="48"/>
      <c r="P189" s="49" t="str">
        <f t="shared" si="6"/>
        <v>ONAY</v>
      </c>
      <c r="Q189" s="27" t="s">
        <v>104</v>
      </c>
      <c r="R189" s="50" t="str">
        <f t="shared" si="7"/>
        <v/>
      </c>
      <c r="U189" s="28">
        <f>IF($C189&lt;&gt;"",COUNTIF($C$2:C189,C189),"")</f>
        <v>1</v>
      </c>
      <c r="V189" s="28" t="str">
        <f t="shared" si="8"/>
        <v>Doç.Dr. Tekin AKSU§1</v>
      </c>
      <c r="W189" s="28">
        <f>IF(U189=1,COUNTIF($U$2:U189,1),"")</f>
        <v>133</v>
      </c>
    </row>
    <row r="190" spans="1:23" ht="94.5" customHeight="1" x14ac:dyDescent="0.25">
      <c r="A190" s="42" t="s">
        <v>1043</v>
      </c>
      <c r="B190" s="42" t="s">
        <v>1044</v>
      </c>
      <c r="C190" s="43" t="s">
        <v>1045</v>
      </c>
      <c r="D190" s="43" t="s">
        <v>295</v>
      </c>
      <c r="E190" s="44" t="s">
        <v>1046</v>
      </c>
      <c r="F190" s="44" t="s">
        <v>1047</v>
      </c>
      <c r="G190" s="45" t="s">
        <v>34</v>
      </c>
      <c r="H190" s="47">
        <v>46064</v>
      </c>
      <c r="I190" s="47">
        <v>46070</v>
      </c>
      <c r="J190" s="43" t="s">
        <v>86</v>
      </c>
      <c r="K190" s="43" t="s">
        <v>68</v>
      </c>
      <c r="L190" s="49" t="s">
        <v>69</v>
      </c>
      <c r="M190" s="49"/>
      <c r="N190" s="49"/>
      <c r="O190" s="48"/>
      <c r="P190" s="49" t="str">
        <f t="shared" si="6"/>
        <v>ONAY</v>
      </c>
      <c r="R190" s="50" t="str">
        <f t="shared" si="7"/>
        <v/>
      </c>
      <c r="U190" s="28">
        <f>IF($C190&lt;&gt;"",COUNTIF($C$2:C190,C190),"")</f>
        <v>1</v>
      </c>
      <c r="V190" s="28" t="str">
        <f t="shared" si="8"/>
        <v>Öğr. Gör. Dr. Helin YÜCEDAĞ GÜNDOĞDU§1</v>
      </c>
      <c r="W190" s="28">
        <f>IF(U190=1,COUNTIF($U$2:U190,1),"")</f>
        <v>134</v>
      </c>
    </row>
    <row r="191" spans="1:23" ht="63" customHeight="1" x14ac:dyDescent="0.25">
      <c r="A191" s="42" t="s">
        <v>1048</v>
      </c>
      <c r="B191" s="42" t="s">
        <v>1049</v>
      </c>
      <c r="C191" s="43" t="s">
        <v>1050</v>
      </c>
      <c r="D191" s="43" t="s">
        <v>356</v>
      </c>
      <c r="E191" s="44" t="s">
        <v>1051</v>
      </c>
      <c r="F191" s="44" t="s">
        <v>1052</v>
      </c>
      <c r="G191" s="45" t="s">
        <v>34</v>
      </c>
      <c r="H191" s="47">
        <v>46064</v>
      </c>
      <c r="I191" s="47">
        <v>46070</v>
      </c>
      <c r="J191" s="43" t="s">
        <v>95</v>
      </c>
      <c r="K191" s="43" t="s">
        <v>67</v>
      </c>
      <c r="L191" s="49" t="s">
        <v>69</v>
      </c>
      <c r="M191" s="49"/>
      <c r="N191" s="49"/>
      <c r="O191" s="48"/>
      <c r="P191" s="49" t="str">
        <f t="shared" si="6"/>
        <v>ONAY</v>
      </c>
      <c r="R191" s="50" t="str">
        <f t="shared" si="7"/>
        <v/>
      </c>
      <c r="U191" s="28">
        <f>IF($C191&lt;&gt;"",COUNTIF($C$2:C191,C191),"")</f>
        <v>1</v>
      </c>
      <c r="V191" s="28" t="str">
        <f t="shared" si="8"/>
        <v>Dr. Öğr. Üyesi Özge YAVUZ SARI§1</v>
      </c>
      <c r="W191" s="28">
        <f>IF(U191=1,COUNTIF($U$2:U191,1),"")</f>
        <v>135</v>
      </c>
    </row>
    <row r="192" spans="1:23" ht="78.75" customHeight="1" x14ac:dyDescent="0.25">
      <c r="A192" s="42" t="s">
        <v>1053</v>
      </c>
      <c r="B192" s="42" t="s">
        <v>1054</v>
      </c>
      <c r="C192" s="43" t="s">
        <v>68</v>
      </c>
      <c r="D192" s="43" t="s">
        <v>237</v>
      </c>
      <c r="E192" s="44" t="s">
        <v>1055</v>
      </c>
      <c r="F192" s="44" t="s">
        <v>1056</v>
      </c>
      <c r="G192" s="45" t="s">
        <v>34</v>
      </c>
      <c r="H192" s="47">
        <v>46071</v>
      </c>
      <c r="I192" s="47">
        <v>46084</v>
      </c>
      <c r="J192" s="43" t="s">
        <v>105</v>
      </c>
      <c r="K192" s="43" t="s">
        <v>113</v>
      </c>
      <c r="L192" s="49" t="s">
        <v>96</v>
      </c>
      <c r="M192" s="49" t="s">
        <v>69</v>
      </c>
      <c r="N192" s="49"/>
      <c r="O192" s="48"/>
      <c r="P192" s="49" t="str">
        <f t="shared" si="6"/>
        <v>ONAY</v>
      </c>
      <c r="Q192" s="27" t="s">
        <v>113</v>
      </c>
      <c r="R192" s="50" t="str">
        <f t="shared" si="7"/>
        <v/>
      </c>
      <c r="U192" s="28">
        <f>IF($C192&lt;&gt;"",COUNTIF($C$2:C192,C192),"")</f>
        <v>2</v>
      </c>
      <c r="V192" s="28" t="str">
        <f t="shared" si="8"/>
        <v>Doç. Dr. Kübra AYKAÇ§2</v>
      </c>
      <c r="W192" s="28" t="str">
        <f>IF(U192=1,COUNTIF($U$2:U192,1),"")</f>
        <v/>
      </c>
    </row>
    <row r="193" spans="1:23" ht="113.25" customHeight="1" x14ac:dyDescent="0.25">
      <c r="A193" s="42" t="s">
        <v>1057</v>
      </c>
      <c r="B193" s="42" t="s">
        <v>1058</v>
      </c>
      <c r="C193" s="43" t="s">
        <v>1059</v>
      </c>
      <c r="D193" s="43" t="s">
        <v>237</v>
      </c>
      <c r="E193" s="44" t="s">
        <v>1060</v>
      </c>
      <c r="F193" s="44" t="s">
        <v>1061</v>
      </c>
      <c r="G193" s="45" t="s">
        <v>34</v>
      </c>
      <c r="H193" s="47">
        <v>46071</v>
      </c>
      <c r="I193" s="47">
        <v>46084</v>
      </c>
      <c r="J193" s="43" t="s">
        <v>77</v>
      </c>
      <c r="K193" s="43" t="s">
        <v>94</v>
      </c>
      <c r="L193" s="49" t="s">
        <v>69</v>
      </c>
      <c r="M193" s="49"/>
      <c r="N193" s="49"/>
      <c r="O193" s="48"/>
      <c r="P193" s="49" t="str">
        <f t="shared" si="6"/>
        <v>ONAY</v>
      </c>
      <c r="R193" s="50" t="str">
        <f t="shared" si="7"/>
        <v/>
      </c>
      <c r="U193" s="28">
        <f>IF($C193&lt;&gt;"",COUNTIF($C$2:C193,C193),"")</f>
        <v>1</v>
      </c>
      <c r="V193" s="28" t="str">
        <f t="shared" si="8"/>
        <v>Arş. Gör. Dr. Şükran BAYRAK§1</v>
      </c>
      <c r="W193" s="28">
        <f>IF(U193=1,COUNTIF($U$2:U193,1),"")</f>
        <v>136</v>
      </c>
    </row>
    <row r="194" spans="1:23" ht="63" customHeight="1" x14ac:dyDescent="0.25">
      <c r="A194" s="42" t="s">
        <v>1062</v>
      </c>
      <c r="B194" s="42" t="s">
        <v>1063</v>
      </c>
      <c r="C194" s="43" t="s">
        <v>550</v>
      </c>
      <c r="D194" s="43" t="s">
        <v>395</v>
      </c>
      <c r="E194" s="44" t="s">
        <v>1064</v>
      </c>
      <c r="F194" s="44" t="s">
        <v>1065</v>
      </c>
      <c r="G194" s="45" t="s">
        <v>34</v>
      </c>
      <c r="H194" s="47">
        <v>46071</v>
      </c>
      <c r="I194" s="47">
        <v>46084</v>
      </c>
      <c r="J194" s="43" t="s">
        <v>67</v>
      </c>
      <c r="K194" s="43" t="s">
        <v>104</v>
      </c>
      <c r="L194" s="49" t="s">
        <v>69</v>
      </c>
      <c r="M194" s="49"/>
      <c r="N194" s="49"/>
      <c r="O194" s="48"/>
      <c r="P194" s="49" t="str">
        <f t="shared" ref="P194:P257" si="9">IF(O194&lt;&gt;"",O194, IF(N194&lt;&gt;"",N194, IF(M194&lt;&gt;"",M194, L194)))</f>
        <v>ONAY</v>
      </c>
      <c r="R194" s="50" t="str">
        <f t="shared" ref="R194:R257" si="10">IF(AND($I194&lt;&gt;"",$I194&gt;=DATE(2026,6,23),COUNTIFS($C:$C,$C194,$I:$I,$I194)&gt;2),"⚠ "&amp;COUNTIFS($C:$C,$C194,$I:$I,$I194)&amp;" BAŞVURU!","")</f>
        <v/>
      </c>
      <c r="U194" s="28">
        <f>IF($C194&lt;&gt;"",COUNTIF($C$2:C194,C194),"")</f>
        <v>2</v>
      </c>
      <c r="V194" s="28" t="str">
        <f t="shared" ref="V194:V257" si="11">IF($C194&lt;&gt;"",C194&amp;"§"&amp;U194,"")</f>
        <v>Prof. Dr. Neşe DERİCİOĞLU§2</v>
      </c>
      <c r="W194" s="28" t="str">
        <f>IF(U194=1,COUNTIF($U$2:U194,1),"")</f>
        <v/>
      </c>
    </row>
    <row r="195" spans="1:23" ht="63" customHeight="1" x14ac:dyDescent="0.25">
      <c r="A195" s="42" t="s">
        <v>1066</v>
      </c>
      <c r="B195" s="42" t="s">
        <v>1067</v>
      </c>
      <c r="C195" s="43" t="s">
        <v>1068</v>
      </c>
      <c r="D195" s="43" t="s">
        <v>1069</v>
      </c>
      <c r="E195" s="44" t="s">
        <v>1070</v>
      </c>
      <c r="F195" s="44" t="s">
        <v>1071</v>
      </c>
      <c r="G195" s="45" t="s">
        <v>34</v>
      </c>
      <c r="H195" s="47">
        <v>46071</v>
      </c>
      <c r="I195" s="47">
        <v>46084</v>
      </c>
      <c r="J195" s="43" t="s">
        <v>77</v>
      </c>
      <c r="K195" s="43" t="s">
        <v>105</v>
      </c>
      <c r="L195" s="49" t="s">
        <v>218</v>
      </c>
      <c r="M195" s="49" t="s">
        <v>69</v>
      </c>
      <c r="N195" s="49"/>
      <c r="O195" s="48"/>
      <c r="P195" s="49" t="str">
        <f t="shared" si="9"/>
        <v>ONAY</v>
      </c>
      <c r="R195" s="50" t="str">
        <f t="shared" si="10"/>
        <v/>
      </c>
      <c r="U195" s="28">
        <f>IF($C195&lt;&gt;"",COUNTIF($C$2:C195,C195),"")</f>
        <v>1</v>
      </c>
      <c r="V195" s="28" t="str">
        <f t="shared" si="11"/>
        <v>Prof. Dr. Jale KARAKAYA§1</v>
      </c>
      <c r="W195" s="28">
        <f>IF(U195=1,COUNTIF($U$2:U195,1),"")</f>
        <v>137</v>
      </c>
    </row>
    <row r="196" spans="1:23" ht="63" customHeight="1" x14ac:dyDescent="0.25">
      <c r="A196" s="42" t="s">
        <v>1072</v>
      </c>
      <c r="B196" s="42" t="s">
        <v>1073</v>
      </c>
      <c r="C196" s="43" t="s">
        <v>1074</v>
      </c>
      <c r="D196" s="43" t="s">
        <v>82</v>
      </c>
      <c r="E196" s="44" t="s">
        <v>1075</v>
      </c>
      <c r="F196" s="44" t="s">
        <v>1076</v>
      </c>
      <c r="G196" s="45" t="s">
        <v>34</v>
      </c>
      <c r="H196" s="47">
        <v>46071</v>
      </c>
      <c r="I196" s="47">
        <v>46084</v>
      </c>
      <c r="J196" s="43" t="s">
        <v>86</v>
      </c>
      <c r="K196" s="43" t="s">
        <v>95</v>
      </c>
      <c r="L196" s="49" t="s">
        <v>69</v>
      </c>
      <c r="M196" s="49"/>
      <c r="N196" s="49"/>
      <c r="O196" s="48"/>
      <c r="P196" s="49" t="str">
        <f t="shared" si="9"/>
        <v>ONAY</v>
      </c>
      <c r="R196" s="50" t="str">
        <f t="shared" si="10"/>
        <v/>
      </c>
      <c r="U196" s="28">
        <f>IF($C196&lt;&gt;"",COUNTIF($C$2:C196,C196),"")</f>
        <v>1</v>
      </c>
      <c r="V196" s="28" t="str">
        <f t="shared" si="11"/>
        <v>Dr. Öğr. Üyesi Aycan UYSAL§1</v>
      </c>
      <c r="W196" s="28">
        <f>IF(U196=1,COUNTIF($U$2:U196,1),"")</f>
        <v>138</v>
      </c>
    </row>
    <row r="197" spans="1:23" ht="63" customHeight="1" x14ac:dyDescent="0.25">
      <c r="A197" s="42" t="s">
        <v>1077</v>
      </c>
      <c r="B197" s="42" t="s">
        <v>1078</v>
      </c>
      <c r="C197" s="43" t="s">
        <v>707</v>
      </c>
      <c r="D197" s="43" t="s">
        <v>295</v>
      </c>
      <c r="E197" s="44" t="s">
        <v>1079</v>
      </c>
      <c r="F197" s="44" t="s">
        <v>1080</v>
      </c>
      <c r="G197" s="45" t="s">
        <v>36</v>
      </c>
      <c r="H197" s="47">
        <v>46071</v>
      </c>
      <c r="I197" s="47">
        <v>46084</v>
      </c>
      <c r="J197" s="43" t="s">
        <v>68</v>
      </c>
      <c r="K197" s="43" t="s">
        <v>113</v>
      </c>
      <c r="L197" s="49" t="s">
        <v>69</v>
      </c>
      <c r="M197" s="49"/>
      <c r="N197" s="49"/>
      <c r="O197" s="48"/>
      <c r="P197" s="49" t="str">
        <f t="shared" si="9"/>
        <v>ONAY</v>
      </c>
      <c r="R197" s="50" t="str">
        <f t="shared" si="10"/>
        <v/>
      </c>
      <c r="U197" s="28">
        <f>IF($C197&lt;&gt;"",COUNTIF($C$2:C197,C197),"")</f>
        <v>2</v>
      </c>
      <c r="V197" s="28" t="str">
        <f t="shared" si="11"/>
        <v>Doç. Dr. Ceren GÜNENÇ BEŞER§2</v>
      </c>
      <c r="W197" s="28" t="str">
        <f>IF(U197=1,COUNTIF($U$2:U197,1),"")</f>
        <v/>
      </c>
    </row>
    <row r="198" spans="1:23" ht="63" customHeight="1" x14ac:dyDescent="0.25">
      <c r="A198" s="42" t="s">
        <v>1081</v>
      </c>
      <c r="B198" s="42" t="s">
        <v>1082</v>
      </c>
      <c r="C198" s="43" t="s">
        <v>1083</v>
      </c>
      <c r="D198" s="43" t="s">
        <v>110</v>
      </c>
      <c r="E198" s="44" t="s">
        <v>1084</v>
      </c>
      <c r="F198" s="44" t="s">
        <v>1085</v>
      </c>
      <c r="G198" s="45" t="s">
        <v>34</v>
      </c>
      <c r="H198" s="47">
        <v>46071</v>
      </c>
      <c r="I198" s="47">
        <v>46084</v>
      </c>
      <c r="J198" s="43" t="s">
        <v>85</v>
      </c>
      <c r="K198" s="43" t="s">
        <v>104</v>
      </c>
      <c r="L198" s="49" t="s">
        <v>156</v>
      </c>
      <c r="M198" s="49"/>
      <c r="N198" s="49"/>
      <c r="O198" s="48"/>
      <c r="P198" s="49" t="str">
        <f t="shared" si="9"/>
        <v>KAPSAM DIŞI</v>
      </c>
      <c r="R198" s="50" t="str">
        <f t="shared" si="10"/>
        <v/>
      </c>
      <c r="U198" s="28">
        <f>IF($C198&lt;&gt;"",COUNTIF($C$2:C198,C198),"")</f>
        <v>1</v>
      </c>
      <c r="V198" s="28" t="str">
        <f t="shared" si="11"/>
        <v>Prof. Dr. Mustafa CANKURTARAN§1</v>
      </c>
      <c r="W198" s="28">
        <f>IF(U198=1,COUNTIF($U$2:U198,1),"")</f>
        <v>139</v>
      </c>
    </row>
    <row r="199" spans="1:23" ht="63" customHeight="1" x14ac:dyDescent="0.25">
      <c r="A199" s="42" t="s">
        <v>1086</v>
      </c>
      <c r="B199" s="42" t="s">
        <v>1087</v>
      </c>
      <c r="C199" s="43" t="s">
        <v>1083</v>
      </c>
      <c r="D199" s="43" t="s">
        <v>110</v>
      </c>
      <c r="E199" s="44" t="s">
        <v>1084</v>
      </c>
      <c r="F199" s="44" t="s">
        <v>1088</v>
      </c>
      <c r="G199" s="45" t="s">
        <v>34</v>
      </c>
      <c r="H199" s="47">
        <v>46071</v>
      </c>
      <c r="I199" s="47">
        <v>46084</v>
      </c>
      <c r="J199" s="43" t="s">
        <v>85</v>
      </c>
      <c r="K199" s="43" t="s">
        <v>104</v>
      </c>
      <c r="L199" s="49" t="s">
        <v>156</v>
      </c>
      <c r="M199" s="49"/>
      <c r="N199" s="49"/>
      <c r="O199" s="48"/>
      <c r="P199" s="49" t="str">
        <f t="shared" si="9"/>
        <v>KAPSAM DIŞI</v>
      </c>
      <c r="R199" s="50" t="str">
        <f t="shared" si="10"/>
        <v/>
      </c>
      <c r="U199" s="28">
        <f>IF($C199&lt;&gt;"",COUNTIF($C$2:C199,C199),"")</f>
        <v>2</v>
      </c>
      <c r="V199" s="28" t="str">
        <f t="shared" si="11"/>
        <v>Prof. Dr. Mustafa CANKURTARAN§2</v>
      </c>
      <c r="W199" s="28" t="str">
        <f>IF(U199=1,COUNTIF($U$2:U199,1),"")</f>
        <v/>
      </c>
    </row>
    <row r="200" spans="1:23" ht="63" customHeight="1" x14ac:dyDescent="0.25">
      <c r="A200" s="42" t="s">
        <v>1089</v>
      </c>
      <c r="B200" s="42" t="s">
        <v>1090</v>
      </c>
      <c r="C200" s="43" t="s">
        <v>1083</v>
      </c>
      <c r="D200" s="43" t="s">
        <v>110</v>
      </c>
      <c r="E200" s="44" t="s">
        <v>1084</v>
      </c>
      <c r="F200" s="44" t="s">
        <v>1091</v>
      </c>
      <c r="G200" s="45" t="s">
        <v>34</v>
      </c>
      <c r="H200" s="47">
        <v>46071</v>
      </c>
      <c r="I200" s="47">
        <v>46084</v>
      </c>
      <c r="J200" s="43" t="s">
        <v>85</v>
      </c>
      <c r="K200" s="43" t="s">
        <v>104</v>
      </c>
      <c r="L200" s="49" t="s">
        <v>156</v>
      </c>
      <c r="M200" s="49"/>
      <c r="N200" s="49"/>
      <c r="O200" s="48"/>
      <c r="P200" s="49" t="str">
        <f t="shared" si="9"/>
        <v>KAPSAM DIŞI</v>
      </c>
      <c r="R200" s="50" t="str">
        <f t="shared" si="10"/>
        <v/>
      </c>
      <c r="U200" s="28">
        <f>IF($C200&lt;&gt;"",COUNTIF($C$2:C200,C200),"")</f>
        <v>3</v>
      </c>
      <c r="V200" s="28" t="str">
        <f t="shared" si="11"/>
        <v>Prof. Dr. Mustafa CANKURTARAN§3</v>
      </c>
      <c r="W200" s="28" t="str">
        <f>IF(U200=1,COUNTIF($U$2:U200,1),"")</f>
        <v/>
      </c>
    </row>
    <row r="201" spans="1:23" ht="63" customHeight="1" x14ac:dyDescent="0.25">
      <c r="A201" s="42" t="s">
        <v>1092</v>
      </c>
      <c r="B201" s="42" t="s">
        <v>1093</v>
      </c>
      <c r="C201" s="43" t="s">
        <v>1094</v>
      </c>
      <c r="D201" s="43" t="s">
        <v>515</v>
      </c>
      <c r="E201" s="44" t="s">
        <v>1095</v>
      </c>
      <c r="F201" s="44" t="s">
        <v>1096</v>
      </c>
      <c r="G201" s="45" t="s">
        <v>34</v>
      </c>
      <c r="H201" s="47">
        <v>46071</v>
      </c>
      <c r="I201" s="47">
        <v>46084</v>
      </c>
      <c r="J201" s="43" t="s">
        <v>121</v>
      </c>
      <c r="K201" s="43" t="s">
        <v>86</v>
      </c>
      <c r="L201" s="49" t="s">
        <v>69</v>
      </c>
      <c r="M201" s="49"/>
      <c r="N201" s="49"/>
      <c r="O201" s="48"/>
      <c r="P201" s="49" t="str">
        <f t="shared" si="9"/>
        <v>ONAY</v>
      </c>
      <c r="R201" s="50" t="str">
        <f t="shared" si="10"/>
        <v/>
      </c>
      <c r="U201" s="28">
        <f>IF($C201&lt;&gt;"",COUNTIF($C$2:C201,C201),"")</f>
        <v>1</v>
      </c>
      <c r="V201" s="28" t="str">
        <f t="shared" si="11"/>
        <v>Dr. Öğr. Üyesi Hatice BOYACIOĞLU ERDEN§1</v>
      </c>
      <c r="W201" s="28">
        <f>IF(U201=1,COUNTIF($U$2:U201,1),"")</f>
        <v>140</v>
      </c>
    </row>
    <row r="202" spans="1:23" ht="63" customHeight="1" x14ac:dyDescent="0.25">
      <c r="A202" s="42" t="s">
        <v>1097</v>
      </c>
      <c r="B202" s="42" t="s">
        <v>1098</v>
      </c>
      <c r="C202" s="43" t="s">
        <v>109</v>
      </c>
      <c r="D202" s="43" t="s">
        <v>110</v>
      </c>
      <c r="E202" s="44" t="s">
        <v>1099</v>
      </c>
      <c r="F202" s="44" t="s">
        <v>1100</v>
      </c>
      <c r="G202" s="45" t="s">
        <v>34</v>
      </c>
      <c r="H202" s="47">
        <v>46071</v>
      </c>
      <c r="I202" s="47">
        <v>46084</v>
      </c>
      <c r="J202" s="43" t="s">
        <v>68</v>
      </c>
      <c r="K202" s="43" t="s">
        <v>77</v>
      </c>
      <c r="L202" s="49" t="s">
        <v>218</v>
      </c>
      <c r="M202" s="49" t="s">
        <v>96</v>
      </c>
      <c r="N202" s="49"/>
      <c r="O202" s="48"/>
      <c r="P202" s="49" t="str">
        <f t="shared" si="9"/>
        <v>DÜZELTME</v>
      </c>
      <c r="R202" s="50" t="str">
        <f t="shared" si="10"/>
        <v/>
      </c>
      <c r="U202" s="28">
        <f>IF($C202&lt;&gt;"",COUNTIF($C$2:C202,C202),"")</f>
        <v>7</v>
      </c>
      <c r="V202" s="28" t="str">
        <f t="shared" si="11"/>
        <v>Prof. Dr. Meltem Gülhan HALİL§7</v>
      </c>
      <c r="W202" s="28" t="str">
        <f>IF(U202=1,COUNTIF($U$2:U202,1),"")</f>
        <v/>
      </c>
    </row>
    <row r="203" spans="1:23" ht="63" customHeight="1" x14ac:dyDescent="0.25">
      <c r="A203" s="42" t="s">
        <v>1101</v>
      </c>
      <c r="B203" s="42" t="s">
        <v>1102</v>
      </c>
      <c r="C203" s="43" t="s">
        <v>1103</v>
      </c>
      <c r="D203" s="43" t="s">
        <v>1104</v>
      </c>
      <c r="E203" s="44" t="s">
        <v>1105</v>
      </c>
      <c r="F203" s="44" t="s">
        <v>1106</v>
      </c>
      <c r="G203" s="45" t="s">
        <v>34</v>
      </c>
      <c r="H203" s="47">
        <v>46072</v>
      </c>
      <c r="I203" s="47">
        <v>46084</v>
      </c>
      <c r="J203" s="43" t="s">
        <v>67</v>
      </c>
      <c r="K203" s="43" t="s">
        <v>94</v>
      </c>
      <c r="L203" s="49" t="s">
        <v>69</v>
      </c>
      <c r="M203" s="49"/>
      <c r="N203" s="49"/>
      <c r="O203" s="48"/>
      <c r="P203" s="49" t="str">
        <f t="shared" si="9"/>
        <v>ONAY</v>
      </c>
      <c r="R203" s="50" t="str">
        <f t="shared" si="10"/>
        <v/>
      </c>
      <c r="U203" s="28">
        <f>IF($C203&lt;&gt;"",COUNTIF($C$2:C203,C203),"")</f>
        <v>1</v>
      </c>
      <c r="V203" s="28" t="str">
        <f t="shared" si="11"/>
        <v>Dr. Öğr. Üyesi Ezgi DOĞAN CÖMERT§1</v>
      </c>
      <c r="W203" s="28">
        <f>IF(U203=1,COUNTIF($U$2:U203,1),"")</f>
        <v>141</v>
      </c>
    </row>
    <row r="204" spans="1:23" ht="79.5" customHeight="1" x14ac:dyDescent="0.25">
      <c r="A204" s="42" t="s">
        <v>1107</v>
      </c>
      <c r="B204" s="42" t="s">
        <v>1108</v>
      </c>
      <c r="C204" s="43" t="s">
        <v>1109</v>
      </c>
      <c r="D204" s="43" t="s">
        <v>229</v>
      </c>
      <c r="E204" s="44" t="s">
        <v>1110</v>
      </c>
      <c r="F204" s="44" t="s">
        <v>1111</v>
      </c>
      <c r="G204" s="45" t="s">
        <v>34</v>
      </c>
      <c r="H204" s="47">
        <v>46072</v>
      </c>
      <c r="I204" s="47">
        <v>46084</v>
      </c>
      <c r="J204" s="43" t="s">
        <v>121</v>
      </c>
      <c r="K204" s="43" t="s">
        <v>95</v>
      </c>
      <c r="L204" s="49" t="s">
        <v>69</v>
      </c>
      <c r="M204" s="49"/>
      <c r="N204" s="49"/>
      <c r="O204" s="48"/>
      <c r="P204" s="49" t="str">
        <f t="shared" si="9"/>
        <v>ONAY</v>
      </c>
      <c r="R204" s="50" t="str">
        <f t="shared" si="10"/>
        <v/>
      </c>
      <c r="U204" s="28">
        <f>IF($C204&lt;&gt;"",COUNTIF($C$2:C204,C204),"")</f>
        <v>1</v>
      </c>
      <c r="V204" s="28" t="str">
        <f t="shared" si="11"/>
        <v>Dr. Öğr. Üyesi Salih Eren MERAL§1</v>
      </c>
      <c r="W204" s="28">
        <f>IF(U204=1,COUNTIF($U$2:U204,1),"")</f>
        <v>142</v>
      </c>
    </row>
    <row r="205" spans="1:23" ht="63" customHeight="1" x14ac:dyDescent="0.25">
      <c r="A205" s="42" t="s">
        <v>1112</v>
      </c>
      <c r="B205" s="42" t="s">
        <v>1113</v>
      </c>
      <c r="C205" s="43" t="s">
        <v>968</v>
      </c>
      <c r="D205" s="43" t="s">
        <v>372</v>
      </c>
      <c r="E205" s="56" t="s">
        <v>1114</v>
      </c>
      <c r="F205" s="44" t="s">
        <v>1115</v>
      </c>
      <c r="G205" s="45" t="s">
        <v>34</v>
      </c>
      <c r="H205" s="47">
        <v>46072</v>
      </c>
      <c r="I205" s="47">
        <v>46084</v>
      </c>
      <c r="J205" s="43" t="s">
        <v>113</v>
      </c>
      <c r="K205" s="43" t="s">
        <v>105</v>
      </c>
      <c r="L205" s="49" t="s">
        <v>69</v>
      </c>
      <c r="M205" s="49"/>
      <c r="N205" s="49"/>
      <c r="O205" s="48"/>
      <c r="P205" s="49" t="str">
        <f t="shared" si="9"/>
        <v>ONAY</v>
      </c>
      <c r="R205" s="50" t="str">
        <f t="shared" si="10"/>
        <v/>
      </c>
      <c r="U205" s="28">
        <f>IF($C205&lt;&gt;"",COUNTIF($C$2:C205,C205),"")</f>
        <v>2</v>
      </c>
      <c r="V205" s="28" t="str">
        <f t="shared" si="11"/>
        <v>Doç. Dr. Duygu GÜLSEREN§2</v>
      </c>
      <c r="W205" s="28" t="str">
        <f>IF(U205=1,COUNTIF($U$2:U205,1),"")</f>
        <v/>
      </c>
    </row>
    <row r="206" spans="1:23" ht="63" customHeight="1" x14ac:dyDescent="0.25">
      <c r="A206" s="42" t="s">
        <v>1116</v>
      </c>
      <c r="B206" s="42" t="s">
        <v>1117</v>
      </c>
      <c r="C206" s="43" t="s">
        <v>1118</v>
      </c>
      <c r="D206" s="43" t="s">
        <v>307</v>
      </c>
      <c r="E206" s="44" t="s">
        <v>1119</v>
      </c>
      <c r="F206" s="44" t="s">
        <v>1120</v>
      </c>
      <c r="G206" s="45" t="s">
        <v>34</v>
      </c>
      <c r="H206" s="47">
        <v>46072</v>
      </c>
      <c r="I206" s="47">
        <v>46084</v>
      </c>
      <c r="J206" s="43" t="s">
        <v>85</v>
      </c>
      <c r="K206" s="43" t="s">
        <v>67</v>
      </c>
      <c r="L206" s="49" t="s">
        <v>69</v>
      </c>
      <c r="M206" s="49"/>
      <c r="N206" s="49"/>
      <c r="O206" s="48"/>
      <c r="P206" s="49" t="str">
        <f t="shared" si="9"/>
        <v>ONAY</v>
      </c>
      <c r="R206" s="50" t="str">
        <f t="shared" si="10"/>
        <v/>
      </c>
      <c r="U206" s="28">
        <f>IF($C206&lt;&gt;"",COUNTIF($C$2:C206,C206),"")</f>
        <v>1</v>
      </c>
      <c r="V206" s="28" t="str">
        <f t="shared" si="11"/>
        <v>Prof. Dr. Murat TUNCEL§1</v>
      </c>
      <c r="W206" s="28">
        <f>IF(U206=1,COUNTIF($U$2:U206,1),"")</f>
        <v>143</v>
      </c>
    </row>
    <row r="207" spans="1:23" ht="97.5" customHeight="1" x14ac:dyDescent="0.25">
      <c r="A207" s="42" t="s">
        <v>1121</v>
      </c>
      <c r="B207" s="42" t="s">
        <v>1122</v>
      </c>
      <c r="C207" s="43" t="s">
        <v>1123</v>
      </c>
      <c r="D207" s="43" t="s">
        <v>215</v>
      </c>
      <c r="E207" s="44" t="s">
        <v>1124</v>
      </c>
      <c r="F207" s="44" t="s">
        <v>1125</v>
      </c>
      <c r="G207" s="45" t="s">
        <v>37</v>
      </c>
      <c r="H207" s="47">
        <v>46072</v>
      </c>
      <c r="I207" s="47">
        <v>46084</v>
      </c>
      <c r="J207" s="43" t="s">
        <v>86</v>
      </c>
      <c r="K207" s="43" t="s">
        <v>94</v>
      </c>
      <c r="L207" s="49" t="s">
        <v>218</v>
      </c>
      <c r="M207" s="49" t="s">
        <v>69</v>
      </c>
      <c r="N207" s="49"/>
      <c r="O207" s="48"/>
      <c r="P207" s="49" t="str">
        <f t="shared" si="9"/>
        <v>ONAY</v>
      </c>
      <c r="R207" s="50" t="str">
        <f t="shared" si="10"/>
        <v/>
      </c>
      <c r="U207" s="28">
        <f>IF($C207&lt;&gt;"",COUNTIF($C$2:C207,C207),"")</f>
        <v>1</v>
      </c>
      <c r="V207" s="28" t="str">
        <f t="shared" si="11"/>
        <v>Prof. Dr. Özgür UĞURLUOĞLU§1</v>
      </c>
      <c r="W207" s="28">
        <f>IF(U207=1,COUNTIF($U$2:U207,1),"")</f>
        <v>144</v>
      </c>
    </row>
    <row r="208" spans="1:23" ht="63" customHeight="1" x14ac:dyDescent="0.25">
      <c r="A208" s="42" t="s">
        <v>1126</v>
      </c>
      <c r="B208" s="42" t="s">
        <v>1127</v>
      </c>
      <c r="C208" s="43" t="s">
        <v>1128</v>
      </c>
      <c r="D208" s="43" t="s">
        <v>82</v>
      </c>
      <c r="E208" s="44" t="s">
        <v>1129</v>
      </c>
      <c r="F208" s="44" t="s">
        <v>1130</v>
      </c>
      <c r="G208" s="45" t="s">
        <v>34</v>
      </c>
      <c r="H208" s="47">
        <v>46076</v>
      </c>
      <c r="I208" s="47">
        <v>46084</v>
      </c>
      <c r="J208" s="43" t="s">
        <v>67</v>
      </c>
      <c r="K208" s="43" t="s">
        <v>86</v>
      </c>
      <c r="L208" s="49" t="s">
        <v>96</v>
      </c>
      <c r="M208" s="49" t="s">
        <v>96</v>
      </c>
      <c r="N208" s="49" t="s">
        <v>69</v>
      </c>
      <c r="O208" s="48"/>
      <c r="P208" s="49" t="str">
        <f t="shared" si="9"/>
        <v>ONAY</v>
      </c>
      <c r="R208" s="50" t="str">
        <f t="shared" si="10"/>
        <v/>
      </c>
      <c r="U208" s="28">
        <f>IF($C208&lt;&gt;"",COUNTIF($C$2:C208,C208),"")</f>
        <v>1</v>
      </c>
      <c r="V208" s="28" t="str">
        <f t="shared" si="11"/>
        <v>Doç. Dr. Adalet Elçin YILDIZ§1</v>
      </c>
      <c r="W208" s="28">
        <f>IF(U208=1,COUNTIF($U$2:U208,1),"")</f>
        <v>145</v>
      </c>
    </row>
    <row r="209" spans="1:23" ht="63" customHeight="1" x14ac:dyDescent="0.25">
      <c r="A209" s="42" t="s">
        <v>1131</v>
      </c>
      <c r="B209" s="42" t="s">
        <v>1132</v>
      </c>
      <c r="C209" s="43" t="s">
        <v>659</v>
      </c>
      <c r="D209" s="43" t="s">
        <v>244</v>
      </c>
      <c r="E209" s="44" t="s">
        <v>1133</v>
      </c>
      <c r="F209" s="44" t="s">
        <v>1134</v>
      </c>
      <c r="G209" s="45" t="s">
        <v>35</v>
      </c>
      <c r="H209" s="47">
        <v>46076</v>
      </c>
      <c r="I209" s="47">
        <v>46084</v>
      </c>
      <c r="J209" s="43" t="s">
        <v>95</v>
      </c>
      <c r="K209" s="43" t="s">
        <v>68</v>
      </c>
      <c r="L209" s="49" t="s">
        <v>96</v>
      </c>
      <c r="M209" s="49" t="s">
        <v>69</v>
      </c>
      <c r="N209" s="49"/>
      <c r="O209" s="48"/>
      <c r="P209" s="49" t="str">
        <f t="shared" si="9"/>
        <v>ONAY</v>
      </c>
      <c r="Q209" s="27" t="s">
        <v>95</v>
      </c>
      <c r="R209" s="50" t="str">
        <f t="shared" si="10"/>
        <v/>
      </c>
      <c r="U209" s="28">
        <f>IF($C209&lt;&gt;"",COUNTIF($C$2:C209,C209),"")</f>
        <v>2</v>
      </c>
      <c r="V209" s="28" t="str">
        <f t="shared" si="11"/>
        <v>Dr. Öğr. Üyesi Murat ÇAĞAN§2</v>
      </c>
      <c r="W209" s="28" t="str">
        <f>IF(U209=1,COUNTIF($U$2:U209,1),"")</f>
        <v/>
      </c>
    </row>
    <row r="210" spans="1:23" ht="94.5" customHeight="1" x14ac:dyDescent="0.25">
      <c r="A210" s="42" t="s">
        <v>1135</v>
      </c>
      <c r="B210" s="42" t="s">
        <v>1136</v>
      </c>
      <c r="C210" s="43" t="s">
        <v>1137</v>
      </c>
      <c r="D210" s="43" t="s">
        <v>997</v>
      </c>
      <c r="E210" s="44" t="s">
        <v>1138</v>
      </c>
      <c r="F210" s="44" t="s">
        <v>1139</v>
      </c>
      <c r="G210" s="45" t="s">
        <v>34</v>
      </c>
      <c r="H210" s="47">
        <v>46076</v>
      </c>
      <c r="I210" s="47">
        <v>46084</v>
      </c>
      <c r="J210" s="43" t="s">
        <v>77</v>
      </c>
      <c r="K210" s="43" t="s">
        <v>121</v>
      </c>
      <c r="L210" s="49" t="s">
        <v>69</v>
      </c>
      <c r="M210" s="49"/>
      <c r="N210" s="49"/>
      <c r="O210" s="48"/>
      <c r="P210" s="49" t="str">
        <f t="shared" si="9"/>
        <v>ONAY</v>
      </c>
      <c r="R210" s="50" t="str">
        <f t="shared" si="10"/>
        <v/>
      </c>
      <c r="U210" s="28">
        <f>IF($C210&lt;&gt;"",COUNTIF($C$2:C210,C210),"")</f>
        <v>1</v>
      </c>
      <c r="V210" s="28" t="str">
        <f t="shared" si="11"/>
        <v>Doç. Dr. Duygu AYHAN BAŞER§1</v>
      </c>
      <c r="W210" s="28">
        <f>IF(U210=1,COUNTIF($U$2:U210,1),"")</f>
        <v>146</v>
      </c>
    </row>
    <row r="211" spans="1:23" ht="94.5" customHeight="1" x14ac:dyDescent="0.25">
      <c r="A211" s="42" t="s">
        <v>1140</v>
      </c>
      <c r="B211" s="42" t="s">
        <v>1141</v>
      </c>
      <c r="C211" s="43" t="s">
        <v>1118</v>
      </c>
      <c r="D211" s="43" t="s">
        <v>307</v>
      </c>
      <c r="E211" s="44" t="s">
        <v>1142</v>
      </c>
      <c r="F211" s="44" t="s">
        <v>1143</v>
      </c>
      <c r="G211" s="45" t="s">
        <v>35</v>
      </c>
      <c r="H211" s="47">
        <v>46076</v>
      </c>
      <c r="I211" s="47">
        <v>46084</v>
      </c>
      <c r="J211" s="43" t="s">
        <v>85</v>
      </c>
      <c r="K211" s="43" t="s">
        <v>67</v>
      </c>
      <c r="L211" s="49" t="s">
        <v>178</v>
      </c>
      <c r="M211" s="49" t="s">
        <v>69</v>
      </c>
      <c r="N211" s="49"/>
      <c r="O211" s="48"/>
      <c r="P211" s="49" t="str">
        <f t="shared" si="9"/>
        <v>ONAY</v>
      </c>
      <c r="R211" s="50" t="str">
        <f t="shared" si="10"/>
        <v/>
      </c>
      <c r="U211" s="28">
        <f>IF($C211&lt;&gt;"",COUNTIF($C$2:C211,C211),"")</f>
        <v>2</v>
      </c>
      <c r="V211" s="28" t="str">
        <f t="shared" si="11"/>
        <v>Prof. Dr. Murat TUNCEL§2</v>
      </c>
      <c r="W211" s="28" t="str">
        <f>IF(U211=1,COUNTIF($U$2:U211,1),"")</f>
        <v/>
      </c>
    </row>
    <row r="212" spans="1:23" ht="63" customHeight="1" x14ac:dyDescent="0.25">
      <c r="A212" s="42" t="s">
        <v>1144</v>
      </c>
      <c r="B212" s="42" t="s">
        <v>1145</v>
      </c>
      <c r="C212" s="43" t="s">
        <v>1146</v>
      </c>
      <c r="D212" s="43" t="s">
        <v>416</v>
      </c>
      <c r="E212" s="44" t="s">
        <v>1147</v>
      </c>
      <c r="F212" s="44" t="s">
        <v>1148</v>
      </c>
      <c r="G212" s="45" t="s">
        <v>34</v>
      </c>
      <c r="H212" s="47">
        <v>46076</v>
      </c>
      <c r="I212" s="47">
        <v>46084</v>
      </c>
      <c r="J212" s="43" t="s">
        <v>68</v>
      </c>
      <c r="K212" s="43" t="s">
        <v>104</v>
      </c>
      <c r="L212" s="49" t="s">
        <v>69</v>
      </c>
      <c r="M212" s="49"/>
      <c r="N212" s="49"/>
      <c r="O212" s="48"/>
      <c r="P212" s="49" t="str">
        <f t="shared" si="9"/>
        <v>ONAY</v>
      </c>
      <c r="R212" s="50" t="str">
        <f t="shared" si="10"/>
        <v/>
      </c>
      <c r="U212" s="28">
        <f>IF($C212&lt;&gt;"",COUNTIF($C$2:C212,C212),"")</f>
        <v>1</v>
      </c>
      <c r="V212" s="28" t="str">
        <f t="shared" si="11"/>
        <v>Doç. Dr. İdil Rana USER KILIÇ§1</v>
      </c>
      <c r="W212" s="28">
        <f>IF(U212=1,COUNTIF($U$2:U212,1),"")</f>
        <v>147</v>
      </c>
    </row>
    <row r="213" spans="1:23" ht="78.75" customHeight="1" x14ac:dyDescent="0.25">
      <c r="A213" s="42" t="s">
        <v>1149</v>
      </c>
      <c r="B213" s="42" t="s">
        <v>1150</v>
      </c>
      <c r="C213" s="43" t="s">
        <v>1146</v>
      </c>
      <c r="D213" s="43" t="s">
        <v>416</v>
      </c>
      <c r="E213" s="44" t="s">
        <v>1151</v>
      </c>
      <c r="F213" s="44" t="s">
        <v>1152</v>
      </c>
      <c r="G213" s="45" t="s">
        <v>34</v>
      </c>
      <c r="H213" s="47">
        <v>46076</v>
      </c>
      <c r="I213" s="47">
        <v>46084</v>
      </c>
      <c r="J213" s="43" t="s">
        <v>68</v>
      </c>
      <c r="K213" s="43" t="s">
        <v>104</v>
      </c>
      <c r="L213" s="49" t="s">
        <v>69</v>
      </c>
      <c r="M213" s="49"/>
      <c r="N213" s="49"/>
      <c r="O213" s="48"/>
      <c r="P213" s="49" t="str">
        <f t="shared" si="9"/>
        <v>ONAY</v>
      </c>
      <c r="R213" s="50" t="str">
        <f t="shared" si="10"/>
        <v/>
      </c>
      <c r="U213" s="28">
        <f>IF($C213&lt;&gt;"",COUNTIF($C$2:C213,C213),"")</f>
        <v>2</v>
      </c>
      <c r="V213" s="28" t="str">
        <f t="shared" si="11"/>
        <v>Doç. Dr. İdil Rana USER KILIÇ§2</v>
      </c>
      <c r="W213" s="28" t="str">
        <f>IF(U213=1,COUNTIF($U$2:U213,1),"")</f>
        <v/>
      </c>
    </row>
    <row r="214" spans="1:23" ht="78.75" customHeight="1" x14ac:dyDescent="0.25">
      <c r="A214" s="42" t="s">
        <v>1153</v>
      </c>
      <c r="B214" s="42" t="s">
        <v>1154</v>
      </c>
      <c r="C214" s="43" t="s">
        <v>1155</v>
      </c>
      <c r="D214" s="43" t="s">
        <v>327</v>
      </c>
      <c r="E214" s="44" t="s">
        <v>1156</v>
      </c>
      <c r="F214" s="44" t="s">
        <v>1157</v>
      </c>
      <c r="G214" s="45" t="s">
        <v>34</v>
      </c>
      <c r="H214" s="47">
        <v>46076</v>
      </c>
      <c r="I214" s="47">
        <v>46084</v>
      </c>
      <c r="J214" s="43" t="s">
        <v>121</v>
      </c>
      <c r="K214" s="43" t="s">
        <v>77</v>
      </c>
      <c r="L214" s="49" t="s">
        <v>96</v>
      </c>
      <c r="M214" s="49"/>
      <c r="N214" s="49"/>
      <c r="O214" s="48"/>
      <c r="P214" s="49" t="str">
        <f t="shared" si="9"/>
        <v>DÜZELTME</v>
      </c>
      <c r="R214" s="50" t="str">
        <f t="shared" si="10"/>
        <v/>
      </c>
      <c r="U214" s="28">
        <f>IF($C214&lt;&gt;"",COUNTIF($C$2:C214,C214),"")</f>
        <v>1</v>
      </c>
      <c r="V214" s="28" t="str">
        <f t="shared" si="11"/>
        <v>Doç. Dr. Bengisu AKARSU GÜVEN§1</v>
      </c>
      <c r="W214" s="28">
        <f>IF(U214=1,COUNTIF($U$2:U214,1),"")</f>
        <v>148</v>
      </c>
    </row>
    <row r="215" spans="1:23" ht="96.75" customHeight="1" x14ac:dyDescent="0.25">
      <c r="A215" s="42" t="s">
        <v>1158</v>
      </c>
      <c r="B215" s="42" t="s">
        <v>1159</v>
      </c>
      <c r="C215" s="43" t="s">
        <v>1160</v>
      </c>
      <c r="D215" s="43" t="s">
        <v>237</v>
      </c>
      <c r="E215" s="44" t="s">
        <v>1161</v>
      </c>
      <c r="F215" s="44" t="s">
        <v>1162</v>
      </c>
      <c r="G215" s="45" t="s">
        <v>34</v>
      </c>
      <c r="H215" s="47">
        <v>46076</v>
      </c>
      <c r="I215" s="47">
        <v>46084</v>
      </c>
      <c r="J215" s="43" t="s">
        <v>121</v>
      </c>
      <c r="K215" s="43" t="s">
        <v>105</v>
      </c>
      <c r="L215" s="49" t="s">
        <v>96</v>
      </c>
      <c r="M215" s="49" t="s">
        <v>69</v>
      </c>
      <c r="N215" s="49"/>
      <c r="O215" s="48"/>
      <c r="P215" s="49" t="str">
        <f t="shared" si="9"/>
        <v>ONAY</v>
      </c>
      <c r="Q215" s="27" t="s">
        <v>121</v>
      </c>
      <c r="R215" s="50" t="str">
        <f t="shared" si="10"/>
        <v/>
      </c>
      <c r="U215" s="28">
        <f>IF($C215&lt;&gt;"",COUNTIF($C$2:C215,C215),"")</f>
        <v>1</v>
      </c>
      <c r="V215" s="28" t="str">
        <f t="shared" si="11"/>
        <v>Prof. Dr. Ali DURSUN§1</v>
      </c>
      <c r="W215" s="28">
        <f>IF(U215=1,COUNTIF($U$2:U215,1),"")</f>
        <v>149</v>
      </c>
    </row>
    <row r="216" spans="1:23" ht="63" customHeight="1" x14ac:dyDescent="0.25">
      <c r="A216" s="42" t="s">
        <v>1163</v>
      </c>
      <c r="B216" s="42" t="s">
        <v>1164</v>
      </c>
      <c r="C216" s="43" t="s">
        <v>415</v>
      </c>
      <c r="D216" s="43" t="s">
        <v>416</v>
      </c>
      <c r="E216" s="44" t="s">
        <v>1165</v>
      </c>
      <c r="F216" s="44" t="s">
        <v>1166</v>
      </c>
      <c r="G216" s="45" t="s">
        <v>34</v>
      </c>
      <c r="H216" s="47">
        <v>46077</v>
      </c>
      <c r="I216" s="47">
        <v>46084</v>
      </c>
      <c r="J216" s="43" t="s">
        <v>94</v>
      </c>
      <c r="K216" s="43" t="s">
        <v>105</v>
      </c>
      <c r="L216" s="49" t="s">
        <v>69</v>
      </c>
      <c r="M216" s="49"/>
      <c r="N216" s="49"/>
      <c r="O216" s="48"/>
      <c r="P216" s="49" t="str">
        <f t="shared" si="9"/>
        <v>ONAY</v>
      </c>
      <c r="R216" s="50" t="str">
        <f t="shared" si="10"/>
        <v/>
      </c>
      <c r="U216" s="28">
        <f>IF($C216&lt;&gt;"",COUNTIF($C$2:C216,C216),"")</f>
        <v>3</v>
      </c>
      <c r="V216" s="28" t="str">
        <f t="shared" si="11"/>
        <v>Prof. Dr. Tutku SOYER§3</v>
      </c>
      <c r="W216" s="28" t="str">
        <f>IF(U216=1,COUNTIF($U$2:U216,1),"")</f>
        <v/>
      </c>
    </row>
    <row r="217" spans="1:23" ht="63" customHeight="1" x14ac:dyDescent="0.25">
      <c r="A217" s="42" t="s">
        <v>1167</v>
      </c>
      <c r="B217" s="42" t="s">
        <v>1168</v>
      </c>
      <c r="C217" s="43" t="s">
        <v>400</v>
      </c>
      <c r="D217" s="43" t="s">
        <v>372</v>
      </c>
      <c r="E217" s="44" t="s">
        <v>1169</v>
      </c>
      <c r="F217" s="44" t="s">
        <v>1170</v>
      </c>
      <c r="G217" s="45" t="s">
        <v>34</v>
      </c>
      <c r="H217" s="47">
        <v>46077</v>
      </c>
      <c r="I217" s="47">
        <v>46084</v>
      </c>
      <c r="J217" s="43" t="s">
        <v>85</v>
      </c>
      <c r="K217" s="43" t="s">
        <v>95</v>
      </c>
      <c r="L217" s="49" t="s">
        <v>69</v>
      </c>
      <c r="M217" s="49"/>
      <c r="N217" s="49"/>
      <c r="O217" s="48"/>
      <c r="P217" s="49" t="str">
        <f t="shared" si="9"/>
        <v>ONAY</v>
      </c>
      <c r="R217" s="50" t="str">
        <f t="shared" si="10"/>
        <v/>
      </c>
      <c r="U217" s="28">
        <f>IF($C217&lt;&gt;"",COUNTIF($C$2:C217,C217),"")</f>
        <v>2</v>
      </c>
      <c r="V217" s="28" t="str">
        <f t="shared" si="11"/>
        <v>Doç. Dr. Başak YALICI ARMAĞAN§2</v>
      </c>
      <c r="W217" s="28" t="str">
        <f>IF(U217=1,COUNTIF($U$2:U217,1),"")</f>
        <v/>
      </c>
    </row>
    <row r="218" spans="1:23" ht="141.75" customHeight="1" x14ac:dyDescent="0.25">
      <c r="A218" s="42" t="s">
        <v>1171</v>
      </c>
      <c r="B218" s="42" t="s">
        <v>1172</v>
      </c>
      <c r="C218" s="43" t="s">
        <v>1173</v>
      </c>
      <c r="D218" s="43" t="s">
        <v>1174</v>
      </c>
      <c r="E218" s="44" t="s">
        <v>1175</v>
      </c>
      <c r="F218" s="44" t="s">
        <v>1176</v>
      </c>
      <c r="G218" s="45" t="s">
        <v>35</v>
      </c>
      <c r="H218" s="47">
        <v>46077</v>
      </c>
      <c r="I218" s="47">
        <v>46084</v>
      </c>
      <c r="J218" s="43" t="s">
        <v>113</v>
      </c>
      <c r="K218" s="43" t="s">
        <v>86</v>
      </c>
      <c r="L218" s="49" t="s">
        <v>69</v>
      </c>
      <c r="M218" s="49"/>
      <c r="N218" s="49"/>
      <c r="O218" s="48"/>
      <c r="P218" s="49" t="str">
        <f t="shared" si="9"/>
        <v>ONAY</v>
      </c>
      <c r="R218" s="50" t="str">
        <f t="shared" si="10"/>
        <v/>
      </c>
      <c r="U218" s="28">
        <f>IF($C218&lt;&gt;"",COUNTIF($C$2:C218,C218),"")</f>
        <v>1</v>
      </c>
      <c r="V218" s="28" t="str">
        <f t="shared" si="11"/>
        <v>Prof. Dr. Mert ÇALIŞ§1</v>
      </c>
      <c r="W218" s="28">
        <f>IF(U218=1,COUNTIF($U$2:U218,1),"")</f>
        <v>150</v>
      </c>
    </row>
    <row r="219" spans="1:23" ht="94.5" customHeight="1" x14ac:dyDescent="0.25">
      <c r="A219" s="42" t="s">
        <v>1177</v>
      </c>
      <c r="B219" s="42" t="s">
        <v>1178</v>
      </c>
      <c r="C219" s="43" t="s">
        <v>674</v>
      </c>
      <c r="D219" s="43" t="s">
        <v>237</v>
      </c>
      <c r="E219" s="44" t="s">
        <v>1179</v>
      </c>
      <c r="F219" s="44" t="s">
        <v>1180</v>
      </c>
      <c r="G219" s="45" t="s">
        <v>34</v>
      </c>
      <c r="H219" s="47">
        <v>46077</v>
      </c>
      <c r="I219" s="47">
        <v>46084</v>
      </c>
      <c r="J219" s="43" t="s">
        <v>105</v>
      </c>
      <c r="K219" s="43" t="s">
        <v>113</v>
      </c>
      <c r="L219" s="49" t="s">
        <v>96</v>
      </c>
      <c r="M219" s="49" t="s">
        <v>69</v>
      </c>
      <c r="N219" s="49"/>
      <c r="O219" s="48"/>
      <c r="P219" s="49" t="str">
        <f t="shared" si="9"/>
        <v>ONAY</v>
      </c>
      <c r="Q219" s="27" t="s">
        <v>105</v>
      </c>
      <c r="R219" s="50" t="str">
        <f t="shared" si="10"/>
        <v/>
      </c>
      <c r="U219" s="28">
        <f>IF($C219&lt;&gt;"",COUNTIF($C$2:C219,C219),"")</f>
        <v>2</v>
      </c>
      <c r="V219" s="28" t="str">
        <f t="shared" si="11"/>
        <v>Arş. Gör. Dr. Sebiha Şükran GÜNDEŞLİ§2</v>
      </c>
      <c r="W219" s="28" t="str">
        <f>IF(U219=1,COUNTIF($U$2:U219,1),"")</f>
        <v/>
      </c>
    </row>
    <row r="220" spans="1:23" ht="80.25" customHeight="1" x14ac:dyDescent="0.25">
      <c r="A220" s="42" t="s">
        <v>1181</v>
      </c>
      <c r="B220" s="42" t="s">
        <v>1182</v>
      </c>
      <c r="C220" s="43" t="s">
        <v>1074</v>
      </c>
      <c r="D220" s="43" t="s">
        <v>82</v>
      </c>
      <c r="E220" s="44" t="s">
        <v>1183</v>
      </c>
      <c r="F220" s="44" t="s">
        <v>1184</v>
      </c>
      <c r="G220" s="45" t="s">
        <v>34</v>
      </c>
      <c r="H220" s="47">
        <v>46077</v>
      </c>
      <c r="I220" s="47">
        <v>46084</v>
      </c>
      <c r="J220" s="43" t="s">
        <v>86</v>
      </c>
      <c r="K220" s="43" t="s">
        <v>94</v>
      </c>
      <c r="L220" s="49" t="s">
        <v>69</v>
      </c>
      <c r="M220" s="49"/>
      <c r="N220" s="49"/>
      <c r="O220" s="48"/>
      <c r="P220" s="49" t="str">
        <f t="shared" si="9"/>
        <v>ONAY</v>
      </c>
      <c r="R220" s="50" t="str">
        <f t="shared" si="10"/>
        <v/>
      </c>
      <c r="U220" s="28">
        <f>IF($C220&lt;&gt;"",COUNTIF($C$2:C220,C220),"")</f>
        <v>2</v>
      </c>
      <c r="V220" s="28" t="str">
        <f t="shared" si="11"/>
        <v>Dr. Öğr. Üyesi Aycan UYSAL§2</v>
      </c>
      <c r="W220" s="28" t="str">
        <f>IF(U220=1,COUNTIF($U$2:U220,1),"")</f>
        <v/>
      </c>
    </row>
    <row r="221" spans="1:23" ht="63" customHeight="1" x14ac:dyDescent="0.25">
      <c r="A221" s="42" t="s">
        <v>1185</v>
      </c>
      <c r="B221" s="42" t="s">
        <v>1186</v>
      </c>
      <c r="C221" s="43" t="s">
        <v>1187</v>
      </c>
      <c r="D221" s="43" t="s">
        <v>82</v>
      </c>
      <c r="E221" s="44" t="s">
        <v>1188</v>
      </c>
      <c r="F221" s="44" t="s">
        <v>1189</v>
      </c>
      <c r="G221" s="45" t="s">
        <v>34</v>
      </c>
      <c r="H221" s="47">
        <v>46077</v>
      </c>
      <c r="I221" s="47">
        <v>46084</v>
      </c>
      <c r="J221" s="43" t="s">
        <v>95</v>
      </c>
      <c r="K221" s="43" t="s">
        <v>94</v>
      </c>
      <c r="L221" s="49" t="s">
        <v>69</v>
      </c>
      <c r="M221" s="49"/>
      <c r="N221" s="49"/>
      <c r="O221" s="48"/>
      <c r="P221" s="49" t="str">
        <f t="shared" si="9"/>
        <v>ONAY</v>
      </c>
      <c r="R221" s="50" t="str">
        <f t="shared" si="10"/>
        <v/>
      </c>
      <c r="U221" s="28">
        <f>IF($C221&lt;&gt;"",COUNTIF($C$2:C221,C221),"")</f>
        <v>1</v>
      </c>
      <c r="V221" s="28" t="str">
        <f t="shared" si="11"/>
        <v>Dr. Öğr. Üyesi Gözde ÖZER§1</v>
      </c>
      <c r="W221" s="28">
        <f>IF(U221=1,COUNTIF($U$2:U221,1),"")</f>
        <v>151</v>
      </c>
    </row>
    <row r="222" spans="1:23" ht="94.5" customHeight="1" x14ac:dyDescent="0.25">
      <c r="A222" s="42" t="s">
        <v>1190</v>
      </c>
      <c r="B222" s="42" t="s">
        <v>1191</v>
      </c>
      <c r="C222" s="43" t="s">
        <v>1192</v>
      </c>
      <c r="D222" s="43" t="s">
        <v>1193</v>
      </c>
      <c r="E222" s="44" t="s">
        <v>1194</v>
      </c>
      <c r="F222" s="44" t="s">
        <v>1195</v>
      </c>
      <c r="G222" s="45" t="s">
        <v>34</v>
      </c>
      <c r="H222" s="47">
        <v>46077</v>
      </c>
      <c r="I222" s="47">
        <v>46084</v>
      </c>
      <c r="J222" s="43" t="s">
        <v>67</v>
      </c>
      <c r="K222" s="43" t="s">
        <v>121</v>
      </c>
      <c r="L222" s="49" t="s">
        <v>69</v>
      </c>
      <c r="M222" s="49"/>
      <c r="N222" s="49"/>
      <c r="O222" s="48"/>
      <c r="P222" s="49" t="str">
        <f t="shared" si="9"/>
        <v>ONAY</v>
      </c>
      <c r="R222" s="50" t="str">
        <f t="shared" si="10"/>
        <v/>
      </c>
      <c r="U222" s="28">
        <f>IF($C222&lt;&gt;"",COUNTIF($C$2:C222,C222),"")</f>
        <v>1</v>
      </c>
      <c r="V222" s="28" t="str">
        <f t="shared" si="11"/>
        <v>Prof. Dr. Betül ÇELEBİ SALTIK§1</v>
      </c>
      <c r="W222" s="28">
        <f>IF(U222=1,COUNTIF($U$2:U222,1),"")</f>
        <v>152</v>
      </c>
    </row>
    <row r="223" spans="1:23" ht="94.5" customHeight="1" x14ac:dyDescent="0.25">
      <c r="A223" s="42" t="s">
        <v>1196</v>
      </c>
      <c r="B223" s="42" t="s">
        <v>1197</v>
      </c>
      <c r="C223" s="43" t="s">
        <v>1198</v>
      </c>
      <c r="D223" s="43" t="s">
        <v>1199</v>
      </c>
      <c r="E223" s="44" t="s">
        <v>1200</v>
      </c>
      <c r="F223" s="44" t="s">
        <v>1201</v>
      </c>
      <c r="G223" s="45" t="s">
        <v>35</v>
      </c>
      <c r="H223" s="47">
        <v>46077</v>
      </c>
      <c r="I223" s="47">
        <v>46084</v>
      </c>
      <c r="J223" s="43" t="s">
        <v>68</v>
      </c>
      <c r="K223" s="43" t="s">
        <v>77</v>
      </c>
      <c r="L223" s="49" t="s">
        <v>69</v>
      </c>
      <c r="M223" s="49"/>
      <c r="N223" s="49"/>
      <c r="O223" s="48"/>
      <c r="P223" s="49" t="str">
        <f t="shared" si="9"/>
        <v>ONAY</v>
      </c>
      <c r="R223" s="50" t="str">
        <f t="shared" si="10"/>
        <v/>
      </c>
      <c r="U223" s="28">
        <f>IF($C223&lt;&gt;"",COUNTIF($C$2:C223,C223),"")</f>
        <v>1</v>
      </c>
      <c r="V223" s="28" t="str">
        <f t="shared" si="11"/>
        <v>Prof. Dr. Şehnaz ALP§1</v>
      </c>
      <c r="W223" s="28">
        <f>IF(U223=1,COUNTIF($U$2:U223,1),"")</f>
        <v>153</v>
      </c>
    </row>
    <row r="224" spans="1:23" ht="94.5" customHeight="1" x14ac:dyDescent="0.25">
      <c r="A224" s="42" t="s">
        <v>1202</v>
      </c>
      <c r="B224" s="42" t="s">
        <v>1203</v>
      </c>
      <c r="C224" s="43" t="s">
        <v>1059</v>
      </c>
      <c r="D224" s="43" t="s">
        <v>237</v>
      </c>
      <c r="E224" s="44" t="s">
        <v>1204</v>
      </c>
      <c r="F224" s="44" t="s">
        <v>1205</v>
      </c>
      <c r="G224" s="45" t="s">
        <v>34</v>
      </c>
      <c r="H224" s="47">
        <v>46078</v>
      </c>
      <c r="I224" s="47">
        <v>46084</v>
      </c>
      <c r="J224" s="43" t="s">
        <v>68</v>
      </c>
      <c r="K224" s="43" t="s">
        <v>113</v>
      </c>
      <c r="L224" s="49" t="s">
        <v>96</v>
      </c>
      <c r="M224" s="49" t="s">
        <v>69</v>
      </c>
      <c r="N224" s="49"/>
      <c r="O224" s="48"/>
      <c r="P224" s="49" t="str">
        <f t="shared" si="9"/>
        <v>ONAY</v>
      </c>
      <c r="Q224" s="27" t="s">
        <v>113</v>
      </c>
      <c r="R224" s="50" t="str">
        <f t="shared" si="10"/>
        <v/>
      </c>
      <c r="U224" s="28">
        <f>IF($C224&lt;&gt;"",COUNTIF($C$2:C224,C224),"")</f>
        <v>2</v>
      </c>
      <c r="V224" s="28" t="str">
        <f t="shared" si="11"/>
        <v>Arş. Gör. Dr. Şükran BAYRAK§2</v>
      </c>
      <c r="W224" s="28" t="str">
        <f>IF(U224=1,COUNTIF($U$2:U224,1),"")</f>
        <v/>
      </c>
    </row>
    <row r="225" spans="1:23" ht="78.75" customHeight="1" x14ac:dyDescent="0.25">
      <c r="A225" s="42" t="s">
        <v>1206</v>
      </c>
      <c r="B225" s="42" t="s">
        <v>1207</v>
      </c>
      <c r="C225" s="43" t="s">
        <v>1208</v>
      </c>
      <c r="D225" s="43" t="s">
        <v>237</v>
      </c>
      <c r="E225" s="44" t="s">
        <v>1209</v>
      </c>
      <c r="F225" s="44" t="s">
        <v>1210</v>
      </c>
      <c r="G225" s="45" t="s">
        <v>35</v>
      </c>
      <c r="H225" s="47">
        <v>46079</v>
      </c>
      <c r="I225" s="47">
        <v>46084</v>
      </c>
      <c r="J225" s="43" t="s">
        <v>67</v>
      </c>
      <c r="K225" s="43" t="s">
        <v>77</v>
      </c>
      <c r="L225" s="49" t="s">
        <v>69</v>
      </c>
      <c r="M225" s="49"/>
      <c r="N225" s="49"/>
      <c r="O225" s="48"/>
      <c r="P225" s="49" t="str">
        <f t="shared" si="9"/>
        <v>ONAY</v>
      </c>
      <c r="R225" s="50" t="str">
        <f t="shared" si="10"/>
        <v/>
      </c>
      <c r="U225" s="28">
        <f>IF($C225&lt;&gt;"",COUNTIF($C$2:C225,C225),"")</f>
        <v>1</v>
      </c>
      <c r="V225" s="28" t="str">
        <f t="shared" si="11"/>
        <v>Prof. Dr. Bora GÜLHAN§1</v>
      </c>
      <c r="W225" s="28">
        <f>IF(U225=1,COUNTIF($U$2:U225,1),"")</f>
        <v>154</v>
      </c>
    </row>
    <row r="226" spans="1:23" ht="63" customHeight="1" x14ac:dyDescent="0.25">
      <c r="A226" s="42" t="s">
        <v>1211</v>
      </c>
      <c r="B226" s="42" t="s">
        <v>1212</v>
      </c>
      <c r="C226" s="43" t="s">
        <v>109</v>
      </c>
      <c r="D226" s="43" t="s">
        <v>110</v>
      </c>
      <c r="E226" s="44" t="s">
        <v>1213</v>
      </c>
      <c r="F226" s="44" t="s">
        <v>1214</v>
      </c>
      <c r="G226" s="45" t="s">
        <v>34</v>
      </c>
      <c r="H226" s="47">
        <v>46079</v>
      </c>
      <c r="I226" s="47">
        <v>46084</v>
      </c>
      <c r="J226" s="43" t="s">
        <v>104</v>
      </c>
      <c r="K226" s="43" t="s">
        <v>94</v>
      </c>
      <c r="L226" s="49" t="s">
        <v>218</v>
      </c>
      <c r="M226" s="49" t="s">
        <v>96</v>
      </c>
      <c r="N226" s="49"/>
      <c r="O226" s="48"/>
      <c r="P226" s="49" t="str">
        <f t="shared" si="9"/>
        <v>DÜZELTME</v>
      </c>
      <c r="R226" s="50" t="str">
        <f t="shared" si="10"/>
        <v/>
      </c>
      <c r="U226" s="28">
        <f>IF($C226&lt;&gt;"",COUNTIF($C$2:C226,C226),"")</f>
        <v>8</v>
      </c>
      <c r="V226" s="28" t="str">
        <f t="shared" si="11"/>
        <v>Prof. Dr. Meltem Gülhan HALİL§8</v>
      </c>
      <c r="W226" s="28" t="str">
        <f>IF(U226=1,COUNTIF($U$2:U226,1),"")</f>
        <v/>
      </c>
    </row>
    <row r="227" spans="1:23" ht="94.5" customHeight="1" x14ac:dyDescent="0.25">
      <c r="A227" s="42" t="s">
        <v>1215</v>
      </c>
      <c r="B227" s="42" t="s">
        <v>1216</v>
      </c>
      <c r="C227" s="43" t="s">
        <v>1217</v>
      </c>
      <c r="D227" s="43" t="s">
        <v>82</v>
      </c>
      <c r="E227" s="44" t="s">
        <v>1218</v>
      </c>
      <c r="F227" s="44" t="s">
        <v>1219</v>
      </c>
      <c r="G227" s="45" t="s">
        <v>35</v>
      </c>
      <c r="H227" s="47">
        <v>46087</v>
      </c>
      <c r="I227" s="47">
        <v>46098</v>
      </c>
      <c r="J227" s="43" t="s">
        <v>86</v>
      </c>
      <c r="K227" s="43" t="s">
        <v>94</v>
      </c>
      <c r="L227" s="49" t="s">
        <v>69</v>
      </c>
      <c r="M227" s="49"/>
      <c r="N227" s="49"/>
      <c r="O227" s="48"/>
      <c r="P227" s="49" t="str">
        <f t="shared" si="9"/>
        <v>ONAY</v>
      </c>
      <c r="R227" s="50" t="str">
        <f t="shared" si="10"/>
        <v/>
      </c>
      <c r="U227" s="28">
        <f>IF($C227&lt;&gt;"",COUNTIF($C$2:C227,C227),"")</f>
        <v>1</v>
      </c>
      <c r="V227" s="28" t="str">
        <f t="shared" si="11"/>
        <v>Doç. Dr. Sevtap ARSLAN SARIKAYA§1</v>
      </c>
      <c r="W227" s="28">
        <f>IF(U227=1,COUNTIF($U$2:U227,1),"")</f>
        <v>155</v>
      </c>
    </row>
    <row r="228" spans="1:23" ht="110.25" customHeight="1" x14ac:dyDescent="0.25">
      <c r="A228" s="42" t="s">
        <v>1220</v>
      </c>
      <c r="B228" s="42" t="s">
        <v>1221</v>
      </c>
      <c r="C228" s="43" t="s">
        <v>1222</v>
      </c>
      <c r="D228" s="43" t="s">
        <v>1223</v>
      </c>
      <c r="E228" s="44" t="s">
        <v>1224</v>
      </c>
      <c r="F228" s="44" t="s">
        <v>1225</v>
      </c>
      <c r="G228" s="45" t="s">
        <v>34</v>
      </c>
      <c r="H228" s="47">
        <v>46087</v>
      </c>
      <c r="I228" s="47">
        <v>46098</v>
      </c>
      <c r="J228" s="43" t="s">
        <v>104</v>
      </c>
      <c r="K228" s="43" t="s">
        <v>68</v>
      </c>
      <c r="L228" s="49" t="s">
        <v>96</v>
      </c>
      <c r="M228" s="49"/>
      <c r="N228" s="49"/>
      <c r="O228" s="48"/>
      <c r="P228" s="49" t="str">
        <f t="shared" si="9"/>
        <v>DÜZELTME</v>
      </c>
      <c r="R228" s="50" t="str">
        <f t="shared" si="10"/>
        <v/>
      </c>
      <c r="U228" s="28">
        <f>IF($C228&lt;&gt;"",COUNTIF($C$2:C228,C228),"")</f>
        <v>1</v>
      </c>
      <c r="V228" s="28" t="str">
        <f t="shared" si="11"/>
        <v>Doç. Dr. Zeynep TÜZÜN GÜN§1</v>
      </c>
      <c r="W228" s="28">
        <f>IF(U228=1,COUNTIF($U$2:U228,1),"")</f>
        <v>156</v>
      </c>
    </row>
    <row r="229" spans="1:23" ht="78.75" customHeight="1" x14ac:dyDescent="0.25">
      <c r="A229" s="42" t="s">
        <v>1226</v>
      </c>
      <c r="B229" s="42" t="s">
        <v>1227</v>
      </c>
      <c r="C229" s="43" t="s">
        <v>1228</v>
      </c>
      <c r="D229" s="43" t="s">
        <v>395</v>
      </c>
      <c r="E229" s="44" t="s">
        <v>1229</v>
      </c>
      <c r="F229" s="44" t="s">
        <v>1230</v>
      </c>
      <c r="G229" s="45" t="s">
        <v>35</v>
      </c>
      <c r="H229" s="47">
        <v>46087</v>
      </c>
      <c r="I229" s="47">
        <v>46098</v>
      </c>
      <c r="J229" s="43" t="s">
        <v>95</v>
      </c>
      <c r="K229" s="43" t="s">
        <v>77</v>
      </c>
      <c r="L229" s="49" t="s">
        <v>69</v>
      </c>
      <c r="M229" s="49"/>
      <c r="N229" s="49"/>
      <c r="O229" s="48"/>
      <c r="P229" s="49" t="str">
        <f t="shared" si="9"/>
        <v>ONAY</v>
      </c>
      <c r="R229" s="50" t="str">
        <f t="shared" si="10"/>
        <v/>
      </c>
      <c r="U229" s="28">
        <f>IF($C229&lt;&gt;"",COUNTIF($C$2:C229,C229),"")</f>
        <v>1</v>
      </c>
      <c r="V229" s="28" t="str">
        <f t="shared" si="11"/>
        <v>Prof. Dr. Fadime İrsel TEZER FİLİK§1</v>
      </c>
      <c r="W229" s="28">
        <f>IF(U229=1,COUNTIF($U$2:U229,1),"")</f>
        <v>157</v>
      </c>
    </row>
    <row r="230" spans="1:23" ht="78.75" customHeight="1" x14ac:dyDescent="0.25">
      <c r="A230" s="42" t="s">
        <v>1231</v>
      </c>
      <c r="B230" s="42" t="s">
        <v>1232</v>
      </c>
      <c r="C230" s="43" t="s">
        <v>1233</v>
      </c>
      <c r="D230" s="43" t="s">
        <v>133</v>
      </c>
      <c r="E230" s="44" t="s">
        <v>1234</v>
      </c>
      <c r="F230" s="44" t="s">
        <v>1235</v>
      </c>
      <c r="G230" s="45" t="s">
        <v>34</v>
      </c>
      <c r="H230" s="47">
        <v>46087</v>
      </c>
      <c r="I230" s="47">
        <v>46098</v>
      </c>
      <c r="J230" s="43" t="s">
        <v>95</v>
      </c>
      <c r="K230" s="43" t="s">
        <v>85</v>
      </c>
      <c r="L230" s="49" t="s">
        <v>96</v>
      </c>
      <c r="M230" s="49" t="s">
        <v>69</v>
      </c>
      <c r="N230" s="49"/>
      <c r="O230" s="48"/>
      <c r="P230" s="49" t="str">
        <f t="shared" si="9"/>
        <v>ONAY</v>
      </c>
      <c r="Q230" s="27" t="s">
        <v>85</v>
      </c>
      <c r="R230" s="50" t="str">
        <f t="shared" si="10"/>
        <v/>
      </c>
      <c r="U230" s="28">
        <f>IF($C230&lt;&gt;"",COUNTIF($C$2:C230,C230),"")</f>
        <v>1</v>
      </c>
      <c r="V230" s="28" t="str">
        <f t="shared" si="11"/>
        <v>Doç. Dr. Kevser NALBANT§1</v>
      </c>
      <c r="W230" s="28">
        <f>IF(U230=1,COUNTIF($U$2:U230,1),"")</f>
        <v>158</v>
      </c>
    </row>
    <row r="231" spans="1:23" ht="63" customHeight="1" x14ac:dyDescent="0.25">
      <c r="A231" s="42" t="s">
        <v>1236</v>
      </c>
      <c r="B231" s="42" t="s">
        <v>1237</v>
      </c>
      <c r="C231" s="43" t="s">
        <v>1238</v>
      </c>
      <c r="D231" s="43" t="s">
        <v>237</v>
      </c>
      <c r="E231" s="44" t="s">
        <v>1239</v>
      </c>
      <c r="F231" s="44" t="s">
        <v>1240</v>
      </c>
      <c r="G231" s="45" t="s">
        <v>34</v>
      </c>
      <c r="H231" s="47">
        <v>46087</v>
      </c>
      <c r="I231" s="47">
        <v>46098</v>
      </c>
      <c r="J231" s="43" t="s">
        <v>128</v>
      </c>
      <c r="K231" s="43" t="s">
        <v>68</v>
      </c>
      <c r="L231" s="49" t="s">
        <v>96</v>
      </c>
      <c r="M231" s="49" t="s">
        <v>69</v>
      </c>
      <c r="N231" s="49"/>
      <c r="O231" s="48"/>
      <c r="P231" s="49" t="str">
        <f t="shared" si="9"/>
        <v>ONAY</v>
      </c>
      <c r="Q231" s="27" t="s">
        <v>68</v>
      </c>
      <c r="R231" s="50" t="str">
        <f t="shared" si="10"/>
        <v/>
      </c>
      <c r="U231" s="28">
        <f>IF($C231&lt;&gt;"",COUNTIF($C$2:C231,C231),"")</f>
        <v>1</v>
      </c>
      <c r="V231" s="28" t="str">
        <f t="shared" si="11"/>
        <v>Prof. Dr. Özlem TEKŞAM§1</v>
      </c>
      <c r="W231" s="28">
        <f>IF(U231=1,COUNTIF($U$2:U231,1),"")</f>
        <v>159</v>
      </c>
    </row>
    <row r="232" spans="1:23" ht="78.75" customHeight="1" x14ac:dyDescent="0.25">
      <c r="A232" s="42" t="s">
        <v>1241</v>
      </c>
      <c r="B232" s="42" t="s">
        <v>1242</v>
      </c>
      <c r="C232" s="43" t="s">
        <v>1128</v>
      </c>
      <c r="D232" s="43" t="s">
        <v>82</v>
      </c>
      <c r="E232" s="44" t="s">
        <v>1243</v>
      </c>
      <c r="F232" s="44" t="s">
        <v>1244</v>
      </c>
      <c r="G232" s="45" t="s">
        <v>35</v>
      </c>
      <c r="H232" s="47">
        <v>46087</v>
      </c>
      <c r="I232" s="47">
        <v>46098</v>
      </c>
      <c r="J232" s="43" t="s">
        <v>86</v>
      </c>
      <c r="K232" s="43" t="s">
        <v>113</v>
      </c>
      <c r="L232" s="49" t="s">
        <v>96</v>
      </c>
      <c r="M232" s="49" t="s">
        <v>69</v>
      </c>
      <c r="N232" s="49"/>
      <c r="O232" s="48"/>
      <c r="P232" s="49" t="str">
        <f t="shared" si="9"/>
        <v>ONAY</v>
      </c>
      <c r="Q232" s="27" t="s">
        <v>86</v>
      </c>
      <c r="R232" s="50" t="str">
        <f t="shared" si="10"/>
        <v/>
      </c>
      <c r="U232" s="28">
        <f>IF($C232&lt;&gt;"",COUNTIF($C$2:C232,C232),"")</f>
        <v>2</v>
      </c>
      <c r="V232" s="28" t="str">
        <f t="shared" si="11"/>
        <v>Doç. Dr. Adalet Elçin YILDIZ§2</v>
      </c>
      <c r="W232" s="28" t="str">
        <f>IF(U232=1,COUNTIF($U$2:U232,1),"")</f>
        <v/>
      </c>
    </row>
    <row r="233" spans="1:23" ht="63" customHeight="1" x14ac:dyDescent="0.25">
      <c r="A233" s="42" t="s">
        <v>1245</v>
      </c>
      <c r="B233" s="42" t="s">
        <v>1246</v>
      </c>
      <c r="C233" s="43" t="s">
        <v>421</v>
      </c>
      <c r="D233" s="43" t="s">
        <v>422</v>
      </c>
      <c r="E233" s="44" t="s">
        <v>423</v>
      </c>
      <c r="F233" s="44" t="s">
        <v>1247</v>
      </c>
      <c r="G233" s="45" t="s">
        <v>34</v>
      </c>
      <c r="H233" s="47">
        <v>46087</v>
      </c>
      <c r="I233" s="47">
        <v>46098</v>
      </c>
      <c r="J233" s="43" t="s">
        <v>77</v>
      </c>
      <c r="K233" s="43" t="s">
        <v>128</v>
      </c>
      <c r="L233" s="49" t="s">
        <v>69</v>
      </c>
      <c r="M233" s="49"/>
      <c r="N233" s="49"/>
      <c r="O233" s="48"/>
      <c r="P233" s="49" t="str">
        <f t="shared" si="9"/>
        <v>ONAY</v>
      </c>
      <c r="R233" s="50" t="str">
        <f t="shared" si="10"/>
        <v/>
      </c>
      <c r="U233" s="28">
        <f>IF($C233&lt;&gt;"",COUNTIF($C$2:C233,C233),"")</f>
        <v>4</v>
      </c>
      <c r="V233" s="28" t="str">
        <f t="shared" si="11"/>
        <v>Prof. Dr. Mehmet AYVAZ§4</v>
      </c>
      <c r="W233" s="28" t="str">
        <f>IF(U233=1,COUNTIF($U$2:U233,1),"")</f>
        <v/>
      </c>
    </row>
    <row r="234" spans="1:23" ht="63" customHeight="1" x14ac:dyDescent="0.25">
      <c r="A234" s="42" t="s">
        <v>1248</v>
      </c>
      <c r="B234" s="42" t="s">
        <v>1249</v>
      </c>
      <c r="C234" s="43" t="s">
        <v>421</v>
      </c>
      <c r="D234" s="43" t="s">
        <v>422</v>
      </c>
      <c r="E234" s="44" t="s">
        <v>940</v>
      </c>
      <c r="F234" s="44" t="s">
        <v>1250</v>
      </c>
      <c r="G234" s="45" t="s">
        <v>34</v>
      </c>
      <c r="H234" s="47">
        <v>46087</v>
      </c>
      <c r="I234" s="47">
        <v>46098</v>
      </c>
      <c r="J234" s="43" t="s">
        <v>128</v>
      </c>
      <c r="K234" s="43" t="s">
        <v>77</v>
      </c>
      <c r="L234" s="49" t="s">
        <v>69</v>
      </c>
      <c r="M234" s="49"/>
      <c r="N234" s="49"/>
      <c r="O234" s="48"/>
      <c r="P234" s="49" t="str">
        <f t="shared" si="9"/>
        <v>ONAY</v>
      </c>
      <c r="R234" s="50" t="str">
        <f t="shared" si="10"/>
        <v/>
      </c>
      <c r="U234" s="28">
        <f>IF($C234&lt;&gt;"",COUNTIF($C$2:C234,C234),"")</f>
        <v>5</v>
      </c>
      <c r="V234" s="28" t="str">
        <f t="shared" si="11"/>
        <v>Prof. Dr. Mehmet AYVAZ§5</v>
      </c>
      <c r="W234" s="28" t="str">
        <f>IF(U234=1,COUNTIF($U$2:U234,1),"")</f>
        <v/>
      </c>
    </row>
    <row r="235" spans="1:23" ht="63" customHeight="1" x14ac:dyDescent="0.25">
      <c r="A235" s="42" t="s">
        <v>1251</v>
      </c>
      <c r="B235" s="42" t="s">
        <v>1252</v>
      </c>
      <c r="C235" s="43" t="s">
        <v>421</v>
      </c>
      <c r="D235" s="43" t="s">
        <v>422</v>
      </c>
      <c r="E235" s="44" t="s">
        <v>940</v>
      </c>
      <c r="F235" s="44" t="s">
        <v>1253</v>
      </c>
      <c r="G235" s="45" t="s">
        <v>34</v>
      </c>
      <c r="H235" s="47">
        <v>46087</v>
      </c>
      <c r="I235" s="47">
        <v>46098</v>
      </c>
      <c r="J235" s="43" t="s">
        <v>128</v>
      </c>
      <c r="K235" s="43" t="s">
        <v>77</v>
      </c>
      <c r="L235" s="49" t="s">
        <v>69</v>
      </c>
      <c r="M235" s="49"/>
      <c r="N235" s="49"/>
      <c r="O235" s="48"/>
      <c r="P235" s="49" t="str">
        <f t="shared" si="9"/>
        <v>ONAY</v>
      </c>
      <c r="R235" s="50" t="str">
        <f t="shared" si="10"/>
        <v/>
      </c>
      <c r="U235" s="28">
        <f>IF($C235&lt;&gt;"",COUNTIF($C$2:C235,C235),"")</f>
        <v>6</v>
      </c>
      <c r="V235" s="28" t="str">
        <f t="shared" si="11"/>
        <v>Prof. Dr. Mehmet AYVAZ§6</v>
      </c>
      <c r="W235" s="28" t="str">
        <f>IF(U235=1,COUNTIF($U$2:U235,1),"")</f>
        <v/>
      </c>
    </row>
    <row r="236" spans="1:23" ht="63" customHeight="1" x14ac:dyDescent="0.25">
      <c r="A236" s="42" t="s">
        <v>1254</v>
      </c>
      <c r="B236" s="42" t="s">
        <v>1255</v>
      </c>
      <c r="C236" s="43" t="s">
        <v>421</v>
      </c>
      <c r="D236" s="43" t="s">
        <v>422</v>
      </c>
      <c r="E236" s="44" t="s">
        <v>940</v>
      </c>
      <c r="F236" s="44" t="s">
        <v>1256</v>
      </c>
      <c r="G236" s="45" t="s">
        <v>34</v>
      </c>
      <c r="H236" s="47">
        <v>46087</v>
      </c>
      <c r="I236" s="47">
        <v>46098</v>
      </c>
      <c r="J236" s="43" t="s">
        <v>128</v>
      </c>
      <c r="K236" s="43" t="s">
        <v>77</v>
      </c>
      <c r="L236" s="49" t="s">
        <v>156</v>
      </c>
      <c r="M236" s="49"/>
      <c r="N236" s="49"/>
      <c r="O236" s="48"/>
      <c r="P236" s="49" t="str">
        <f t="shared" si="9"/>
        <v>KAPSAM DIŞI</v>
      </c>
      <c r="R236" s="50" t="str">
        <f t="shared" si="10"/>
        <v/>
      </c>
      <c r="U236" s="28">
        <f>IF($C236&lt;&gt;"",COUNTIF($C$2:C236,C236),"")</f>
        <v>7</v>
      </c>
      <c r="V236" s="28" t="str">
        <f t="shared" si="11"/>
        <v>Prof. Dr. Mehmet AYVAZ§7</v>
      </c>
      <c r="W236" s="28" t="str">
        <f>IF(U236=1,COUNTIF($U$2:U236,1),"")</f>
        <v/>
      </c>
    </row>
    <row r="237" spans="1:23" ht="78.75" customHeight="1" x14ac:dyDescent="0.25">
      <c r="A237" s="42" t="s">
        <v>1257</v>
      </c>
      <c r="B237" s="42" t="s">
        <v>1258</v>
      </c>
      <c r="C237" s="43" t="s">
        <v>1259</v>
      </c>
      <c r="D237" s="43" t="s">
        <v>422</v>
      </c>
      <c r="E237" s="44" t="s">
        <v>1260</v>
      </c>
      <c r="F237" s="44" t="s">
        <v>1261</v>
      </c>
      <c r="G237" s="45" t="s">
        <v>34</v>
      </c>
      <c r="H237" s="47">
        <v>46087</v>
      </c>
      <c r="I237" s="47">
        <v>46098</v>
      </c>
      <c r="J237" s="43" t="s">
        <v>85</v>
      </c>
      <c r="K237" s="43" t="s">
        <v>113</v>
      </c>
      <c r="L237" s="49" t="s">
        <v>232</v>
      </c>
      <c r="M237" s="49"/>
      <c r="N237" s="49"/>
      <c r="O237" s="48"/>
      <c r="P237" s="49" t="str">
        <f t="shared" si="9"/>
        <v>KAEK</v>
      </c>
      <c r="R237" s="50" t="str">
        <f t="shared" si="10"/>
        <v/>
      </c>
      <c r="U237" s="28">
        <f>IF($C237&lt;&gt;"",COUNTIF($C$2:C237,C237),"")</f>
        <v>1</v>
      </c>
      <c r="V237" s="28" t="str">
        <f t="shared" si="11"/>
        <v>Dr. Öğr. Üyesi Gökhan AYIK§1</v>
      </c>
      <c r="W237" s="28">
        <f>IF(U237=1,COUNTIF($U$2:U237,1),"")</f>
        <v>160</v>
      </c>
    </row>
    <row r="238" spans="1:23" ht="94.5" customHeight="1" x14ac:dyDescent="0.25">
      <c r="A238" s="42" t="s">
        <v>1262</v>
      </c>
      <c r="B238" s="42" t="s">
        <v>1263</v>
      </c>
      <c r="C238" s="43" t="s">
        <v>1264</v>
      </c>
      <c r="D238" s="43" t="s">
        <v>237</v>
      </c>
      <c r="E238" s="44" t="s">
        <v>1265</v>
      </c>
      <c r="F238" s="44" t="s">
        <v>1266</v>
      </c>
      <c r="G238" s="45" t="s">
        <v>34</v>
      </c>
      <c r="H238" s="47">
        <v>46087</v>
      </c>
      <c r="I238" s="47">
        <v>46098</v>
      </c>
      <c r="J238" s="43" t="s">
        <v>94</v>
      </c>
      <c r="K238" s="43" t="s">
        <v>67</v>
      </c>
      <c r="L238" s="49" t="s">
        <v>96</v>
      </c>
      <c r="M238" s="49"/>
      <c r="N238" s="49"/>
      <c r="O238" s="48"/>
      <c r="P238" s="49" t="str">
        <f t="shared" si="9"/>
        <v>DÜZELTME</v>
      </c>
      <c r="R238" s="50" t="str">
        <f t="shared" si="10"/>
        <v/>
      </c>
      <c r="U238" s="28">
        <f>IF($C238&lt;&gt;"",COUNTIF($C$2:C238,C238),"")</f>
        <v>1</v>
      </c>
      <c r="V238" s="28" t="str">
        <f t="shared" si="11"/>
        <v>Öğr. Gör. Dr. Esin ALPDÜNDAR BULUT§1</v>
      </c>
      <c r="W238" s="28">
        <f>IF(U238=1,COUNTIF($U$2:U238,1),"")</f>
        <v>161</v>
      </c>
    </row>
    <row r="239" spans="1:23" ht="63" customHeight="1" x14ac:dyDescent="0.25">
      <c r="A239" s="42" t="s">
        <v>1267</v>
      </c>
      <c r="B239" s="42" t="s">
        <v>1268</v>
      </c>
      <c r="C239" s="43" t="s">
        <v>1269</v>
      </c>
      <c r="D239" s="43" t="s">
        <v>445</v>
      </c>
      <c r="E239" s="44" t="s">
        <v>1270</v>
      </c>
      <c r="F239" s="44" t="s">
        <v>1271</v>
      </c>
      <c r="G239" s="45" t="s">
        <v>35</v>
      </c>
      <c r="H239" s="47">
        <v>46087</v>
      </c>
      <c r="I239" s="47">
        <v>46098</v>
      </c>
      <c r="J239" s="43" t="s">
        <v>121</v>
      </c>
      <c r="K239" s="43" t="s">
        <v>94</v>
      </c>
      <c r="L239" s="49" t="s">
        <v>69</v>
      </c>
      <c r="M239" s="49"/>
      <c r="N239" s="49"/>
      <c r="O239" s="48"/>
      <c r="P239" s="49" t="str">
        <f t="shared" si="9"/>
        <v>ONAY</v>
      </c>
      <c r="R239" s="50" t="str">
        <f t="shared" si="10"/>
        <v/>
      </c>
      <c r="U239" s="28">
        <f>IF($C239&lt;&gt;"",COUNTIF($C$2:C239,C239),"")</f>
        <v>1</v>
      </c>
      <c r="V239" s="28" t="str">
        <f t="shared" si="11"/>
        <v>Prof. Dr. Güliz AKTAŞ§1</v>
      </c>
      <c r="W239" s="28">
        <f>IF(U239=1,COUNTIF($U$2:U239,1),"")</f>
        <v>162</v>
      </c>
    </row>
    <row r="240" spans="1:23" ht="94.5" customHeight="1" x14ac:dyDescent="0.25">
      <c r="A240" s="42" t="s">
        <v>1272</v>
      </c>
      <c r="B240" s="42" t="s">
        <v>1273</v>
      </c>
      <c r="C240" s="43" t="s">
        <v>1035</v>
      </c>
      <c r="D240" s="43" t="s">
        <v>320</v>
      </c>
      <c r="E240" s="44" t="s">
        <v>1274</v>
      </c>
      <c r="F240" s="44" t="s">
        <v>1275</v>
      </c>
      <c r="G240" s="45" t="s">
        <v>34</v>
      </c>
      <c r="H240" s="47">
        <v>46087</v>
      </c>
      <c r="I240" s="47">
        <v>46098</v>
      </c>
      <c r="J240" s="43" t="s">
        <v>86</v>
      </c>
      <c r="K240" s="43" t="s">
        <v>95</v>
      </c>
      <c r="L240" s="49" t="s">
        <v>96</v>
      </c>
      <c r="M240" s="49" t="s">
        <v>96</v>
      </c>
      <c r="N240" s="49" t="s">
        <v>69</v>
      </c>
      <c r="O240" s="48"/>
      <c r="P240" s="49" t="str">
        <f t="shared" si="9"/>
        <v>ONAY</v>
      </c>
      <c r="Q240" s="27" t="s">
        <v>86</v>
      </c>
      <c r="R240" s="50" t="str">
        <f t="shared" si="10"/>
        <v/>
      </c>
      <c r="U240" s="28">
        <f>IF($C240&lt;&gt;"",COUNTIF($C$2:C240,C240),"")</f>
        <v>2</v>
      </c>
      <c r="V240" s="28" t="str">
        <f t="shared" si="11"/>
        <v>Dr. Öğr. Üyesi Muhammed Çağrı KÜLEKCİ§2</v>
      </c>
      <c r="W240" s="28" t="str">
        <f>IF(U240=1,COUNTIF($U$2:U240,1),"")</f>
        <v/>
      </c>
    </row>
    <row r="241" spans="1:23" ht="81" customHeight="1" x14ac:dyDescent="0.25">
      <c r="A241" s="42" t="s">
        <v>1276</v>
      </c>
      <c r="B241" s="42" t="s">
        <v>1277</v>
      </c>
      <c r="C241" s="43" t="s">
        <v>1278</v>
      </c>
      <c r="D241" s="43" t="s">
        <v>237</v>
      </c>
      <c r="E241" s="44" t="s">
        <v>1279</v>
      </c>
      <c r="F241" s="44" t="s">
        <v>1280</v>
      </c>
      <c r="G241" s="45" t="s">
        <v>35</v>
      </c>
      <c r="H241" s="47">
        <v>46090</v>
      </c>
      <c r="I241" s="47">
        <v>46098</v>
      </c>
      <c r="J241" s="43" t="s">
        <v>85</v>
      </c>
      <c r="K241" s="43" t="s">
        <v>68</v>
      </c>
      <c r="L241" s="49" t="s">
        <v>232</v>
      </c>
      <c r="M241" s="49"/>
      <c r="N241" s="49"/>
      <c r="O241" s="48"/>
      <c r="P241" s="49" t="str">
        <f t="shared" si="9"/>
        <v>KAEK</v>
      </c>
      <c r="R241" s="50" t="str">
        <f t="shared" si="10"/>
        <v/>
      </c>
      <c r="U241" s="28">
        <f>IF($C241&lt;&gt;"",COUNTIF($C$2:C241,C241),"")</f>
        <v>1</v>
      </c>
      <c r="V241" s="28" t="str">
        <f t="shared" si="11"/>
        <v>Prof. Dr. Şule ÜNAL CANGÜL§1</v>
      </c>
      <c r="W241" s="28">
        <f>IF(U241=1,COUNTIF($U$2:U241,1),"")</f>
        <v>163</v>
      </c>
    </row>
    <row r="242" spans="1:23" ht="78.75" customHeight="1" x14ac:dyDescent="0.25">
      <c r="A242" s="42" t="s">
        <v>1281</v>
      </c>
      <c r="B242" s="42" t="s">
        <v>1282</v>
      </c>
      <c r="C242" s="43" t="s">
        <v>659</v>
      </c>
      <c r="D242" s="43" t="s">
        <v>244</v>
      </c>
      <c r="E242" s="44" t="s">
        <v>1283</v>
      </c>
      <c r="F242" s="44" t="s">
        <v>1284</v>
      </c>
      <c r="G242" s="45" t="s">
        <v>35</v>
      </c>
      <c r="H242" s="47">
        <v>46090</v>
      </c>
      <c r="I242" s="47">
        <v>46098</v>
      </c>
      <c r="J242" s="43" t="s">
        <v>67</v>
      </c>
      <c r="K242" s="43" t="s">
        <v>94</v>
      </c>
      <c r="L242" s="49" t="s">
        <v>69</v>
      </c>
      <c r="M242" s="49"/>
      <c r="N242" s="49"/>
      <c r="O242" s="48"/>
      <c r="P242" s="49" t="str">
        <f t="shared" si="9"/>
        <v>ONAY</v>
      </c>
      <c r="R242" s="50" t="str">
        <f t="shared" si="10"/>
        <v/>
      </c>
      <c r="U242" s="28">
        <f>IF($C242&lt;&gt;"",COUNTIF($C$2:C242,C242),"")</f>
        <v>3</v>
      </c>
      <c r="V242" s="28" t="str">
        <f t="shared" si="11"/>
        <v>Dr. Öğr. Üyesi Murat ÇAĞAN§3</v>
      </c>
      <c r="W242" s="28" t="str">
        <f>IF(U242=1,COUNTIF($U$2:U242,1),"")</f>
        <v/>
      </c>
    </row>
    <row r="243" spans="1:23" ht="78.75" customHeight="1" x14ac:dyDescent="0.25">
      <c r="A243" s="42" t="s">
        <v>1285</v>
      </c>
      <c r="B243" s="42" t="s">
        <v>1286</v>
      </c>
      <c r="C243" s="43" t="s">
        <v>243</v>
      </c>
      <c r="D243" s="43" t="s">
        <v>244</v>
      </c>
      <c r="E243" s="44" t="s">
        <v>1287</v>
      </c>
      <c r="F243" s="44" t="s">
        <v>1288</v>
      </c>
      <c r="G243" s="45" t="s">
        <v>34</v>
      </c>
      <c r="H243" s="47">
        <v>46090</v>
      </c>
      <c r="I243" s="47">
        <v>46098</v>
      </c>
      <c r="J243" s="43" t="s">
        <v>85</v>
      </c>
      <c r="K243" s="43" t="s">
        <v>67</v>
      </c>
      <c r="L243" s="49" t="s">
        <v>69</v>
      </c>
      <c r="M243" s="49"/>
      <c r="N243" s="49"/>
      <c r="O243" s="48"/>
      <c r="P243" s="49" t="str">
        <f t="shared" si="9"/>
        <v>ONAY</v>
      </c>
      <c r="R243" s="50" t="str">
        <f t="shared" si="10"/>
        <v/>
      </c>
      <c r="U243" s="28">
        <f>IF($C243&lt;&gt;"",COUNTIF($C$2:C243,C243),"")</f>
        <v>5</v>
      </c>
      <c r="V243" s="28" t="str">
        <f t="shared" si="11"/>
        <v>Dr. Öğr. Üyesi Gonca ÖZTEN DERE§5</v>
      </c>
      <c r="W243" s="28" t="str">
        <f>IF(U243=1,COUNTIF($U$2:U243,1),"")</f>
        <v/>
      </c>
    </row>
    <row r="244" spans="1:23" ht="126" customHeight="1" x14ac:dyDescent="0.25">
      <c r="A244" s="42" t="s">
        <v>1289</v>
      </c>
      <c r="B244" s="42" t="s">
        <v>1290</v>
      </c>
      <c r="C244" s="43" t="s">
        <v>1291</v>
      </c>
      <c r="D244" s="43" t="s">
        <v>189</v>
      </c>
      <c r="E244" s="44" t="s">
        <v>1292</v>
      </c>
      <c r="F244" s="44" t="s">
        <v>1293</v>
      </c>
      <c r="G244" s="45" t="s">
        <v>34</v>
      </c>
      <c r="H244" s="47">
        <v>46090</v>
      </c>
      <c r="I244" s="47">
        <v>46098</v>
      </c>
      <c r="J244" s="43" t="s">
        <v>85</v>
      </c>
      <c r="K244" s="43" t="s">
        <v>104</v>
      </c>
      <c r="L244" s="49" t="s">
        <v>69</v>
      </c>
      <c r="M244" s="49"/>
      <c r="N244" s="49"/>
      <c r="O244" s="48"/>
      <c r="P244" s="49" t="str">
        <f t="shared" si="9"/>
        <v>ONAY</v>
      </c>
      <c r="R244" s="50" t="str">
        <f t="shared" si="10"/>
        <v/>
      </c>
      <c r="U244" s="28">
        <f>IF($C244&lt;&gt;"",COUNTIF($C$2:C244,C244),"")</f>
        <v>1</v>
      </c>
      <c r="V244" s="28" t="str">
        <f t="shared" si="11"/>
        <v>Prof. Dr. Seda Banu AKINCI§1</v>
      </c>
      <c r="W244" s="28">
        <f>IF(U244=1,COUNTIF($U$2:U244,1),"")</f>
        <v>164</v>
      </c>
    </row>
    <row r="245" spans="1:23" ht="63" customHeight="1" x14ac:dyDescent="0.25">
      <c r="A245" s="42" t="s">
        <v>1294</v>
      </c>
      <c r="B245" s="42" t="s">
        <v>1295</v>
      </c>
      <c r="C245" s="43" t="s">
        <v>1228</v>
      </c>
      <c r="D245" s="43" t="s">
        <v>395</v>
      </c>
      <c r="E245" s="44" t="s">
        <v>1296</v>
      </c>
      <c r="F245" s="44" t="s">
        <v>1297</v>
      </c>
      <c r="G245" s="45" t="s">
        <v>34</v>
      </c>
      <c r="H245" s="47">
        <v>46090</v>
      </c>
      <c r="I245" s="47">
        <v>46098</v>
      </c>
      <c r="J245" s="43" t="s">
        <v>86</v>
      </c>
      <c r="K245" s="43" t="s">
        <v>104</v>
      </c>
      <c r="L245" s="49" t="s">
        <v>69</v>
      </c>
      <c r="M245" s="49"/>
      <c r="N245" s="49"/>
      <c r="O245" s="48"/>
      <c r="P245" s="49" t="str">
        <f t="shared" si="9"/>
        <v>ONAY</v>
      </c>
      <c r="R245" s="50" t="str">
        <f t="shared" si="10"/>
        <v/>
      </c>
      <c r="U245" s="28">
        <f>IF($C245&lt;&gt;"",COUNTIF($C$2:C245,C245),"")</f>
        <v>2</v>
      </c>
      <c r="V245" s="28" t="str">
        <f t="shared" si="11"/>
        <v>Prof. Dr. Fadime İrsel TEZER FİLİK§2</v>
      </c>
      <c r="W245" s="28" t="str">
        <f>IF(U245=1,COUNTIF($U$2:U245,1),"")</f>
        <v/>
      </c>
    </row>
    <row r="246" spans="1:23" ht="78.75" customHeight="1" x14ac:dyDescent="0.25">
      <c r="A246" s="42" t="s">
        <v>1298</v>
      </c>
      <c r="B246" s="42" t="s">
        <v>1299</v>
      </c>
      <c r="C246" s="43" t="s">
        <v>109</v>
      </c>
      <c r="D246" s="43" t="s">
        <v>110</v>
      </c>
      <c r="E246" s="44" t="s">
        <v>1300</v>
      </c>
      <c r="F246" s="44" t="s">
        <v>1301</v>
      </c>
      <c r="G246" s="45" t="s">
        <v>34</v>
      </c>
      <c r="H246" s="47">
        <v>46090</v>
      </c>
      <c r="I246" s="47">
        <v>46098</v>
      </c>
      <c r="J246" s="43" t="s">
        <v>113</v>
      </c>
      <c r="K246" s="43" t="s">
        <v>104</v>
      </c>
      <c r="L246" s="49" t="s">
        <v>96</v>
      </c>
      <c r="M246" s="49" t="s">
        <v>69</v>
      </c>
      <c r="N246" s="49"/>
      <c r="O246" s="48"/>
      <c r="P246" s="49" t="str">
        <f t="shared" si="9"/>
        <v>ONAY</v>
      </c>
      <c r="Q246" s="27" t="s">
        <v>113</v>
      </c>
      <c r="R246" s="50" t="str">
        <f t="shared" si="10"/>
        <v/>
      </c>
      <c r="U246" s="28">
        <f>IF($C246&lt;&gt;"",COUNTIF($C$2:C246,C246),"")</f>
        <v>9</v>
      </c>
      <c r="V246" s="28" t="str">
        <f t="shared" si="11"/>
        <v>Prof. Dr. Meltem Gülhan HALİL§9</v>
      </c>
      <c r="W246" s="28" t="str">
        <f>IF(U246=1,COUNTIF($U$2:U246,1),"")</f>
        <v/>
      </c>
    </row>
    <row r="247" spans="1:23" ht="94.5" customHeight="1" x14ac:dyDescent="0.25">
      <c r="A247" s="42" t="s">
        <v>1302</v>
      </c>
      <c r="B247" s="42" t="s">
        <v>1303</v>
      </c>
      <c r="C247" s="43" t="s">
        <v>1304</v>
      </c>
      <c r="D247" s="43" t="s">
        <v>189</v>
      </c>
      <c r="E247" s="44" t="s">
        <v>1305</v>
      </c>
      <c r="F247" s="44" t="s">
        <v>1306</v>
      </c>
      <c r="G247" s="45" t="s">
        <v>35</v>
      </c>
      <c r="H247" s="47">
        <v>46090</v>
      </c>
      <c r="I247" s="47">
        <v>46098</v>
      </c>
      <c r="J247" s="43" t="s">
        <v>104</v>
      </c>
      <c r="K247" s="43" t="s">
        <v>95</v>
      </c>
      <c r="L247" s="49" t="s">
        <v>218</v>
      </c>
      <c r="M247" s="49" t="s">
        <v>156</v>
      </c>
      <c r="N247" s="49"/>
      <c r="O247" s="48"/>
      <c r="P247" s="49" t="str">
        <f t="shared" si="9"/>
        <v>KAPSAM DIŞI</v>
      </c>
      <c r="R247" s="50" t="str">
        <f t="shared" si="10"/>
        <v/>
      </c>
      <c r="U247" s="28">
        <f>IF($C247&lt;&gt;"",COUNTIF($C$2:C247,C247),"")</f>
        <v>1</v>
      </c>
      <c r="V247" s="28" t="str">
        <f t="shared" si="11"/>
        <v>Doç. Dr. Başak AKÇA§1</v>
      </c>
      <c r="W247" s="28">
        <f>IF(U247=1,COUNTIF($U$2:U247,1),"")</f>
        <v>165</v>
      </c>
    </row>
    <row r="248" spans="1:23" ht="94.5" customHeight="1" x14ac:dyDescent="0.25">
      <c r="A248" s="42" t="s">
        <v>1307</v>
      </c>
      <c r="B248" s="42" t="s">
        <v>1308</v>
      </c>
      <c r="C248" s="43" t="s">
        <v>1309</v>
      </c>
      <c r="D248" s="43" t="s">
        <v>422</v>
      </c>
      <c r="E248" s="44" t="s">
        <v>1310</v>
      </c>
      <c r="F248" s="44" t="s">
        <v>1311</v>
      </c>
      <c r="G248" s="45" t="s">
        <v>34</v>
      </c>
      <c r="H248" s="47">
        <v>46090</v>
      </c>
      <c r="I248" s="47">
        <v>46098</v>
      </c>
      <c r="J248" s="43" t="s">
        <v>94</v>
      </c>
      <c r="K248" s="43" t="s">
        <v>121</v>
      </c>
      <c r="L248" s="49" t="s">
        <v>96</v>
      </c>
      <c r="M248" s="49" t="s">
        <v>69</v>
      </c>
      <c r="N248" s="49"/>
      <c r="O248" s="48"/>
      <c r="P248" s="49" t="str">
        <f t="shared" si="9"/>
        <v>ONAY</v>
      </c>
      <c r="Q248" s="27" t="s">
        <v>1312</v>
      </c>
      <c r="R248" s="50" t="str">
        <f t="shared" si="10"/>
        <v/>
      </c>
      <c r="U248" s="28">
        <f>IF($C248&lt;&gt;"",COUNTIF($C$2:C248,C248),"")</f>
        <v>1</v>
      </c>
      <c r="V248" s="28" t="str">
        <f t="shared" si="11"/>
        <v>Prof. Dr. Mehmet Cemalettin AKSOY§1</v>
      </c>
      <c r="W248" s="28">
        <f>IF(U248=1,COUNTIF($U$2:U248,1),"")</f>
        <v>166</v>
      </c>
    </row>
    <row r="249" spans="1:23" ht="141.75" customHeight="1" x14ac:dyDescent="0.25">
      <c r="A249" s="42" t="s">
        <v>1313</v>
      </c>
      <c r="B249" s="42" t="s">
        <v>1314</v>
      </c>
      <c r="C249" s="43" t="s">
        <v>400</v>
      </c>
      <c r="D249" s="43" t="s">
        <v>372</v>
      </c>
      <c r="E249" s="44" t="s">
        <v>1315</v>
      </c>
      <c r="F249" s="44" t="s">
        <v>1316</v>
      </c>
      <c r="G249" s="45" t="s">
        <v>35</v>
      </c>
      <c r="H249" s="47">
        <v>46090</v>
      </c>
      <c r="I249" s="47">
        <v>46098</v>
      </c>
      <c r="J249" s="43" t="s">
        <v>128</v>
      </c>
      <c r="K249" s="43" t="s">
        <v>113</v>
      </c>
      <c r="L249" s="49" t="s">
        <v>96</v>
      </c>
      <c r="M249" s="49" t="s">
        <v>69</v>
      </c>
      <c r="N249" s="49"/>
      <c r="O249" s="48"/>
      <c r="P249" s="49" t="str">
        <f t="shared" si="9"/>
        <v>ONAY</v>
      </c>
      <c r="Q249" s="27" t="s">
        <v>113</v>
      </c>
      <c r="R249" s="50" t="str">
        <f t="shared" si="10"/>
        <v/>
      </c>
      <c r="U249" s="28">
        <f>IF($C249&lt;&gt;"",COUNTIF($C$2:C249,C249),"")</f>
        <v>3</v>
      </c>
      <c r="V249" s="28" t="str">
        <f t="shared" si="11"/>
        <v>Doç. Dr. Başak YALICI ARMAĞAN§3</v>
      </c>
      <c r="W249" s="28" t="str">
        <f>IF(U249=1,COUNTIF($U$2:U249,1),"")</f>
        <v/>
      </c>
    </row>
    <row r="250" spans="1:23" ht="111" customHeight="1" x14ac:dyDescent="0.25">
      <c r="A250" s="42" t="s">
        <v>1317</v>
      </c>
      <c r="B250" s="42" t="s">
        <v>1318</v>
      </c>
      <c r="C250" s="43" t="s">
        <v>243</v>
      </c>
      <c r="D250" s="43" t="s">
        <v>244</v>
      </c>
      <c r="E250" s="44" t="s">
        <v>1319</v>
      </c>
      <c r="F250" s="44" t="s">
        <v>1320</v>
      </c>
      <c r="G250" s="45" t="s">
        <v>34</v>
      </c>
      <c r="H250" s="47">
        <v>46090</v>
      </c>
      <c r="I250" s="47">
        <v>46098</v>
      </c>
      <c r="J250" s="43" t="s">
        <v>85</v>
      </c>
      <c r="K250" s="43" t="s">
        <v>121</v>
      </c>
      <c r="L250" s="49" t="s">
        <v>69</v>
      </c>
      <c r="M250" s="49"/>
      <c r="N250" s="49"/>
      <c r="O250" s="48"/>
      <c r="P250" s="49" t="str">
        <f t="shared" si="9"/>
        <v>ONAY</v>
      </c>
      <c r="R250" s="50" t="str">
        <f t="shared" si="10"/>
        <v/>
      </c>
      <c r="U250" s="28">
        <f>IF($C250&lt;&gt;"",COUNTIF($C$2:C250,C250),"")</f>
        <v>6</v>
      </c>
      <c r="V250" s="28" t="str">
        <f t="shared" si="11"/>
        <v>Dr. Öğr. Üyesi Gonca ÖZTEN DERE§6</v>
      </c>
      <c r="W250" s="28" t="str">
        <f>IF(U250=1,COUNTIF($U$2:U250,1),"")</f>
        <v/>
      </c>
    </row>
    <row r="251" spans="1:23" ht="63" customHeight="1" x14ac:dyDescent="0.25">
      <c r="A251" s="42" t="s">
        <v>1321</v>
      </c>
      <c r="B251" s="42" t="s">
        <v>1322</v>
      </c>
      <c r="C251" s="43" t="s">
        <v>654</v>
      </c>
      <c r="D251" s="43" t="s">
        <v>175</v>
      </c>
      <c r="E251" s="44" t="s">
        <v>1323</v>
      </c>
      <c r="F251" s="44" t="s">
        <v>1324</v>
      </c>
      <c r="G251" s="45" t="s">
        <v>34</v>
      </c>
      <c r="H251" s="47">
        <v>46090</v>
      </c>
      <c r="I251" s="47">
        <v>46098</v>
      </c>
      <c r="J251" s="43" t="s">
        <v>67</v>
      </c>
      <c r="K251" s="43" t="s">
        <v>68</v>
      </c>
      <c r="L251" s="49" t="s">
        <v>96</v>
      </c>
      <c r="M251" s="49" t="s">
        <v>69</v>
      </c>
      <c r="N251" s="49"/>
      <c r="O251" s="48"/>
      <c r="P251" s="49" t="str">
        <f t="shared" si="9"/>
        <v>ONAY</v>
      </c>
      <c r="Q251" s="27" t="s">
        <v>67</v>
      </c>
      <c r="R251" s="50" t="str">
        <f t="shared" si="10"/>
        <v/>
      </c>
      <c r="U251" s="28">
        <f>IF($C251&lt;&gt;"",COUNTIF($C$2:C251,C251),"")</f>
        <v>2</v>
      </c>
      <c r="V251" s="28" t="str">
        <f t="shared" si="11"/>
        <v>Öğr. Gör. Dr. Aytekin İDİKUT§2</v>
      </c>
      <c r="W251" s="28" t="str">
        <f>IF(U251=1,COUNTIF($U$2:U251,1),"")</f>
        <v/>
      </c>
    </row>
    <row r="252" spans="1:23" ht="63" customHeight="1" x14ac:dyDescent="0.25">
      <c r="A252" s="42" t="s">
        <v>1325</v>
      </c>
      <c r="B252" s="42" t="s">
        <v>1326</v>
      </c>
      <c r="C252" s="43" t="s">
        <v>879</v>
      </c>
      <c r="D252" s="43" t="s">
        <v>422</v>
      </c>
      <c r="E252" s="44" t="s">
        <v>1327</v>
      </c>
      <c r="F252" s="44" t="s">
        <v>1328</v>
      </c>
      <c r="G252" s="45" t="s">
        <v>34</v>
      </c>
      <c r="H252" s="47">
        <v>46090</v>
      </c>
      <c r="I252" s="47">
        <v>46098</v>
      </c>
      <c r="J252" s="43" t="s">
        <v>86</v>
      </c>
      <c r="K252" s="43" t="s">
        <v>95</v>
      </c>
      <c r="L252" s="49" t="s">
        <v>69</v>
      </c>
      <c r="M252" s="49"/>
      <c r="N252" s="49"/>
      <c r="O252" s="48"/>
      <c r="P252" s="49" t="str">
        <f t="shared" si="9"/>
        <v>ONAY</v>
      </c>
      <c r="R252" s="50" t="str">
        <f t="shared" si="10"/>
        <v/>
      </c>
      <c r="U252" s="28">
        <f>IF($C252&lt;&gt;"",COUNTIF($C$2:C252,C252),"")</f>
        <v>2</v>
      </c>
      <c r="V252" s="28" t="str">
        <f t="shared" si="11"/>
        <v>Dr. Öğr. Üyesi Barış KAFA§2</v>
      </c>
      <c r="W252" s="28" t="str">
        <f>IF(U252=1,COUNTIF($U$2:U252,1),"")</f>
        <v/>
      </c>
    </row>
    <row r="253" spans="1:23" ht="63" customHeight="1" x14ac:dyDescent="0.25">
      <c r="A253" s="42" t="s">
        <v>1329</v>
      </c>
      <c r="B253" s="42" t="s">
        <v>1330</v>
      </c>
      <c r="C253" s="43" t="s">
        <v>1331</v>
      </c>
      <c r="D253" s="43" t="s">
        <v>244</v>
      </c>
      <c r="E253" s="44" t="s">
        <v>1332</v>
      </c>
      <c r="F253" s="44" t="s">
        <v>1333</v>
      </c>
      <c r="G253" s="45" t="s">
        <v>34</v>
      </c>
      <c r="H253" s="47">
        <v>46090</v>
      </c>
      <c r="I253" s="47">
        <v>46098</v>
      </c>
      <c r="J253" s="43" t="s">
        <v>85</v>
      </c>
      <c r="K253" s="43" t="s">
        <v>94</v>
      </c>
      <c r="L253" s="49" t="s">
        <v>178</v>
      </c>
      <c r="M253" s="49"/>
      <c r="N253" s="49"/>
      <c r="O253" s="48"/>
      <c r="P253" s="49" t="str">
        <f t="shared" si="9"/>
        <v>RET</v>
      </c>
      <c r="R253" s="50" t="str">
        <f t="shared" si="10"/>
        <v/>
      </c>
      <c r="U253" s="28">
        <f>IF($C253&lt;&gt;"",COUNTIF($C$2:C253,C253),"")</f>
        <v>1</v>
      </c>
      <c r="V253" s="28" t="str">
        <f t="shared" si="11"/>
        <v>Prof. Dr. Murat GÜLTEKİN§1</v>
      </c>
      <c r="W253" s="28">
        <f>IF(U253=1,COUNTIF($U$2:U253,1),"")</f>
        <v>167</v>
      </c>
    </row>
    <row r="254" spans="1:23" ht="78.75" customHeight="1" x14ac:dyDescent="0.25">
      <c r="A254" s="42" t="s">
        <v>1334</v>
      </c>
      <c r="B254" s="42" t="s">
        <v>1335</v>
      </c>
      <c r="C254" s="43" t="s">
        <v>455</v>
      </c>
      <c r="D254" s="43" t="s">
        <v>395</v>
      </c>
      <c r="E254" s="44" t="s">
        <v>1336</v>
      </c>
      <c r="F254" s="44" t="s">
        <v>1337</v>
      </c>
      <c r="G254" s="45" t="s">
        <v>34</v>
      </c>
      <c r="H254" s="47">
        <v>46090</v>
      </c>
      <c r="I254" s="47">
        <v>46098</v>
      </c>
      <c r="J254" s="43" t="s">
        <v>113</v>
      </c>
      <c r="K254" s="43" t="s">
        <v>86</v>
      </c>
      <c r="L254" s="49" t="s">
        <v>69</v>
      </c>
      <c r="M254" s="49"/>
      <c r="N254" s="49"/>
      <c r="O254" s="48"/>
      <c r="P254" s="49" t="str">
        <f t="shared" si="9"/>
        <v>ONAY</v>
      </c>
      <c r="R254" s="50" t="str">
        <f t="shared" si="10"/>
        <v/>
      </c>
      <c r="U254" s="28">
        <f>IF($C254&lt;&gt;"",COUNTIF($C$2:C254,C254),"")</f>
        <v>2</v>
      </c>
      <c r="V254" s="28" t="str">
        <f t="shared" si="11"/>
        <v>Prof. Dr. Fatma Gökçem YILDIZ SARIKAYA§2</v>
      </c>
      <c r="W254" s="28" t="str">
        <f>IF(U254=1,COUNTIF($U$2:U254,1),"")</f>
        <v/>
      </c>
    </row>
    <row r="255" spans="1:23" ht="78.75" customHeight="1" x14ac:dyDescent="0.25">
      <c r="A255" s="42" t="s">
        <v>1338</v>
      </c>
      <c r="B255" s="42" t="s">
        <v>1339</v>
      </c>
      <c r="C255" s="43" t="s">
        <v>683</v>
      </c>
      <c r="D255" s="43" t="s">
        <v>395</v>
      </c>
      <c r="E255" s="44" t="s">
        <v>1340</v>
      </c>
      <c r="F255" s="44" t="s">
        <v>1341</v>
      </c>
      <c r="G255" s="45" t="s">
        <v>34</v>
      </c>
      <c r="H255" s="47">
        <v>46090</v>
      </c>
      <c r="I255" s="47">
        <v>46098</v>
      </c>
      <c r="J255" s="43" t="s">
        <v>104</v>
      </c>
      <c r="K255" s="43" t="s">
        <v>113</v>
      </c>
      <c r="L255" s="49" t="s">
        <v>69</v>
      </c>
      <c r="M255" s="49"/>
      <c r="N255" s="49"/>
      <c r="O255" s="48"/>
      <c r="P255" s="49" t="str">
        <f t="shared" si="9"/>
        <v>ONAY</v>
      </c>
      <c r="R255" s="50" t="str">
        <f t="shared" si="10"/>
        <v/>
      </c>
      <c r="U255" s="28">
        <f>IF($C255&lt;&gt;"",COUNTIF($C$2:C255,C255),"")</f>
        <v>3</v>
      </c>
      <c r="V255" s="28" t="str">
        <f t="shared" si="11"/>
        <v>Prof. Dr. Çağrı Mesut TEMUÇİN§3</v>
      </c>
      <c r="W255" s="28" t="str">
        <f>IF(U255=1,COUNTIF($U$2:U255,1),"")</f>
        <v/>
      </c>
    </row>
    <row r="256" spans="1:23" ht="78.75" customHeight="1" x14ac:dyDescent="0.25">
      <c r="A256" s="42" t="s">
        <v>1342</v>
      </c>
      <c r="B256" s="42" t="s">
        <v>1343</v>
      </c>
      <c r="C256" s="43" t="s">
        <v>664</v>
      </c>
      <c r="D256" s="43" t="s">
        <v>244</v>
      </c>
      <c r="E256" s="44" t="s">
        <v>1344</v>
      </c>
      <c r="F256" s="44" t="s">
        <v>1345</v>
      </c>
      <c r="G256" s="45" t="s">
        <v>34</v>
      </c>
      <c r="H256" s="47">
        <v>46090</v>
      </c>
      <c r="I256" s="47">
        <v>46098</v>
      </c>
      <c r="J256" s="43" t="s">
        <v>128</v>
      </c>
      <c r="K256" s="43" t="s">
        <v>77</v>
      </c>
      <c r="L256" s="49" t="s">
        <v>69</v>
      </c>
      <c r="M256" s="49"/>
      <c r="N256" s="49"/>
      <c r="O256" s="48"/>
      <c r="P256" s="49" t="str">
        <f t="shared" si="9"/>
        <v>ONAY</v>
      </c>
      <c r="R256" s="50" t="str">
        <f t="shared" si="10"/>
        <v/>
      </c>
      <c r="U256" s="28">
        <f>IF($C256&lt;&gt;"",COUNTIF($C$2:C256,C256),"")</f>
        <v>3</v>
      </c>
      <c r="V256" s="28" t="str">
        <f t="shared" si="11"/>
        <v>Doç. Dr. Utku AKGÖR§3</v>
      </c>
      <c r="W256" s="28" t="str">
        <f>IF(U256=1,COUNTIF($U$2:U256,1),"")</f>
        <v/>
      </c>
    </row>
    <row r="257" spans="1:23" ht="78.75" customHeight="1" x14ac:dyDescent="0.25">
      <c r="A257" s="42" t="s">
        <v>1346</v>
      </c>
      <c r="B257" s="42" t="s">
        <v>1347</v>
      </c>
      <c r="C257" s="43" t="s">
        <v>427</v>
      </c>
      <c r="D257" s="43" t="s">
        <v>428</v>
      </c>
      <c r="E257" s="44" t="s">
        <v>1348</v>
      </c>
      <c r="F257" s="44" t="s">
        <v>1349</v>
      </c>
      <c r="G257" s="45" t="s">
        <v>37</v>
      </c>
      <c r="H257" s="47">
        <v>46090</v>
      </c>
      <c r="I257" s="47">
        <v>46098</v>
      </c>
      <c r="J257" s="43" t="s">
        <v>67</v>
      </c>
      <c r="K257" s="43" t="s">
        <v>77</v>
      </c>
      <c r="L257" s="49" t="s">
        <v>96</v>
      </c>
      <c r="M257" s="49" t="s">
        <v>69</v>
      </c>
      <c r="N257" s="49"/>
      <c r="O257" s="48"/>
      <c r="P257" s="49" t="str">
        <f t="shared" si="9"/>
        <v>ONAY</v>
      </c>
      <c r="Q257" s="27" t="s">
        <v>67</v>
      </c>
      <c r="R257" s="50" t="str">
        <f t="shared" si="10"/>
        <v/>
      </c>
      <c r="U257" s="28">
        <f>IF($C257&lt;&gt;"",COUNTIF($C$2:C257,C257),"")</f>
        <v>4</v>
      </c>
      <c r="V257" s="28" t="str">
        <f t="shared" si="11"/>
        <v>Prof. Dr. Salih Kutay DEMİRKAN§4</v>
      </c>
      <c r="W257" s="28" t="str">
        <f>IF(U257=1,COUNTIF($U$2:U257,1),"")</f>
        <v/>
      </c>
    </row>
    <row r="258" spans="1:23" ht="63" customHeight="1" x14ac:dyDescent="0.25">
      <c r="A258" s="42" t="s">
        <v>1350</v>
      </c>
      <c r="B258" s="42" t="s">
        <v>1351</v>
      </c>
      <c r="C258" s="43" t="s">
        <v>1352</v>
      </c>
      <c r="D258" s="43" t="s">
        <v>229</v>
      </c>
      <c r="E258" s="44" t="s">
        <v>1353</v>
      </c>
      <c r="F258" s="44" t="s">
        <v>1354</v>
      </c>
      <c r="G258" s="45" t="s">
        <v>34</v>
      </c>
      <c r="H258" s="47">
        <v>46090</v>
      </c>
      <c r="I258" s="47">
        <v>46098</v>
      </c>
      <c r="J258" s="43" t="s">
        <v>121</v>
      </c>
      <c r="K258" s="43" t="s">
        <v>68</v>
      </c>
      <c r="L258" s="49" t="s">
        <v>96</v>
      </c>
      <c r="M258" s="49" t="s">
        <v>431</v>
      </c>
      <c r="N258" s="49"/>
      <c r="O258" s="48"/>
      <c r="P258" s="49" t="str">
        <f t="shared" ref="P258:P321" si="12">IF(O258&lt;&gt;"",O258, IF(N258&lt;&gt;"",N258, IF(M258&lt;&gt;"",M258, L258)))</f>
        <v>GERİ ÇEKİLDİ</v>
      </c>
      <c r="R258" s="50" t="str">
        <f t="shared" ref="R258:R321" si="13">IF(AND($I258&lt;&gt;"",$I258&gt;=DATE(2026,6,23),COUNTIFS($C:$C,$C258,$I:$I,$I258)&gt;2),"⚠ "&amp;COUNTIFS($C:$C,$C258,$I:$I,$I258)&amp;" BAŞVURU!","")</f>
        <v/>
      </c>
      <c r="U258" s="28">
        <f>IF($C258&lt;&gt;"",COUNTIF($C$2:C258,C258),"")</f>
        <v>1</v>
      </c>
      <c r="V258" s="28" t="str">
        <f t="shared" ref="V258:V321" si="14">IF($C258&lt;&gt;"",C258&amp;"§"&amp;U258,"")</f>
        <v>Dr. Öğr. Üyesi Selen ADİLOĞLU§1</v>
      </c>
      <c r="W258" s="28">
        <f>IF(U258=1,COUNTIF($U$2:U258,1),"")</f>
        <v>168</v>
      </c>
    </row>
    <row r="259" spans="1:23" ht="80.25" customHeight="1" x14ac:dyDescent="0.25">
      <c r="A259" s="42" t="s">
        <v>1355</v>
      </c>
      <c r="B259" s="42" t="s">
        <v>1356</v>
      </c>
      <c r="C259" s="43" t="s">
        <v>1352</v>
      </c>
      <c r="D259" s="43" t="s">
        <v>229</v>
      </c>
      <c r="E259" s="44" t="s">
        <v>1353</v>
      </c>
      <c r="F259" s="44" t="s">
        <v>1357</v>
      </c>
      <c r="G259" s="45" t="s">
        <v>34</v>
      </c>
      <c r="H259" s="47">
        <v>46090</v>
      </c>
      <c r="I259" s="47">
        <v>46098</v>
      </c>
      <c r="J259" s="43" t="s">
        <v>121</v>
      </c>
      <c r="K259" s="43" t="s">
        <v>94</v>
      </c>
      <c r="L259" s="49" t="s">
        <v>96</v>
      </c>
      <c r="M259" s="49" t="s">
        <v>69</v>
      </c>
      <c r="N259" s="49"/>
      <c r="O259" s="48"/>
      <c r="P259" s="49" t="str">
        <f t="shared" si="12"/>
        <v>ONAY</v>
      </c>
      <c r="Q259" s="27" t="s">
        <v>121</v>
      </c>
      <c r="R259" s="50" t="str">
        <f t="shared" si="13"/>
        <v/>
      </c>
      <c r="U259" s="28">
        <f>IF($C259&lt;&gt;"",COUNTIF($C$2:C259,C259),"")</f>
        <v>2</v>
      </c>
      <c r="V259" s="28" t="str">
        <f t="shared" si="14"/>
        <v>Dr. Öğr. Üyesi Selen ADİLOĞLU§2</v>
      </c>
      <c r="W259" s="28" t="str">
        <f>IF(U259=1,COUNTIF($U$2:U259,1),"")</f>
        <v/>
      </c>
    </row>
    <row r="260" spans="1:23" ht="78.75" customHeight="1" x14ac:dyDescent="0.25">
      <c r="A260" s="42" t="s">
        <v>1358</v>
      </c>
      <c r="B260" s="42" t="s">
        <v>1359</v>
      </c>
      <c r="C260" s="43" t="s">
        <v>1360</v>
      </c>
      <c r="D260" s="43" t="s">
        <v>237</v>
      </c>
      <c r="E260" s="44" t="s">
        <v>1361</v>
      </c>
      <c r="F260" s="44" t="s">
        <v>1362</v>
      </c>
      <c r="G260" s="45" t="s">
        <v>34</v>
      </c>
      <c r="H260" s="47">
        <v>46090</v>
      </c>
      <c r="I260" s="47">
        <v>46098</v>
      </c>
      <c r="J260" s="43" t="s">
        <v>68</v>
      </c>
      <c r="K260" s="43" t="s">
        <v>95</v>
      </c>
      <c r="L260" s="49" t="s">
        <v>69</v>
      </c>
      <c r="M260" s="49"/>
      <c r="N260" s="49"/>
      <c r="O260" s="48"/>
      <c r="P260" s="49" t="str">
        <f t="shared" si="12"/>
        <v>ONAY</v>
      </c>
      <c r="R260" s="50" t="str">
        <f t="shared" si="13"/>
        <v/>
      </c>
      <c r="U260" s="28">
        <f>IF($C260&lt;&gt;"",COUNTIF($C$2:C260,C260),"")</f>
        <v>1</v>
      </c>
      <c r="V260" s="28" t="str">
        <f t="shared" si="14"/>
        <v>Prof. Dr. Bülent Enis ŞEKEREL§1</v>
      </c>
      <c r="W260" s="28">
        <f>IF(U260=1,COUNTIF($U$2:U260,1),"")</f>
        <v>169</v>
      </c>
    </row>
    <row r="261" spans="1:23" ht="94.5" customHeight="1" x14ac:dyDescent="0.25">
      <c r="A261" s="42" t="s">
        <v>1363</v>
      </c>
      <c r="B261" s="42" t="s">
        <v>1364</v>
      </c>
      <c r="C261" s="43" t="s">
        <v>236</v>
      </c>
      <c r="D261" s="43" t="s">
        <v>237</v>
      </c>
      <c r="E261" s="44" t="s">
        <v>1365</v>
      </c>
      <c r="F261" s="44" t="s">
        <v>1366</v>
      </c>
      <c r="G261" s="45" t="s">
        <v>34</v>
      </c>
      <c r="H261" s="47">
        <v>46090</v>
      </c>
      <c r="I261" s="47">
        <v>46098</v>
      </c>
      <c r="J261" s="43" t="s">
        <v>67</v>
      </c>
      <c r="K261" s="43" t="s">
        <v>85</v>
      </c>
      <c r="L261" s="49" t="s">
        <v>96</v>
      </c>
      <c r="M261" s="49" t="s">
        <v>96</v>
      </c>
      <c r="N261" s="49" t="s">
        <v>69</v>
      </c>
      <c r="O261" s="48"/>
      <c r="P261" s="49" t="str">
        <f t="shared" si="12"/>
        <v>ONAY</v>
      </c>
      <c r="Q261" s="27" t="s">
        <v>67</v>
      </c>
      <c r="R261" s="50" t="str">
        <f t="shared" si="13"/>
        <v/>
      </c>
      <c r="U261" s="28">
        <f>IF($C261&lt;&gt;"",COUNTIF($C$2:C261,C261),"")</f>
        <v>2</v>
      </c>
      <c r="V261" s="28" t="str">
        <f t="shared" si="14"/>
        <v>Prof. Dr. Seza ÖZEN§2</v>
      </c>
      <c r="W261" s="28" t="str">
        <f>IF(U261=1,COUNTIF($U$2:U261,1),"")</f>
        <v/>
      </c>
    </row>
    <row r="262" spans="1:23" ht="96" customHeight="1" x14ac:dyDescent="0.25">
      <c r="A262" s="42" t="s">
        <v>1367</v>
      </c>
      <c r="B262" s="42" t="s">
        <v>1368</v>
      </c>
      <c r="C262" s="43" t="s">
        <v>1369</v>
      </c>
      <c r="D262" s="43" t="s">
        <v>237</v>
      </c>
      <c r="E262" s="44" t="s">
        <v>1370</v>
      </c>
      <c r="F262" s="44" t="s">
        <v>1371</v>
      </c>
      <c r="G262" s="45" t="s">
        <v>34</v>
      </c>
      <c r="H262" s="47">
        <v>46090</v>
      </c>
      <c r="I262" s="47">
        <v>46098</v>
      </c>
      <c r="J262" s="43" t="s">
        <v>95</v>
      </c>
      <c r="K262" s="43" t="s">
        <v>113</v>
      </c>
      <c r="L262" s="49" t="s">
        <v>69</v>
      </c>
      <c r="M262" s="49"/>
      <c r="N262" s="49"/>
      <c r="O262" s="48"/>
      <c r="P262" s="49" t="str">
        <f t="shared" si="12"/>
        <v>ONAY</v>
      </c>
      <c r="R262" s="50" t="str">
        <f t="shared" si="13"/>
        <v/>
      </c>
      <c r="U262" s="28">
        <f>IF($C262&lt;&gt;"",COUNTIF($C$2:C262,C262),"")</f>
        <v>1</v>
      </c>
      <c r="V262" s="28" t="str">
        <f t="shared" si="14"/>
        <v>Doç. Dr. Leman AKCAN YILDIZ§1</v>
      </c>
      <c r="W262" s="28">
        <f>IF(U262=1,COUNTIF($U$2:U262,1),"")</f>
        <v>170</v>
      </c>
    </row>
    <row r="263" spans="1:23" ht="95.25" customHeight="1" x14ac:dyDescent="0.25">
      <c r="A263" s="42" t="s">
        <v>1372</v>
      </c>
      <c r="B263" s="42" t="s">
        <v>1373</v>
      </c>
      <c r="C263" s="43" t="s">
        <v>1374</v>
      </c>
      <c r="D263" s="43" t="s">
        <v>1375</v>
      </c>
      <c r="E263" s="44" t="s">
        <v>1376</v>
      </c>
      <c r="F263" s="44" t="s">
        <v>1377</v>
      </c>
      <c r="G263" s="45" t="s">
        <v>35</v>
      </c>
      <c r="H263" s="47">
        <v>46090</v>
      </c>
      <c r="I263" s="47">
        <v>46098</v>
      </c>
      <c r="J263" s="43" t="s">
        <v>104</v>
      </c>
      <c r="K263" s="43" t="s">
        <v>128</v>
      </c>
      <c r="L263" s="49" t="s">
        <v>69</v>
      </c>
      <c r="M263" s="49"/>
      <c r="N263" s="49"/>
      <c r="O263" s="48"/>
      <c r="P263" s="49" t="str">
        <f t="shared" si="12"/>
        <v>ONAY</v>
      </c>
      <c r="R263" s="50" t="str">
        <f t="shared" si="13"/>
        <v/>
      </c>
      <c r="U263" s="28">
        <f>IF($C263&lt;&gt;"",COUNTIF($C$2:C263,C263),"")</f>
        <v>1</v>
      </c>
      <c r="V263" s="28" t="str">
        <f t="shared" si="14"/>
        <v>Prof. Dr. Ali Rıza TÜMER§1</v>
      </c>
      <c r="W263" s="28">
        <f>IF(U263=1,COUNTIF($U$2:U263,1),"")</f>
        <v>171</v>
      </c>
    </row>
    <row r="264" spans="1:23" ht="238.5" customHeight="1" x14ac:dyDescent="0.25">
      <c r="A264" s="42" t="s">
        <v>1378</v>
      </c>
      <c r="B264" s="42" t="s">
        <v>1379</v>
      </c>
      <c r="C264" s="43" t="s">
        <v>222</v>
      </c>
      <c r="D264" s="43" t="s">
        <v>133</v>
      </c>
      <c r="E264" s="44" t="s">
        <v>1380</v>
      </c>
      <c r="F264" s="44" t="s">
        <v>1381</v>
      </c>
      <c r="G264" s="45" t="s">
        <v>34</v>
      </c>
      <c r="H264" s="47">
        <v>46090</v>
      </c>
      <c r="I264" s="47">
        <v>46098</v>
      </c>
      <c r="J264" s="43" t="s">
        <v>94</v>
      </c>
      <c r="K264" s="43" t="s">
        <v>86</v>
      </c>
      <c r="L264" s="49" t="s">
        <v>69</v>
      </c>
      <c r="M264" s="49"/>
      <c r="N264" s="49"/>
      <c r="O264" s="48"/>
      <c r="P264" s="49" t="str">
        <f t="shared" si="12"/>
        <v>ONAY</v>
      </c>
      <c r="R264" s="50" t="str">
        <f t="shared" si="13"/>
        <v/>
      </c>
      <c r="U264" s="28">
        <f>IF($C264&lt;&gt;"",COUNTIF($C$2:C264,C264),"")</f>
        <v>2</v>
      </c>
      <c r="V264" s="28" t="str">
        <f t="shared" si="14"/>
        <v>Doç. Dr. Dilek ÜNAL§2</v>
      </c>
      <c r="W264" s="28" t="str">
        <f>IF(U264=1,COUNTIF($U$2:U264,1),"")</f>
        <v/>
      </c>
    </row>
    <row r="265" spans="1:23" ht="63" customHeight="1" x14ac:dyDescent="0.25">
      <c r="A265" s="42" t="s">
        <v>1382</v>
      </c>
      <c r="B265" s="42" t="s">
        <v>1383</v>
      </c>
      <c r="C265" s="43" t="s">
        <v>1384</v>
      </c>
      <c r="D265" s="43" t="s">
        <v>110</v>
      </c>
      <c r="E265" s="44" t="s">
        <v>1385</v>
      </c>
      <c r="F265" s="44" t="s">
        <v>1386</v>
      </c>
      <c r="G265" s="45" t="s">
        <v>34</v>
      </c>
      <c r="H265" s="47">
        <v>46090</v>
      </c>
      <c r="I265" s="47">
        <v>46098</v>
      </c>
      <c r="J265" s="43" t="s">
        <v>121</v>
      </c>
      <c r="K265" s="43" t="s">
        <v>77</v>
      </c>
      <c r="L265" s="49" t="s">
        <v>96</v>
      </c>
      <c r="M265" s="49" t="s">
        <v>69</v>
      </c>
      <c r="N265" s="49"/>
      <c r="O265" s="48"/>
      <c r="P265" s="49" t="str">
        <f t="shared" si="12"/>
        <v>ONAY</v>
      </c>
      <c r="Q265" s="27" t="s">
        <v>77</v>
      </c>
      <c r="R265" s="50" t="str">
        <f t="shared" si="13"/>
        <v/>
      </c>
      <c r="U265" s="28">
        <f>IF($C265&lt;&gt;"",COUNTIF($C$2:C265,C265),"")</f>
        <v>1</v>
      </c>
      <c r="V265" s="28" t="str">
        <f t="shared" si="14"/>
        <v>Prof. Dr. Burcu Balam DOĞU§1</v>
      </c>
      <c r="W265" s="28">
        <f>IF(U265=1,COUNTIF($U$2:U265,1),"")</f>
        <v>172</v>
      </c>
    </row>
    <row r="266" spans="1:23" ht="63" customHeight="1" x14ac:dyDescent="0.25">
      <c r="A266" s="42" t="s">
        <v>1387</v>
      </c>
      <c r="B266" s="42" t="s">
        <v>1388</v>
      </c>
      <c r="C266" s="43" t="s">
        <v>1384</v>
      </c>
      <c r="D266" s="43" t="s">
        <v>110</v>
      </c>
      <c r="E266" s="44" t="s">
        <v>1385</v>
      </c>
      <c r="F266" s="44" t="s">
        <v>1389</v>
      </c>
      <c r="G266" s="45" t="s">
        <v>34</v>
      </c>
      <c r="H266" s="47">
        <v>46090</v>
      </c>
      <c r="I266" s="47">
        <v>46098</v>
      </c>
      <c r="J266" s="43" t="s">
        <v>121</v>
      </c>
      <c r="K266" s="43" t="s">
        <v>77</v>
      </c>
      <c r="L266" s="49" t="s">
        <v>96</v>
      </c>
      <c r="M266" s="49" t="s">
        <v>69</v>
      </c>
      <c r="N266" s="49"/>
      <c r="O266" s="48"/>
      <c r="P266" s="49" t="str">
        <f t="shared" si="12"/>
        <v>ONAY</v>
      </c>
      <c r="Q266" s="27" t="s">
        <v>77</v>
      </c>
      <c r="R266" s="50" t="str">
        <f t="shared" si="13"/>
        <v/>
      </c>
      <c r="U266" s="28">
        <f>IF($C266&lt;&gt;"",COUNTIF($C$2:C266,C266),"")</f>
        <v>2</v>
      </c>
      <c r="V266" s="28" t="str">
        <f t="shared" si="14"/>
        <v>Prof. Dr. Burcu Balam DOĞU§2</v>
      </c>
      <c r="W266" s="28" t="str">
        <f>IF(U266=1,COUNTIF($U$2:U266,1),"")</f>
        <v/>
      </c>
    </row>
    <row r="267" spans="1:23" ht="63" customHeight="1" x14ac:dyDescent="0.25">
      <c r="A267" s="42" t="s">
        <v>1390</v>
      </c>
      <c r="B267" s="42" t="s">
        <v>1391</v>
      </c>
      <c r="C267" s="43" t="s">
        <v>214</v>
      </c>
      <c r="D267" s="43" t="s">
        <v>215</v>
      </c>
      <c r="E267" s="44" t="s">
        <v>1392</v>
      </c>
      <c r="F267" s="44" t="s">
        <v>1393</v>
      </c>
      <c r="G267" s="45" t="s">
        <v>37</v>
      </c>
      <c r="H267" s="47">
        <v>46090</v>
      </c>
      <c r="I267" s="47">
        <v>46098</v>
      </c>
      <c r="J267" s="43" t="s">
        <v>94</v>
      </c>
      <c r="K267" s="43" t="s">
        <v>95</v>
      </c>
      <c r="L267" s="49" t="s">
        <v>96</v>
      </c>
      <c r="M267" s="49" t="s">
        <v>69</v>
      </c>
      <c r="N267" s="49"/>
      <c r="O267" s="48"/>
      <c r="P267" s="49" t="str">
        <f t="shared" si="12"/>
        <v>ONAY</v>
      </c>
      <c r="Q267" s="27" t="s">
        <v>95</v>
      </c>
      <c r="R267" s="50" t="str">
        <f t="shared" si="13"/>
        <v/>
      </c>
      <c r="U267" s="28">
        <f>IF($C267&lt;&gt;"",COUNTIF($C$2:C267,C267),"")</f>
        <v>3</v>
      </c>
      <c r="V267" s="28" t="str">
        <f t="shared" si="14"/>
        <v>Prof. Dr. Oğuz IŞIK§3</v>
      </c>
      <c r="W267" s="28" t="str">
        <f>IF(U267=1,COUNTIF($U$2:U267,1),"")</f>
        <v/>
      </c>
    </row>
    <row r="268" spans="1:23" ht="78.75" customHeight="1" x14ac:dyDescent="0.25">
      <c r="A268" s="42" t="s">
        <v>1394</v>
      </c>
      <c r="B268" s="42" t="s">
        <v>1395</v>
      </c>
      <c r="C268" s="43" t="s">
        <v>1396</v>
      </c>
      <c r="D268" s="43" t="s">
        <v>570</v>
      </c>
      <c r="E268" s="44" t="s">
        <v>1397</v>
      </c>
      <c r="F268" s="44" t="s">
        <v>1398</v>
      </c>
      <c r="G268" s="45" t="s">
        <v>35</v>
      </c>
      <c r="H268" s="47">
        <v>46090</v>
      </c>
      <c r="I268" s="47">
        <v>46098</v>
      </c>
      <c r="J268" s="43" t="s">
        <v>121</v>
      </c>
      <c r="K268" s="43" t="s">
        <v>113</v>
      </c>
      <c r="L268" s="49" t="s">
        <v>96</v>
      </c>
      <c r="M268" s="49" t="s">
        <v>69</v>
      </c>
      <c r="N268" s="49"/>
      <c r="O268" s="48"/>
      <c r="P268" s="49" t="str">
        <f t="shared" si="12"/>
        <v>ONAY</v>
      </c>
      <c r="Q268" s="27" t="s">
        <v>121</v>
      </c>
      <c r="R268" s="50" t="str">
        <f t="shared" si="13"/>
        <v/>
      </c>
      <c r="U268" s="28">
        <f>IF($C268&lt;&gt;"",COUNTIF($C$2:C268,C268),"")</f>
        <v>1</v>
      </c>
      <c r="V268" s="28" t="str">
        <f t="shared" si="14"/>
        <v>Doç. Dr. Emel Tuğba ATAMAN DURUEL§1</v>
      </c>
      <c r="W268" s="28">
        <f>IF(U268=1,COUNTIF($U$2:U268,1),"")</f>
        <v>173</v>
      </c>
    </row>
    <row r="269" spans="1:23" ht="63" customHeight="1" x14ac:dyDescent="0.25">
      <c r="A269" s="42" t="s">
        <v>1399</v>
      </c>
      <c r="B269" s="42" t="s">
        <v>1400</v>
      </c>
      <c r="C269" s="43" t="s">
        <v>1269</v>
      </c>
      <c r="D269" s="43" t="s">
        <v>445</v>
      </c>
      <c r="E269" s="44" t="s">
        <v>1401</v>
      </c>
      <c r="F269" s="44" t="s">
        <v>1402</v>
      </c>
      <c r="G269" s="45" t="s">
        <v>35</v>
      </c>
      <c r="H269" s="47">
        <v>46090</v>
      </c>
      <c r="I269" s="47">
        <v>46098</v>
      </c>
      <c r="J269" s="43" t="s">
        <v>121</v>
      </c>
      <c r="K269" s="43" t="s">
        <v>113</v>
      </c>
      <c r="L269" s="49" t="s">
        <v>69</v>
      </c>
      <c r="M269" s="49"/>
      <c r="N269" s="49"/>
      <c r="O269" s="48"/>
      <c r="P269" s="49" t="str">
        <f t="shared" si="12"/>
        <v>ONAY</v>
      </c>
      <c r="R269" s="50" t="str">
        <f t="shared" si="13"/>
        <v/>
      </c>
      <c r="U269" s="28">
        <f>IF($C269&lt;&gt;"",COUNTIF($C$2:C269,C269),"")</f>
        <v>2</v>
      </c>
      <c r="V269" s="28" t="str">
        <f t="shared" si="14"/>
        <v>Prof. Dr. Güliz AKTAŞ§2</v>
      </c>
      <c r="W269" s="28" t="str">
        <f>IF(U269=1,COUNTIF($U$2:U269,1),"")</f>
        <v/>
      </c>
    </row>
    <row r="270" spans="1:23" ht="78.75" customHeight="1" x14ac:dyDescent="0.25">
      <c r="A270" s="42" t="s">
        <v>1403</v>
      </c>
      <c r="B270" s="42" t="s">
        <v>1404</v>
      </c>
      <c r="C270" s="43" t="s">
        <v>1405</v>
      </c>
      <c r="D270" s="43" t="s">
        <v>237</v>
      </c>
      <c r="E270" s="44" t="s">
        <v>1406</v>
      </c>
      <c r="F270" s="44" t="s">
        <v>1407</v>
      </c>
      <c r="G270" s="45" t="s">
        <v>34</v>
      </c>
      <c r="H270" s="47">
        <v>46090</v>
      </c>
      <c r="I270" s="47">
        <v>46098</v>
      </c>
      <c r="J270" s="43" t="s">
        <v>104</v>
      </c>
      <c r="K270" s="43" t="s">
        <v>68</v>
      </c>
      <c r="L270" s="49" t="s">
        <v>69</v>
      </c>
      <c r="M270" s="49"/>
      <c r="N270" s="49"/>
      <c r="O270" s="48"/>
      <c r="P270" s="49" t="str">
        <f t="shared" si="12"/>
        <v>ONAY</v>
      </c>
      <c r="R270" s="50" t="str">
        <f t="shared" si="13"/>
        <v/>
      </c>
      <c r="U270" s="28">
        <f>IF($C270&lt;&gt;"",COUNTIF($C$2:C270,C270),"")</f>
        <v>1</v>
      </c>
      <c r="V270" s="28" t="str">
        <f t="shared" si="14"/>
        <v>Doç. Dr. Hayriye HIZARCIOĞLU GÜLŞEN§1</v>
      </c>
      <c r="W270" s="28">
        <f>IF(U270=1,COUNTIF($U$2:U270,1),"")</f>
        <v>174</v>
      </c>
    </row>
    <row r="271" spans="1:23" ht="78.75" customHeight="1" x14ac:dyDescent="0.25">
      <c r="A271" s="42" t="s">
        <v>1408</v>
      </c>
      <c r="B271" s="42" t="s">
        <v>1409</v>
      </c>
      <c r="C271" s="43" t="s">
        <v>1410</v>
      </c>
      <c r="D271" s="43" t="s">
        <v>237</v>
      </c>
      <c r="E271" s="44" t="s">
        <v>1411</v>
      </c>
      <c r="F271" s="44" t="s">
        <v>1412</v>
      </c>
      <c r="G271" s="45" t="s">
        <v>34</v>
      </c>
      <c r="H271" s="47">
        <v>46090</v>
      </c>
      <c r="I271" s="47">
        <v>46098</v>
      </c>
      <c r="J271" s="43" t="s">
        <v>67</v>
      </c>
      <c r="K271" s="43" t="s">
        <v>128</v>
      </c>
      <c r="L271" s="49" t="s">
        <v>69</v>
      </c>
      <c r="M271" s="49"/>
      <c r="N271" s="49"/>
      <c r="O271" s="48"/>
      <c r="P271" s="49" t="str">
        <f t="shared" si="12"/>
        <v>ONAY</v>
      </c>
      <c r="R271" s="50" t="str">
        <f t="shared" si="13"/>
        <v/>
      </c>
      <c r="U271" s="28">
        <f>IF($C271&lt;&gt;"",COUNTIF($C$2:C271,C271),"")</f>
        <v>1</v>
      </c>
      <c r="V271" s="28" t="str">
        <f t="shared" si="14"/>
        <v>Dr. Öğr. Üyesi Gizem ÜREL DEMİR§1</v>
      </c>
      <c r="W271" s="28">
        <f>IF(U271=1,COUNTIF($U$2:U271,1),"")</f>
        <v>175</v>
      </c>
    </row>
    <row r="272" spans="1:23" ht="110.25" customHeight="1" x14ac:dyDescent="0.25">
      <c r="A272" s="42" t="s">
        <v>1413</v>
      </c>
      <c r="B272" s="42" t="s">
        <v>1414</v>
      </c>
      <c r="C272" s="43" t="s">
        <v>1410</v>
      </c>
      <c r="D272" s="43" t="s">
        <v>237</v>
      </c>
      <c r="E272" s="44" t="s">
        <v>1415</v>
      </c>
      <c r="F272" s="44" t="s">
        <v>1416</v>
      </c>
      <c r="G272" s="45" t="s">
        <v>34</v>
      </c>
      <c r="H272" s="47">
        <v>46090</v>
      </c>
      <c r="I272" s="47">
        <v>46098</v>
      </c>
      <c r="J272" s="43" t="s">
        <v>67</v>
      </c>
      <c r="K272" s="43" t="s">
        <v>104</v>
      </c>
      <c r="L272" s="49" t="s">
        <v>69</v>
      </c>
      <c r="M272" s="49"/>
      <c r="N272" s="49"/>
      <c r="O272" s="48"/>
      <c r="P272" s="49" t="str">
        <f t="shared" si="12"/>
        <v>ONAY</v>
      </c>
      <c r="R272" s="50" t="str">
        <f t="shared" si="13"/>
        <v/>
      </c>
      <c r="U272" s="28">
        <f>IF($C272&lt;&gt;"",COUNTIF($C$2:C272,C272),"")</f>
        <v>2</v>
      </c>
      <c r="V272" s="28" t="str">
        <f t="shared" si="14"/>
        <v>Dr. Öğr. Üyesi Gizem ÜREL DEMİR§2</v>
      </c>
      <c r="W272" s="28" t="str">
        <f>IF(U272=1,COUNTIF($U$2:U272,1),"")</f>
        <v/>
      </c>
    </row>
    <row r="273" spans="1:23" ht="82.5" customHeight="1" x14ac:dyDescent="0.25">
      <c r="A273" s="42" t="s">
        <v>1417</v>
      </c>
      <c r="B273" s="42" t="s">
        <v>1418</v>
      </c>
      <c r="C273" s="43" t="s">
        <v>313</v>
      </c>
      <c r="D273" s="43" t="s">
        <v>237</v>
      </c>
      <c r="E273" s="44" t="s">
        <v>1419</v>
      </c>
      <c r="F273" s="44" t="s">
        <v>1420</v>
      </c>
      <c r="G273" s="45" t="s">
        <v>34</v>
      </c>
      <c r="H273" s="47">
        <v>46090</v>
      </c>
      <c r="I273" s="47">
        <v>46098</v>
      </c>
      <c r="J273" s="43" t="s">
        <v>68</v>
      </c>
      <c r="K273" s="43" t="s">
        <v>86</v>
      </c>
      <c r="L273" s="49" t="s">
        <v>69</v>
      </c>
      <c r="M273" s="49"/>
      <c r="N273" s="49"/>
      <c r="O273" s="48"/>
      <c r="P273" s="49" t="str">
        <f t="shared" si="12"/>
        <v>ONAY</v>
      </c>
      <c r="R273" s="50" t="str">
        <f t="shared" si="13"/>
        <v/>
      </c>
      <c r="U273" s="28">
        <f>IF($C273&lt;&gt;"",COUNTIF($C$2:C273,C273),"")</f>
        <v>6</v>
      </c>
      <c r="V273" s="28" t="str">
        <f t="shared" si="14"/>
        <v>Prof. Dr. Yasemin ÖZSÜREKCİ§6</v>
      </c>
      <c r="W273" s="28" t="str">
        <f>IF(U273=1,COUNTIF($U$2:U273,1),"")</f>
        <v/>
      </c>
    </row>
    <row r="274" spans="1:23" ht="63" customHeight="1" x14ac:dyDescent="0.25">
      <c r="A274" s="42" t="s">
        <v>1421</v>
      </c>
      <c r="B274" s="42" t="s">
        <v>1422</v>
      </c>
      <c r="C274" s="43" t="s">
        <v>1384</v>
      </c>
      <c r="D274" s="43" t="s">
        <v>110</v>
      </c>
      <c r="E274" s="44" t="s">
        <v>1423</v>
      </c>
      <c r="F274" s="44" t="s">
        <v>1424</v>
      </c>
      <c r="G274" s="45" t="s">
        <v>34</v>
      </c>
      <c r="H274" s="47">
        <v>46094</v>
      </c>
      <c r="I274" s="47">
        <v>46112</v>
      </c>
      <c r="J274" s="43" t="s">
        <v>113</v>
      </c>
      <c r="K274" s="43" t="s">
        <v>77</v>
      </c>
      <c r="L274" s="49" t="s">
        <v>96</v>
      </c>
      <c r="M274" s="49" t="s">
        <v>69</v>
      </c>
      <c r="N274" s="49"/>
      <c r="O274" s="48"/>
      <c r="P274" s="49" t="str">
        <f t="shared" si="12"/>
        <v>ONAY</v>
      </c>
      <c r="Q274" s="27" t="s">
        <v>77</v>
      </c>
      <c r="R274" s="50" t="str">
        <f t="shared" si="13"/>
        <v/>
      </c>
      <c r="U274" s="28">
        <f>IF($C274&lt;&gt;"",COUNTIF($C$2:C274,C274),"")</f>
        <v>3</v>
      </c>
      <c r="V274" s="28" t="str">
        <f t="shared" si="14"/>
        <v>Prof. Dr. Burcu Balam DOĞU§3</v>
      </c>
      <c r="W274" s="28" t="str">
        <f>IF(U274=1,COUNTIF($U$2:U274,1),"")</f>
        <v/>
      </c>
    </row>
    <row r="275" spans="1:23" ht="78.75" customHeight="1" x14ac:dyDescent="0.25">
      <c r="A275" s="42" t="s">
        <v>1425</v>
      </c>
      <c r="B275" s="42" t="s">
        <v>1426</v>
      </c>
      <c r="C275" s="43" t="s">
        <v>68</v>
      </c>
      <c r="D275" s="43" t="s">
        <v>237</v>
      </c>
      <c r="E275" s="44" t="s">
        <v>1427</v>
      </c>
      <c r="F275" s="44" t="s">
        <v>1428</v>
      </c>
      <c r="G275" s="45" t="s">
        <v>34</v>
      </c>
      <c r="H275" s="47">
        <v>46094</v>
      </c>
      <c r="I275" s="47">
        <v>46112</v>
      </c>
      <c r="J275" s="43" t="s">
        <v>85</v>
      </c>
      <c r="K275" s="43" t="s">
        <v>94</v>
      </c>
      <c r="L275" s="49" t="s">
        <v>96</v>
      </c>
      <c r="M275" s="49" t="s">
        <v>96</v>
      </c>
      <c r="N275" s="49" t="s">
        <v>69</v>
      </c>
      <c r="O275" s="48"/>
      <c r="P275" s="49" t="str">
        <f t="shared" si="12"/>
        <v>ONAY</v>
      </c>
      <c r="Q275" s="27" t="s">
        <v>85</v>
      </c>
      <c r="R275" s="50" t="str">
        <f t="shared" si="13"/>
        <v/>
      </c>
      <c r="U275" s="28">
        <f>IF($C275&lt;&gt;"",COUNTIF($C$2:C275,C275),"")</f>
        <v>3</v>
      </c>
      <c r="V275" s="28" t="str">
        <f t="shared" si="14"/>
        <v>Doç. Dr. Kübra AYKAÇ§3</v>
      </c>
      <c r="W275" s="28" t="str">
        <f>IF(U275=1,COUNTIF($U$2:U275,1),"")</f>
        <v/>
      </c>
    </row>
    <row r="276" spans="1:23" ht="96" customHeight="1" x14ac:dyDescent="0.25">
      <c r="A276" s="42" t="s">
        <v>1429</v>
      </c>
      <c r="B276" s="42" t="s">
        <v>1430</v>
      </c>
      <c r="C276" s="43" t="s">
        <v>389</v>
      </c>
      <c r="D276" s="43" t="s">
        <v>244</v>
      </c>
      <c r="E276" s="44" t="s">
        <v>1431</v>
      </c>
      <c r="F276" s="44" t="s">
        <v>1432</v>
      </c>
      <c r="G276" s="45" t="s">
        <v>34</v>
      </c>
      <c r="H276" s="47">
        <v>46094</v>
      </c>
      <c r="I276" s="47">
        <v>46112</v>
      </c>
      <c r="J276" s="43" t="s">
        <v>85</v>
      </c>
      <c r="K276" s="43" t="s">
        <v>77</v>
      </c>
      <c r="L276" s="49" t="s">
        <v>96</v>
      </c>
      <c r="M276" s="49" t="s">
        <v>69</v>
      </c>
      <c r="N276" s="49"/>
      <c r="O276" s="48"/>
      <c r="P276" s="49" t="str">
        <f t="shared" si="12"/>
        <v>ONAY</v>
      </c>
      <c r="Q276" s="27" t="s">
        <v>85</v>
      </c>
      <c r="R276" s="50" t="str">
        <f t="shared" si="13"/>
        <v/>
      </c>
      <c r="U276" s="28">
        <f>IF($C276&lt;&gt;"",COUNTIF($C$2:C276,C276),"")</f>
        <v>2</v>
      </c>
      <c r="V276" s="28" t="str">
        <f t="shared" si="14"/>
        <v>Doç. Dr. Erdem FADILOĞLU§2</v>
      </c>
      <c r="W276" s="28" t="str">
        <f>IF(U276=1,COUNTIF($U$2:U276,1),"")</f>
        <v/>
      </c>
    </row>
    <row r="277" spans="1:23" ht="63" customHeight="1" x14ac:dyDescent="0.25">
      <c r="A277" s="42" t="s">
        <v>1433</v>
      </c>
      <c r="B277" s="42" t="s">
        <v>1434</v>
      </c>
      <c r="C277" s="43" t="s">
        <v>1435</v>
      </c>
      <c r="D277" s="43" t="s">
        <v>153</v>
      </c>
      <c r="E277" s="44" t="s">
        <v>1436</v>
      </c>
      <c r="F277" s="44" t="s">
        <v>1437</v>
      </c>
      <c r="G277" s="45" t="s">
        <v>35</v>
      </c>
      <c r="H277" s="47">
        <v>46094</v>
      </c>
      <c r="I277" s="47">
        <v>46112</v>
      </c>
      <c r="J277" s="43" t="s">
        <v>68</v>
      </c>
      <c r="K277" s="43" t="s">
        <v>86</v>
      </c>
      <c r="L277" s="49" t="s">
        <v>156</v>
      </c>
      <c r="M277" s="49"/>
      <c r="N277" s="49"/>
      <c r="O277" s="48"/>
      <c r="P277" s="49" t="str">
        <f t="shared" si="12"/>
        <v>KAPSAM DIŞI</v>
      </c>
      <c r="R277" s="50" t="str">
        <f t="shared" si="13"/>
        <v/>
      </c>
      <c r="U277" s="28">
        <f>IF($C277&lt;&gt;"",COUNTIF($C$2:C277,C277),"")</f>
        <v>1</v>
      </c>
      <c r="V277" s="28" t="str">
        <f t="shared" si="14"/>
        <v>Dr. Öğr. Üyesi Sefa Burak ÇAM§1</v>
      </c>
      <c r="W277" s="28">
        <f>IF(U277=1,COUNTIF($U$2:U277,1),"")</f>
        <v>176</v>
      </c>
    </row>
    <row r="278" spans="1:23" ht="78.75" customHeight="1" x14ac:dyDescent="0.25">
      <c r="A278" s="42" t="s">
        <v>1438</v>
      </c>
      <c r="B278" s="42" t="s">
        <v>1439</v>
      </c>
      <c r="C278" s="43" t="s">
        <v>1440</v>
      </c>
      <c r="D278" s="43" t="s">
        <v>82</v>
      </c>
      <c r="E278" s="44" t="s">
        <v>1441</v>
      </c>
      <c r="F278" s="44" t="s">
        <v>1442</v>
      </c>
      <c r="G278" s="45" t="s">
        <v>34</v>
      </c>
      <c r="H278" s="47">
        <v>46094</v>
      </c>
      <c r="I278" s="47">
        <v>46112</v>
      </c>
      <c r="J278" s="43" t="s">
        <v>86</v>
      </c>
      <c r="K278" s="43" t="s">
        <v>105</v>
      </c>
      <c r="L278" s="49" t="s">
        <v>96</v>
      </c>
      <c r="M278" s="49" t="s">
        <v>69</v>
      </c>
      <c r="N278" s="49"/>
      <c r="O278" s="48"/>
      <c r="P278" s="49" t="str">
        <f t="shared" si="12"/>
        <v>ONAY</v>
      </c>
      <c r="Q278" s="27" t="s">
        <v>105</v>
      </c>
      <c r="R278" s="50" t="str">
        <f t="shared" si="13"/>
        <v/>
      </c>
      <c r="U278" s="28">
        <f>IF($C278&lt;&gt;"",COUNTIF($C$2:C278,C278),"")</f>
        <v>1</v>
      </c>
      <c r="V278" s="28" t="str">
        <f t="shared" si="14"/>
        <v>Doç. Dr. Fatma Gonca ELDEM§1</v>
      </c>
      <c r="W278" s="28">
        <f>IF(U278=1,COUNTIF($U$2:U278,1),"")</f>
        <v>177</v>
      </c>
    </row>
    <row r="279" spans="1:23" ht="78.75" customHeight="1" x14ac:dyDescent="0.25">
      <c r="A279" s="42" t="s">
        <v>1443</v>
      </c>
      <c r="B279" s="42" t="s">
        <v>1444</v>
      </c>
      <c r="C279" s="43" t="s">
        <v>1445</v>
      </c>
      <c r="D279" s="43" t="s">
        <v>237</v>
      </c>
      <c r="E279" s="44" t="s">
        <v>1446</v>
      </c>
      <c r="F279" s="44" t="s">
        <v>1447</v>
      </c>
      <c r="G279" s="45" t="s">
        <v>34</v>
      </c>
      <c r="H279" s="47">
        <v>46094</v>
      </c>
      <c r="I279" s="47">
        <v>46112</v>
      </c>
      <c r="J279" s="43" t="s">
        <v>68</v>
      </c>
      <c r="K279" s="43" t="s">
        <v>77</v>
      </c>
      <c r="L279" s="49" t="s">
        <v>69</v>
      </c>
      <c r="M279" s="49"/>
      <c r="N279" s="49"/>
      <c r="O279" s="48"/>
      <c r="P279" s="49" t="str">
        <f t="shared" si="12"/>
        <v>ONAY</v>
      </c>
      <c r="R279" s="50" t="str">
        <f t="shared" si="13"/>
        <v/>
      </c>
      <c r="U279" s="28">
        <f>IF($C279&lt;&gt;"",COUNTIF($C$2:C279,C279),"")</f>
        <v>1</v>
      </c>
      <c r="V279" s="28" t="str">
        <f t="shared" si="14"/>
        <v>Prof. Dr. İnci Nur SALTIK§1</v>
      </c>
      <c r="W279" s="28">
        <f>IF(U279=1,COUNTIF($U$2:U279,1),"")</f>
        <v>178</v>
      </c>
    </row>
    <row r="280" spans="1:23" ht="94.5" customHeight="1" x14ac:dyDescent="0.25">
      <c r="A280" s="42" t="s">
        <v>1448</v>
      </c>
      <c r="B280" s="42" t="s">
        <v>1449</v>
      </c>
      <c r="C280" s="43" t="s">
        <v>326</v>
      </c>
      <c r="D280" s="43" t="s">
        <v>327</v>
      </c>
      <c r="E280" s="44" t="s">
        <v>1450</v>
      </c>
      <c r="F280" s="44" t="s">
        <v>1451</v>
      </c>
      <c r="G280" s="45" t="s">
        <v>34</v>
      </c>
      <c r="H280" s="47">
        <v>46094</v>
      </c>
      <c r="I280" s="47">
        <v>46112</v>
      </c>
      <c r="J280" s="43" t="s">
        <v>121</v>
      </c>
      <c r="K280" s="43" t="s">
        <v>94</v>
      </c>
      <c r="L280" s="49" t="s">
        <v>232</v>
      </c>
      <c r="M280" s="49"/>
      <c r="N280" s="49"/>
      <c r="O280" s="48"/>
      <c r="P280" s="49" t="str">
        <f t="shared" si="12"/>
        <v>KAEK</v>
      </c>
      <c r="R280" s="50" t="str">
        <f t="shared" si="13"/>
        <v/>
      </c>
      <c r="U280" s="28">
        <f>IF($C280&lt;&gt;"",COUNTIF($C$2:C280,C280),"")</f>
        <v>2</v>
      </c>
      <c r="V280" s="28" t="str">
        <f t="shared" si="14"/>
        <v>Doç. Dr. Hande GÖRÜCÜ COŞKUNER§2</v>
      </c>
      <c r="W280" s="28" t="str">
        <f>IF(U280=1,COUNTIF($U$2:U280,1),"")</f>
        <v/>
      </c>
    </row>
    <row r="281" spans="1:23" ht="78.75" customHeight="1" x14ac:dyDescent="0.25">
      <c r="A281" s="42" t="s">
        <v>1452</v>
      </c>
      <c r="B281" s="42" t="s">
        <v>1453</v>
      </c>
      <c r="C281" s="43" t="s">
        <v>1123</v>
      </c>
      <c r="D281" s="43" t="s">
        <v>215</v>
      </c>
      <c r="E281" s="44" t="s">
        <v>1454</v>
      </c>
      <c r="F281" s="44" t="s">
        <v>1455</v>
      </c>
      <c r="G281" s="45" t="s">
        <v>37</v>
      </c>
      <c r="H281" s="47">
        <v>46094</v>
      </c>
      <c r="I281" s="47">
        <v>46112</v>
      </c>
      <c r="J281" s="43" t="s">
        <v>94</v>
      </c>
      <c r="K281" s="43" t="s">
        <v>95</v>
      </c>
      <c r="L281" s="49" t="s">
        <v>96</v>
      </c>
      <c r="M281" s="49" t="s">
        <v>69</v>
      </c>
      <c r="N281" s="49"/>
      <c r="O281" s="48"/>
      <c r="P281" s="49" t="str">
        <f t="shared" si="12"/>
        <v>ONAY</v>
      </c>
      <c r="Q281" s="27" t="s">
        <v>94</v>
      </c>
      <c r="R281" s="50" t="str">
        <f t="shared" si="13"/>
        <v/>
      </c>
      <c r="U281" s="28">
        <f>IF($C281&lt;&gt;"",COUNTIF($C$2:C281,C281),"")</f>
        <v>2</v>
      </c>
      <c r="V281" s="28" t="str">
        <f t="shared" si="14"/>
        <v>Prof. Dr. Özgür UĞURLUOĞLU§2</v>
      </c>
      <c r="W281" s="28" t="str">
        <f>IF(U281=1,COUNTIF($U$2:U281,1),"")</f>
        <v/>
      </c>
    </row>
    <row r="282" spans="1:23" ht="47.25" customHeight="1" x14ac:dyDescent="0.25">
      <c r="A282" s="42" t="s">
        <v>1456</v>
      </c>
      <c r="B282" s="42" t="s">
        <v>1457</v>
      </c>
      <c r="C282" s="43" t="s">
        <v>1458</v>
      </c>
      <c r="D282" s="43" t="s">
        <v>997</v>
      </c>
      <c r="E282" s="44" t="s">
        <v>1459</v>
      </c>
      <c r="F282" s="44" t="s">
        <v>1460</v>
      </c>
      <c r="G282" s="45" t="s">
        <v>35</v>
      </c>
      <c r="H282" s="47">
        <v>46094</v>
      </c>
      <c r="I282" s="47">
        <v>46112</v>
      </c>
      <c r="J282" s="43" t="s">
        <v>121</v>
      </c>
      <c r="K282" s="43" t="s">
        <v>77</v>
      </c>
      <c r="L282" s="49" t="s">
        <v>96</v>
      </c>
      <c r="M282" s="49" t="s">
        <v>69</v>
      </c>
      <c r="N282" s="49"/>
      <c r="O282" s="48"/>
      <c r="P282" s="49" t="str">
        <f t="shared" si="12"/>
        <v>ONAY</v>
      </c>
      <c r="Q282" s="27" t="s">
        <v>77</v>
      </c>
      <c r="R282" s="50" t="str">
        <f t="shared" si="13"/>
        <v/>
      </c>
      <c r="U282" s="28">
        <f>IF($C282&lt;&gt;"",COUNTIF($C$2:C282,C282),"")</f>
        <v>1</v>
      </c>
      <c r="V282" s="28" t="str">
        <f t="shared" si="14"/>
        <v>Doç. Dr. Hilal AKSOY§1</v>
      </c>
      <c r="W282" s="28">
        <f>IF(U282=1,COUNTIF($U$2:U282,1),"")</f>
        <v>179</v>
      </c>
    </row>
    <row r="283" spans="1:23" ht="47.25" customHeight="1" x14ac:dyDescent="0.25">
      <c r="A283" s="42" t="s">
        <v>1461</v>
      </c>
      <c r="B283" s="42" t="s">
        <v>1462</v>
      </c>
      <c r="C283" s="43" t="s">
        <v>1463</v>
      </c>
      <c r="D283" s="43" t="s">
        <v>110</v>
      </c>
      <c r="E283" s="44" t="s">
        <v>1464</v>
      </c>
      <c r="F283" s="44" t="s">
        <v>1465</v>
      </c>
      <c r="G283" s="45" t="s">
        <v>35</v>
      </c>
      <c r="H283" s="47">
        <v>46097</v>
      </c>
      <c r="I283" s="47">
        <v>46112</v>
      </c>
      <c r="J283" s="43" t="s">
        <v>95</v>
      </c>
      <c r="K283" s="43" t="s">
        <v>105</v>
      </c>
      <c r="L283" s="49" t="s">
        <v>96</v>
      </c>
      <c r="M283" s="49" t="s">
        <v>69</v>
      </c>
      <c r="N283" s="49"/>
      <c r="O283" s="48"/>
      <c r="P283" s="49" t="str">
        <f t="shared" si="12"/>
        <v>ONAY</v>
      </c>
      <c r="Q283" s="27" t="s">
        <v>105</v>
      </c>
      <c r="R283" s="50" t="str">
        <f t="shared" si="13"/>
        <v/>
      </c>
      <c r="U283" s="28">
        <f>IF($C283&lt;&gt;"",COUNTIF($C$2:C283,C283),"")</f>
        <v>1</v>
      </c>
      <c r="V283" s="28" t="str">
        <f t="shared" si="14"/>
        <v>Prof. Dr. Taylan KAV§1</v>
      </c>
      <c r="W283" s="28">
        <f>IF(U283=1,COUNTIF($U$2:U283,1),"")</f>
        <v>180</v>
      </c>
    </row>
    <row r="284" spans="1:23" ht="78.75" customHeight="1" x14ac:dyDescent="0.25">
      <c r="A284" s="42" t="s">
        <v>1466</v>
      </c>
      <c r="B284" s="42" t="s">
        <v>1467</v>
      </c>
      <c r="C284" s="43" t="s">
        <v>182</v>
      </c>
      <c r="D284" s="43" t="s">
        <v>175</v>
      </c>
      <c r="E284" s="44" t="s">
        <v>1468</v>
      </c>
      <c r="F284" s="44" t="s">
        <v>1469</v>
      </c>
      <c r="G284" s="45" t="s">
        <v>34</v>
      </c>
      <c r="H284" s="47">
        <v>46097</v>
      </c>
      <c r="I284" s="47">
        <v>46112</v>
      </c>
      <c r="J284" s="43" t="s">
        <v>67</v>
      </c>
      <c r="K284" s="43" t="s">
        <v>68</v>
      </c>
      <c r="L284" s="49" t="s">
        <v>69</v>
      </c>
      <c r="M284" s="49"/>
      <c r="N284" s="49"/>
      <c r="O284" s="48"/>
      <c r="P284" s="49" t="str">
        <f t="shared" si="12"/>
        <v>ONAY</v>
      </c>
      <c r="R284" s="50" t="str">
        <f t="shared" si="13"/>
        <v/>
      </c>
      <c r="U284" s="28">
        <f>IF($C284&lt;&gt;"",COUNTIF($C$2:C284,C284),"")</f>
        <v>2</v>
      </c>
      <c r="V284" s="28" t="str">
        <f t="shared" si="14"/>
        <v>Prof. Dr. Gül KARAKAYA§2</v>
      </c>
      <c r="W284" s="28" t="str">
        <f>IF(U284=1,COUNTIF($U$2:U284,1),"")</f>
        <v/>
      </c>
    </row>
    <row r="285" spans="1:23" ht="63" customHeight="1" x14ac:dyDescent="0.25">
      <c r="A285" s="42" t="s">
        <v>1470</v>
      </c>
      <c r="B285" s="42" t="s">
        <v>1471</v>
      </c>
      <c r="C285" s="43" t="s">
        <v>1472</v>
      </c>
      <c r="D285" s="43" t="s">
        <v>244</v>
      </c>
      <c r="E285" s="44" t="s">
        <v>1473</v>
      </c>
      <c r="F285" s="44" t="s">
        <v>1474</v>
      </c>
      <c r="G285" s="45" t="s">
        <v>34</v>
      </c>
      <c r="H285" s="47">
        <v>46097</v>
      </c>
      <c r="I285" s="47">
        <v>46112</v>
      </c>
      <c r="J285" s="43" t="s">
        <v>67</v>
      </c>
      <c r="K285" s="43" t="s">
        <v>121</v>
      </c>
      <c r="L285" s="49" t="s">
        <v>178</v>
      </c>
      <c r="M285" s="49" t="s">
        <v>69</v>
      </c>
      <c r="N285" s="49"/>
      <c r="O285" s="48"/>
      <c r="P285" s="49" t="str">
        <f t="shared" si="12"/>
        <v>ONAY</v>
      </c>
      <c r="R285" s="50" t="str">
        <f t="shared" si="13"/>
        <v/>
      </c>
      <c r="U285" s="28">
        <f>IF($C285&lt;&gt;"",COUNTIF($C$2:C285,C285),"")</f>
        <v>1</v>
      </c>
      <c r="V285" s="28" t="str">
        <f t="shared" si="14"/>
        <v>Prof. Dr. Zafer Selçuk TUNCER§1</v>
      </c>
      <c r="W285" s="28">
        <f>IF(U285=1,COUNTIF($U$2:U285,1),"")</f>
        <v>181</v>
      </c>
    </row>
    <row r="286" spans="1:23" ht="47.25" customHeight="1" x14ac:dyDescent="0.25">
      <c r="A286" s="42" t="s">
        <v>1475</v>
      </c>
      <c r="B286" s="42" t="s">
        <v>1476</v>
      </c>
      <c r="C286" s="43" t="s">
        <v>520</v>
      </c>
      <c r="D286" s="43" t="s">
        <v>327</v>
      </c>
      <c r="E286" s="44" t="s">
        <v>1477</v>
      </c>
      <c r="F286" s="44" t="s">
        <v>1478</v>
      </c>
      <c r="G286" s="45" t="s">
        <v>34</v>
      </c>
      <c r="H286" s="47">
        <v>46097</v>
      </c>
      <c r="I286" s="47">
        <v>46112</v>
      </c>
      <c r="J286" s="43" t="s">
        <v>121</v>
      </c>
      <c r="K286" s="43" t="s">
        <v>94</v>
      </c>
      <c r="L286" s="49" t="s">
        <v>69</v>
      </c>
      <c r="M286" s="49"/>
      <c r="N286" s="49"/>
      <c r="O286" s="48"/>
      <c r="P286" s="49" t="str">
        <f t="shared" si="12"/>
        <v>ONAY</v>
      </c>
      <c r="R286" s="50" t="str">
        <f t="shared" si="13"/>
        <v/>
      </c>
      <c r="U286" s="28">
        <f>IF($C286&lt;&gt;"",COUNTIF($C$2:C286,C286),"")</f>
        <v>3</v>
      </c>
      <c r="V286" s="28" t="str">
        <f t="shared" si="14"/>
        <v>Doç. Dr. Ezgi ATİK§3</v>
      </c>
      <c r="W286" s="28" t="str">
        <f>IF(U286=1,COUNTIF($U$2:U286,1),"")</f>
        <v/>
      </c>
    </row>
    <row r="287" spans="1:23" ht="78.75" customHeight="1" x14ac:dyDescent="0.25">
      <c r="A287" s="42" t="s">
        <v>1479</v>
      </c>
      <c r="B287" s="42" t="s">
        <v>1480</v>
      </c>
      <c r="C287" s="43" t="s">
        <v>182</v>
      </c>
      <c r="D287" s="43" t="s">
        <v>175</v>
      </c>
      <c r="E287" s="44" t="s">
        <v>1481</v>
      </c>
      <c r="F287" s="44" t="s">
        <v>1482</v>
      </c>
      <c r="G287" s="45" t="s">
        <v>34</v>
      </c>
      <c r="H287" s="47">
        <v>46097</v>
      </c>
      <c r="I287" s="47">
        <v>46112</v>
      </c>
      <c r="J287" s="43" t="s">
        <v>67</v>
      </c>
      <c r="K287" s="43" t="s">
        <v>68</v>
      </c>
      <c r="L287" s="49" t="s">
        <v>69</v>
      </c>
      <c r="M287" s="49"/>
      <c r="N287" s="49"/>
      <c r="O287" s="48"/>
      <c r="P287" s="49" t="str">
        <f t="shared" si="12"/>
        <v>ONAY</v>
      </c>
      <c r="R287" s="50" t="str">
        <f t="shared" si="13"/>
        <v/>
      </c>
      <c r="U287" s="28">
        <f>IF($C287&lt;&gt;"",COUNTIF($C$2:C287,C287),"")</f>
        <v>3</v>
      </c>
      <c r="V287" s="28" t="str">
        <f t="shared" si="14"/>
        <v>Prof. Dr. Gül KARAKAYA§3</v>
      </c>
      <c r="W287" s="28" t="str">
        <f>IF(U287=1,COUNTIF($U$2:U287,1),"")</f>
        <v/>
      </c>
    </row>
    <row r="288" spans="1:23" ht="129.75" customHeight="1" x14ac:dyDescent="0.25">
      <c r="A288" s="42" t="s">
        <v>1483</v>
      </c>
      <c r="B288" s="42" t="s">
        <v>1484</v>
      </c>
      <c r="C288" s="43" t="s">
        <v>1485</v>
      </c>
      <c r="D288" s="43" t="s">
        <v>237</v>
      </c>
      <c r="E288" s="44" t="s">
        <v>1486</v>
      </c>
      <c r="F288" s="44" t="s">
        <v>1487</v>
      </c>
      <c r="G288" s="45" t="s">
        <v>34</v>
      </c>
      <c r="H288" s="47">
        <v>46097</v>
      </c>
      <c r="I288" s="47">
        <v>46112</v>
      </c>
      <c r="J288" s="43" t="s">
        <v>105</v>
      </c>
      <c r="K288" s="43" t="s">
        <v>95</v>
      </c>
      <c r="L288" s="49" t="s">
        <v>96</v>
      </c>
      <c r="M288" s="49" t="s">
        <v>69</v>
      </c>
      <c r="N288" s="49"/>
      <c r="O288" s="48"/>
      <c r="P288" s="49" t="str">
        <f t="shared" si="12"/>
        <v>ONAY</v>
      </c>
      <c r="Q288" s="27" t="s">
        <v>105</v>
      </c>
      <c r="R288" s="50" t="str">
        <f t="shared" si="13"/>
        <v/>
      </c>
      <c r="U288" s="28">
        <f>IF($C288&lt;&gt;"",COUNTIF($C$2:C288,C288),"")</f>
        <v>1</v>
      </c>
      <c r="V288" s="28" t="str">
        <f t="shared" si="14"/>
        <v>Prof. Dr. Fatma Visal OKUR§1</v>
      </c>
      <c r="W288" s="28">
        <f>IF(U288=1,COUNTIF($U$2:U288,1),"")</f>
        <v>182</v>
      </c>
    </row>
    <row r="289" spans="1:23" ht="63" customHeight="1" x14ac:dyDescent="0.25">
      <c r="A289" s="42" t="s">
        <v>1488</v>
      </c>
      <c r="B289" s="42" t="s">
        <v>1489</v>
      </c>
      <c r="C289" s="43" t="s">
        <v>1238</v>
      </c>
      <c r="D289" s="43" t="s">
        <v>237</v>
      </c>
      <c r="E289" s="44" t="s">
        <v>1490</v>
      </c>
      <c r="F289" s="44" t="s">
        <v>1491</v>
      </c>
      <c r="G289" s="45" t="s">
        <v>34</v>
      </c>
      <c r="H289" s="47">
        <v>46097</v>
      </c>
      <c r="I289" s="47">
        <v>46112</v>
      </c>
      <c r="J289" s="43" t="s">
        <v>86</v>
      </c>
      <c r="K289" s="43" t="s">
        <v>77</v>
      </c>
      <c r="L289" s="49" t="s">
        <v>69</v>
      </c>
      <c r="M289" s="49"/>
      <c r="N289" s="49"/>
      <c r="O289" s="48"/>
      <c r="P289" s="49" t="str">
        <f t="shared" si="12"/>
        <v>ONAY</v>
      </c>
      <c r="R289" s="50" t="str">
        <f t="shared" si="13"/>
        <v/>
      </c>
      <c r="U289" s="28">
        <f>IF($C289&lt;&gt;"",COUNTIF($C$2:C289,C289),"")</f>
        <v>2</v>
      </c>
      <c r="V289" s="28" t="str">
        <f t="shared" si="14"/>
        <v>Prof. Dr. Özlem TEKŞAM§2</v>
      </c>
      <c r="W289" s="28" t="str">
        <f>IF(U289=1,COUNTIF($U$2:U289,1),"")</f>
        <v/>
      </c>
    </row>
    <row r="290" spans="1:23" ht="63" customHeight="1" x14ac:dyDescent="0.25">
      <c r="A290" s="42" t="s">
        <v>1492</v>
      </c>
      <c r="B290" s="42" t="s">
        <v>1493</v>
      </c>
      <c r="C290" s="43" t="s">
        <v>579</v>
      </c>
      <c r="D290" s="43" t="s">
        <v>203</v>
      </c>
      <c r="E290" s="44" t="s">
        <v>1494</v>
      </c>
      <c r="F290" s="44" t="s">
        <v>1495</v>
      </c>
      <c r="G290" s="45" t="s">
        <v>34</v>
      </c>
      <c r="H290" s="47">
        <v>46097</v>
      </c>
      <c r="I290" s="47">
        <v>46112</v>
      </c>
      <c r="J290" s="43" t="s">
        <v>85</v>
      </c>
      <c r="K290" s="43" t="s">
        <v>113</v>
      </c>
      <c r="L290" s="49" t="s">
        <v>69</v>
      </c>
      <c r="M290" s="49"/>
      <c r="N290" s="49"/>
      <c r="O290" s="48"/>
      <c r="P290" s="49" t="str">
        <f t="shared" si="12"/>
        <v>ONAY</v>
      </c>
      <c r="R290" s="50" t="str">
        <f t="shared" si="13"/>
        <v/>
      </c>
      <c r="U290" s="28">
        <f>IF($C290&lt;&gt;"",COUNTIF($C$2:C290,C290),"")</f>
        <v>3</v>
      </c>
      <c r="V290" s="28" t="str">
        <f t="shared" si="14"/>
        <v>Doç. Dr. İrem KOÇ§3</v>
      </c>
      <c r="W290" s="28" t="str">
        <f>IF(U290=1,COUNTIF($U$2:U290,1),"")</f>
        <v/>
      </c>
    </row>
    <row r="291" spans="1:23" ht="78.75" customHeight="1" x14ac:dyDescent="0.25">
      <c r="A291" s="42" t="s">
        <v>1496</v>
      </c>
      <c r="B291" s="42" t="s">
        <v>1497</v>
      </c>
      <c r="C291" s="43" t="s">
        <v>801</v>
      </c>
      <c r="D291" s="43" t="s">
        <v>1498</v>
      </c>
      <c r="E291" s="44" t="s">
        <v>1499</v>
      </c>
      <c r="F291" s="44" t="s">
        <v>1500</v>
      </c>
      <c r="G291" s="45" t="s">
        <v>35</v>
      </c>
      <c r="H291" s="47">
        <v>46097</v>
      </c>
      <c r="I291" s="47">
        <v>46112</v>
      </c>
      <c r="J291" s="43" t="s">
        <v>67</v>
      </c>
      <c r="K291" s="43" t="s">
        <v>85</v>
      </c>
      <c r="L291" s="49" t="s">
        <v>69</v>
      </c>
      <c r="M291" s="49"/>
      <c r="N291" s="49"/>
      <c r="O291" s="48"/>
      <c r="P291" s="49" t="str">
        <f t="shared" si="12"/>
        <v>ONAY</v>
      </c>
      <c r="R291" s="50" t="str">
        <f t="shared" si="13"/>
        <v/>
      </c>
      <c r="U291" s="28">
        <f>IF($C291&lt;&gt;"",COUNTIF($C$2:C291,C291),"")</f>
        <v>2</v>
      </c>
      <c r="V291" s="28" t="str">
        <f t="shared" si="14"/>
        <v>Dr. Öğr. Üyesi Arda ÇETİNKAYA§2</v>
      </c>
      <c r="W291" s="28" t="str">
        <f>IF(U291=1,COUNTIF($U$2:U291,1),"")</f>
        <v/>
      </c>
    </row>
    <row r="292" spans="1:23" ht="63" customHeight="1" x14ac:dyDescent="0.25">
      <c r="A292" s="42" t="s">
        <v>1501</v>
      </c>
      <c r="B292" s="42" t="s">
        <v>1502</v>
      </c>
      <c r="C292" s="43" t="s">
        <v>1503</v>
      </c>
      <c r="D292" s="43" t="s">
        <v>295</v>
      </c>
      <c r="E292" s="44" t="s">
        <v>1504</v>
      </c>
      <c r="F292" s="44" t="s">
        <v>1505</v>
      </c>
      <c r="G292" s="45" t="s">
        <v>34</v>
      </c>
      <c r="H292" s="47">
        <v>46097</v>
      </c>
      <c r="I292" s="47">
        <v>46112</v>
      </c>
      <c r="J292" s="43" t="s">
        <v>86</v>
      </c>
      <c r="K292" s="43" t="s">
        <v>113</v>
      </c>
      <c r="L292" s="49" t="s">
        <v>96</v>
      </c>
      <c r="M292" s="49" t="s">
        <v>69</v>
      </c>
      <c r="N292" s="49"/>
      <c r="O292" s="48"/>
      <c r="P292" s="49" t="str">
        <f t="shared" si="12"/>
        <v>ONAY</v>
      </c>
      <c r="Q292" s="27" t="s">
        <v>113</v>
      </c>
      <c r="R292" s="50" t="str">
        <f t="shared" si="13"/>
        <v/>
      </c>
      <c r="U292" s="28">
        <f>IF($C292&lt;&gt;"",COUNTIF($C$2:C292,C292),"")</f>
        <v>1</v>
      </c>
      <c r="V292" s="28" t="str">
        <f t="shared" si="14"/>
        <v>Arş. Gör. Dr. Tuğçe TAŞKINDERE ABBASOĞLU§1</v>
      </c>
      <c r="W292" s="28">
        <f>IF(U292=1,COUNTIF($U$2:U292,1),"")</f>
        <v>183</v>
      </c>
    </row>
    <row r="293" spans="1:23" ht="78.75" customHeight="1" x14ac:dyDescent="0.25">
      <c r="A293" s="42" t="s">
        <v>1506</v>
      </c>
      <c r="B293" s="42" t="s">
        <v>1507</v>
      </c>
      <c r="C293" s="43" t="s">
        <v>1508</v>
      </c>
      <c r="D293" s="43" t="s">
        <v>118</v>
      </c>
      <c r="E293" s="44" t="s">
        <v>1509</v>
      </c>
      <c r="F293" s="44" t="s">
        <v>1510</v>
      </c>
      <c r="G293" s="45" t="s">
        <v>34</v>
      </c>
      <c r="H293" s="47">
        <v>46097</v>
      </c>
      <c r="I293" s="47">
        <v>46112</v>
      </c>
      <c r="J293" s="43" t="s">
        <v>121</v>
      </c>
      <c r="K293" s="43" t="s">
        <v>113</v>
      </c>
      <c r="L293" s="49" t="s">
        <v>69</v>
      </c>
      <c r="M293" s="49"/>
      <c r="N293" s="49"/>
      <c r="O293" s="48"/>
      <c r="P293" s="49" t="str">
        <f t="shared" si="12"/>
        <v>ONAY</v>
      </c>
      <c r="R293" s="50" t="str">
        <f t="shared" si="13"/>
        <v/>
      </c>
      <c r="U293" s="28">
        <f>IF($C293&lt;&gt;"",COUNTIF($C$2:C293,C293),"")</f>
        <v>1</v>
      </c>
      <c r="V293" s="28" t="str">
        <f t="shared" si="14"/>
        <v>Prof. Dr. Emel UZUNOĞLU ÖZYÜREK§1</v>
      </c>
      <c r="W293" s="28">
        <f>IF(U293=1,COUNTIF($U$2:U293,1),"")</f>
        <v>184</v>
      </c>
    </row>
    <row r="294" spans="1:23" ht="63" customHeight="1" x14ac:dyDescent="0.25">
      <c r="A294" s="42" t="s">
        <v>1511</v>
      </c>
      <c r="B294" s="42" t="s">
        <v>1512</v>
      </c>
      <c r="C294" s="43" t="s">
        <v>1513</v>
      </c>
      <c r="D294" s="43" t="s">
        <v>133</v>
      </c>
      <c r="E294" s="44" t="s">
        <v>1514</v>
      </c>
      <c r="F294" s="44" t="s">
        <v>1515</v>
      </c>
      <c r="G294" s="45" t="s">
        <v>35</v>
      </c>
      <c r="H294" s="47">
        <v>46097</v>
      </c>
      <c r="I294" s="47">
        <v>46112</v>
      </c>
      <c r="J294" s="43" t="s">
        <v>95</v>
      </c>
      <c r="K294" s="43" t="s">
        <v>113</v>
      </c>
      <c r="L294" s="49" t="s">
        <v>96</v>
      </c>
      <c r="M294" s="49" t="s">
        <v>69</v>
      </c>
      <c r="N294" s="49"/>
      <c r="O294" s="48"/>
      <c r="P294" s="49" t="str">
        <f t="shared" si="12"/>
        <v>ONAY</v>
      </c>
      <c r="Q294" s="27" t="s">
        <v>95</v>
      </c>
      <c r="R294" s="50" t="str">
        <f t="shared" si="13"/>
        <v/>
      </c>
      <c r="U294" s="28">
        <f>IF($C294&lt;&gt;"",COUNTIF($C$2:C294,C294),"")</f>
        <v>1</v>
      </c>
      <c r="V294" s="28" t="str">
        <f t="shared" si="14"/>
        <v>Prof. Dr. Devrim AKDEMİR§1</v>
      </c>
      <c r="W294" s="28">
        <f>IF(U294=1,COUNTIF($U$2:U294,1),"")</f>
        <v>185</v>
      </c>
    </row>
    <row r="295" spans="1:23" ht="63" customHeight="1" x14ac:dyDescent="0.25">
      <c r="A295" s="42" t="s">
        <v>1516</v>
      </c>
      <c r="B295" s="42" t="s">
        <v>1517</v>
      </c>
      <c r="C295" s="43" t="s">
        <v>1518</v>
      </c>
      <c r="D295" s="43" t="s">
        <v>244</v>
      </c>
      <c r="E295" s="44" t="s">
        <v>1519</v>
      </c>
      <c r="F295" s="44" t="s">
        <v>1520</v>
      </c>
      <c r="G295" s="45" t="s">
        <v>35</v>
      </c>
      <c r="H295" s="47">
        <v>46097</v>
      </c>
      <c r="I295" s="47">
        <v>46112</v>
      </c>
      <c r="J295" s="43" t="s">
        <v>105</v>
      </c>
      <c r="K295" s="43" t="s">
        <v>85</v>
      </c>
      <c r="L295" s="49" t="s">
        <v>69</v>
      </c>
      <c r="M295" s="49"/>
      <c r="N295" s="49"/>
      <c r="O295" s="48"/>
      <c r="P295" s="49" t="str">
        <f t="shared" si="12"/>
        <v>ONAY</v>
      </c>
      <c r="R295" s="50" t="str">
        <f t="shared" si="13"/>
        <v/>
      </c>
      <c r="U295" s="28">
        <f>IF($C295&lt;&gt;"",COUNTIF($C$2:C295,C295),"")</f>
        <v>1</v>
      </c>
      <c r="V295" s="28" t="str">
        <f t="shared" si="14"/>
        <v>Dr. Öğr. Üyesi Onur İNCE§1</v>
      </c>
      <c r="W295" s="28">
        <f>IF(U295=1,COUNTIF($U$2:U295,1),"")</f>
        <v>186</v>
      </c>
    </row>
    <row r="296" spans="1:23" ht="94.5" customHeight="1" x14ac:dyDescent="0.25">
      <c r="A296" s="42" t="s">
        <v>1521</v>
      </c>
      <c r="B296" s="42" t="s">
        <v>1522</v>
      </c>
      <c r="C296" s="43" t="s">
        <v>1523</v>
      </c>
      <c r="D296" s="43" t="s">
        <v>1524</v>
      </c>
      <c r="E296" s="44" t="s">
        <v>1525</v>
      </c>
      <c r="F296" s="44" t="s">
        <v>1526</v>
      </c>
      <c r="G296" s="45" t="s">
        <v>35</v>
      </c>
      <c r="H296" s="47">
        <v>46097</v>
      </c>
      <c r="I296" s="47">
        <v>46112</v>
      </c>
      <c r="J296" s="43" t="s">
        <v>113</v>
      </c>
      <c r="K296" s="43" t="s">
        <v>77</v>
      </c>
      <c r="L296" s="49" t="s">
        <v>96</v>
      </c>
      <c r="M296" s="49" t="s">
        <v>69</v>
      </c>
      <c r="N296" s="49"/>
      <c r="O296" s="48"/>
      <c r="P296" s="49" t="str">
        <f t="shared" si="12"/>
        <v>ONAY</v>
      </c>
      <c r="Q296" s="27" t="s">
        <v>113</v>
      </c>
      <c r="R296" s="50" t="str">
        <f t="shared" si="13"/>
        <v/>
      </c>
      <c r="U296" s="28">
        <f>IF($C296&lt;&gt;"",COUNTIF($C$2:C296,C296),"")</f>
        <v>1</v>
      </c>
      <c r="V296" s="28" t="str">
        <f t="shared" si="14"/>
        <v>Öğr. Gör. Dr. Berrin BABAOĞLU§1</v>
      </c>
      <c r="W296" s="28">
        <f>IF(U296=1,COUNTIF($U$2:U296,1),"")</f>
        <v>187</v>
      </c>
    </row>
    <row r="297" spans="1:23" ht="63" customHeight="1" x14ac:dyDescent="0.25">
      <c r="A297" s="42" t="s">
        <v>1527</v>
      </c>
      <c r="B297" s="42" t="s">
        <v>1528</v>
      </c>
      <c r="C297" s="43" t="s">
        <v>1529</v>
      </c>
      <c r="D297" s="43" t="s">
        <v>110</v>
      </c>
      <c r="E297" s="44" t="s">
        <v>1530</v>
      </c>
      <c r="F297" s="44" t="s">
        <v>1531</v>
      </c>
      <c r="G297" s="45" t="s">
        <v>34</v>
      </c>
      <c r="H297" s="47">
        <v>46097</v>
      </c>
      <c r="I297" s="47">
        <v>46112</v>
      </c>
      <c r="J297" s="43" t="s">
        <v>67</v>
      </c>
      <c r="K297" s="43" t="s">
        <v>105</v>
      </c>
      <c r="L297" s="49" t="s">
        <v>96</v>
      </c>
      <c r="M297" s="49" t="s">
        <v>69</v>
      </c>
      <c r="N297" s="49"/>
      <c r="O297" s="48"/>
      <c r="P297" s="49" t="str">
        <f t="shared" si="12"/>
        <v>ONAY</v>
      </c>
      <c r="Q297" s="27" t="s">
        <v>105</v>
      </c>
      <c r="R297" s="50" t="str">
        <f t="shared" si="13"/>
        <v/>
      </c>
      <c r="U297" s="28">
        <f>IF($C297&lt;&gt;"",COUNTIF($C$2:C297,C297),"")</f>
        <v>1</v>
      </c>
      <c r="V297" s="28" t="str">
        <f t="shared" si="14"/>
        <v>Prof. Dr. Hakan GÖKER§1</v>
      </c>
      <c r="W297" s="28">
        <f>IF(U297=1,COUNTIF($U$2:U297,1),"")</f>
        <v>188</v>
      </c>
    </row>
    <row r="298" spans="1:23" ht="110.25" customHeight="1" x14ac:dyDescent="0.25">
      <c r="A298" s="42" t="s">
        <v>1532</v>
      </c>
      <c r="B298" s="42" t="s">
        <v>1533</v>
      </c>
      <c r="C298" s="43" t="s">
        <v>1534</v>
      </c>
      <c r="D298" s="43" t="s">
        <v>237</v>
      </c>
      <c r="E298" s="44" t="s">
        <v>1535</v>
      </c>
      <c r="F298" s="44" t="s">
        <v>1536</v>
      </c>
      <c r="G298" s="45" t="s">
        <v>35</v>
      </c>
      <c r="H298" s="47">
        <v>46097</v>
      </c>
      <c r="I298" s="47">
        <v>46112</v>
      </c>
      <c r="J298" s="43" t="s">
        <v>121</v>
      </c>
      <c r="K298" s="43" t="s">
        <v>68</v>
      </c>
      <c r="L298" s="49" t="s">
        <v>69</v>
      </c>
      <c r="M298" s="49"/>
      <c r="N298" s="49"/>
      <c r="O298" s="48"/>
      <c r="P298" s="49" t="str">
        <f t="shared" si="12"/>
        <v>ONAY</v>
      </c>
      <c r="R298" s="50" t="str">
        <f t="shared" si="13"/>
        <v/>
      </c>
      <c r="U298" s="28">
        <f>IF($C298&lt;&gt;"",COUNTIF($C$2:C298,C298),"")</f>
        <v>1</v>
      </c>
      <c r="V298" s="28" t="str">
        <f t="shared" si="14"/>
        <v>Prof. Dr. Sinem AKGÜL§1</v>
      </c>
      <c r="W298" s="28">
        <f>IF(U298=1,COUNTIF($U$2:U298,1),"")</f>
        <v>189</v>
      </c>
    </row>
    <row r="299" spans="1:23" ht="94.5" customHeight="1" x14ac:dyDescent="0.25">
      <c r="A299" s="42" t="s">
        <v>1537</v>
      </c>
      <c r="B299" s="42" t="s">
        <v>1538</v>
      </c>
      <c r="C299" s="43" t="s">
        <v>1360</v>
      </c>
      <c r="D299" s="43" t="s">
        <v>237</v>
      </c>
      <c r="E299" s="44" t="s">
        <v>1539</v>
      </c>
      <c r="F299" s="44" t="s">
        <v>1540</v>
      </c>
      <c r="G299" s="45" t="s">
        <v>34</v>
      </c>
      <c r="H299" s="47">
        <v>46097</v>
      </c>
      <c r="I299" s="47">
        <v>46112</v>
      </c>
      <c r="J299" s="43" t="s">
        <v>68</v>
      </c>
      <c r="K299" s="43" t="s">
        <v>94</v>
      </c>
      <c r="L299" s="49" t="s">
        <v>69</v>
      </c>
      <c r="M299" s="49"/>
      <c r="N299" s="49"/>
      <c r="O299" s="48"/>
      <c r="P299" s="49" t="str">
        <f t="shared" si="12"/>
        <v>ONAY</v>
      </c>
      <c r="R299" s="50" t="str">
        <f t="shared" si="13"/>
        <v/>
      </c>
      <c r="U299" s="28">
        <f>IF($C299&lt;&gt;"",COUNTIF($C$2:C299,C299),"")</f>
        <v>2</v>
      </c>
      <c r="V299" s="28" t="str">
        <f t="shared" si="14"/>
        <v>Prof. Dr. Bülent Enis ŞEKEREL§2</v>
      </c>
      <c r="W299" s="28" t="str">
        <f>IF(U299=1,COUNTIF($U$2:U299,1),"")</f>
        <v/>
      </c>
    </row>
    <row r="300" spans="1:23" ht="63" customHeight="1" x14ac:dyDescent="0.25">
      <c r="A300" s="42" t="s">
        <v>1541</v>
      </c>
      <c r="B300" s="42" t="s">
        <v>1542</v>
      </c>
      <c r="C300" s="43" t="s">
        <v>1137</v>
      </c>
      <c r="D300" s="43" t="s">
        <v>997</v>
      </c>
      <c r="E300" s="44" t="s">
        <v>1543</v>
      </c>
      <c r="F300" s="44" t="s">
        <v>1544</v>
      </c>
      <c r="G300" s="45" t="s">
        <v>35</v>
      </c>
      <c r="H300" s="47">
        <v>46097</v>
      </c>
      <c r="I300" s="47">
        <v>46112</v>
      </c>
      <c r="J300" s="43" t="s">
        <v>113</v>
      </c>
      <c r="K300" s="43" t="s">
        <v>77</v>
      </c>
      <c r="L300" s="49" t="s">
        <v>69</v>
      </c>
      <c r="M300" s="49"/>
      <c r="N300" s="49"/>
      <c r="O300" s="48"/>
      <c r="P300" s="49" t="str">
        <f t="shared" si="12"/>
        <v>ONAY</v>
      </c>
      <c r="R300" s="50" t="str">
        <f t="shared" si="13"/>
        <v/>
      </c>
      <c r="U300" s="28">
        <f>IF($C300&lt;&gt;"",COUNTIF($C$2:C300,C300),"")</f>
        <v>2</v>
      </c>
      <c r="V300" s="28" t="str">
        <f t="shared" si="14"/>
        <v>Doç. Dr. Duygu AYHAN BAŞER§2</v>
      </c>
      <c r="W300" s="28" t="str">
        <f>IF(U300=1,COUNTIF($U$2:U300,1),"")</f>
        <v/>
      </c>
    </row>
    <row r="301" spans="1:23" ht="63" customHeight="1" x14ac:dyDescent="0.25">
      <c r="A301" s="42" t="s">
        <v>1545</v>
      </c>
      <c r="B301" s="42" t="s">
        <v>1546</v>
      </c>
      <c r="C301" s="43" t="s">
        <v>109</v>
      </c>
      <c r="D301" s="43" t="s">
        <v>110</v>
      </c>
      <c r="E301" s="44" t="s">
        <v>1547</v>
      </c>
      <c r="F301" s="44" t="s">
        <v>1548</v>
      </c>
      <c r="G301" s="45" t="s">
        <v>34</v>
      </c>
      <c r="H301" s="47">
        <v>46097</v>
      </c>
      <c r="I301" s="47">
        <v>46112</v>
      </c>
      <c r="J301" s="43" t="s">
        <v>105</v>
      </c>
      <c r="K301" s="43" t="s">
        <v>86</v>
      </c>
      <c r="L301" s="49" t="s">
        <v>96</v>
      </c>
      <c r="M301" s="49"/>
      <c r="N301" s="49"/>
      <c r="O301" s="48"/>
      <c r="P301" s="49" t="str">
        <f t="shared" si="12"/>
        <v>DÜZELTME</v>
      </c>
      <c r="R301" s="50" t="str">
        <f t="shared" si="13"/>
        <v/>
      </c>
      <c r="U301" s="28">
        <f>IF($C301&lt;&gt;"",COUNTIF($C$2:C301,C301),"")</f>
        <v>10</v>
      </c>
      <c r="V301" s="28" t="str">
        <f t="shared" si="14"/>
        <v>Prof. Dr. Meltem Gülhan HALİL§10</v>
      </c>
      <c r="W301" s="28" t="str">
        <f>IF(U301=1,COUNTIF($U$2:U301,1),"")</f>
        <v/>
      </c>
    </row>
    <row r="302" spans="1:23" ht="78.75" customHeight="1" x14ac:dyDescent="0.25">
      <c r="A302" s="42" t="s">
        <v>1549</v>
      </c>
      <c r="B302" s="42" t="s">
        <v>1550</v>
      </c>
      <c r="C302" s="43" t="s">
        <v>1445</v>
      </c>
      <c r="D302" s="43" t="s">
        <v>237</v>
      </c>
      <c r="E302" s="44" t="s">
        <v>1551</v>
      </c>
      <c r="F302" s="44" t="s">
        <v>1552</v>
      </c>
      <c r="G302" s="45" t="s">
        <v>34</v>
      </c>
      <c r="H302" s="47">
        <v>46098</v>
      </c>
      <c r="I302" s="47">
        <v>46112</v>
      </c>
      <c r="J302" s="43" t="s">
        <v>94</v>
      </c>
      <c r="K302" s="43" t="s">
        <v>67</v>
      </c>
      <c r="L302" s="49" t="s">
        <v>96</v>
      </c>
      <c r="M302" s="49" t="s">
        <v>69</v>
      </c>
      <c r="N302" s="49"/>
      <c r="O302" s="48"/>
      <c r="P302" s="49" t="str">
        <f t="shared" si="12"/>
        <v>ONAY</v>
      </c>
      <c r="Q302" s="27" t="s">
        <v>67</v>
      </c>
      <c r="R302" s="50" t="str">
        <f t="shared" si="13"/>
        <v/>
      </c>
      <c r="U302" s="28">
        <f>IF($C302&lt;&gt;"",COUNTIF($C$2:C302,C302),"")</f>
        <v>2</v>
      </c>
      <c r="V302" s="28" t="str">
        <f t="shared" si="14"/>
        <v>Prof. Dr. İnci Nur SALTIK§2</v>
      </c>
      <c r="W302" s="28" t="str">
        <f>IF(U302=1,COUNTIF($U$2:U302,1),"")</f>
        <v/>
      </c>
    </row>
    <row r="303" spans="1:23" ht="78.75" customHeight="1" x14ac:dyDescent="0.25">
      <c r="A303" s="42" t="s">
        <v>1553</v>
      </c>
      <c r="B303" s="42" t="s">
        <v>1554</v>
      </c>
      <c r="C303" s="43" t="s">
        <v>1331</v>
      </c>
      <c r="D303" s="43" t="s">
        <v>244</v>
      </c>
      <c r="E303" s="44" t="s">
        <v>1555</v>
      </c>
      <c r="F303" s="44" t="s">
        <v>1556</v>
      </c>
      <c r="G303" s="45" t="s">
        <v>34</v>
      </c>
      <c r="H303" s="47">
        <v>46098</v>
      </c>
      <c r="I303" s="47">
        <v>46112</v>
      </c>
      <c r="J303" s="43" t="s">
        <v>67</v>
      </c>
      <c r="K303" s="43" t="s">
        <v>95</v>
      </c>
      <c r="L303" s="49" t="s">
        <v>69</v>
      </c>
      <c r="M303" s="49"/>
      <c r="N303" s="49"/>
      <c r="O303" s="48"/>
      <c r="P303" s="49" t="str">
        <f t="shared" si="12"/>
        <v>ONAY</v>
      </c>
      <c r="R303" s="50" t="str">
        <f t="shared" si="13"/>
        <v/>
      </c>
      <c r="U303" s="28">
        <f>IF($C303&lt;&gt;"",COUNTIF($C$2:C303,C303),"")</f>
        <v>2</v>
      </c>
      <c r="V303" s="28" t="str">
        <f t="shared" si="14"/>
        <v>Prof. Dr. Murat GÜLTEKİN§2</v>
      </c>
      <c r="W303" s="28" t="str">
        <f>IF(U303=1,COUNTIF($U$2:U303,1),"")</f>
        <v/>
      </c>
    </row>
    <row r="304" spans="1:23" ht="63" customHeight="1" x14ac:dyDescent="0.25">
      <c r="A304" s="42" t="s">
        <v>1557</v>
      </c>
      <c r="B304" s="42" t="s">
        <v>1558</v>
      </c>
      <c r="C304" s="43" t="s">
        <v>1559</v>
      </c>
      <c r="D304" s="43" t="s">
        <v>251</v>
      </c>
      <c r="E304" s="44" t="s">
        <v>1560</v>
      </c>
      <c r="F304" s="44" t="s">
        <v>1561</v>
      </c>
      <c r="G304" s="45" t="s">
        <v>34</v>
      </c>
      <c r="H304" s="47">
        <v>46098</v>
      </c>
      <c r="I304" s="47">
        <v>46112</v>
      </c>
      <c r="J304" s="43" t="s">
        <v>86</v>
      </c>
      <c r="K304" s="43" t="s">
        <v>121</v>
      </c>
      <c r="L304" s="49" t="s">
        <v>69</v>
      </c>
      <c r="M304" s="49"/>
      <c r="N304" s="49"/>
      <c r="O304" s="48"/>
      <c r="P304" s="49" t="str">
        <f t="shared" si="12"/>
        <v>ONAY</v>
      </c>
      <c r="R304" s="50" t="str">
        <f t="shared" si="13"/>
        <v/>
      </c>
      <c r="U304" s="28">
        <f>IF($C304&lt;&gt;"",COUNTIF($C$2:C304,C304),"")</f>
        <v>1</v>
      </c>
      <c r="V304" s="28" t="str">
        <f t="shared" si="14"/>
        <v>Doç. Dr. Cem ÇÖTELİ§1</v>
      </c>
      <c r="W304" s="28">
        <f>IF(U304=1,COUNTIF($U$2:U304,1),"")</f>
        <v>190</v>
      </c>
    </row>
    <row r="305" spans="1:23" ht="78.75" customHeight="1" x14ac:dyDescent="0.25">
      <c r="A305" s="42" t="s">
        <v>1562</v>
      </c>
      <c r="B305" s="42" t="s">
        <v>1563</v>
      </c>
      <c r="C305" s="43" t="s">
        <v>1564</v>
      </c>
      <c r="D305" s="43" t="s">
        <v>110</v>
      </c>
      <c r="E305" s="44" t="s">
        <v>1565</v>
      </c>
      <c r="F305" s="44" t="s">
        <v>1566</v>
      </c>
      <c r="G305" s="45" t="s">
        <v>34</v>
      </c>
      <c r="H305" s="47">
        <v>46098</v>
      </c>
      <c r="I305" s="47">
        <v>46112</v>
      </c>
      <c r="J305" s="43" t="s">
        <v>85</v>
      </c>
      <c r="K305" s="43" t="s">
        <v>113</v>
      </c>
      <c r="L305" s="49" t="s">
        <v>96</v>
      </c>
      <c r="M305" s="49" t="s">
        <v>69</v>
      </c>
      <c r="N305" s="49"/>
      <c r="O305" s="48"/>
      <c r="P305" s="49" t="str">
        <f t="shared" si="12"/>
        <v>ONAY</v>
      </c>
      <c r="Q305" s="27" t="s">
        <v>85</v>
      </c>
      <c r="R305" s="50" t="str">
        <f t="shared" si="13"/>
        <v/>
      </c>
      <c r="U305" s="28">
        <f>IF($C305&lt;&gt;"",COUNTIF($C$2:C305,C305),"")</f>
        <v>1</v>
      </c>
      <c r="V305" s="28" t="str">
        <f t="shared" si="14"/>
        <v>Doç. Dr. Oğuz Abdullah UYAROĞLU§1</v>
      </c>
      <c r="W305" s="28">
        <f>IF(U305=1,COUNTIF($U$2:U305,1),"")</f>
        <v>191</v>
      </c>
    </row>
    <row r="306" spans="1:23" ht="78.75" customHeight="1" x14ac:dyDescent="0.25">
      <c r="A306" s="42" t="s">
        <v>1567</v>
      </c>
      <c r="B306" s="42" t="s">
        <v>1568</v>
      </c>
      <c r="C306" s="43" t="s">
        <v>1569</v>
      </c>
      <c r="D306" s="43" t="s">
        <v>307</v>
      </c>
      <c r="E306" s="44" t="s">
        <v>1570</v>
      </c>
      <c r="F306" s="44" t="s">
        <v>1571</v>
      </c>
      <c r="G306" s="45" t="s">
        <v>35</v>
      </c>
      <c r="H306" s="47">
        <v>46098</v>
      </c>
      <c r="I306" s="47">
        <v>46112</v>
      </c>
      <c r="J306" s="43" t="s">
        <v>86</v>
      </c>
      <c r="K306" s="43" t="s">
        <v>68</v>
      </c>
      <c r="L306" s="49" t="s">
        <v>69</v>
      </c>
      <c r="M306" s="49"/>
      <c r="N306" s="49"/>
      <c r="O306" s="48"/>
      <c r="P306" s="49" t="str">
        <f t="shared" si="12"/>
        <v>ONAY</v>
      </c>
      <c r="R306" s="50" t="str">
        <f t="shared" si="13"/>
        <v/>
      </c>
      <c r="U306" s="28">
        <f>IF($C306&lt;&gt;"",COUNTIF($C$2:C306,C306),"")</f>
        <v>1</v>
      </c>
      <c r="V306" s="28" t="str">
        <f t="shared" si="14"/>
        <v>Prof. Dr. Bilge VOLKAN SALANCI§1</v>
      </c>
      <c r="W306" s="28">
        <f>IF(U306=1,COUNTIF($U$2:U306,1),"")</f>
        <v>192</v>
      </c>
    </row>
    <row r="307" spans="1:23" ht="81" customHeight="1" x14ac:dyDescent="0.25">
      <c r="A307" s="42" t="s">
        <v>1572</v>
      </c>
      <c r="B307" s="42" t="s">
        <v>1573</v>
      </c>
      <c r="C307" s="43" t="s">
        <v>702</v>
      </c>
      <c r="D307" s="43" t="s">
        <v>378</v>
      </c>
      <c r="E307" s="44" t="s">
        <v>1574</v>
      </c>
      <c r="F307" s="44" t="s">
        <v>1575</v>
      </c>
      <c r="G307" s="45" t="s">
        <v>34</v>
      </c>
      <c r="H307" s="47">
        <v>46098</v>
      </c>
      <c r="I307" s="47">
        <v>46112</v>
      </c>
      <c r="J307" s="43" t="s">
        <v>85</v>
      </c>
      <c r="K307" s="43" t="s">
        <v>105</v>
      </c>
      <c r="L307" s="49" t="s">
        <v>178</v>
      </c>
      <c r="M307" s="49"/>
      <c r="N307" s="49"/>
      <c r="O307" s="48"/>
      <c r="P307" s="49" t="str">
        <f t="shared" si="12"/>
        <v>RET</v>
      </c>
      <c r="R307" s="50" t="str">
        <f t="shared" si="13"/>
        <v/>
      </c>
      <c r="U307" s="28">
        <f>IF($C307&lt;&gt;"",COUNTIF($C$2:C307,C307),"")</f>
        <v>2</v>
      </c>
      <c r="V307" s="28" t="str">
        <f t="shared" si="14"/>
        <v>Prof. Dr. Alp ÇETİN§2</v>
      </c>
      <c r="W307" s="28" t="str">
        <f>IF(U307=1,COUNTIF($U$2:U307,1),"")</f>
        <v/>
      </c>
    </row>
    <row r="308" spans="1:23" ht="81" customHeight="1" x14ac:dyDescent="0.25">
      <c r="A308" s="42" t="s">
        <v>1576</v>
      </c>
      <c r="B308" s="42" t="s">
        <v>1577</v>
      </c>
      <c r="C308" s="43" t="s">
        <v>702</v>
      </c>
      <c r="D308" s="43" t="s">
        <v>378</v>
      </c>
      <c r="E308" s="44" t="s">
        <v>1574</v>
      </c>
      <c r="F308" s="44" t="s">
        <v>1578</v>
      </c>
      <c r="G308" s="45" t="s">
        <v>34</v>
      </c>
      <c r="H308" s="47">
        <v>46098</v>
      </c>
      <c r="I308" s="47">
        <v>46112</v>
      </c>
      <c r="J308" s="43" t="s">
        <v>85</v>
      </c>
      <c r="K308" s="43" t="s">
        <v>105</v>
      </c>
      <c r="L308" s="49" t="s">
        <v>178</v>
      </c>
      <c r="M308" s="49"/>
      <c r="N308" s="49"/>
      <c r="O308" s="48"/>
      <c r="P308" s="49" t="str">
        <f t="shared" si="12"/>
        <v>RET</v>
      </c>
      <c r="R308" s="50" t="str">
        <f t="shared" si="13"/>
        <v/>
      </c>
      <c r="U308" s="28">
        <f>IF($C308&lt;&gt;"",COUNTIF($C$2:C308,C308),"")</f>
        <v>3</v>
      </c>
      <c r="V308" s="28" t="str">
        <f t="shared" si="14"/>
        <v>Prof. Dr. Alp ÇETİN§3</v>
      </c>
      <c r="W308" s="28" t="str">
        <f>IF(U308=1,COUNTIF($U$2:U308,1),"")</f>
        <v/>
      </c>
    </row>
    <row r="309" spans="1:23" ht="63" customHeight="1" x14ac:dyDescent="0.25">
      <c r="A309" s="42" t="s">
        <v>1579</v>
      </c>
      <c r="B309" s="42" t="s">
        <v>1580</v>
      </c>
      <c r="C309" s="43" t="s">
        <v>1581</v>
      </c>
      <c r="D309" s="43" t="s">
        <v>1022</v>
      </c>
      <c r="E309" s="44" t="s">
        <v>1582</v>
      </c>
      <c r="F309" s="44" t="s">
        <v>1583</v>
      </c>
      <c r="G309" s="45" t="s">
        <v>34</v>
      </c>
      <c r="H309" s="47">
        <v>46099</v>
      </c>
      <c r="I309" s="47">
        <v>46112</v>
      </c>
      <c r="J309" s="43" t="s">
        <v>121</v>
      </c>
      <c r="K309" s="43" t="s">
        <v>86</v>
      </c>
      <c r="L309" s="49" t="s">
        <v>96</v>
      </c>
      <c r="M309" s="49" t="s">
        <v>218</v>
      </c>
      <c r="N309" s="49"/>
      <c r="O309" s="48"/>
      <c r="P309" s="49" t="str">
        <f t="shared" si="12"/>
        <v>GÖRÜŞ</v>
      </c>
      <c r="R309" s="50" t="str">
        <f t="shared" si="13"/>
        <v/>
      </c>
      <c r="U309" s="28">
        <f>IF($C309&lt;&gt;"",COUNTIF($C$2:C309,C309),"")</f>
        <v>1</v>
      </c>
      <c r="V309" s="28" t="str">
        <f t="shared" si="14"/>
        <v>Prof. Dr. Filiz YALÇIN§1</v>
      </c>
      <c r="W309" s="28">
        <f>IF(U309=1,COUNTIF($U$2:U309,1),"")</f>
        <v>193</v>
      </c>
    </row>
    <row r="310" spans="1:23" ht="63" customHeight="1" x14ac:dyDescent="0.25">
      <c r="A310" s="42" t="s">
        <v>1584</v>
      </c>
      <c r="B310" s="42" t="s">
        <v>1585</v>
      </c>
      <c r="C310" s="43" t="s">
        <v>1463</v>
      </c>
      <c r="D310" s="43" t="s">
        <v>110</v>
      </c>
      <c r="E310" s="44" t="s">
        <v>1586</v>
      </c>
      <c r="F310" s="44" t="s">
        <v>1587</v>
      </c>
      <c r="G310" s="45" t="s">
        <v>34</v>
      </c>
      <c r="H310" s="47">
        <v>46099</v>
      </c>
      <c r="I310" s="47">
        <v>46112</v>
      </c>
      <c r="J310" s="43" t="s">
        <v>94</v>
      </c>
      <c r="K310" s="43" t="s">
        <v>95</v>
      </c>
      <c r="L310" s="49" t="s">
        <v>69</v>
      </c>
      <c r="M310" s="49"/>
      <c r="N310" s="49"/>
      <c r="O310" s="48"/>
      <c r="P310" s="49" t="str">
        <f t="shared" si="12"/>
        <v>ONAY</v>
      </c>
      <c r="R310" s="50" t="str">
        <f t="shared" si="13"/>
        <v/>
      </c>
      <c r="U310" s="28">
        <f>IF($C310&lt;&gt;"",COUNTIF($C$2:C310,C310),"")</f>
        <v>2</v>
      </c>
      <c r="V310" s="28" t="str">
        <f t="shared" si="14"/>
        <v>Prof. Dr. Taylan KAV§2</v>
      </c>
      <c r="W310" s="28" t="str">
        <f>IF(U310=1,COUNTIF($U$2:U310,1),"")</f>
        <v/>
      </c>
    </row>
    <row r="311" spans="1:23" ht="78.75" customHeight="1" x14ac:dyDescent="0.25">
      <c r="A311" s="42" t="s">
        <v>1588</v>
      </c>
      <c r="B311" s="42" t="s">
        <v>1589</v>
      </c>
      <c r="C311" s="43" t="s">
        <v>1463</v>
      </c>
      <c r="D311" s="43" t="s">
        <v>110</v>
      </c>
      <c r="E311" s="44" t="s">
        <v>1590</v>
      </c>
      <c r="F311" s="44" t="s">
        <v>1591</v>
      </c>
      <c r="G311" s="45" t="s">
        <v>34</v>
      </c>
      <c r="H311" s="47">
        <v>46099</v>
      </c>
      <c r="I311" s="47">
        <v>46112</v>
      </c>
      <c r="J311" s="43" t="s">
        <v>94</v>
      </c>
      <c r="K311" s="43" t="s">
        <v>95</v>
      </c>
      <c r="L311" s="49" t="s">
        <v>69</v>
      </c>
      <c r="M311" s="49"/>
      <c r="N311" s="49"/>
      <c r="O311" s="48"/>
      <c r="P311" s="49" t="str">
        <f t="shared" si="12"/>
        <v>ONAY</v>
      </c>
      <c r="R311" s="50" t="str">
        <f t="shared" si="13"/>
        <v/>
      </c>
      <c r="U311" s="28">
        <f>IF($C311&lt;&gt;"",COUNTIF($C$2:C311,C311),"")</f>
        <v>3</v>
      </c>
      <c r="V311" s="28" t="str">
        <f t="shared" si="14"/>
        <v>Prof. Dr. Taylan KAV§3</v>
      </c>
      <c r="W311" s="28" t="str">
        <f>IF(U311=1,COUNTIF($U$2:U311,1),"")</f>
        <v/>
      </c>
    </row>
    <row r="312" spans="1:23" ht="66" customHeight="1" x14ac:dyDescent="0.25">
      <c r="A312" s="42" t="s">
        <v>1592</v>
      </c>
      <c r="B312" s="42" t="s">
        <v>1593</v>
      </c>
      <c r="C312" s="43" t="s">
        <v>1594</v>
      </c>
      <c r="D312" s="43" t="s">
        <v>356</v>
      </c>
      <c r="E312" s="44" t="s">
        <v>1595</v>
      </c>
      <c r="F312" s="44" t="s">
        <v>1596</v>
      </c>
      <c r="G312" s="45" t="s">
        <v>34</v>
      </c>
      <c r="H312" s="47">
        <v>46099</v>
      </c>
      <c r="I312" s="47">
        <v>46112</v>
      </c>
      <c r="J312" s="43" t="s">
        <v>95</v>
      </c>
      <c r="K312" s="43" t="s">
        <v>77</v>
      </c>
      <c r="L312" s="49" t="s">
        <v>69</v>
      </c>
      <c r="M312" s="49"/>
      <c r="N312" s="49"/>
      <c r="O312" s="48"/>
      <c r="P312" s="49" t="str">
        <f t="shared" si="12"/>
        <v>ONAY</v>
      </c>
      <c r="R312" s="50" t="str">
        <f t="shared" si="13"/>
        <v/>
      </c>
      <c r="U312" s="28">
        <f>IF($C312&lt;&gt;"",COUNTIF($C$2:C312,C312),"")</f>
        <v>1</v>
      </c>
      <c r="V312" s="28" t="str">
        <f t="shared" si="14"/>
        <v>Prof. Dr. Cavit Işık YAVUZ§1</v>
      </c>
      <c r="W312" s="28">
        <f>IF(U312=1,COUNTIF($U$2:U312,1),"")</f>
        <v>194</v>
      </c>
    </row>
    <row r="313" spans="1:23" ht="63" customHeight="1" x14ac:dyDescent="0.25">
      <c r="A313" s="42" t="s">
        <v>1597</v>
      </c>
      <c r="B313" s="42" t="s">
        <v>1598</v>
      </c>
      <c r="C313" s="43" t="s">
        <v>1599</v>
      </c>
      <c r="D313" s="43" t="s">
        <v>1104</v>
      </c>
      <c r="E313" s="44" t="s">
        <v>1600</v>
      </c>
      <c r="F313" s="57" t="s">
        <v>1601</v>
      </c>
      <c r="G313" s="45" t="s">
        <v>36</v>
      </c>
      <c r="H313" s="47">
        <v>46099</v>
      </c>
      <c r="I313" s="47">
        <v>46112</v>
      </c>
      <c r="J313" s="43" t="s">
        <v>67</v>
      </c>
      <c r="K313" s="43" t="s">
        <v>68</v>
      </c>
      <c r="L313" s="49" t="s">
        <v>96</v>
      </c>
      <c r="M313" s="49" t="s">
        <v>218</v>
      </c>
      <c r="N313" s="49" t="s">
        <v>96</v>
      </c>
      <c r="O313" s="48" t="s">
        <v>69</v>
      </c>
      <c r="P313" s="49" t="str">
        <f t="shared" si="12"/>
        <v>ONAY</v>
      </c>
      <c r="Q313" s="27" t="s">
        <v>105</v>
      </c>
      <c r="R313" s="50" t="str">
        <f t="shared" si="13"/>
        <v/>
      </c>
      <c r="U313" s="28">
        <f>IF($C313&lt;&gt;"",COUNTIF($C$2:C313,C313),"")</f>
        <v>1</v>
      </c>
      <c r="V313" s="28" t="str">
        <f t="shared" si="14"/>
        <v>Dr. Öğr. Üyesi Burçe ATAÇ MOGOL§1</v>
      </c>
      <c r="W313" s="28">
        <f>IF(U313=1,COUNTIF($U$2:U313,1),"")</f>
        <v>195</v>
      </c>
    </row>
    <row r="314" spans="1:23" ht="94.5" customHeight="1" x14ac:dyDescent="0.25">
      <c r="A314" s="42" t="s">
        <v>1602</v>
      </c>
      <c r="B314" s="42" t="s">
        <v>1603</v>
      </c>
      <c r="C314" s="43" t="s">
        <v>1463</v>
      </c>
      <c r="D314" s="43" t="s">
        <v>110</v>
      </c>
      <c r="E314" s="44" t="s">
        <v>1604</v>
      </c>
      <c r="F314" s="44" t="s">
        <v>1605</v>
      </c>
      <c r="G314" s="45" t="s">
        <v>34</v>
      </c>
      <c r="H314" s="47">
        <v>46107</v>
      </c>
      <c r="I314" s="47">
        <v>46126</v>
      </c>
      <c r="J314" s="43" t="s">
        <v>113</v>
      </c>
      <c r="K314" s="43" t="s">
        <v>77</v>
      </c>
      <c r="L314" s="49" t="s">
        <v>96</v>
      </c>
      <c r="M314" s="49" t="s">
        <v>69</v>
      </c>
      <c r="N314" s="49"/>
      <c r="O314" s="48"/>
      <c r="P314" s="49" t="str">
        <f t="shared" si="12"/>
        <v>ONAY</v>
      </c>
      <c r="Q314" s="27" t="s">
        <v>77</v>
      </c>
      <c r="R314" s="50" t="str">
        <f t="shared" si="13"/>
        <v/>
      </c>
      <c r="U314" s="28">
        <f>IF($C314&lt;&gt;"",COUNTIF($C$2:C314,C314),"")</f>
        <v>4</v>
      </c>
      <c r="V314" s="28" t="str">
        <f t="shared" si="14"/>
        <v>Prof. Dr. Taylan KAV§4</v>
      </c>
      <c r="W314" s="28" t="str">
        <f>IF(U314=1,COUNTIF($U$2:U314,1),"")</f>
        <v/>
      </c>
    </row>
    <row r="315" spans="1:23" ht="78.75" customHeight="1" x14ac:dyDescent="0.25">
      <c r="A315" s="42" t="s">
        <v>1606</v>
      </c>
      <c r="B315" s="42" t="s">
        <v>1607</v>
      </c>
      <c r="C315" s="43" t="s">
        <v>1463</v>
      </c>
      <c r="D315" s="43" t="s">
        <v>110</v>
      </c>
      <c r="E315" s="44" t="s">
        <v>1608</v>
      </c>
      <c r="F315" s="44" t="s">
        <v>1609</v>
      </c>
      <c r="G315" s="45" t="s">
        <v>34</v>
      </c>
      <c r="H315" s="47">
        <v>46107</v>
      </c>
      <c r="I315" s="47">
        <v>46126</v>
      </c>
      <c r="J315" s="43" t="s">
        <v>113</v>
      </c>
      <c r="K315" s="43" t="s">
        <v>77</v>
      </c>
      <c r="L315" s="49" t="s">
        <v>96</v>
      </c>
      <c r="M315" s="49" t="s">
        <v>69</v>
      </c>
      <c r="N315" s="49"/>
      <c r="O315" s="48"/>
      <c r="P315" s="49" t="str">
        <f t="shared" si="12"/>
        <v>ONAY</v>
      </c>
      <c r="Q315" s="27" t="s">
        <v>113</v>
      </c>
      <c r="R315" s="50" t="str">
        <f t="shared" si="13"/>
        <v/>
      </c>
      <c r="U315" s="28">
        <f>IF($C315&lt;&gt;"",COUNTIF($C$2:C315,C315),"")</f>
        <v>5</v>
      </c>
      <c r="V315" s="28" t="str">
        <f t="shared" si="14"/>
        <v>Prof. Dr. Taylan KAV§5</v>
      </c>
      <c r="W315" s="28" t="str">
        <f>IF(U315=1,COUNTIF($U$2:U315,1),"")</f>
        <v/>
      </c>
    </row>
    <row r="316" spans="1:23" ht="78.75" customHeight="1" x14ac:dyDescent="0.25">
      <c r="A316" s="42" t="s">
        <v>1610</v>
      </c>
      <c r="B316" s="42" t="s">
        <v>1611</v>
      </c>
      <c r="C316" s="43" t="s">
        <v>1228</v>
      </c>
      <c r="D316" s="43" t="s">
        <v>395</v>
      </c>
      <c r="E316" s="44" t="s">
        <v>1612</v>
      </c>
      <c r="F316" s="44" t="s">
        <v>1613</v>
      </c>
      <c r="G316" s="45" t="s">
        <v>35</v>
      </c>
      <c r="H316" s="47">
        <v>46107</v>
      </c>
      <c r="I316" s="47">
        <v>46126</v>
      </c>
      <c r="J316" s="43" t="s">
        <v>104</v>
      </c>
      <c r="K316" s="43" t="s">
        <v>128</v>
      </c>
      <c r="L316" s="49" t="s">
        <v>69</v>
      </c>
      <c r="M316" s="49"/>
      <c r="N316" s="49"/>
      <c r="O316" s="48"/>
      <c r="P316" s="49" t="str">
        <f t="shared" si="12"/>
        <v>ONAY</v>
      </c>
      <c r="R316" s="50" t="str">
        <f t="shared" si="13"/>
        <v/>
      </c>
      <c r="U316" s="28">
        <f>IF($C316&lt;&gt;"",COUNTIF($C$2:C316,C316),"")</f>
        <v>3</v>
      </c>
      <c r="V316" s="28" t="str">
        <f t="shared" si="14"/>
        <v>Prof. Dr. Fadime İrsel TEZER FİLİK§3</v>
      </c>
      <c r="W316" s="28" t="str">
        <f>IF(U316=1,COUNTIF($U$2:U316,1),"")</f>
        <v/>
      </c>
    </row>
    <row r="317" spans="1:23" ht="63" customHeight="1" x14ac:dyDescent="0.25">
      <c r="A317" s="42" t="s">
        <v>1614</v>
      </c>
      <c r="B317" s="42" t="s">
        <v>1615</v>
      </c>
      <c r="C317" s="43" t="s">
        <v>1616</v>
      </c>
      <c r="D317" s="43" t="s">
        <v>110</v>
      </c>
      <c r="E317" s="44" t="s">
        <v>1617</v>
      </c>
      <c r="F317" s="44" t="s">
        <v>1618</v>
      </c>
      <c r="G317" s="45" t="s">
        <v>34</v>
      </c>
      <c r="H317" s="47">
        <v>46107</v>
      </c>
      <c r="I317" s="47">
        <v>46126</v>
      </c>
      <c r="J317" s="43" t="s">
        <v>67</v>
      </c>
      <c r="K317" s="43" t="s">
        <v>128</v>
      </c>
      <c r="L317" s="49" t="s">
        <v>218</v>
      </c>
      <c r="M317" s="49" t="s">
        <v>96</v>
      </c>
      <c r="N317" s="49" t="s">
        <v>69</v>
      </c>
      <c r="O317" s="48"/>
      <c r="P317" s="49" t="str">
        <f t="shared" si="12"/>
        <v>ONAY</v>
      </c>
      <c r="Q317" s="27" t="s">
        <v>85</v>
      </c>
      <c r="R317" s="50" t="str">
        <f t="shared" si="13"/>
        <v/>
      </c>
      <c r="U317" s="28">
        <f>IF($C317&lt;&gt;"",COUNTIF($C$2:C317,C317),"")</f>
        <v>1</v>
      </c>
      <c r="V317" s="28" t="str">
        <f t="shared" si="14"/>
        <v>Doç. Dr. Cafer BALCI§1</v>
      </c>
      <c r="W317" s="28">
        <f>IF(U317=1,COUNTIF($U$2:U317,1),"")</f>
        <v>196</v>
      </c>
    </row>
    <row r="318" spans="1:23" ht="78.75" customHeight="1" x14ac:dyDescent="0.25">
      <c r="A318" s="42" t="s">
        <v>1619</v>
      </c>
      <c r="B318" s="42" t="s">
        <v>1620</v>
      </c>
      <c r="C318" s="43" t="s">
        <v>1621</v>
      </c>
      <c r="D318" s="43" t="s">
        <v>372</v>
      </c>
      <c r="E318" s="44" t="s">
        <v>1622</v>
      </c>
      <c r="F318" s="44" t="s">
        <v>1623</v>
      </c>
      <c r="G318" s="45" t="s">
        <v>34</v>
      </c>
      <c r="H318" s="47">
        <v>46107</v>
      </c>
      <c r="I318" s="47">
        <v>46126</v>
      </c>
      <c r="J318" s="43" t="s">
        <v>105</v>
      </c>
      <c r="K318" s="43" t="s">
        <v>121</v>
      </c>
      <c r="L318" s="49" t="s">
        <v>69</v>
      </c>
      <c r="M318" s="49"/>
      <c r="N318" s="49"/>
      <c r="O318" s="48"/>
      <c r="P318" s="49" t="str">
        <f t="shared" si="12"/>
        <v>ONAY</v>
      </c>
      <c r="R318" s="50" t="str">
        <f t="shared" si="13"/>
        <v/>
      </c>
      <c r="U318" s="28">
        <f>IF($C318&lt;&gt;"",COUNTIF($C$2:C318,C318),"")</f>
        <v>1</v>
      </c>
      <c r="V318" s="28" t="str">
        <f t="shared" si="14"/>
        <v>Prof. Dr. Sibel DOĞAN GÜNAYDIN§1</v>
      </c>
      <c r="W318" s="28">
        <f>IF(U318=1,COUNTIF($U$2:U318,1),"")</f>
        <v>197</v>
      </c>
    </row>
    <row r="319" spans="1:23" ht="78.75" customHeight="1" x14ac:dyDescent="0.25">
      <c r="A319" s="42" t="s">
        <v>1624</v>
      </c>
      <c r="B319" s="42" t="s">
        <v>1625</v>
      </c>
      <c r="C319" s="43" t="s">
        <v>1626</v>
      </c>
      <c r="D319" s="43" t="s">
        <v>1627</v>
      </c>
      <c r="E319" s="44" t="s">
        <v>1628</v>
      </c>
      <c r="F319" s="44" t="s">
        <v>1629</v>
      </c>
      <c r="G319" s="45" t="s">
        <v>35</v>
      </c>
      <c r="H319" s="47">
        <v>46107</v>
      </c>
      <c r="I319" s="47">
        <v>46126</v>
      </c>
      <c r="J319" s="43" t="s">
        <v>121</v>
      </c>
      <c r="K319" s="43" t="s">
        <v>68</v>
      </c>
      <c r="L319" s="49" t="s">
        <v>69</v>
      </c>
      <c r="M319" s="49"/>
      <c r="N319" s="49"/>
      <c r="O319" s="48"/>
      <c r="P319" s="49" t="str">
        <f t="shared" si="12"/>
        <v>ONAY</v>
      </c>
      <c r="R319" s="50" t="str">
        <f t="shared" si="13"/>
        <v/>
      </c>
      <c r="U319" s="28">
        <f>IF($C319&lt;&gt;"",COUNTIF($C$2:C319,C319),"")</f>
        <v>1</v>
      </c>
      <c r="V319" s="28" t="str">
        <f t="shared" si="14"/>
        <v>Doç. Dr. Cansu ÖZŞİN ÖZLER§1</v>
      </c>
      <c r="W319" s="28">
        <f>IF(U319=1,COUNTIF($U$2:U319,1),"")</f>
        <v>198</v>
      </c>
    </row>
    <row r="320" spans="1:23" ht="78.75" customHeight="1" x14ac:dyDescent="0.25">
      <c r="A320" s="42" t="s">
        <v>1630</v>
      </c>
      <c r="B320" s="42" t="s">
        <v>1631</v>
      </c>
      <c r="C320" s="43" t="s">
        <v>664</v>
      </c>
      <c r="D320" s="43" t="s">
        <v>244</v>
      </c>
      <c r="E320" s="44" t="s">
        <v>1632</v>
      </c>
      <c r="F320" s="44" t="s">
        <v>1633</v>
      </c>
      <c r="G320" s="45" t="s">
        <v>34</v>
      </c>
      <c r="H320" s="47">
        <v>46107</v>
      </c>
      <c r="I320" s="47">
        <v>46126</v>
      </c>
      <c r="J320" s="43" t="s">
        <v>94</v>
      </c>
      <c r="K320" s="43" t="s">
        <v>95</v>
      </c>
      <c r="L320" s="49" t="s">
        <v>178</v>
      </c>
      <c r="M320" s="49"/>
      <c r="N320" s="49"/>
      <c r="O320" s="48"/>
      <c r="P320" s="49" t="str">
        <f t="shared" si="12"/>
        <v>RET</v>
      </c>
      <c r="R320" s="50" t="str">
        <f t="shared" si="13"/>
        <v/>
      </c>
      <c r="U320" s="28">
        <f>IF($C320&lt;&gt;"",COUNTIF($C$2:C320,C320),"")</f>
        <v>4</v>
      </c>
      <c r="V320" s="28" t="str">
        <f t="shared" si="14"/>
        <v>Doç. Dr. Utku AKGÖR§4</v>
      </c>
      <c r="W320" s="28" t="str">
        <f>IF(U320=1,COUNTIF($U$2:U320,1),"")</f>
        <v/>
      </c>
    </row>
    <row r="321" spans="1:23" ht="110.25" customHeight="1" x14ac:dyDescent="0.25">
      <c r="A321" s="42" t="s">
        <v>1634</v>
      </c>
      <c r="B321" s="42" t="s">
        <v>1635</v>
      </c>
      <c r="C321" s="43" t="s">
        <v>455</v>
      </c>
      <c r="D321" s="43" t="s">
        <v>395</v>
      </c>
      <c r="E321" s="44" t="s">
        <v>1636</v>
      </c>
      <c r="F321" s="44" t="s">
        <v>1637</v>
      </c>
      <c r="G321" s="45" t="s">
        <v>34</v>
      </c>
      <c r="H321" s="47">
        <v>46107</v>
      </c>
      <c r="I321" s="47">
        <v>46126</v>
      </c>
      <c r="J321" s="43" t="s">
        <v>104</v>
      </c>
      <c r="K321" s="43" t="s">
        <v>86</v>
      </c>
      <c r="L321" s="49" t="s">
        <v>69</v>
      </c>
      <c r="M321" s="49"/>
      <c r="N321" s="49"/>
      <c r="O321" s="48"/>
      <c r="P321" s="49" t="str">
        <f t="shared" si="12"/>
        <v>ONAY</v>
      </c>
      <c r="R321" s="50" t="str">
        <f t="shared" si="13"/>
        <v/>
      </c>
      <c r="U321" s="28">
        <f>IF($C321&lt;&gt;"",COUNTIF($C$2:C321,C321),"")</f>
        <v>3</v>
      </c>
      <c r="V321" s="28" t="str">
        <f t="shared" si="14"/>
        <v>Prof. Dr. Fatma Gökçem YILDIZ SARIKAYA§3</v>
      </c>
      <c r="W321" s="28" t="str">
        <f>IF(U321=1,COUNTIF($U$2:U321,1),"")</f>
        <v/>
      </c>
    </row>
    <row r="322" spans="1:23" ht="110.25" customHeight="1" x14ac:dyDescent="0.25">
      <c r="A322" s="42" t="s">
        <v>1638</v>
      </c>
      <c r="B322" s="42" t="s">
        <v>1639</v>
      </c>
      <c r="C322" s="43" t="s">
        <v>243</v>
      </c>
      <c r="D322" s="43" t="s">
        <v>244</v>
      </c>
      <c r="E322" s="44" t="s">
        <v>1640</v>
      </c>
      <c r="F322" s="44" t="s">
        <v>1641</v>
      </c>
      <c r="G322" s="45" t="s">
        <v>34</v>
      </c>
      <c r="H322" s="47">
        <v>46107</v>
      </c>
      <c r="I322" s="47">
        <v>46126</v>
      </c>
      <c r="J322" s="43" t="s">
        <v>85</v>
      </c>
      <c r="K322" s="43" t="s">
        <v>86</v>
      </c>
      <c r="L322" s="49" t="s">
        <v>69</v>
      </c>
      <c r="M322" s="49"/>
      <c r="N322" s="49"/>
      <c r="O322" s="48"/>
      <c r="P322" s="49" t="str">
        <f t="shared" ref="P322:P385" si="15">IF(O322&lt;&gt;"",O322, IF(N322&lt;&gt;"",N322, IF(M322&lt;&gt;"",M322, L322)))</f>
        <v>ONAY</v>
      </c>
      <c r="R322" s="50" t="str">
        <f t="shared" ref="R322:R385" si="16">IF(AND($I322&lt;&gt;"",$I322&gt;=DATE(2026,6,23),COUNTIFS($C:$C,$C322,$I:$I,$I322)&gt;2),"⚠ "&amp;COUNTIFS($C:$C,$C322,$I:$I,$I322)&amp;" BAŞVURU!","")</f>
        <v/>
      </c>
      <c r="U322" s="28">
        <f>IF($C322&lt;&gt;"",COUNTIF($C$2:C322,C322),"")</f>
        <v>7</v>
      </c>
      <c r="V322" s="28" t="str">
        <f t="shared" ref="V322:V385" si="17">IF($C322&lt;&gt;"",C322&amp;"§"&amp;U322,"")</f>
        <v>Dr. Öğr. Üyesi Gonca ÖZTEN DERE§7</v>
      </c>
      <c r="W322" s="28" t="str">
        <f>IF(U322=1,COUNTIF($U$2:U322,1),"")</f>
        <v/>
      </c>
    </row>
    <row r="323" spans="1:23" ht="78.75" customHeight="1" x14ac:dyDescent="0.25">
      <c r="A323" s="42" t="s">
        <v>1642</v>
      </c>
      <c r="B323" s="42" t="s">
        <v>1643</v>
      </c>
      <c r="C323" s="43" t="s">
        <v>783</v>
      </c>
      <c r="D323" s="43" t="s">
        <v>110</v>
      </c>
      <c r="E323" s="44" t="s">
        <v>1644</v>
      </c>
      <c r="F323" s="44" t="s">
        <v>1645</v>
      </c>
      <c r="G323" s="45" t="s">
        <v>34</v>
      </c>
      <c r="H323" s="47">
        <v>46107</v>
      </c>
      <c r="I323" s="47">
        <v>46126</v>
      </c>
      <c r="J323" s="43" t="s">
        <v>94</v>
      </c>
      <c r="K323" s="43" t="s">
        <v>105</v>
      </c>
      <c r="L323" s="49" t="s">
        <v>69</v>
      </c>
      <c r="M323" s="49"/>
      <c r="N323" s="49"/>
      <c r="O323" s="48"/>
      <c r="P323" s="49" t="str">
        <f t="shared" si="15"/>
        <v>ONAY</v>
      </c>
      <c r="R323" s="50" t="str">
        <f t="shared" si="16"/>
        <v/>
      </c>
      <c r="U323" s="28">
        <f>IF($C323&lt;&gt;"",COUNTIF($C$2:C323,C323),"")</f>
        <v>2</v>
      </c>
      <c r="V323" s="28" t="str">
        <f t="shared" si="17"/>
        <v>Prof. Dr. Yahya BÜYÜKAŞIK§2</v>
      </c>
      <c r="W323" s="28" t="str">
        <f>IF(U323=1,COUNTIF($U$2:U323,1),"")</f>
        <v/>
      </c>
    </row>
    <row r="324" spans="1:23" ht="63" customHeight="1" x14ac:dyDescent="0.25">
      <c r="A324" s="42" t="s">
        <v>1646</v>
      </c>
      <c r="B324" s="42" t="s">
        <v>1647</v>
      </c>
      <c r="C324" s="43" t="s">
        <v>1137</v>
      </c>
      <c r="D324" s="43" t="s">
        <v>997</v>
      </c>
      <c r="E324" s="44" t="s">
        <v>1648</v>
      </c>
      <c r="F324" s="44" t="s">
        <v>1649</v>
      </c>
      <c r="G324" s="45" t="s">
        <v>34</v>
      </c>
      <c r="H324" s="47">
        <v>46107</v>
      </c>
      <c r="I324" s="47">
        <v>46126</v>
      </c>
      <c r="J324" s="43" t="s">
        <v>105</v>
      </c>
      <c r="K324" s="43" t="s">
        <v>68</v>
      </c>
      <c r="L324" s="49" t="s">
        <v>96</v>
      </c>
      <c r="M324" s="49"/>
      <c r="N324" s="49"/>
      <c r="O324" s="48"/>
      <c r="P324" s="49" t="str">
        <f t="shared" si="15"/>
        <v>DÜZELTME</v>
      </c>
      <c r="R324" s="50" t="str">
        <f t="shared" si="16"/>
        <v/>
      </c>
      <c r="U324" s="28">
        <f>IF($C324&lt;&gt;"",COUNTIF($C$2:C324,C324),"")</f>
        <v>3</v>
      </c>
      <c r="V324" s="28" t="str">
        <f t="shared" si="17"/>
        <v>Doç. Dr. Duygu AYHAN BAŞER§3</v>
      </c>
      <c r="W324" s="28" t="str">
        <f>IF(U324=1,COUNTIF($U$2:U324,1),"")</f>
        <v/>
      </c>
    </row>
    <row r="325" spans="1:23" ht="47.25" customHeight="1" x14ac:dyDescent="0.25">
      <c r="A325" s="42" t="s">
        <v>1650</v>
      </c>
      <c r="B325" s="42" t="s">
        <v>1651</v>
      </c>
      <c r="C325" s="43" t="s">
        <v>1616</v>
      </c>
      <c r="D325" s="43" t="s">
        <v>110</v>
      </c>
      <c r="E325" s="44" t="s">
        <v>1652</v>
      </c>
      <c r="F325" s="44" t="s">
        <v>1653</v>
      </c>
      <c r="G325" s="45" t="s">
        <v>34</v>
      </c>
      <c r="H325" s="47">
        <v>46107</v>
      </c>
      <c r="I325" s="47">
        <v>46126</v>
      </c>
      <c r="J325" s="43" t="s">
        <v>95</v>
      </c>
      <c r="K325" s="43" t="s">
        <v>85</v>
      </c>
      <c r="L325" s="49" t="s">
        <v>69</v>
      </c>
      <c r="M325" s="49"/>
      <c r="N325" s="49"/>
      <c r="O325" s="48"/>
      <c r="P325" s="49" t="str">
        <f t="shared" si="15"/>
        <v>ONAY</v>
      </c>
      <c r="R325" s="50" t="str">
        <f t="shared" si="16"/>
        <v/>
      </c>
      <c r="U325" s="28">
        <f>IF($C325&lt;&gt;"",COUNTIF($C$2:C325,C325),"")</f>
        <v>2</v>
      </c>
      <c r="V325" s="28" t="str">
        <f t="shared" si="17"/>
        <v>Doç. Dr. Cafer BALCI§2</v>
      </c>
      <c r="W325" s="28" t="str">
        <f>IF(U325=1,COUNTIF($U$2:U325,1),"")</f>
        <v/>
      </c>
    </row>
    <row r="326" spans="1:23" ht="47.25" customHeight="1" x14ac:dyDescent="0.25">
      <c r="A326" s="42" t="s">
        <v>1654</v>
      </c>
      <c r="B326" s="42" t="s">
        <v>1655</v>
      </c>
      <c r="C326" s="43" t="s">
        <v>1656</v>
      </c>
      <c r="D326" s="43" t="s">
        <v>295</v>
      </c>
      <c r="E326" s="44" t="s">
        <v>1657</v>
      </c>
      <c r="F326" s="44" t="s">
        <v>1658</v>
      </c>
      <c r="G326" s="45" t="s">
        <v>34</v>
      </c>
      <c r="H326" s="47">
        <v>46107</v>
      </c>
      <c r="I326" s="47">
        <v>46126</v>
      </c>
      <c r="J326" s="43" t="s">
        <v>94</v>
      </c>
      <c r="K326" s="43" t="s">
        <v>77</v>
      </c>
      <c r="L326" s="49" t="s">
        <v>69</v>
      </c>
      <c r="M326" s="49"/>
      <c r="N326" s="49"/>
      <c r="O326" s="48"/>
      <c r="P326" s="49" t="str">
        <f t="shared" si="15"/>
        <v>ONAY</v>
      </c>
      <c r="R326" s="50" t="str">
        <f t="shared" si="16"/>
        <v/>
      </c>
      <c r="U326" s="28">
        <f>IF($C326&lt;&gt;"",COUNTIF($C$2:C326,C326),"")</f>
        <v>1</v>
      </c>
      <c r="V326" s="28" t="str">
        <f t="shared" si="17"/>
        <v>Öğr. Gör. Dr. Tuğçe TAŞKINDERE ABBASOĞLU§1</v>
      </c>
      <c r="W326" s="28">
        <f>IF(U326=1,COUNTIF($U$2:U326,1),"")</f>
        <v>199</v>
      </c>
    </row>
    <row r="327" spans="1:23" ht="63" customHeight="1" x14ac:dyDescent="0.25">
      <c r="A327" s="42" t="s">
        <v>1659</v>
      </c>
      <c r="B327" s="42" t="s">
        <v>1660</v>
      </c>
      <c r="C327" s="43" t="s">
        <v>421</v>
      </c>
      <c r="D327" s="43" t="s">
        <v>422</v>
      </c>
      <c r="E327" s="44" t="s">
        <v>1661</v>
      </c>
      <c r="F327" s="44" t="s">
        <v>1662</v>
      </c>
      <c r="G327" s="45" t="s">
        <v>34</v>
      </c>
      <c r="H327" s="47">
        <v>46107</v>
      </c>
      <c r="I327" s="47">
        <v>46126</v>
      </c>
      <c r="J327" s="43" t="s">
        <v>85</v>
      </c>
      <c r="K327" s="43" t="s">
        <v>94</v>
      </c>
      <c r="L327" s="49" t="s">
        <v>96</v>
      </c>
      <c r="M327" s="49"/>
      <c r="N327" s="49"/>
      <c r="O327" s="48"/>
      <c r="P327" s="49" t="str">
        <f t="shared" si="15"/>
        <v>DÜZELTME</v>
      </c>
      <c r="R327" s="50" t="str">
        <f t="shared" si="16"/>
        <v/>
      </c>
      <c r="U327" s="28">
        <f>IF($C327&lt;&gt;"",COUNTIF($C$2:C327,C327),"")</f>
        <v>8</v>
      </c>
      <c r="V327" s="28" t="str">
        <f t="shared" si="17"/>
        <v>Prof. Dr. Mehmet AYVAZ§8</v>
      </c>
      <c r="W327" s="28" t="str">
        <f>IF(U327=1,COUNTIF($U$2:U327,1),"")</f>
        <v/>
      </c>
    </row>
    <row r="328" spans="1:23" ht="80.25" customHeight="1" x14ac:dyDescent="0.25">
      <c r="A328" s="42" t="s">
        <v>1663</v>
      </c>
      <c r="B328" s="42" t="s">
        <v>1664</v>
      </c>
      <c r="C328" s="43" t="s">
        <v>313</v>
      </c>
      <c r="D328" s="43" t="s">
        <v>237</v>
      </c>
      <c r="E328" s="44" t="s">
        <v>1665</v>
      </c>
      <c r="F328" s="44" t="s">
        <v>1666</v>
      </c>
      <c r="G328" s="45" t="s">
        <v>34</v>
      </c>
      <c r="H328" s="47">
        <v>46107</v>
      </c>
      <c r="I328" s="47">
        <v>46126</v>
      </c>
      <c r="J328" s="43" t="s">
        <v>68</v>
      </c>
      <c r="K328" s="43" t="s">
        <v>95</v>
      </c>
      <c r="L328" s="49" t="s">
        <v>69</v>
      </c>
      <c r="M328" s="49"/>
      <c r="N328" s="49"/>
      <c r="O328" s="48"/>
      <c r="P328" s="49" t="str">
        <f t="shared" si="15"/>
        <v>ONAY</v>
      </c>
      <c r="R328" s="50" t="str">
        <f t="shared" si="16"/>
        <v/>
      </c>
      <c r="U328" s="28">
        <f>IF($C328&lt;&gt;"",COUNTIF($C$2:C328,C328),"")</f>
        <v>7</v>
      </c>
      <c r="V328" s="28" t="str">
        <f t="shared" si="17"/>
        <v>Prof. Dr. Yasemin ÖZSÜREKCİ§7</v>
      </c>
      <c r="W328" s="28" t="str">
        <f>IF(U328=1,COUNTIF($U$2:U328,1),"")</f>
        <v/>
      </c>
    </row>
    <row r="329" spans="1:23" ht="63" customHeight="1" x14ac:dyDescent="0.25">
      <c r="A329" s="42" t="s">
        <v>1667</v>
      </c>
      <c r="B329" s="42" t="s">
        <v>1668</v>
      </c>
      <c r="C329" s="43" t="s">
        <v>1669</v>
      </c>
      <c r="D329" s="43" t="s">
        <v>82</v>
      </c>
      <c r="E329" s="44" t="s">
        <v>1670</v>
      </c>
      <c r="F329" s="44" t="s">
        <v>1671</v>
      </c>
      <c r="G329" s="45" t="s">
        <v>34</v>
      </c>
      <c r="H329" s="47">
        <v>46108</v>
      </c>
      <c r="I329" s="47">
        <v>46126</v>
      </c>
      <c r="J329" s="43" t="s">
        <v>86</v>
      </c>
      <c r="K329" s="43" t="s">
        <v>67</v>
      </c>
      <c r="L329" s="49" t="s">
        <v>69</v>
      </c>
      <c r="M329" s="49"/>
      <c r="N329" s="49"/>
      <c r="O329" s="48"/>
      <c r="P329" s="49" t="str">
        <f t="shared" si="15"/>
        <v>ONAY</v>
      </c>
      <c r="R329" s="50" t="str">
        <f t="shared" si="16"/>
        <v/>
      </c>
      <c r="U329" s="28">
        <f>IF($C329&lt;&gt;"",COUNTIF($C$2:C329,C329),"")</f>
        <v>1</v>
      </c>
      <c r="V329" s="28" t="str">
        <f t="shared" si="17"/>
        <v>Dr. Öğr. Üyesi Selin ARDALI DÜZGÜN§1</v>
      </c>
      <c r="W329" s="28">
        <f>IF(U329=1,COUNTIF($U$2:U329,1),"")</f>
        <v>200</v>
      </c>
    </row>
    <row r="330" spans="1:23" ht="63" customHeight="1" x14ac:dyDescent="0.25">
      <c r="A330" s="42" t="s">
        <v>1672</v>
      </c>
      <c r="B330" s="42" t="s">
        <v>1673</v>
      </c>
      <c r="C330" s="43" t="s">
        <v>1083</v>
      </c>
      <c r="D330" s="43" t="s">
        <v>110</v>
      </c>
      <c r="E330" s="44" t="s">
        <v>1674</v>
      </c>
      <c r="F330" s="44" t="s">
        <v>1675</v>
      </c>
      <c r="G330" s="45" t="s">
        <v>34</v>
      </c>
      <c r="H330" s="47">
        <v>46108</v>
      </c>
      <c r="I330" s="47">
        <v>46126</v>
      </c>
      <c r="J330" s="43" t="s">
        <v>113</v>
      </c>
      <c r="K330" s="43" t="s">
        <v>128</v>
      </c>
      <c r="L330" s="49" t="s">
        <v>69</v>
      </c>
      <c r="M330" s="49"/>
      <c r="N330" s="49"/>
      <c r="O330" s="48"/>
      <c r="P330" s="49" t="str">
        <f t="shared" si="15"/>
        <v>ONAY</v>
      </c>
      <c r="R330" s="50" t="str">
        <f t="shared" si="16"/>
        <v/>
      </c>
      <c r="U330" s="28">
        <f>IF($C330&lt;&gt;"",COUNTIF($C$2:C330,C330),"")</f>
        <v>4</v>
      </c>
      <c r="V330" s="28" t="str">
        <f t="shared" si="17"/>
        <v>Prof. Dr. Mustafa CANKURTARAN§4</v>
      </c>
      <c r="W330" s="28" t="str">
        <f>IF(U330=1,COUNTIF($U$2:U330,1),"")</f>
        <v/>
      </c>
    </row>
    <row r="331" spans="1:23" ht="111" customHeight="1" x14ac:dyDescent="0.25">
      <c r="A331" s="42" t="s">
        <v>1676</v>
      </c>
      <c r="B331" s="42" t="s">
        <v>1677</v>
      </c>
      <c r="C331" s="43" t="s">
        <v>1331</v>
      </c>
      <c r="D331" s="43" t="s">
        <v>244</v>
      </c>
      <c r="E331" s="44" t="s">
        <v>1678</v>
      </c>
      <c r="F331" s="44" t="s">
        <v>1679</v>
      </c>
      <c r="G331" s="45" t="s">
        <v>34</v>
      </c>
      <c r="H331" s="47">
        <v>46108</v>
      </c>
      <c r="I331" s="47">
        <v>46126</v>
      </c>
      <c r="J331" s="43" t="s">
        <v>121</v>
      </c>
      <c r="K331" s="43" t="s">
        <v>77</v>
      </c>
      <c r="L331" s="49" t="s">
        <v>218</v>
      </c>
      <c r="M331" s="49" t="s">
        <v>96</v>
      </c>
      <c r="N331" s="49" t="s">
        <v>96</v>
      </c>
      <c r="O331" s="48" t="s">
        <v>69</v>
      </c>
      <c r="P331" s="49" t="str">
        <f t="shared" si="15"/>
        <v>ONAY</v>
      </c>
      <c r="Q331" s="27" t="s">
        <v>67</v>
      </c>
      <c r="R331" s="50" t="str">
        <f t="shared" si="16"/>
        <v/>
      </c>
      <c r="U331" s="28">
        <f>IF($C331&lt;&gt;"",COUNTIF($C$2:C331,C331),"")</f>
        <v>3</v>
      </c>
      <c r="V331" s="28" t="str">
        <f t="shared" si="17"/>
        <v>Prof. Dr. Murat GÜLTEKİN§3</v>
      </c>
      <c r="W331" s="28" t="str">
        <f>IF(U331=1,COUNTIF($U$2:U331,1),"")</f>
        <v/>
      </c>
    </row>
    <row r="332" spans="1:23" ht="78.75" customHeight="1" x14ac:dyDescent="0.25">
      <c r="A332" s="42" t="s">
        <v>1680</v>
      </c>
      <c r="B332" s="42" t="s">
        <v>1681</v>
      </c>
      <c r="C332" s="43" t="s">
        <v>132</v>
      </c>
      <c r="D332" s="43" t="s">
        <v>133</v>
      </c>
      <c r="E332" s="44" t="s">
        <v>1682</v>
      </c>
      <c r="F332" s="44" t="s">
        <v>1683</v>
      </c>
      <c r="G332" s="45" t="s">
        <v>34</v>
      </c>
      <c r="H332" s="47">
        <v>46108</v>
      </c>
      <c r="I332" s="47">
        <v>46126</v>
      </c>
      <c r="J332" s="43" t="s">
        <v>67</v>
      </c>
      <c r="K332" s="43" t="s">
        <v>95</v>
      </c>
      <c r="L332" s="49" t="s">
        <v>69</v>
      </c>
      <c r="M332" s="49"/>
      <c r="N332" s="49"/>
      <c r="O332" s="48"/>
      <c r="P332" s="49" t="str">
        <f t="shared" si="15"/>
        <v>ONAY</v>
      </c>
      <c r="R332" s="50" t="str">
        <f t="shared" si="16"/>
        <v/>
      </c>
      <c r="U332" s="28">
        <f>IF($C332&lt;&gt;"",COUNTIF($C$2:C332,C332),"")</f>
        <v>2</v>
      </c>
      <c r="V332" s="28" t="str">
        <f t="shared" si="17"/>
        <v>Öğr. Gör. Dr. Buket KILIÇ§2</v>
      </c>
      <c r="W332" s="28" t="str">
        <f>IF(U332=1,COUNTIF($U$2:U332,1),"")</f>
        <v/>
      </c>
    </row>
    <row r="333" spans="1:23" ht="63" customHeight="1" x14ac:dyDescent="0.25">
      <c r="A333" s="42" t="s">
        <v>1684</v>
      </c>
      <c r="B333" s="42" t="s">
        <v>1685</v>
      </c>
      <c r="C333" s="43" t="s">
        <v>90</v>
      </c>
      <c r="D333" s="54" t="s">
        <v>91</v>
      </c>
      <c r="E333" s="44" t="s">
        <v>1686</v>
      </c>
      <c r="F333" s="44" t="s">
        <v>1687</v>
      </c>
      <c r="G333" s="45" t="s">
        <v>36</v>
      </c>
      <c r="H333" s="47">
        <v>46108</v>
      </c>
      <c r="I333" s="47">
        <v>46126</v>
      </c>
      <c r="J333" s="43" t="s">
        <v>94</v>
      </c>
      <c r="K333" s="43" t="s">
        <v>68</v>
      </c>
      <c r="L333" s="49" t="s">
        <v>178</v>
      </c>
      <c r="M333" s="49"/>
      <c r="N333" s="49"/>
      <c r="O333" s="48"/>
      <c r="P333" s="49" t="str">
        <f t="shared" si="15"/>
        <v>RET</v>
      </c>
      <c r="R333" s="50" t="str">
        <f t="shared" si="16"/>
        <v/>
      </c>
      <c r="U333" s="28">
        <f>IF($C333&lt;&gt;"",COUNTIF($C$2:C333,C333),"")</f>
        <v>2</v>
      </c>
      <c r="V333" s="28" t="str">
        <f t="shared" si="17"/>
        <v>Prof. Dr. Bayram ŞAHİN§2</v>
      </c>
      <c r="W333" s="28" t="str">
        <f>IF(U333=1,COUNTIF($U$2:U333,1),"")</f>
        <v/>
      </c>
    </row>
    <row r="334" spans="1:23" ht="141.75" customHeight="1" x14ac:dyDescent="0.25">
      <c r="A334" s="42" t="s">
        <v>1688</v>
      </c>
      <c r="B334" s="42" t="s">
        <v>1689</v>
      </c>
      <c r="C334" s="43" t="s">
        <v>1690</v>
      </c>
      <c r="D334" s="43" t="s">
        <v>395</v>
      </c>
      <c r="E334" s="44" t="s">
        <v>1691</v>
      </c>
      <c r="F334" s="44" t="s">
        <v>1692</v>
      </c>
      <c r="G334" s="45" t="s">
        <v>35</v>
      </c>
      <c r="H334" s="47">
        <v>46108</v>
      </c>
      <c r="I334" s="47">
        <v>46126</v>
      </c>
      <c r="J334" s="43" t="s">
        <v>128</v>
      </c>
      <c r="K334" s="43" t="s">
        <v>104</v>
      </c>
      <c r="L334" s="49" t="s">
        <v>96</v>
      </c>
      <c r="M334" s="49" t="s">
        <v>69</v>
      </c>
      <c r="N334" s="49"/>
      <c r="O334" s="48"/>
      <c r="P334" s="49" t="str">
        <f t="shared" si="15"/>
        <v>ONAY</v>
      </c>
      <c r="Q334" s="27" t="s">
        <v>128</v>
      </c>
      <c r="R334" s="50" t="str">
        <f t="shared" si="16"/>
        <v/>
      </c>
      <c r="U334" s="28">
        <f>IF($C334&lt;&gt;"",COUNTIF($C$2:C334,C334),"")</f>
        <v>1</v>
      </c>
      <c r="V334" s="28" t="str">
        <f t="shared" si="17"/>
        <v>Prof. Dr. Meryem Aslı TUNCER§1</v>
      </c>
      <c r="W334" s="28">
        <f>IF(U334=1,COUNTIF($U$2:U334,1),"")</f>
        <v>201</v>
      </c>
    </row>
    <row r="335" spans="1:23" ht="94.5" customHeight="1" x14ac:dyDescent="0.25">
      <c r="A335" s="42" t="s">
        <v>1693</v>
      </c>
      <c r="B335" s="42" t="s">
        <v>1694</v>
      </c>
      <c r="C335" s="43" t="s">
        <v>1695</v>
      </c>
      <c r="D335" s="43" t="s">
        <v>1696</v>
      </c>
      <c r="E335" s="44" t="s">
        <v>1697</v>
      </c>
      <c r="F335" s="44" t="s">
        <v>1698</v>
      </c>
      <c r="G335" s="45" t="s">
        <v>35</v>
      </c>
      <c r="H335" s="47">
        <v>46108</v>
      </c>
      <c r="I335" s="47">
        <v>46126</v>
      </c>
      <c r="J335" s="43" t="s">
        <v>105</v>
      </c>
      <c r="K335" s="43" t="s">
        <v>85</v>
      </c>
      <c r="L335" s="49" t="s">
        <v>178</v>
      </c>
      <c r="M335" s="49"/>
      <c r="N335" s="49"/>
      <c r="O335" s="48"/>
      <c r="P335" s="49" t="str">
        <f t="shared" si="15"/>
        <v>RET</v>
      </c>
      <c r="R335" s="50" t="str">
        <f t="shared" si="16"/>
        <v/>
      </c>
      <c r="U335" s="28">
        <f>IF($C335&lt;&gt;"",COUNTIF($C$2:C335,C335),"")</f>
        <v>1</v>
      </c>
      <c r="V335" s="28" t="str">
        <f t="shared" si="17"/>
        <v>Doç. Dr. Oytun PORTAKAL AKÇİN§1</v>
      </c>
      <c r="W335" s="28">
        <f>IF(U335=1,COUNTIF($U$2:U335,1),"")</f>
        <v>202</v>
      </c>
    </row>
    <row r="336" spans="1:23" ht="94.5" customHeight="1" x14ac:dyDescent="0.25">
      <c r="A336" s="42" t="s">
        <v>1699</v>
      </c>
      <c r="B336" s="42" t="s">
        <v>1700</v>
      </c>
      <c r="C336" s="43" t="s">
        <v>268</v>
      </c>
      <c r="D336" s="43" t="s">
        <v>251</v>
      </c>
      <c r="E336" s="44" t="s">
        <v>1701</v>
      </c>
      <c r="F336" s="44" t="s">
        <v>1702</v>
      </c>
      <c r="G336" s="45" t="s">
        <v>35</v>
      </c>
      <c r="H336" s="47">
        <v>46108</v>
      </c>
      <c r="I336" s="47">
        <v>46126</v>
      </c>
      <c r="J336" s="43" t="s">
        <v>86</v>
      </c>
      <c r="K336" s="43" t="s">
        <v>128</v>
      </c>
      <c r="L336" s="49" t="s">
        <v>69</v>
      </c>
      <c r="M336" s="49"/>
      <c r="N336" s="49"/>
      <c r="O336" s="48"/>
      <c r="P336" s="49" t="str">
        <f t="shared" si="15"/>
        <v>ONAY</v>
      </c>
      <c r="R336" s="50" t="str">
        <f t="shared" si="16"/>
        <v/>
      </c>
      <c r="U336" s="28">
        <f>IF($C336&lt;&gt;"",COUNTIF($C$2:C336,C336),"")</f>
        <v>2</v>
      </c>
      <c r="V336" s="28" t="str">
        <f t="shared" si="17"/>
        <v>Prof. Dr. Kudret AYTEMİR§2</v>
      </c>
      <c r="W336" s="28" t="str">
        <f>IF(U336=1,COUNTIF($U$2:U336,1),"")</f>
        <v/>
      </c>
    </row>
    <row r="337" spans="1:23" ht="63" customHeight="1" x14ac:dyDescent="0.25">
      <c r="A337" s="42" t="s">
        <v>1703</v>
      </c>
      <c r="B337" s="42" t="s">
        <v>1704</v>
      </c>
      <c r="C337" s="43" t="s">
        <v>1705</v>
      </c>
      <c r="D337" s="43" t="s">
        <v>570</v>
      </c>
      <c r="E337" s="44" t="s">
        <v>1706</v>
      </c>
      <c r="F337" s="44" t="s">
        <v>1707</v>
      </c>
      <c r="G337" s="45" t="s">
        <v>34</v>
      </c>
      <c r="H337" s="47">
        <v>46108</v>
      </c>
      <c r="I337" s="47">
        <v>46126</v>
      </c>
      <c r="J337" s="43" t="s">
        <v>121</v>
      </c>
      <c r="K337" s="43" t="s">
        <v>95</v>
      </c>
      <c r="L337" s="49" t="s">
        <v>69</v>
      </c>
      <c r="M337" s="49"/>
      <c r="N337" s="49"/>
      <c r="O337" s="48"/>
      <c r="P337" s="49" t="str">
        <f t="shared" si="15"/>
        <v>ONAY</v>
      </c>
      <c r="R337" s="50" t="str">
        <f t="shared" si="16"/>
        <v/>
      </c>
      <c r="U337" s="28">
        <f>IF($C337&lt;&gt;"",COUNTIF($C$2:C337,C337),"")</f>
        <v>1</v>
      </c>
      <c r="V337" s="28" t="str">
        <f t="shared" si="17"/>
        <v>Prof. Dr. Hüseyin Gencay KEÇELİ§1</v>
      </c>
      <c r="W337" s="28">
        <f>IF(U337=1,COUNTIF($U$2:U337,1),"")</f>
        <v>203</v>
      </c>
    </row>
    <row r="338" spans="1:23" ht="63" customHeight="1" x14ac:dyDescent="0.25">
      <c r="A338" s="42" t="s">
        <v>1708</v>
      </c>
      <c r="B338" s="42" t="s">
        <v>1709</v>
      </c>
      <c r="C338" s="43" t="s">
        <v>1710</v>
      </c>
      <c r="D338" s="43" t="s">
        <v>615</v>
      </c>
      <c r="E338" s="44" t="s">
        <v>1711</v>
      </c>
      <c r="F338" s="44" t="s">
        <v>1712</v>
      </c>
      <c r="G338" s="45" t="s">
        <v>34</v>
      </c>
      <c r="H338" s="47">
        <v>46108</v>
      </c>
      <c r="I338" s="47">
        <v>46126</v>
      </c>
      <c r="J338" s="43" t="s">
        <v>95</v>
      </c>
      <c r="K338" s="43" t="s">
        <v>94</v>
      </c>
      <c r="L338" s="49" t="s">
        <v>96</v>
      </c>
      <c r="M338" s="49" t="s">
        <v>69</v>
      </c>
      <c r="N338" s="49"/>
      <c r="O338" s="48"/>
      <c r="P338" s="49" t="str">
        <f t="shared" si="15"/>
        <v>ONAY</v>
      </c>
      <c r="Q338" s="27" t="s">
        <v>95</v>
      </c>
      <c r="R338" s="50" t="str">
        <f t="shared" si="16"/>
        <v/>
      </c>
      <c r="U338" s="28">
        <f>IF($C338&lt;&gt;"",COUNTIF($C$2:C338,C338),"")</f>
        <v>1</v>
      </c>
      <c r="V338" s="28" t="str">
        <f t="shared" si="17"/>
        <v>Prof. Dr. Kasım KARATAŞ§1</v>
      </c>
      <c r="W338" s="28">
        <f>IF(U338=1,COUNTIF($U$2:U338,1),"")</f>
        <v>204</v>
      </c>
    </row>
    <row r="339" spans="1:23" ht="63" customHeight="1" x14ac:dyDescent="0.25">
      <c r="A339" s="42" t="s">
        <v>1713</v>
      </c>
      <c r="B339" s="42" t="s">
        <v>1714</v>
      </c>
      <c r="C339" s="43" t="s">
        <v>1715</v>
      </c>
      <c r="D339" s="43" t="s">
        <v>461</v>
      </c>
      <c r="E339" s="44" t="s">
        <v>1716</v>
      </c>
      <c r="F339" s="44" t="s">
        <v>1717</v>
      </c>
      <c r="G339" s="45" t="s">
        <v>34</v>
      </c>
      <c r="H339" s="47">
        <v>46108</v>
      </c>
      <c r="I339" s="47">
        <v>46126</v>
      </c>
      <c r="J339" s="43" t="s">
        <v>104</v>
      </c>
      <c r="K339" s="43" t="s">
        <v>77</v>
      </c>
      <c r="L339" s="49" t="s">
        <v>96</v>
      </c>
      <c r="M339" s="49" t="s">
        <v>96</v>
      </c>
      <c r="N339" s="49" t="s">
        <v>69</v>
      </c>
      <c r="O339" s="48"/>
      <c r="P339" s="49" t="str">
        <f t="shared" si="15"/>
        <v>ONAY</v>
      </c>
      <c r="Q339" s="27" t="s">
        <v>104</v>
      </c>
      <c r="R339" s="50" t="str">
        <f t="shared" si="16"/>
        <v/>
      </c>
      <c r="U339" s="28">
        <f>IF($C339&lt;&gt;"",COUNTIF($C$2:C339,C339),"")</f>
        <v>1</v>
      </c>
      <c r="V339" s="28" t="str">
        <f t="shared" si="17"/>
        <v>Dr. Öğr. Üyesi Hayri Can ÖZDEN§1</v>
      </c>
      <c r="W339" s="28">
        <f>IF(U339=1,COUNTIF($U$2:U339,1),"")</f>
        <v>205</v>
      </c>
    </row>
    <row r="340" spans="1:23" ht="78.75" customHeight="1" x14ac:dyDescent="0.25">
      <c r="A340" s="42" t="s">
        <v>1718</v>
      </c>
      <c r="B340" s="42" t="s">
        <v>1719</v>
      </c>
      <c r="C340" s="43" t="s">
        <v>1715</v>
      </c>
      <c r="D340" s="43" t="s">
        <v>461</v>
      </c>
      <c r="E340" s="44" t="s">
        <v>1720</v>
      </c>
      <c r="F340" s="44" t="s">
        <v>1721</v>
      </c>
      <c r="G340" s="45" t="s">
        <v>34</v>
      </c>
      <c r="H340" s="47">
        <v>46108</v>
      </c>
      <c r="I340" s="47">
        <v>46126</v>
      </c>
      <c r="J340" s="43" t="s">
        <v>105</v>
      </c>
      <c r="K340" s="43" t="s">
        <v>104</v>
      </c>
      <c r="L340" s="49" t="s">
        <v>96</v>
      </c>
      <c r="M340" s="49" t="s">
        <v>69</v>
      </c>
      <c r="N340" s="49"/>
      <c r="O340" s="48"/>
      <c r="P340" s="49" t="str">
        <f t="shared" si="15"/>
        <v>ONAY</v>
      </c>
      <c r="Q340" s="27" t="s">
        <v>105</v>
      </c>
      <c r="R340" s="50" t="str">
        <f t="shared" si="16"/>
        <v/>
      </c>
      <c r="U340" s="28">
        <f>IF($C340&lt;&gt;"",COUNTIF($C$2:C340,C340),"")</f>
        <v>2</v>
      </c>
      <c r="V340" s="28" t="str">
        <f t="shared" si="17"/>
        <v>Dr. Öğr. Üyesi Hayri Can ÖZDEN§2</v>
      </c>
      <c r="W340" s="28" t="str">
        <f>IF(U340=1,COUNTIF($U$2:U340,1),"")</f>
        <v/>
      </c>
    </row>
    <row r="341" spans="1:23" ht="63" customHeight="1" x14ac:dyDescent="0.25">
      <c r="A341" s="42" t="s">
        <v>1722</v>
      </c>
      <c r="B341" s="42" t="s">
        <v>1723</v>
      </c>
      <c r="C341" s="43" t="s">
        <v>1724</v>
      </c>
      <c r="D341" s="43" t="s">
        <v>1524</v>
      </c>
      <c r="E341" s="44" t="s">
        <v>1725</v>
      </c>
      <c r="F341" s="44" t="s">
        <v>1726</v>
      </c>
      <c r="G341" s="45" t="s">
        <v>34</v>
      </c>
      <c r="H341" s="47">
        <v>46108</v>
      </c>
      <c r="I341" s="47">
        <v>46126</v>
      </c>
      <c r="J341" s="43" t="s">
        <v>128</v>
      </c>
      <c r="K341" s="43" t="s">
        <v>68</v>
      </c>
      <c r="L341" s="49" t="s">
        <v>69</v>
      </c>
      <c r="M341" s="49"/>
      <c r="N341" s="49"/>
      <c r="O341" s="48"/>
      <c r="P341" s="49" t="str">
        <f t="shared" si="15"/>
        <v>ONAY</v>
      </c>
      <c r="R341" s="50" t="str">
        <f t="shared" si="16"/>
        <v/>
      </c>
      <c r="U341" s="28">
        <f>IF($C341&lt;&gt;"",COUNTIF($C$2:C341,C341),"")</f>
        <v>1</v>
      </c>
      <c r="V341" s="28" t="str">
        <f t="shared" si="17"/>
        <v>Dr. Öğr. Üyesi Ece ÖZOĞUL§1</v>
      </c>
      <c r="W341" s="28">
        <f>IF(U341=1,COUNTIF($U$2:U341,1),"")</f>
        <v>206</v>
      </c>
    </row>
    <row r="342" spans="1:23" ht="94.5" customHeight="1" x14ac:dyDescent="0.25">
      <c r="A342" s="42" t="s">
        <v>1727</v>
      </c>
      <c r="B342" s="42" t="s">
        <v>1728</v>
      </c>
      <c r="C342" s="43" t="s">
        <v>1729</v>
      </c>
      <c r="D342" s="43" t="s">
        <v>1174</v>
      </c>
      <c r="E342" s="44" t="s">
        <v>1730</v>
      </c>
      <c r="F342" s="44" t="s">
        <v>1731</v>
      </c>
      <c r="G342" s="45" t="s">
        <v>34</v>
      </c>
      <c r="H342" s="47">
        <v>46108</v>
      </c>
      <c r="I342" s="47">
        <v>46126</v>
      </c>
      <c r="J342" s="43" t="s">
        <v>85</v>
      </c>
      <c r="K342" s="43" t="s">
        <v>113</v>
      </c>
      <c r="L342" s="49" t="s">
        <v>232</v>
      </c>
      <c r="M342" s="49"/>
      <c r="N342" s="49"/>
      <c r="O342" s="48"/>
      <c r="P342" s="49" t="str">
        <f t="shared" si="15"/>
        <v>KAEK</v>
      </c>
      <c r="R342" s="50" t="str">
        <f t="shared" si="16"/>
        <v/>
      </c>
      <c r="U342" s="28">
        <f>IF($C342&lt;&gt;"",COUNTIF($C$2:C342,C342),"")</f>
        <v>1</v>
      </c>
      <c r="V342" s="28" t="str">
        <f t="shared" si="17"/>
        <v>Doç. Dr. Galip Gencay ÜSTÜN§1</v>
      </c>
      <c r="W342" s="28">
        <f>IF(U342=1,COUNTIF($U$2:U342,1),"")</f>
        <v>207</v>
      </c>
    </row>
    <row r="343" spans="1:23" ht="63" customHeight="1" x14ac:dyDescent="0.25">
      <c r="A343" s="42" t="s">
        <v>1732</v>
      </c>
      <c r="B343" s="42" t="s">
        <v>1733</v>
      </c>
      <c r="C343" s="43" t="s">
        <v>1734</v>
      </c>
      <c r="D343" s="43" t="s">
        <v>693</v>
      </c>
      <c r="E343" s="44" t="s">
        <v>1735</v>
      </c>
      <c r="F343" s="44" t="s">
        <v>1736</v>
      </c>
      <c r="G343" s="45" t="s">
        <v>34</v>
      </c>
      <c r="H343" s="47">
        <v>46108</v>
      </c>
      <c r="I343" s="47">
        <v>46126</v>
      </c>
      <c r="J343" s="43" t="s">
        <v>113</v>
      </c>
      <c r="K343" s="43" t="s">
        <v>86</v>
      </c>
      <c r="L343" s="49" t="s">
        <v>69</v>
      </c>
      <c r="M343" s="49"/>
      <c r="N343" s="49"/>
      <c r="O343" s="48"/>
      <c r="P343" s="49" t="str">
        <f t="shared" si="15"/>
        <v>ONAY</v>
      </c>
      <c r="R343" s="50" t="str">
        <f t="shared" si="16"/>
        <v/>
      </c>
      <c r="U343" s="28">
        <f>IF($C343&lt;&gt;"",COUNTIF($C$2:C343,C343),"")</f>
        <v>1</v>
      </c>
      <c r="V343" s="28" t="str">
        <f t="shared" si="17"/>
        <v>Dr. Öğr. Üyesi Evrim ÜNVER§1</v>
      </c>
      <c r="W343" s="28">
        <f>IF(U343=1,COUNTIF($U$2:U343,1),"")</f>
        <v>208</v>
      </c>
    </row>
    <row r="344" spans="1:23" ht="96" customHeight="1" x14ac:dyDescent="0.25">
      <c r="A344" s="42" t="s">
        <v>1737</v>
      </c>
      <c r="B344" s="42" t="s">
        <v>1738</v>
      </c>
      <c r="C344" s="43" t="s">
        <v>1739</v>
      </c>
      <c r="D344" s="43" t="s">
        <v>110</v>
      </c>
      <c r="E344" s="44" t="s">
        <v>1740</v>
      </c>
      <c r="F344" s="44" t="s">
        <v>1741</v>
      </c>
      <c r="G344" s="45" t="s">
        <v>34</v>
      </c>
      <c r="H344" s="47">
        <v>46108</v>
      </c>
      <c r="I344" s="47">
        <v>46126</v>
      </c>
      <c r="J344" s="43" t="s">
        <v>85</v>
      </c>
      <c r="K344" s="43" t="s">
        <v>86</v>
      </c>
      <c r="L344" s="49" t="s">
        <v>96</v>
      </c>
      <c r="M344" s="49" t="s">
        <v>69</v>
      </c>
      <c r="N344" s="49"/>
      <c r="O344" s="48"/>
      <c r="P344" s="49" t="str">
        <f t="shared" si="15"/>
        <v>ONAY</v>
      </c>
      <c r="Q344" s="27" t="s">
        <v>86</v>
      </c>
      <c r="R344" s="50" t="str">
        <f t="shared" si="16"/>
        <v/>
      </c>
      <c r="U344" s="28">
        <f>IF($C344&lt;&gt;"",COUNTIF($C$2:C344,C344),"")</f>
        <v>1</v>
      </c>
      <c r="V344" s="28" t="str">
        <f t="shared" si="17"/>
        <v>Doç. Dr. Cem ŞİMŞEK§1</v>
      </c>
      <c r="W344" s="28">
        <f>IF(U344=1,COUNTIF($U$2:U344,1),"")</f>
        <v>209</v>
      </c>
    </row>
    <row r="345" spans="1:23" ht="63" customHeight="1" x14ac:dyDescent="0.25">
      <c r="A345" s="42" t="s">
        <v>1742</v>
      </c>
      <c r="B345" s="42" t="s">
        <v>1743</v>
      </c>
      <c r="C345" s="43" t="s">
        <v>1384</v>
      </c>
      <c r="D345" s="43" t="s">
        <v>110</v>
      </c>
      <c r="E345" s="44" t="s">
        <v>1744</v>
      </c>
      <c r="F345" s="44" t="s">
        <v>1745</v>
      </c>
      <c r="G345" s="45" t="s">
        <v>34</v>
      </c>
      <c r="H345" s="47">
        <v>46108</v>
      </c>
      <c r="I345" s="47">
        <v>46126</v>
      </c>
      <c r="J345" s="43" t="s">
        <v>77</v>
      </c>
      <c r="K345" s="43" t="s">
        <v>68</v>
      </c>
      <c r="L345" s="49" t="s">
        <v>69</v>
      </c>
      <c r="M345" s="49"/>
      <c r="N345" s="49"/>
      <c r="O345" s="48"/>
      <c r="P345" s="49" t="str">
        <f t="shared" si="15"/>
        <v>ONAY</v>
      </c>
      <c r="R345" s="50" t="str">
        <f t="shared" si="16"/>
        <v/>
      </c>
      <c r="U345" s="28">
        <f>IF($C345&lt;&gt;"",COUNTIF($C$2:C345,C345),"")</f>
        <v>4</v>
      </c>
      <c r="V345" s="28" t="str">
        <f t="shared" si="17"/>
        <v>Prof. Dr. Burcu Balam DOĞU§4</v>
      </c>
      <c r="W345" s="28" t="str">
        <f>IF(U345=1,COUNTIF($U$2:U345,1),"")</f>
        <v/>
      </c>
    </row>
    <row r="346" spans="1:23" ht="79.5" customHeight="1" x14ac:dyDescent="0.25">
      <c r="A346" s="42" t="s">
        <v>1746</v>
      </c>
      <c r="B346" s="42" t="s">
        <v>1747</v>
      </c>
      <c r="C346" s="43" t="s">
        <v>1724</v>
      </c>
      <c r="D346" s="43" t="s">
        <v>1524</v>
      </c>
      <c r="E346" s="44" t="s">
        <v>1748</v>
      </c>
      <c r="F346" s="44" t="s">
        <v>1749</v>
      </c>
      <c r="G346" s="45" t="s">
        <v>34</v>
      </c>
      <c r="H346" s="47">
        <v>46108</v>
      </c>
      <c r="I346" s="47">
        <v>46126</v>
      </c>
      <c r="J346" s="43" t="s">
        <v>113</v>
      </c>
      <c r="K346" s="43" t="s">
        <v>128</v>
      </c>
      <c r="L346" s="49" t="s">
        <v>69</v>
      </c>
      <c r="M346" s="49"/>
      <c r="N346" s="49"/>
      <c r="O346" s="48"/>
      <c r="P346" s="49" t="str">
        <f t="shared" si="15"/>
        <v>ONAY</v>
      </c>
      <c r="R346" s="50" t="str">
        <f t="shared" si="16"/>
        <v/>
      </c>
      <c r="U346" s="28">
        <f>IF($C346&lt;&gt;"",COUNTIF($C$2:C346,C346),"")</f>
        <v>2</v>
      </c>
      <c r="V346" s="28" t="str">
        <f t="shared" si="17"/>
        <v>Dr. Öğr. Üyesi Ece ÖZOĞUL§2</v>
      </c>
      <c r="W346" s="28" t="str">
        <f>IF(U346=1,COUNTIF($U$2:U346,1),"")</f>
        <v/>
      </c>
    </row>
    <row r="347" spans="1:23" ht="110.25" customHeight="1" x14ac:dyDescent="0.25">
      <c r="A347" s="42" t="s">
        <v>1750</v>
      </c>
      <c r="B347" s="42" t="s">
        <v>1751</v>
      </c>
      <c r="C347" s="43" t="s">
        <v>182</v>
      </c>
      <c r="D347" s="43" t="s">
        <v>175</v>
      </c>
      <c r="E347" s="44" t="s">
        <v>1752</v>
      </c>
      <c r="F347" s="44" t="s">
        <v>1753</v>
      </c>
      <c r="G347" s="45" t="s">
        <v>34</v>
      </c>
      <c r="H347" s="47">
        <v>46112</v>
      </c>
      <c r="I347" s="47">
        <v>46126</v>
      </c>
      <c r="J347" s="43" t="s">
        <v>85</v>
      </c>
      <c r="K347" s="43" t="s">
        <v>94</v>
      </c>
      <c r="L347" s="49" t="s">
        <v>96</v>
      </c>
      <c r="M347" s="49"/>
      <c r="N347" s="49"/>
      <c r="O347" s="48"/>
      <c r="P347" s="49" t="str">
        <f t="shared" si="15"/>
        <v>DÜZELTME</v>
      </c>
      <c r="R347" s="50" t="str">
        <f t="shared" si="16"/>
        <v/>
      </c>
      <c r="U347" s="28">
        <f>IF($C347&lt;&gt;"",COUNTIF($C$2:C347,C347),"")</f>
        <v>4</v>
      </c>
      <c r="V347" s="28" t="str">
        <f t="shared" si="17"/>
        <v>Prof. Dr. Gül KARAKAYA§4</v>
      </c>
      <c r="W347" s="28" t="str">
        <f>IF(U347=1,COUNTIF($U$2:U347,1),"")</f>
        <v/>
      </c>
    </row>
    <row r="348" spans="1:23" ht="111.75" customHeight="1" x14ac:dyDescent="0.25">
      <c r="A348" s="42" t="s">
        <v>1754</v>
      </c>
      <c r="B348" s="42" t="s">
        <v>1755</v>
      </c>
      <c r="C348" s="43" t="s">
        <v>1137</v>
      </c>
      <c r="D348" s="43" t="s">
        <v>997</v>
      </c>
      <c r="E348" s="44" t="s">
        <v>1756</v>
      </c>
      <c r="F348" s="44" t="s">
        <v>1757</v>
      </c>
      <c r="G348" s="45" t="s">
        <v>34</v>
      </c>
      <c r="H348" s="47">
        <v>46112</v>
      </c>
      <c r="I348" s="47">
        <v>46126</v>
      </c>
      <c r="J348" s="43" t="s">
        <v>105</v>
      </c>
      <c r="K348" s="43" t="s">
        <v>77</v>
      </c>
      <c r="L348" s="49" t="s">
        <v>178</v>
      </c>
      <c r="M348" s="49"/>
      <c r="N348" s="49"/>
      <c r="O348" s="48"/>
      <c r="P348" s="49" t="str">
        <f t="shared" si="15"/>
        <v>RET</v>
      </c>
      <c r="R348" s="50" t="str">
        <f t="shared" si="16"/>
        <v/>
      </c>
      <c r="U348" s="28">
        <f>IF($C348&lt;&gt;"",COUNTIF($C$2:C348,C348),"")</f>
        <v>4</v>
      </c>
      <c r="V348" s="28" t="str">
        <f t="shared" si="17"/>
        <v>Doç. Dr. Duygu AYHAN BAŞER§4</v>
      </c>
      <c r="W348" s="28" t="str">
        <f>IF(U348=1,COUNTIF($U$2:U348,1),"")</f>
        <v/>
      </c>
    </row>
    <row r="349" spans="1:23" ht="63" customHeight="1" x14ac:dyDescent="0.25">
      <c r="A349" s="42" t="s">
        <v>1758</v>
      </c>
      <c r="B349" s="42" t="s">
        <v>1759</v>
      </c>
      <c r="C349" s="43" t="s">
        <v>109</v>
      </c>
      <c r="D349" s="43" t="s">
        <v>110</v>
      </c>
      <c r="E349" s="44" t="s">
        <v>1760</v>
      </c>
      <c r="F349" s="44" t="s">
        <v>1761</v>
      </c>
      <c r="G349" s="45" t="s">
        <v>34</v>
      </c>
      <c r="H349" s="47">
        <v>46112</v>
      </c>
      <c r="I349" s="47">
        <v>46126</v>
      </c>
      <c r="J349" s="43" t="s">
        <v>67</v>
      </c>
      <c r="K349" s="43" t="s">
        <v>113</v>
      </c>
      <c r="L349" s="49" t="s">
        <v>96</v>
      </c>
      <c r="M349" s="49" t="s">
        <v>69</v>
      </c>
      <c r="N349" s="49"/>
      <c r="O349" s="48"/>
      <c r="P349" s="49" t="str">
        <f t="shared" si="15"/>
        <v>ONAY</v>
      </c>
      <c r="Q349" s="27" t="s">
        <v>67</v>
      </c>
      <c r="R349" s="50" t="str">
        <f t="shared" si="16"/>
        <v/>
      </c>
      <c r="U349" s="28">
        <f>IF($C349&lt;&gt;"",COUNTIF($C$2:C349,C349),"")</f>
        <v>11</v>
      </c>
      <c r="V349" s="28" t="str">
        <f t="shared" si="17"/>
        <v>Prof. Dr. Meltem Gülhan HALİL§11</v>
      </c>
      <c r="W349" s="28" t="str">
        <f>IF(U349=1,COUNTIF($U$2:U349,1),"")</f>
        <v/>
      </c>
    </row>
    <row r="350" spans="1:23" ht="79.5" customHeight="1" x14ac:dyDescent="0.25">
      <c r="A350" s="42" t="s">
        <v>1762</v>
      </c>
      <c r="B350" s="42" t="s">
        <v>1763</v>
      </c>
      <c r="C350" s="43" t="s">
        <v>1764</v>
      </c>
      <c r="D350" s="43" t="s">
        <v>203</v>
      </c>
      <c r="E350" s="44" t="s">
        <v>1765</v>
      </c>
      <c r="F350" s="44" t="s">
        <v>1766</v>
      </c>
      <c r="G350" s="45" t="s">
        <v>34</v>
      </c>
      <c r="H350" s="47">
        <v>46112</v>
      </c>
      <c r="I350" s="47">
        <v>46126</v>
      </c>
      <c r="J350" s="43" t="s">
        <v>121</v>
      </c>
      <c r="K350" s="43" t="s">
        <v>86</v>
      </c>
      <c r="L350" s="49" t="s">
        <v>69</v>
      </c>
      <c r="M350" s="49"/>
      <c r="N350" s="49"/>
      <c r="O350" s="48"/>
      <c r="P350" s="49" t="str">
        <f t="shared" si="15"/>
        <v>ONAY</v>
      </c>
      <c r="R350" s="50" t="str">
        <f t="shared" si="16"/>
        <v/>
      </c>
      <c r="U350" s="28">
        <f>IF($C350&lt;&gt;"",COUNTIF($C$2:C350,C350),"")</f>
        <v>1</v>
      </c>
      <c r="V350" s="28" t="str">
        <f t="shared" si="17"/>
        <v>Doç. Dr. Özlem DİKMETAŞ SANDIKÇI§1</v>
      </c>
      <c r="W350" s="28">
        <f>IF(U350=1,COUNTIF($U$2:U350,1),"")</f>
        <v>210</v>
      </c>
    </row>
    <row r="351" spans="1:23" ht="63" customHeight="1" x14ac:dyDescent="0.25">
      <c r="A351" s="42" t="s">
        <v>1767</v>
      </c>
      <c r="B351" s="42" t="s">
        <v>1768</v>
      </c>
      <c r="C351" s="43" t="s">
        <v>564</v>
      </c>
      <c r="D351" s="43" t="s">
        <v>110</v>
      </c>
      <c r="E351" s="44" t="s">
        <v>1769</v>
      </c>
      <c r="F351" s="44" t="s">
        <v>1770</v>
      </c>
      <c r="G351" s="45" t="s">
        <v>34</v>
      </c>
      <c r="H351" s="47">
        <v>46112</v>
      </c>
      <c r="I351" s="47">
        <v>46126</v>
      </c>
      <c r="J351" s="43" t="s">
        <v>68</v>
      </c>
      <c r="K351" s="43" t="s">
        <v>105</v>
      </c>
      <c r="L351" s="49" t="s">
        <v>69</v>
      </c>
      <c r="M351" s="49"/>
      <c r="N351" s="49"/>
      <c r="O351" s="48"/>
      <c r="P351" s="49" t="str">
        <f t="shared" si="15"/>
        <v>ONAY</v>
      </c>
      <c r="R351" s="50" t="str">
        <f t="shared" si="16"/>
        <v/>
      </c>
      <c r="U351" s="28">
        <f>IF($C351&lt;&gt;"",COUNTIF($C$2:C351,C351),"")</f>
        <v>2</v>
      </c>
      <c r="V351" s="28" t="str">
        <f t="shared" si="17"/>
        <v>Prof. Dr. Salih AKSU§2</v>
      </c>
      <c r="W351" s="28" t="str">
        <f>IF(U351=1,COUNTIF($U$2:U351,1),"")</f>
        <v/>
      </c>
    </row>
    <row r="352" spans="1:23" ht="63" customHeight="1" x14ac:dyDescent="0.25">
      <c r="A352" s="42" t="s">
        <v>1771</v>
      </c>
      <c r="B352" s="42" t="s">
        <v>1772</v>
      </c>
      <c r="C352" s="43" t="s">
        <v>765</v>
      </c>
      <c r="D352" s="43" t="s">
        <v>237</v>
      </c>
      <c r="E352" s="44" t="s">
        <v>1773</v>
      </c>
      <c r="F352" s="44" t="s">
        <v>1774</v>
      </c>
      <c r="G352" s="45" t="s">
        <v>34</v>
      </c>
      <c r="H352" s="47">
        <v>46112</v>
      </c>
      <c r="I352" s="47">
        <v>46126</v>
      </c>
      <c r="J352" s="43" t="s">
        <v>95</v>
      </c>
      <c r="K352" s="43" t="s">
        <v>121</v>
      </c>
      <c r="L352" s="49" t="s">
        <v>96</v>
      </c>
      <c r="M352" s="49" t="s">
        <v>69</v>
      </c>
      <c r="N352" s="49"/>
      <c r="O352" s="48"/>
      <c r="P352" s="49" t="str">
        <f t="shared" si="15"/>
        <v>ONAY</v>
      </c>
      <c r="Q352" s="27" t="s">
        <v>95</v>
      </c>
      <c r="R352" s="50" t="str">
        <f t="shared" si="16"/>
        <v/>
      </c>
      <c r="U352" s="28">
        <f>IF($C352&lt;&gt;"",COUNTIF($C$2:C352,C352),"")</f>
        <v>2</v>
      </c>
      <c r="V352" s="28" t="str">
        <f t="shared" si="17"/>
        <v>Dr. Öğr. Üyesi Ayşe METE YEŞİL§2</v>
      </c>
      <c r="W352" s="28" t="str">
        <f>IF(U352=1,COUNTIF($U$2:U352,1),"")</f>
        <v/>
      </c>
    </row>
    <row r="353" spans="1:23" ht="141.75" customHeight="1" x14ac:dyDescent="0.25">
      <c r="A353" s="42" t="s">
        <v>1775</v>
      </c>
      <c r="B353" s="42" t="s">
        <v>1776</v>
      </c>
      <c r="C353" s="43" t="s">
        <v>410</v>
      </c>
      <c r="D353" s="43" t="s">
        <v>237</v>
      </c>
      <c r="E353" s="44" t="s">
        <v>1777</v>
      </c>
      <c r="F353" s="44" t="s">
        <v>1778</v>
      </c>
      <c r="G353" s="45" t="s">
        <v>34</v>
      </c>
      <c r="H353" s="47">
        <v>46112</v>
      </c>
      <c r="I353" s="47">
        <v>46126</v>
      </c>
      <c r="J353" s="43" t="s">
        <v>67</v>
      </c>
      <c r="K353" s="43" t="s">
        <v>121</v>
      </c>
      <c r="L353" s="49" t="s">
        <v>96</v>
      </c>
      <c r="M353" s="49" t="s">
        <v>69</v>
      </c>
      <c r="N353" s="49"/>
      <c r="O353" s="48"/>
      <c r="P353" s="49" t="str">
        <f t="shared" si="15"/>
        <v>ONAY</v>
      </c>
      <c r="Q353" s="27" t="s">
        <v>67</v>
      </c>
      <c r="R353" s="50" t="str">
        <f t="shared" si="16"/>
        <v/>
      </c>
      <c r="U353" s="28">
        <f>IF($C353&lt;&gt;"",COUNTIF($C$2:C353,C353),"")</f>
        <v>4</v>
      </c>
      <c r="V353" s="28" t="str">
        <f t="shared" si="17"/>
        <v>Prof. Dr. Deniz ÇAĞDAŞ AYVAZ§4</v>
      </c>
      <c r="W353" s="28" t="str">
        <f>IF(U353=1,COUNTIF($U$2:U353,1),"")</f>
        <v/>
      </c>
    </row>
    <row r="354" spans="1:23" ht="63" customHeight="1" x14ac:dyDescent="0.25">
      <c r="A354" s="42" t="s">
        <v>1779</v>
      </c>
      <c r="B354" s="42" t="s">
        <v>1780</v>
      </c>
      <c r="C354" s="43" t="s">
        <v>1616</v>
      </c>
      <c r="D354" s="43" t="s">
        <v>110</v>
      </c>
      <c r="E354" s="44" t="s">
        <v>1652</v>
      </c>
      <c r="F354" s="44" t="s">
        <v>1781</v>
      </c>
      <c r="G354" s="45" t="s">
        <v>34</v>
      </c>
      <c r="H354" s="47">
        <v>46118</v>
      </c>
      <c r="I354" s="47">
        <v>46140</v>
      </c>
      <c r="J354" s="43" t="s">
        <v>113</v>
      </c>
      <c r="K354" s="43" t="s">
        <v>77</v>
      </c>
      <c r="L354" s="49" t="s">
        <v>69</v>
      </c>
      <c r="M354" s="49"/>
      <c r="N354" s="49"/>
      <c r="O354" s="48"/>
      <c r="P354" s="49" t="str">
        <f t="shared" si="15"/>
        <v>ONAY</v>
      </c>
      <c r="R354" s="50" t="str">
        <f t="shared" si="16"/>
        <v/>
      </c>
      <c r="U354" s="28">
        <f>IF($C354&lt;&gt;"",COUNTIF($C$2:C354,C354),"")</f>
        <v>3</v>
      </c>
      <c r="V354" s="28" t="str">
        <f t="shared" si="17"/>
        <v>Doç. Dr. Cafer BALCI§3</v>
      </c>
      <c r="W354" s="28" t="str">
        <f>IF(U354=1,COUNTIF($U$2:U354,1),"")</f>
        <v/>
      </c>
    </row>
    <row r="355" spans="1:23" ht="94.5" customHeight="1" x14ac:dyDescent="0.25">
      <c r="A355" s="42" t="s">
        <v>1782</v>
      </c>
      <c r="B355" s="42" t="s">
        <v>1783</v>
      </c>
      <c r="C355" s="43" t="s">
        <v>1137</v>
      </c>
      <c r="D355" s="43" t="s">
        <v>997</v>
      </c>
      <c r="E355" s="44" t="s">
        <v>1784</v>
      </c>
      <c r="F355" s="44" t="s">
        <v>1785</v>
      </c>
      <c r="G355" s="45" t="s">
        <v>34</v>
      </c>
      <c r="H355" s="47">
        <v>46118</v>
      </c>
      <c r="I355" s="47">
        <v>46140</v>
      </c>
      <c r="J355" s="43" t="s">
        <v>105</v>
      </c>
      <c r="K355" s="43" t="s">
        <v>121</v>
      </c>
      <c r="L355" s="49" t="s">
        <v>178</v>
      </c>
      <c r="M355" s="49"/>
      <c r="N355" s="49"/>
      <c r="O355" s="48"/>
      <c r="P355" s="49" t="str">
        <f t="shared" si="15"/>
        <v>RET</v>
      </c>
      <c r="R355" s="50" t="str">
        <f t="shared" si="16"/>
        <v/>
      </c>
      <c r="U355" s="28">
        <f>IF($C355&lt;&gt;"",COUNTIF($C$2:C355,C355),"")</f>
        <v>5</v>
      </c>
      <c r="V355" s="28" t="str">
        <f t="shared" si="17"/>
        <v>Doç. Dr. Duygu AYHAN BAŞER§5</v>
      </c>
      <c r="W355" s="28" t="str">
        <f>IF(U355=1,COUNTIF($U$2:U355,1),"")</f>
        <v/>
      </c>
    </row>
    <row r="356" spans="1:23" ht="98.25" customHeight="1" x14ac:dyDescent="0.25">
      <c r="A356" s="42" t="s">
        <v>1786</v>
      </c>
      <c r="B356" s="42" t="s">
        <v>1787</v>
      </c>
      <c r="C356" s="43" t="s">
        <v>1788</v>
      </c>
      <c r="D356" s="43" t="s">
        <v>1174</v>
      </c>
      <c r="E356" s="44" t="s">
        <v>1789</v>
      </c>
      <c r="F356" s="44" t="s">
        <v>1790</v>
      </c>
      <c r="G356" s="45" t="s">
        <v>34</v>
      </c>
      <c r="H356" s="47">
        <v>46118</v>
      </c>
      <c r="I356" s="47">
        <v>46140</v>
      </c>
      <c r="J356" s="43" t="s">
        <v>85</v>
      </c>
      <c r="K356" s="43" t="s">
        <v>95</v>
      </c>
      <c r="L356" s="49" t="s">
        <v>69</v>
      </c>
      <c r="M356" s="49"/>
      <c r="N356" s="49"/>
      <c r="O356" s="48"/>
      <c r="P356" s="49" t="str">
        <f t="shared" si="15"/>
        <v>ONAY</v>
      </c>
      <c r="R356" s="50" t="str">
        <f t="shared" si="16"/>
        <v/>
      </c>
      <c r="U356" s="28">
        <f>IF($C356&lt;&gt;"",COUNTIF($C$2:C356,C356),"")</f>
        <v>1</v>
      </c>
      <c r="V356" s="28" t="str">
        <f t="shared" si="17"/>
        <v>Prof. Dr. Hakan UZUN§1</v>
      </c>
      <c r="W356" s="28">
        <f>IF(U356=1,COUNTIF($U$2:U356,1),"")</f>
        <v>211</v>
      </c>
    </row>
    <row r="357" spans="1:23" ht="78.75" customHeight="1" x14ac:dyDescent="0.25">
      <c r="A357" s="42" t="s">
        <v>1791</v>
      </c>
      <c r="B357" s="42" t="s">
        <v>1792</v>
      </c>
      <c r="C357" s="54" t="s">
        <v>1793</v>
      </c>
      <c r="D357" s="54" t="s">
        <v>850</v>
      </c>
      <c r="E357" s="44" t="s">
        <v>1794</v>
      </c>
      <c r="F357" s="44" t="s">
        <v>1795</v>
      </c>
      <c r="G357" s="45" t="s">
        <v>34</v>
      </c>
      <c r="H357" s="47">
        <v>46118</v>
      </c>
      <c r="I357" s="47">
        <v>46140</v>
      </c>
      <c r="J357" s="43" t="s">
        <v>95</v>
      </c>
      <c r="K357" s="43" t="s">
        <v>94</v>
      </c>
      <c r="L357" s="49" t="s">
        <v>96</v>
      </c>
      <c r="M357" s="49" t="s">
        <v>69</v>
      </c>
      <c r="N357" s="49"/>
      <c r="O357" s="48"/>
      <c r="P357" s="49" t="str">
        <f t="shared" si="15"/>
        <v>ONAY</v>
      </c>
      <c r="Q357" s="27" t="s">
        <v>95</v>
      </c>
      <c r="R357" s="50" t="str">
        <f t="shared" si="16"/>
        <v/>
      </c>
      <c r="U357" s="28">
        <f>IF($C357&lt;&gt;"",COUNTIF($C$2:C357,C357),"")</f>
        <v>1</v>
      </c>
      <c r="V357" s="58" t="str">
        <f t="shared" si="17"/>
        <v>Prof. Dr. Gülten GÜVENÇ
Doç. Dr. Gölşah KÖK§1</v>
      </c>
      <c r="W357" s="28">
        <f>IF(U357=1,COUNTIF($U$2:U357,1),"")</f>
        <v>212</v>
      </c>
    </row>
    <row r="358" spans="1:23" ht="78.75" customHeight="1" x14ac:dyDescent="0.25">
      <c r="A358" s="42" t="s">
        <v>1796</v>
      </c>
      <c r="B358" s="42" t="s">
        <v>1797</v>
      </c>
      <c r="C358" s="43" t="s">
        <v>1238</v>
      </c>
      <c r="D358" s="43" t="s">
        <v>237</v>
      </c>
      <c r="E358" s="44" t="s">
        <v>1798</v>
      </c>
      <c r="F358" s="44" t="s">
        <v>1799</v>
      </c>
      <c r="G358" s="45" t="s">
        <v>34</v>
      </c>
      <c r="H358" s="47">
        <v>46118</v>
      </c>
      <c r="I358" s="47">
        <v>46140</v>
      </c>
      <c r="J358" s="43" t="s">
        <v>113</v>
      </c>
      <c r="K358" s="43" t="s">
        <v>128</v>
      </c>
      <c r="L358" s="49" t="s">
        <v>69</v>
      </c>
      <c r="M358" s="49"/>
      <c r="N358" s="49"/>
      <c r="O358" s="48"/>
      <c r="P358" s="49" t="str">
        <f t="shared" si="15"/>
        <v>ONAY</v>
      </c>
      <c r="R358" s="50" t="str">
        <f t="shared" si="16"/>
        <v/>
      </c>
      <c r="U358" s="28">
        <f>IF($C358&lt;&gt;"",COUNTIF($C$2:C358,C358),"")</f>
        <v>3</v>
      </c>
      <c r="V358" s="28" t="str">
        <f t="shared" si="17"/>
        <v>Prof. Dr. Özlem TEKŞAM§3</v>
      </c>
      <c r="W358" s="28" t="str">
        <f>IF(U358=1,COUNTIF($U$2:U358,1),"")</f>
        <v/>
      </c>
    </row>
    <row r="359" spans="1:23" ht="63" customHeight="1" x14ac:dyDescent="0.25">
      <c r="A359" s="42" t="s">
        <v>1800</v>
      </c>
      <c r="B359" s="42" t="s">
        <v>1801</v>
      </c>
      <c r="C359" s="43" t="s">
        <v>415</v>
      </c>
      <c r="D359" s="43" t="s">
        <v>416</v>
      </c>
      <c r="E359" s="44" t="s">
        <v>1802</v>
      </c>
      <c r="F359" s="44" t="s">
        <v>1803</v>
      </c>
      <c r="G359" s="45" t="s">
        <v>34</v>
      </c>
      <c r="H359" s="47">
        <v>46118</v>
      </c>
      <c r="I359" s="47">
        <v>46140</v>
      </c>
      <c r="J359" s="43" t="s">
        <v>67</v>
      </c>
      <c r="K359" s="43" t="s">
        <v>121</v>
      </c>
      <c r="L359" s="49" t="s">
        <v>96</v>
      </c>
      <c r="M359" s="49" t="s">
        <v>69</v>
      </c>
      <c r="N359" s="49"/>
      <c r="O359" s="48"/>
      <c r="P359" s="49" t="str">
        <f t="shared" si="15"/>
        <v>ONAY</v>
      </c>
      <c r="R359" s="50" t="str">
        <f t="shared" si="16"/>
        <v/>
      </c>
      <c r="U359" s="28">
        <f>IF($C359&lt;&gt;"",COUNTIF($C$2:C359,C359),"")</f>
        <v>4</v>
      </c>
      <c r="V359" s="28" t="str">
        <f t="shared" si="17"/>
        <v>Prof. Dr. Tutku SOYER§4</v>
      </c>
      <c r="W359" s="28" t="str">
        <f>IF(U359=1,COUNTIF($U$2:U359,1),"")</f>
        <v/>
      </c>
    </row>
    <row r="360" spans="1:23" ht="63" customHeight="1" x14ac:dyDescent="0.25">
      <c r="A360" s="42" t="s">
        <v>1804</v>
      </c>
      <c r="B360" s="42" t="s">
        <v>1805</v>
      </c>
      <c r="C360" s="43" t="s">
        <v>222</v>
      </c>
      <c r="D360" s="43" t="s">
        <v>133</v>
      </c>
      <c r="E360" s="44" t="s">
        <v>1806</v>
      </c>
      <c r="F360" s="44" t="s">
        <v>1807</v>
      </c>
      <c r="G360" s="45" t="s">
        <v>35</v>
      </c>
      <c r="H360" s="47">
        <v>46118</v>
      </c>
      <c r="I360" s="47">
        <v>46140</v>
      </c>
      <c r="J360" s="43" t="s">
        <v>104</v>
      </c>
      <c r="K360" s="43" t="s">
        <v>86</v>
      </c>
      <c r="L360" s="49" t="s">
        <v>96</v>
      </c>
      <c r="M360" s="49" t="s">
        <v>69</v>
      </c>
      <c r="N360" s="49"/>
      <c r="O360" s="48"/>
      <c r="P360" s="49" t="str">
        <f t="shared" si="15"/>
        <v>ONAY</v>
      </c>
      <c r="Q360" s="27" t="s">
        <v>104</v>
      </c>
      <c r="R360" s="50" t="str">
        <f t="shared" si="16"/>
        <v/>
      </c>
      <c r="U360" s="28">
        <f>IF($C360&lt;&gt;"",COUNTIF($C$2:C360,C360),"")</f>
        <v>3</v>
      </c>
      <c r="V360" s="28" t="str">
        <f t="shared" si="17"/>
        <v>Doç. Dr. Dilek ÜNAL§3</v>
      </c>
      <c r="W360" s="28" t="str">
        <f>IF(U360=1,COUNTIF($U$2:U360,1),"")</f>
        <v/>
      </c>
    </row>
    <row r="361" spans="1:23" ht="78.75" customHeight="1" x14ac:dyDescent="0.25">
      <c r="A361" s="42" t="s">
        <v>1808</v>
      </c>
      <c r="B361" s="42" t="s">
        <v>1809</v>
      </c>
      <c r="C361" s="43" t="s">
        <v>579</v>
      </c>
      <c r="D361" s="43" t="s">
        <v>203</v>
      </c>
      <c r="E361" s="44" t="s">
        <v>1810</v>
      </c>
      <c r="F361" s="44" t="s">
        <v>1811</v>
      </c>
      <c r="G361" s="45" t="s">
        <v>34</v>
      </c>
      <c r="H361" s="47">
        <v>46118</v>
      </c>
      <c r="I361" s="47">
        <v>46140</v>
      </c>
      <c r="J361" s="43" t="s">
        <v>85</v>
      </c>
      <c r="K361" s="43" t="s">
        <v>94</v>
      </c>
      <c r="L361" s="49" t="s">
        <v>96</v>
      </c>
      <c r="M361" s="49" t="s">
        <v>69</v>
      </c>
      <c r="N361" s="49"/>
      <c r="O361" s="48"/>
      <c r="P361" s="49" t="str">
        <f t="shared" si="15"/>
        <v>ONAY</v>
      </c>
      <c r="Q361" s="27" t="s">
        <v>85</v>
      </c>
      <c r="R361" s="50" t="str">
        <f t="shared" si="16"/>
        <v/>
      </c>
      <c r="U361" s="28">
        <f>IF($C361&lt;&gt;"",COUNTIF($C$2:C361,C361),"")</f>
        <v>4</v>
      </c>
      <c r="V361" s="28" t="str">
        <f t="shared" si="17"/>
        <v>Doç. Dr. İrem KOÇ§4</v>
      </c>
      <c r="W361" s="28" t="str">
        <f>IF(U361=1,COUNTIF($U$2:U361,1),"")</f>
        <v/>
      </c>
    </row>
    <row r="362" spans="1:23" ht="47.25" customHeight="1" x14ac:dyDescent="0.25">
      <c r="A362" s="42" t="s">
        <v>1812</v>
      </c>
      <c r="B362" s="42" t="s">
        <v>1813</v>
      </c>
      <c r="C362" s="43" t="s">
        <v>1384</v>
      </c>
      <c r="D362" s="43" t="s">
        <v>110</v>
      </c>
      <c r="E362" s="44" t="s">
        <v>1814</v>
      </c>
      <c r="F362" s="44" t="s">
        <v>1815</v>
      </c>
      <c r="G362" s="45" t="s">
        <v>34</v>
      </c>
      <c r="H362" s="47">
        <v>46119</v>
      </c>
      <c r="I362" s="47">
        <v>46140</v>
      </c>
      <c r="J362" s="43" t="s">
        <v>94</v>
      </c>
      <c r="K362" s="43" t="s">
        <v>77</v>
      </c>
      <c r="L362" s="49" t="s">
        <v>69</v>
      </c>
      <c r="M362" s="49"/>
      <c r="N362" s="49"/>
      <c r="O362" s="48"/>
      <c r="P362" s="49" t="str">
        <f t="shared" si="15"/>
        <v>ONAY</v>
      </c>
      <c r="R362" s="50" t="str">
        <f t="shared" si="16"/>
        <v/>
      </c>
      <c r="U362" s="28">
        <f>IF($C362&lt;&gt;"",COUNTIF($C$2:C362,C362),"")</f>
        <v>5</v>
      </c>
      <c r="V362" s="28" t="str">
        <f t="shared" si="17"/>
        <v>Prof. Dr. Burcu Balam DOĞU§5</v>
      </c>
      <c r="W362" s="28" t="str">
        <f>IF(U362=1,COUNTIF($U$2:U362,1),"")</f>
        <v/>
      </c>
    </row>
    <row r="363" spans="1:23" ht="81" customHeight="1" x14ac:dyDescent="0.25">
      <c r="A363" s="42" t="s">
        <v>1816</v>
      </c>
      <c r="B363" s="42" t="s">
        <v>1817</v>
      </c>
      <c r="C363" s="43" t="s">
        <v>313</v>
      </c>
      <c r="D363" s="43" t="s">
        <v>237</v>
      </c>
      <c r="E363" s="44" t="s">
        <v>1818</v>
      </c>
      <c r="F363" s="44" t="s">
        <v>1819</v>
      </c>
      <c r="G363" s="45" t="s">
        <v>34</v>
      </c>
      <c r="H363" s="47">
        <v>46119</v>
      </c>
      <c r="I363" s="47">
        <v>46140</v>
      </c>
      <c r="J363" s="43" t="s">
        <v>105</v>
      </c>
      <c r="K363" s="43" t="s">
        <v>113</v>
      </c>
      <c r="L363" s="49" t="s">
        <v>218</v>
      </c>
      <c r="M363" s="49" t="s">
        <v>178</v>
      </c>
      <c r="N363" s="49"/>
      <c r="O363" s="48"/>
      <c r="P363" s="49" t="str">
        <f t="shared" si="15"/>
        <v>RET</v>
      </c>
      <c r="R363" s="50" t="str">
        <f t="shared" si="16"/>
        <v/>
      </c>
      <c r="U363" s="28">
        <f>IF($C363&lt;&gt;"",COUNTIF($C$2:C363,C363),"")</f>
        <v>8</v>
      </c>
      <c r="V363" s="28" t="str">
        <f t="shared" si="17"/>
        <v>Prof. Dr. Yasemin ÖZSÜREKCİ§8</v>
      </c>
      <c r="W363" s="28" t="str">
        <f>IF(U363=1,COUNTIF($U$2:U363,1),"")</f>
        <v/>
      </c>
    </row>
    <row r="364" spans="1:23" ht="78.75" customHeight="1" x14ac:dyDescent="0.25">
      <c r="A364" s="42" t="s">
        <v>1820</v>
      </c>
      <c r="B364" s="42" t="s">
        <v>1821</v>
      </c>
      <c r="C364" s="43" t="s">
        <v>1822</v>
      </c>
      <c r="D364" s="43" t="s">
        <v>237</v>
      </c>
      <c r="E364" s="44" t="s">
        <v>1823</v>
      </c>
      <c r="F364" s="44" t="s">
        <v>1824</v>
      </c>
      <c r="G364" s="45" t="s">
        <v>35</v>
      </c>
      <c r="H364" s="47">
        <v>46119</v>
      </c>
      <c r="I364" s="47">
        <v>46140</v>
      </c>
      <c r="J364" s="43" t="s">
        <v>128</v>
      </c>
      <c r="K364" s="43" t="s">
        <v>67</v>
      </c>
      <c r="L364" s="49" t="s">
        <v>69</v>
      </c>
      <c r="M364" s="49"/>
      <c r="N364" s="49"/>
      <c r="O364" s="48"/>
      <c r="P364" s="49" t="str">
        <f t="shared" si="15"/>
        <v>ONAY</v>
      </c>
      <c r="R364" s="50" t="str">
        <f t="shared" si="16"/>
        <v/>
      </c>
      <c r="U364" s="28">
        <f>IF($C364&lt;&gt;"",COUNTIF($C$2:C364,C364),"")</f>
        <v>1</v>
      </c>
      <c r="V364" s="28" t="str">
        <f t="shared" si="17"/>
        <v>Prof. Dr. Ebru AYPAR§1</v>
      </c>
      <c r="W364" s="28">
        <f>IF(U364=1,COUNTIF($U$2:U364,1),"")</f>
        <v>213</v>
      </c>
    </row>
    <row r="365" spans="1:23" ht="47.25" customHeight="1" x14ac:dyDescent="0.25">
      <c r="A365" s="42" t="s">
        <v>1825</v>
      </c>
      <c r="B365" s="42" t="s">
        <v>1826</v>
      </c>
      <c r="C365" s="43" t="s">
        <v>1827</v>
      </c>
      <c r="D365" s="43" t="s">
        <v>110</v>
      </c>
      <c r="E365" s="44" t="s">
        <v>1828</v>
      </c>
      <c r="F365" s="44" t="s">
        <v>1829</v>
      </c>
      <c r="G365" s="45" t="s">
        <v>34</v>
      </c>
      <c r="H365" s="47">
        <v>46119</v>
      </c>
      <c r="I365" s="47">
        <v>46140</v>
      </c>
      <c r="J365" s="43" t="s">
        <v>95</v>
      </c>
      <c r="K365" s="43" t="s">
        <v>77</v>
      </c>
      <c r="L365" s="49" t="s">
        <v>69</v>
      </c>
      <c r="M365" s="49"/>
      <c r="N365" s="49"/>
      <c r="O365" s="48"/>
      <c r="P365" s="49" t="str">
        <f t="shared" si="15"/>
        <v>ONAY</v>
      </c>
      <c r="R365" s="50" t="str">
        <f t="shared" si="16"/>
        <v/>
      </c>
      <c r="U365" s="28">
        <f>IF($C365&lt;&gt;"",COUNTIF($C$2:C365,C365),"")</f>
        <v>1</v>
      </c>
      <c r="V365" s="28" t="str">
        <f t="shared" si="17"/>
        <v>Prof. Dr. Umut KALYONCU§1</v>
      </c>
      <c r="W365" s="28">
        <f>IF(U365=1,COUNTIF($U$2:U365,1),"")</f>
        <v>214</v>
      </c>
    </row>
    <row r="366" spans="1:23" ht="47.25" customHeight="1" x14ac:dyDescent="0.25">
      <c r="A366" s="42" t="s">
        <v>1830</v>
      </c>
      <c r="B366" s="42" t="s">
        <v>1831</v>
      </c>
      <c r="C366" s="43" t="s">
        <v>1827</v>
      </c>
      <c r="D366" s="43" t="s">
        <v>110</v>
      </c>
      <c r="E366" s="44" t="s">
        <v>1828</v>
      </c>
      <c r="F366" s="44" t="s">
        <v>1832</v>
      </c>
      <c r="G366" s="45" t="s">
        <v>34</v>
      </c>
      <c r="H366" s="47">
        <v>46119</v>
      </c>
      <c r="I366" s="47">
        <v>46140</v>
      </c>
      <c r="J366" s="43" t="s">
        <v>94</v>
      </c>
      <c r="K366" s="43" t="s">
        <v>128</v>
      </c>
      <c r="L366" s="49" t="s">
        <v>178</v>
      </c>
      <c r="M366" s="49"/>
      <c r="N366" s="49"/>
      <c r="O366" s="48"/>
      <c r="P366" s="49" t="str">
        <f t="shared" si="15"/>
        <v>RET</v>
      </c>
      <c r="R366" s="50" t="str">
        <f t="shared" si="16"/>
        <v/>
      </c>
      <c r="U366" s="28">
        <f>IF($C366&lt;&gt;"",COUNTIF($C$2:C366,C366),"")</f>
        <v>2</v>
      </c>
      <c r="V366" s="28" t="str">
        <f t="shared" si="17"/>
        <v>Prof. Dr. Umut KALYONCU§2</v>
      </c>
      <c r="W366" s="28" t="str">
        <f>IF(U366=1,COUNTIF($U$2:U366,1),"")</f>
        <v/>
      </c>
    </row>
    <row r="367" spans="1:23" ht="63" customHeight="1" x14ac:dyDescent="0.25">
      <c r="A367" s="42" t="s">
        <v>1833</v>
      </c>
      <c r="B367" s="42" t="s">
        <v>1834</v>
      </c>
      <c r="C367" s="43" t="s">
        <v>988</v>
      </c>
      <c r="D367" s="43" t="s">
        <v>435</v>
      </c>
      <c r="E367" s="44" t="s">
        <v>1835</v>
      </c>
      <c r="F367" s="44" t="s">
        <v>1836</v>
      </c>
      <c r="G367" s="45" t="s">
        <v>34</v>
      </c>
      <c r="H367" s="47">
        <v>46119</v>
      </c>
      <c r="I367" s="47">
        <v>46140</v>
      </c>
      <c r="J367" s="43" t="s">
        <v>85</v>
      </c>
      <c r="K367" s="43" t="s">
        <v>121</v>
      </c>
      <c r="L367" s="49" t="s">
        <v>69</v>
      </c>
      <c r="M367" s="49"/>
      <c r="N367" s="49"/>
      <c r="O367" s="48"/>
      <c r="P367" s="49" t="str">
        <f t="shared" si="15"/>
        <v>ONAY</v>
      </c>
      <c r="R367" s="50" t="str">
        <f t="shared" si="16"/>
        <v/>
      </c>
      <c r="U367" s="28">
        <f>IF($C367&lt;&gt;"",COUNTIF($C$2:C367,C367),"")</f>
        <v>3</v>
      </c>
      <c r="V367" s="28" t="str">
        <f t="shared" si="17"/>
        <v>Doç. Dr. Mesut ALTAN§3</v>
      </c>
      <c r="W367" s="28" t="str">
        <f>IF(U367=1,COUNTIF($U$2:U367,1),"")</f>
        <v/>
      </c>
    </row>
    <row r="368" spans="1:23" ht="66" customHeight="1" x14ac:dyDescent="0.25">
      <c r="A368" s="42" t="s">
        <v>1837</v>
      </c>
      <c r="B368" s="42" t="s">
        <v>1838</v>
      </c>
      <c r="C368" s="43" t="s">
        <v>1839</v>
      </c>
      <c r="D368" s="43" t="s">
        <v>1069</v>
      </c>
      <c r="E368" s="44" t="s">
        <v>1840</v>
      </c>
      <c r="F368" s="44" t="s">
        <v>1841</v>
      </c>
      <c r="G368" s="45" t="s">
        <v>37</v>
      </c>
      <c r="H368" s="47">
        <v>46119</v>
      </c>
      <c r="I368" s="47">
        <v>46140</v>
      </c>
      <c r="J368" s="43" t="s">
        <v>67</v>
      </c>
      <c r="K368" s="43" t="s">
        <v>86</v>
      </c>
      <c r="L368" s="49" t="s">
        <v>69</v>
      </c>
      <c r="M368" s="49"/>
      <c r="N368" s="49"/>
      <c r="O368" s="48"/>
      <c r="P368" s="49" t="str">
        <f t="shared" si="15"/>
        <v>ONAY</v>
      </c>
      <c r="R368" s="50" t="str">
        <f t="shared" si="16"/>
        <v/>
      </c>
      <c r="U368" s="28">
        <f>IF($C368&lt;&gt;"",COUNTIF($C$2:C368,C368),"")</f>
        <v>1</v>
      </c>
      <c r="V368" s="28" t="str">
        <f t="shared" si="17"/>
        <v>Prof. Dr. Erdem KARABULUT§1</v>
      </c>
      <c r="W368" s="28">
        <f>IF(U368=1,COUNTIF($U$2:U368,1),"")</f>
        <v>215</v>
      </c>
    </row>
    <row r="369" spans="1:23" ht="63" customHeight="1" x14ac:dyDescent="0.25">
      <c r="A369" s="42" t="s">
        <v>1842</v>
      </c>
      <c r="B369" s="42" t="s">
        <v>1843</v>
      </c>
      <c r="C369" s="43" t="s">
        <v>410</v>
      </c>
      <c r="D369" s="43" t="s">
        <v>237</v>
      </c>
      <c r="E369" s="44" t="s">
        <v>1844</v>
      </c>
      <c r="F369" s="44" t="s">
        <v>1845</v>
      </c>
      <c r="G369" s="45" t="s">
        <v>34</v>
      </c>
      <c r="H369" s="47">
        <v>46119</v>
      </c>
      <c r="I369" s="47">
        <v>46140</v>
      </c>
      <c r="J369" s="43" t="s">
        <v>105</v>
      </c>
      <c r="K369" s="43" t="s">
        <v>77</v>
      </c>
      <c r="L369" s="49" t="s">
        <v>96</v>
      </c>
      <c r="M369" s="49" t="s">
        <v>69</v>
      </c>
      <c r="N369" s="49"/>
      <c r="O369" s="48"/>
      <c r="P369" s="49" t="str">
        <f t="shared" si="15"/>
        <v>ONAY</v>
      </c>
      <c r="Q369" s="27" t="s">
        <v>105</v>
      </c>
      <c r="R369" s="50" t="str">
        <f t="shared" si="16"/>
        <v/>
      </c>
      <c r="U369" s="28">
        <f>IF($C369&lt;&gt;"",COUNTIF($C$2:C369,C369),"")</f>
        <v>5</v>
      </c>
      <c r="V369" s="28" t="str">
        <f t="shared" si="17"/>
        <v>Prof. Dr. Deniz ÇAĞDAŞ AYVAZ§5</v>
      </c>
      <c r="W369" s="28" t="str">
        <f>IF(U369=1,COUNTIF($U$2:U369,1),"")</f>
        <v/>
      </c>
    </row>
    <row r="370" spans="1:23" ht="78.75" customHeight="1" x14ac:dyDescent="0.25">
      <c r="A370" s="42" t="s">
        <v>1846</v>
      </c>
      <c r="B370" s="42" t="s">
        <v>1847</v>
      </c>
      <c r="C370" s="43" t="s">
        <v>609</v>
      </c>
      <c r="D370" s="43" t="s">
        <v>110</v>
      </c>
      <c r="E370" s="44" t="s">
        <v>1848</v>
      </c>
      <c r="F370" s="44" t="s">
        <v>1849</v>
      </c>
      <c r="G370" s="45" t="s">
        <v>34</v>
      </c>
      <c r="H370" s="47">
        <v>46119</v>
      </c>
      <c r="I370" s="47">
        <v>46140</v>
      </c>
      <c r="J370" s="43" t="s">
        <v>104</v>
      </c>
      <c r="K370" s="43" t="s">
        <v>121</v>
      </c>
      <c r="L370" s="49" t="s">
        <v>69</v>
      </c>
      <c r="M370" s="49"/>
      <c r="N370" s="49"/>
      <c r="O370" s="48"/>
      <c r="P370" s="49" t="str">
        <f t="shared" si="15"/>
        <v>ONAY</v>
      </c>
      <c r="R370" s="50" t="str">
        <f t="shared" si="16"/>
        <v/>
      </c>
      <c r="U370" s="28">
        <f>IF($C370&lt;&gt;"",COUNTIF($C$2:C370,C370),"")</f>
        <v>3</v>
      </c>
      <c r="V370" s="28" t="str">
        <f t="shared" si="17"/>
        <v>Prof. Dr. Ayşe Tomris ERBAŞ§3</v>
      </c>
      <c r="W370" s="28" t="str">
        <f>IF(U370=1,COUNTIF($U$2:U370,1),"")</f>
        <v/>
      </c>
    </row>
    <row r="371" spans="1:23" ht="63" customHeight="1" x14ac:dyDescent="0.25">
      <c r="A371" s="42" t="s">
        <v>1850</v>
      </c>
      <c r="B371" s="42" t="s">
        <v>1851</v>
      </c>
      <c r="C371" s="43" t="s">
        <v>1852</v>
      </c>
      <c r="D371" s="43" t="s">
        <v>1853</v>
      </c>
      <c r="E371" s="44" t="s">
        <v>1854</v>
      </c>
      <c r="F371" s="44" t="s">
        <v>1855</v>
      </c>
      <c r="G371" s="45" t="s">
        <v>34</v>
      </c>
      <c r="H371" s="47">
        <v>46119</v>
      </c>
      <c r="I371" s="47">
        <v>46140</v>
      </c>
      <c r="J371" s="43" t="s">
        <v>85</v>
      </c>
      <c r="K371" s="43" t="s">
        <v>86</v>
      </c>
      <c r="L371" s="49" t="s">
        <v>69</v>
      </c>
      <c r="M371" s="49"/>
      <c r="N371" s="49"/>
      <c r="O371" s="48"/>
      <c r="P371" s="49" t="str">
        <f t="shared" si="15"/>
        <v>ONAY</v>
      </c>
      <c r="R371" s="50" t="str">
        <f t="shared" si="16"/>
        <v/>
      </c>
      <c r="U371" s="28">
        <f>IF($C371&lt;&gt;"",COUNTIF($C$2:C371,C371),"")</f>
        <v>1</v>
      </c>
      <c r="V371" s="28" t="str">
        <f t="shared" si="17"/>
        <v>Doç. Dr. Nezih AKKAPULU§1</v>
      </c>
      <c r="W371" s="28">
        <f>IF(U371=1,COUNTIF($U$2:U371,1),"")</f>
        <v>216</v>
      </c>
    </row>
    <row r="372" spans="1:23" ht="63" customHeight="1" x14ac:dyDescent="0.25">
      <c r="A372" s="42" t="s">
        <v>1856</v>
      </c>
      <c r="B372" s="42" t="s">
        <v>1857</v>
      </c>
      <c r="C372" s="43" t="s">
        <v>355</v>
      </c>
      <c r="D372" s="43" t="s">
        <v>356</v>
      </c>
      <c r="E372" s="44" t="s">
        <v>1858</v>
      </c>
      <c r="F372" s="44" t="s">
        <v>1859</v>
      </c>
      <c r="G372" s="45" t="s">
        <v>35</v>
      </c>
      <c r="H372" s="47">
        <v>46119</v>
      </c>
      <c r="I372" s="47">
        <v>46140</v>
      </c>
      <c r="J372" s="43" t="s">
        <v>104</v>
      </c>
      <c r="K372" s="43" t="s">
        <v>113</v>
      </c>
      <c r="L372" s="49" t="s">
        <v>69</v>
      </c>
      <c r="M372" s="49"/>
      <c r="N372" s="49"/>
      <c r="O372" s="48"/>
      <c r="P372" s="49" t="str">
        <f t="shared" si="15"/>
        <v>ONAY</v>
      </c>
      <c r="R372" s="50" t="str">
        <f t="shared" si="16"/>
        <v/>
      </c>
      <c r="U372" s="28">
        <f>IF($C372&lt;&gt;"",COUNTIF($C$2:C372,C372),"")</f>
        <v>2</v>
      </c>
      <c r="V372" s="28" t="str">
        <f t="shared" si="17"/>
        <v>Prof. Dr. Dilek ASLAN§2</v>
      </c>
      <c r="W372" s="28" t="str">
        <f>IF(U372=1,COUNTIF($U$2:U372,1),"")</f>
        <v/>
      </c>
    </row>
    <row r="373" spans="1:23" ht="78.75" customHeight="1" x14ac:dyDescent="0.25">
      <c r="A373" s="42" t="s">
        <v>1860</v>
      </c>
      <c r="B373" s="42" t="s">
        <v>1861</v>
      </c>
      <c r="C373" s="43" t="s">
        <v>202</v>
      </c>
      <c r="D373" s="43" t="s">
        <v>203</v>
      </c>
      <c r="E373" s="44" t="s">
        <v>1862</v>
      </c>
      <c r="F373" s="44" t="s">
        <v>1863</v>
      </c>
      <c r="G373" s="45" t="s">
        <v>34</v>
      </c>
      <c r="H373" s="47">
        <v>46119</v>
      </c>
      <c r="I373" s="47">
        <v>46140</v>
      </c>
      <c r="J373" s="43" t="s">
        <v>85</v>
      </c>
      <c r="K373" s="43" t="s">
        <v>95</v>
      </c>
      <c r="L373" s="49"/>
      <c r="M373" s="49"/>
      <c r="N373" s="49"/>
      <c r="O373" s="48"/>
      <c r="P373" s="49">
        <f t="shared" si="15"/>
        <v>0</v>
      </c>
      <c r="R373" s="50" t="str">
        <f t="shared" si="16"/>
        <v/>
      </c>
      <c r="U373" s="28">
        <f>IF($C373&lt;&gt;"",COUNTIF($C$2:C373,C373),"")</f>
        <v>5</v>
      </c>
      <c r="V373" s="28" t="str">
        <f t="shared" si="17"/>
        <v>Dr. Öğr. Üyesi Figen BEZCİ AYGÜN§5</v>
      </c>
      <c r="W373" s="28" t="str">
        <f>IF(U373=1,COUNTIF($U$2:U373,1),"")</f>
        <v/>
      </c>
    </row>
    <row r="374" spans="1:23" ht="78.75" customHeight="1" x14ac:dyDescent="0.25">
      <c r="A374" s="42" t="s">
        <v>1864</v>
      </c>
      <c r="B374" s="42" t="s">
        <v>1865</v>
      </c>
      <c r="C374" s="43" t="s">
        <v>1866</v>
      </c>
      <c r="D374" s="43" t="s">
        <v>82</v>
      </c>
      <c r="E374" s="44" t="s">
        <v>1867</v>
      </c>
      <c r="F374" s="44" t="s">
        <v>1868</v>
      </c>
      <c r="G374" s="45" t="s">
        <v>35</v>
      </c>
      <c r="H374" s="47">
        <v>46119</v>
      </c>
      <c r="I374" s="47">
        <v>46140</v>
      </c>
      <c r="J374" s="43" t="s">
        <v>86</v>
      </c>
      <c r="K374" s="43" t="s">
        <v>104</v>
      </c>
      <c r="L374" s="49" t="s">
        <v>96</v>
      </c>
      <c r="M374" s="49" t="s">
        <v>69</v>
      </c>
      <c r="N374" s="49"/>
      <c r="O374" s="48"/>
      <c r="P374" s="49" t="str">
        <f t="shared" si="15"/>
        <v>ONAY</v>
      </c>
      <c r="Q374" s="27" t="s">
        <v>104</v>
      </c>
      <c r="R374" s="50" t="str">
        <f t="shared" si="16"/>
        <v/>
      </c>
      <c r="U374" s="28">
        <f>IF($C374&lt;&gt;"",COUNTIF($C$2:C374,C374),"")</f>
        <v>1</v>
      </c>
      <c r="V374" s="28" t="str">
        <f t="shared" si="17"/>
        <v>Prof. Dr. Gökçen ÇOBAN ÇİFÇİ§1</v>
      </c>
      <c r="W374" s="28">
        <f>IF(U374=1,COUNTIF($U$2:U374,1),"")</f>
        <v>217</v>
      </c>
    </row>
    <row r="375" spans="1:23" ht="63" customHeight="1" x14ac:dyDescent="0.25">
      <c r="A375" s="42" t="s">
        <v>1869</v>
      </c>
      <c r="B375" s="42" t="s">
        <v>1870</v>
      </c>
      <c r="C375" s="43" t="s">
        <v>1238</v>
      </c>
      <c r="D375" s="43" t="s">
        <v>237</v>
      </c>
      <c r="E375" s="44" t="s">
        <v>1871</v>
      </c>
      <c r="F375" s="44" t="s">
        <v>1872</v>
      </c>
      <c r="G375" s="45" t="s">
        <v>35</v>
      </c>
      <c r="H375" s="47">
        <v>46119</v>
      </c>
      <c r="I375" s="47">
        <v>46140</v>
      </c>
      <c r="J375" s="43" t="s">
        <v>67</v>
      </c>
      <c r="K375" s="43" t="s">
        <v>94</v>
      </c>
      <c r="L375" s="49" t="s">
        <v>69</v>
      </c>
      <c r="M375" s="49"/>
      <c r="N375" s="49"/>
      <c r="O375" s="48"/>
      <c r="P375" s="49" t="str">
        <f t="shared" si="15"/>
        <v>ONAY</v>
      </c>
      <c r="R375" s="50" t="str">
        <f t="shared" si="16"/>
        <v/>
      </c>
      <c r="U375" s="28">
        <f>IF($C375&lt;&gt;"",COUNTIF($C$2:C375,C375),"")</f>
        <v>4</v>
      </c>
      <c r="V375" s="28" t="str">
        <f t="shared" si="17"/>
        <v>Prof. Dr. Özlem TEKŞAM§4</v>
      </c>
      <c r="W375" s="28" t="str">
        <f>IF(U375=1,COUNTIF($U$2:U375,1),"")</f>
        <v/>
      </c>
    </row>
    <row r="376" spans="1:23" ht="78.75" customHeight="1" x14ac:dyDescent="0.25">
      <c r="A376" s="42" t="s">
        <v>1873</v>
      </c>
      <c r="B376" s="42" t="s">
        <v>1874</v>
      </c>
      <c r="C376" s="43" t="s">
        <v>1875</v>
      </c>
      <c r="D376" s="43" t="s">
        <v>133</v>
      </c>
      <c r="E376" s="44" t="s">
        <v>1876</v>
      </c>
      <c r="F376" s="44" t="s">
        <v>1877</v>
      </c>
      <c r="G376" s="45" t="s">
        <v>34</v>
      </c>
      <c r="H376" s="47">
        <v>46119</v>
      </c>
      <c r="I376" s="47">
        <v>46140</v>
      </c>
      <c r="J376" s="43" t="s">
        <v>104</v>
      </c>
      <c r="K376" s="43" t="s">
        <v>128</v>
      </c>
      <c r="L376" s="49" t="s">
        <v>69</v>
      </c>
      <c r="M376" s="49"/>
      <c r="N376" s="49"/>
      <c r="O376" s="48"/>
      <c r="P376" s="49" t="str">
        <f t="shared" si="15"/>
        <v>ONAY</v>
      </c>
      <c r="R376" s="50" t="str">
        <f t="shared" si="16"/>
        <v/>
      </c>
      <c r="U376" s="28">
        <f>IF($C376&lt;&gt;"",COUNTIF($C$2:C376,C376),"")</f>
        <v>1</v>
      </c>
      <c r="V376" s="28" t="str">
        <f t="shared" si="17"/>
        <v>Dr. Öğr. Gör. Buket KILIÇ§1</v>
      </c>
      <c r="W376" s="28">
        <f>IF(U376=1,COUNTIF($U$2:U376,1),"")</f>
        <v>218</v>
      </c>
    </row>
    <row r="377" spans="1:23" ht="63" customHeight="1" x14ac:dyDescent="0.25">
      <c r="A377" s="42" t="s">
        <v>1878</v>
      </c>
      <c r="B377" s="42" t="s">
        <v>1879</v>
      </c>
      <c r="C377" s="43" t="s">
        <v>202</v>
      </c>
      <c r="D377" s="43" t="s">
        <v>203</v>
      </c>
      <c r="E377" s="44" t="s">
        <v>1880</v>
      </c>
      <c r="F377" s="44" t="s">
        <v>1881</v>
      </c>
      <c r="G377" s="45" t="s">
        <v>34</v>
      </c>
      <c r="H377" s="47">
        <v>46119</v>
      </c>
      <c r="I377" s="47">
        <v>46140</v>
      </c>
      <c r="J377" s="43" t="s">
        <v>85</v>
      </c>
      <c r="K377" s="43" t="s">
        <v>95</v>
      </c>
      <c r="L377" s="49"/>
      <c r="M377" s="49"/>
      <c r="N377" s="49"/>
      <c r="O377" s="48"/>
      <c r="P377" s="49">
        <f t="shared" si="15"/>
        <v>0</v>
      </c>
      <c r="R377" s="50" t="str">
        <f t="shared" si="16"/>
        <v/>
      </c>
      <c r="U377" s="28">
        <f>IF($C377&lt;&gt;"",COUNTIF($C$2:C377,C377),"")</f>
        <v>6</v>
      </c>
      <c r="V377" s="28" t="str">
        <f t="shared" si="17"/>
        <v>Dr. Öğr. Üyesi Figen BEZCİ AYGÜN§6</v>
      </c>
      <c r="W377" s="28" t="str">
        <f>IF(U377=1,COUNTIF($U$2:U377,1),"")</f>
        <v/>
      </c>
    </row>
    <row r="378" spans="1:23" ht="94.5" customHeight="1" x14ac:dyDescent="0.25">
      <c r="A378" s="42" t="s">
        <v>1882</v>
      </c>
      <c r="B378" s="42" t="s">
        <v>1883</v>
      </c>
      <c r="C378" s="43" t="s">
        <v>333</v>
      </c>
      <c r="D378" s="43" t="s">
        <v>237</v>
      </c>
      <c r="E378" s="44" t="s">
        <v>1884</v>
      </c>
      <c r="F378" s="44" t="s">
        <v>1885</v>
      </c>
      <c r="G378" s="45" t="s">
        <v>34</v>
      </c>
      <c r="H378" s="47">
        <v>46119</v>
      </c>
      <c r="I378" s="47">
        <v>46140</v>
      </c>
      <c r="J378" s="43" t="s">
        <v>113</v>
      </c>
      <c r="K378" s="43" t="s">
        <v>105</v>
      </c>
      <c r="L378" s="49" t="s">
        <v>96</v>
      </c>
      <c r="M378" s="49"/>
      <c r="N378" s="49"/>
      <c r="O378" s="48"/>
      <c r="P378" s="49" t="str">
        <f t="shared" si="15"/>
        <v>DÜZELTME</v>
      </c>
      <c r="R378" s="50" t="str">
        <f t="shared" si="16"/>
        <v/>
      </c>
      <c r="U378" s="28">
        <f>IF($C378&lt;&gt;"",COUNTIF($C$2:C378,C378),"")</f>
        <v>2</v>
      </c>
      <c r="V378" s="28" t="str">
        <f t="shared" si="17"/>
        <v>Doç. Dr. Saliha ESENBOĞA§2</v>
      </c>
      <c r="W378" s="28" t="str">
        <f>IF(U378=1,COUNTIF($U$2:U378,1),"")</f>
        <v/>
      </c>
    </row>
    <row r="379" spans="1:23" ht="63" customHeight="1" x14ac:dyDescent="0.25">
      <c r="A379" s="42" t="s">
        <v>1886</v>
      </c>
      <c r="B379" s="42" t="s">
        <v>1887</v>
      </c>
      <c r="C379" s="43" t="s">
        <v>664</v>
      </c>
      <c r="D379" s="43" t="s">
        <v>244</v>
      </c>
      <c r="E379" s="44" t="s">
        <v>1888</v>
      </c>
      <c r="F379" s="44" t="s">
        <v>1889</v>
      </c>
      <c r="G379" s="45" t="s">
        <v>34</v>
      </c>
      <c r="H379" s="47">
        <v>46119</v>
      </c>
      <c r="I379" s="47">
        <v>46140</v>
      </c>
      <c r="J379" s="43" t="s">
        <v>77</v>
      </c>
      <c r="K379" s="43" t="s">
        <v>128</v>
      </c>
      <c r="L379" s="49" t="s">
        <v>69</v>
      </c>
      <c r="M379" s="49"/>
      <c r="N379" s="49"/>
      <c r="O379" s="48"/>
      <c r="P379" s="49" t="str">
        <f t="shared" si="15"/>
        <v>ONAY</v>
      </c>
      <c r="R379" s="50" t="str">
        <f t="shared" si="16"/>
        <v/>
      </c>
      <c r="U379" s="28">
        <f>IF($C379&lt;&gt;"",COUNTIF($C$2:C379,C379),"")</f>
        <v>5</v>
      </c>
      <c r="V379" s="28" t="str">
        <f t="shared" si="17"/>
        <v>Doç. Dr. Utku AKGÖR§5</v>
      </c>
      <c r="W379" s="28" t="str">
        <f>IF(U379=1,COUNTIF($U$2:U379,1),"")</f>
        <v/>
      </c>
    </row>
    <row r="380" spans="1:23" ht="63" customHeight="1" x14ac:dyDescent="0.25">
      <c r="A380" s="42" t="s">
        <v>1890</v>
      </c>
      <c r="B380" s="42" t="s">
        <v>1891</v>
      </c>
      <c r="C380" s="43" t="s">
        <v>262</v>
      </c>
      <c r="D380" s="43" t="s">
        <v>110</v>
      </c>
      <c r="E380" s="44" t="s">
        <v>1892</v>
      </c>
      <c r="F380" s="44" t="s">
        <v>1893</v>
      </c>
      <c r="G380" s="45" t="s">
        <v>34</v>
      </c>
      <c r="H380" s="47">
        <v>46120</v>
      </c>
      <c r="I380" s="47">
        <v>46140</v>
      </c>
      <c r="J380" s="43" t="s">
        <v>105</v>
      </c>
      <c r="K380" s="43" t="s">
        <v>94</v>
      </c>
      <c r="L380" s="49" t="s">
        <v>218</v>
      </c>
      <c r="M380" s="49" t="s">
        <v>96</v>
      </c>
      <c r="N380" s="49" t="s">
        <v>69</v>
      </c>
      <c r="O380" s="48"/>
      <c r="P380" s="49" t="str">
        <f t="shared" si="15"/>
        <v>ONAY</v>
      </c>
      <c r="Q380" s="27" t="s">
        <v>105</v>
      </c>
      <c r="R380" s="50" t="str">
        <f t="shared" si="16"/>
        <v/>
      </c>
      <c r="U380" s="28">
        <f>IF($C380&lt;&gt;"",COUNTIF($C$2:C380,C380),"")</f>
        <v>3</v>
      </c>
      <c r="V380" s="28" t="str">
        <f t="shared" si="17"/>
        <v>Doç. Dr. Levent KILIÇ§3</v>
      </c>
      <c r="W380" s="28" t="str">
        <f>IF(U380=1,COUNTIF($U$2:U380,1),"")</f>
        <v/>
      </c>
    </row>
    <row r="381" spans="1:23" ht="78.75" customHeight="1" x14ac:dyDescent="0.25">
      <c r="A381" s="42" t="s">
        <v>1894</v>
      </c>
      <c r="B381" s="42" t="s">
        <v>1895</v>
      </c>
      <c r="C381" s="43" t="s">
        <v>1896</v>
      </c>
      <c r="D381" s="43" t="s">
        <v>1199</v>
      </c>
      <c r="E381" s="44" t="s">
        <v>1897</v>
      </c>
      <c r="F381" s="44" t="s">
        <v>1898</v>
      </c>
      <c r="G381" s="45" t="s">
        <v>34</v>
      </c>
      <c r="H381" s="47">
        <v>46120</v>
      </c>
      <c r="I381" s="47">
        <v>46140</v>
      </c>
      <c r="J381" s="43" t="s">
        <v>67</v>
      </c>
      <c r="K381" s="43" t="s">
        <v>113</v>
      </c>
      <c r="L381" s="49" t="s">
        <v>69</v>
      </c>
      <c r="M381" s="49"/>
      <c r="N381" s="49"/>
      <c r="O381" s="48"/>
      <c r="P381" s="49" t="str">
        <f t="shared" si="15"/>
        <v>ONAY</v>
      </c>
      <c r="R381" s="50" t="str">
        <f t="shared" si="16"/>
        <v/>
      </c>
      <c r="U381" s="28">
        <f>IF($C381&lt;&gt;"",COUNTIF($C$2:C381,C381),"")</f>
        <v>1</v>
      </c>
      <c r="V381" s="28" t="str">
        <f t="shared" si="17"/>
        <v>Prof. Dr. Ömrüm UZUN§1</v>
      </c>
      <c r="W381" s="28">
        <f>IF(U381=1,COUNTIF($U$2:U381,1),"")</f>
        <v>219</v>
      </c>
    </row>
    <row r="382" spans="1:23" ht="63" customHeight="1" x14ac:dyDescent="0.25">
      <c r="A382" s="42" t="s">
        <v>1899</v>
      </c>
      <c r="B382" s="42" t="s">
        <v>1900</v>
      </c>
      <c r="C382" s="43" t="s">
        <v>1458</v>
      </c>
      <c r="D382" s="43" t="s">
        <v>997</v>
      </c>
      <c r="E382" s="44" t="s">
        <v>1901</v>
      </c>
      <c r="F382" s="44" t="s">
        <v>1902</v>
      </c>
      <c r="G382" s="45" t="s">
        <v>35</v>
      </c>
      <c r="H382" s="47">
        <v>46121</v>
      </c>
      <c r="I382" s="47">
        <v>46140</v>
      </c>
      <c r="J382" s="43" t="s">
        <v>105</v>
      </c>
      <c r="K382" s="43" t="s">
        <v>95</v>
      </c>
      <c r="L382" s="49" t="s">
        <v>218</v>
      </c>
      <c r="M382" s="49" t="s">
        <v>96</v>
      </c>
      <c r="N382" s="49" t="s">
        <v>96</v>
      </c>
      <c r="O382" s="48" t="s">
        <v>69</v>
      </c>
      <c r="P382" s="49" t="str">
        <f t="shared" si="15"/>
        <v>ONAY</v>
      </c>
      <c r="Q382" s="27" t="s">
        <v>105</v>
      </c>
      <c r="R382" s="50" t="str">
        <f t="shared" si="16"/>
        <v/>
      </c>
      <c r="U382" s="28">
        <f>IF($C382&lt;&gt;"",COUNTIF($C$2:C382,C382),"")</f>
        <v>2</v>
      </c>
      <c r="V382" s="28" t="str">
        <f t="shared" si="17"/>
        <v>Doç. Dr. Hilal AKSOY§2</v>
      </c>
      <c r="W382" s="28" t="str">
        <f>IF(U382=1,COUNTIF($U$2:U382,1),"")</f>
        <v/>
      </c>
    </row>
    <row r="383" spans="1:23" ht="63" customHeight="1" x14ac:dyDescent="0.25">
      <c r="A383" s="42" t="s">
        <v>1903</v>
      </c>
      <c r="B383" s="42" t="s">
        <v>1904</v>
      </c>
      <c r="C383" s="43" t="s">
        <v>1905</v>
      </c>
      <c r="D383" s="43" t="s">
        <v>515</v>
      </c>
      <c r="E383" s="44" t="s">
        <v>1906</v>
      </c>
      <c r="F383" s="44" t="s">
        <v>1907</v>
      </c>
      <c r="G383" s="45" t="s">
        <v>35</v>
      </c>
      <c r="H383" s="47">
        <v>46121</v>
      </c>
      <c r="I383" s="47">
        <v>46140</v>
      </c>
      <c r="J383" s="43" t="s">
        <v>121</v>
      </c>
      <c r="K383" s="43" t="s">
        <v>77</v>
      </c>
      <c r="L383" s="49" t="s">
        <v>69</v>
      </c>
      <c r="M383" s="49"/>
      <c r="N383" s="49"/>
      <c r="O383" s="48"/>
      <c r="P383" s="49" t="str">
        <f t="shared" si="15"/>
        <v>ONAY</v>
      </c>
      <c r="R383" s="50" t="str">
        <f t="shared" si="16"/>
        <v/>
      </c>
      <c r="U383" s="28">
        <f>IF($C383&lt;&gt;"",COUNTIF($C$2:C383,C383),"")</f>
        <v>1</v>
      </c>
      <c r="V383" s="28" t="str">
        <f t="shared" si="17"/>
        <v>Doç. Dr. Nagihan KOÇ§1</v>
      </c>
      <c r="W383" s="28">
        <f>IF(U383=1,COUNTIF($U$2:U383,1),"")</f>
        <v>220</v>
      </c>
    </row>
    <row r="384" spans="1:23" ht="78.75" customHeight="1" x14ac:dyDescent="0.25">
      <c r="A384" s="42" t="s">
        <v>1908</v>
      </c>
      <c r="B384" s="42" t="s">
        <v>1909</v>
      </c>
      <c r="C384" s="43" t="s">
        <v>1463</v>
      </c>
      <c r="D384" s="43" t="s">
        <v>110</v>
      </c>
      <c r="E384" s="44" t="s">
        <v>1910</v>
      </c>
      <c r="F384" s="44" t="s">
        <v>1911</v>
      </c>
      <c r="G384" s="45" t="s">
        <v>34</v>
      </c>
      <c r="H384" s="47">
        <v>46121</v>
      </c>
      <c r="I384" s="47">
        <v>46140</v>
      </c>
      <c r="J384" s="43" t="s">
        <v>113</v>
      </c>
      <c r="K384" s="43" t="s">
        <v>86</v>
      </c>
      <c r="L384" s="49" t="s">
        <v>69</v>
      </c>
      <c r="M384" s="49"/>
      <c r="N384" s="49"/>
      <c r="O384" s="48"/>
      <c r="P384" s="49" t="str">
        <f t="shared" si="15"/>
        <v>ONAY</v>
      </c>
      <c r="R384" s="50" t="str">
        <f t="shared" si="16"/>
        <v/>
      </c>
      <c r="U384" s="28">
        <f>IF($C384&lt;&gt;"",COUNTIF($C$2:C384,C384),"")</f>
        <v>6</v>
      </c>
      <c r="V384" s="28" t="str">
        <f t="shared" si="17"/>
        <v>Prof. Dr. Taylan KAV§6</v>
      </c>
      <c r="W384" s="28" t="str">
        <f>IF(U384=1,COUNTIF($U$2:U384,1),"")</f>
        <v/>
      </c>
    </row>
    <row r="385" spans="1:23" ht="80.25" customHeight="1" x14ac:dyDescent="0.25">
      <c r="A385" s="42" t="s">
        <v>1912</v>
      </c>
      <c r="B385" s="42" t="s">
        <v>1913</v>
      </c>
      <c r="C385" s="43" t="s">
        <v>1739</v>
      </c>
      <c r="D385" s="43" t="s">
        <v>110</v>
      </c>
      <c r="E385" s="44" t="s">
        <v>1914</v>
      </c>
      <c r="F385" s="44" t="s">
        <v>1915</v>
      </c>
      <c r="G385" s="45" t="s">
        <v>34</v>
      </c>
      <c r="H385" s="47">
        <v>46121</v>
      </c>
      <c r="I385" s="47">
        <v>46140</v>
      </c>
      <c r="J385" s="43" t="s">
        <v>128</v>
      </c>
      <c r="K385" s="43" t="s">
        <v>67</v>
      </c>
      <c r="L385" s="49" t="s">
        <v>96</v>
      </c>
      <c r="M385" s="49" t="s">
        <v>96</v>
      </c>
      <c r="N385" s="49"/>
      <c r="O385" s="48"/>
      <c r="P385" s="49" t="str">
        <f t="shared" si="15"/>
        <v>DÜZELTME</v>
      </c>
      <c r="R385" s="50" t="str">
        <f t="shared" si="16"/>
        <v/>
      </c>
      <c r="U385" s="28">
        <f>IF($C385&lt;&gt;"",COUNTIF($C$2:C385,C385),"")</f>
        <v>2</v>
      </c>
      <c r="V385" s="28" t="str">
        <f t="shared" si="17"/>
        <v>Doç. Dr. Cem ŞİMŞEK§2</v>
      </c>
      <c r="W385" s="28" t="str">
        <f>IF(U385=1,COUNTIF($U$2:U385,1),"")</f>
        <v/>
      </c>
    </row>
    <row r="386" spans="1:23" ht="63" customHeight="1" x14ac:dyDescent="0.25">
      <c r="A386" s="42" t="s">
        <v>1916</v>
      </c>
      <c r="B386" s="42" t="s">
        <v>1917</v>
      </c>
      <c r="C386" s="43" t="s">
        <v>550</v>
      </c>
      <c r="D386" s="43" t="s">
        <v>395</v>
      </c>
      <c r="E386" s="44" t="s">
        <v>1918</v>
      </c>
      <c r="F386" s="44" t="s">
        <v>1919</v>
      </c>
      <c r="G386" s="45" t="s">
        <v>34</v>
      </c>
      <c r="H386" s="47">
        <v>46121</v>
      </c>
      <c r="I386" s="47">
        <v>46140</v>
      </c>
      <c r="J386" s="43" t="s">
        <v>104</v>
      </c>
      <c r="K386" s="43" t="s">
        <v>128</v>
      </c>
      <c r="L386" s="49" t="s">
        <v>69</v>
      </c>
      <c r="M386" s="49"/>
      <c r="N386" s="49"/>
      <c r="O386" s="48"/>
      <c r="P386" s="49" t="str">
        <f t="shared" ref="P386:P449" si="18">IF(O386&lt;&gt;"",O386, IF(N386&lt;&gt;"",N386, IF(M386&lt;&gt;"",M386, L386)))</f>
        <v>ONAY</v>
      </c>
      <c r="R386" s="50" t="str">
        <f t="shared" ref="R386:R449" si="19">IF(AND($I386&lt;&gt;"",$I386&gt;=DATE(2026,6,23),COUNTIFS($C:$C,$C386,$I:$I,$I386)&gt;2),"⚠ "&amp;COUNTIFS($C:$C,$C386,$I:$I,$I386)&amp;" BAŞVURU!","")</f>
        <v/>
      </c>
      <c r="U386" s="28">
        <f>IF($C386&lt;&gt;"",COUNTIF($C$2:C386,C386),"")</f>
        <v>3</v>
      </c>
      <c r="V386" s="28" t="str">
        <f t="shared" ref="V386:V449" si="20">IF($C386&lt;&gt;"",C386&amp;"§"&amp;U386,"")</f>
        <v>Prof. Dr. Neşe DERİCİOĞLU§3</v>
      </c>
      <c r="W386" s="28" t="str">
        <f>IF(U386=1,COUNTIF($U$2:U386,1),"")</f>
        <v/>
      </c>
    </row>
    <row r="387" spans="1:23" ht="63" customHeight="1" x14ac:dyDescent="0.25">
      <c r="A387" s="42" t="s">
        <v>1920</v>
      </c>
      <c r="B387" s="42" t="s">
        <v>1921</v>
      </c>
      <c r="C387" s="43" t="s">
        <v>355</v>
      </c>
      <c r="D387" s="43" t="s">
        <v>356</v>
      </c>
      <c r="E387" s="44" t="s">
        <v>1922</v>
      </c>
      <c r="F387" s="44" t="s">
        <v>1923</v>
      </c>
      <c r="G387" s="45" t="s">
        <v>35</v>
      </c>
      <c r="H387" s="47">
        <v>46122</v>
      </c>
      <c r="I387" s="47">
        <v>46140</v>
      </c>
      <c r="J387" s="43" t="s">
        <v>94</v>
      </c>
      <c r="K387" s="43" t="s">
        <v>121</v>
      </c>
      <c r="L387" s="49" t="s">
        <v>69</v>
      </c>
      <c r="M387" s="49"/>
      <c r="N387" s="49"/>
      <c r="O387" s="48"/>
      <c r="P387" s="49" t="str">
        <f t="shared" si="18"/>
        <v>ONAY</v>
      </c>
      <c r="R387" s="50" t="str">
        <f t="shared" si="19"/>
        <v/>
      </c>
      <c r="U387" s="28">
        <f>IF($C387&lt;&gt;"",COUNTIF($C$2:C387,C387),"")</f>
        <v>3</v>
      </c>
      <c r="V387" s="28" t="str">
        <f t="shared" si="20"/>
        <v>Prof. Dr. Dilek ASLAN§3</v>
      </c>
      <c r="W387" s="28" t="str">
        <f>IF(U387=1,COUNTIF($U$2:U387,1),"")</f>
        <v/>
      </c>
    </row>
    <row r="388" spans="1:23" ht="94.5" customHeight="1" x14ac:dyDescent="0.25">
      <c r="A388" s="42" t="s">
        <v>1924</v>
      </c>
      <c r="B388" s="42" t="s">
        <v>1925</v>
      </c>
      <c r="C388" s="43" t="s">
        <v>1926</v>
      </c>
      <c r="D388" s="43" t="s">
        <v>1927</v>
      </c>
      <c r="E388" s="44" t="s">
        <v>1928</v>
      </c>
      <c r="F388" s="44" t="s">
        <v>1929</v>
      </c>
      <c r="G388" s="45" t="s">
        <v>36</v>
      </c>
      <c r="H388" s="47">
        <v>46125</v>
      </c>
      <c r="I388" s="47">
        <v>46140</v>
      </c>
      <c r="J388" s="43" t="s">
        <v>113</v>
      </c>
      <c r="K388" s="43" t="s">
        <v>77</v>
      </c>
      <c r="L388" s="49" t="s">
        <v>96</v>
      </c>
      <c r="M388" s="49" t="s">
        <v>69</v>
      </c>
      <c r="N388" s="49"/>
      <c r="O388" s="48"/>
      <c r="P388" s="49" t="str">
        <f t="shared" si="18"/>
        <v>ONAY</v>
      </c>
      <c r="Q388" s="27" t="s">
        <v>77</v>
      </c>
      <c r="R388" s="50" t="str">
        <f t="shared" si="19"/>
        <v/>
      </c>
      <c r="U388" s="28">
        <f>IF($C388&lt;&gt;"",COUNTIF($C$2:C388,C388),"")</f>
        <v>1</v>
      </c>
      <c r="V388" s="28" t="str">
        <f t="shared" si="20"/>
        <v>Dr. Öğr. Üyesi Süleyman BULUT§1</v>
      </c>
      <c r="W388" s="28">
        <f>IF(U388=1,COUNTIF($U$2:U388,1),"")</f>
        <v>221</v>
      </c>
    </row>
    <row r="389" spans="1:23" ht="78.75" customHeight="1" x14ac:dyDescent="0.25">
      <c r="A389" s="42" t="s">
        <v>1930</v>
      </c>
      <c r="B389" s="42" t="s">
        <v>1931</v>
      </c>
      <c r="C389" s="43" t="s">
        <v>1278</v>
      </c>
      <c r="D389" s="43" t="s">
        <v>237</v>
      </c>
      <c r="E389" s="44" t="s">
        <v>1932</v>
      </c>
      <c r="F389" s="44" t="s">
        <v>1933</v>
      </c>
      <c r="G389" s="45" t="s">
        <v>34</v>
      </c>
      <c r="H389" s="47">
        <v>46125</v>
      </c>
      <c r="I389" s="47">
        <v>46140</v>
      </c>
      <c r="J389" s="43" t="s">
        <v>85</v>
      </c>
      <c r="K389" s="43" t="s">
        <v>121</v>
      </c>
      <c r="L389" s="49" t="s">
        <v>69</v>
      </c>
      <c r="M389" s="49"/>
      <c r="N389" s="49"/>
      <c r="O389" s="48"/>
      <c r="P389" s="49" t="str">
        <f t="shared" si="18"/>
        <v>ONAY</v>
      </c>
      <c r="R389" s="50" t="str">
        <f t="shared" si="19"/>
        <v/>
      </c>
      <c r="U389" s="28">
        <f>IF($C389&lt;&gt;"",COUNTIF($C$2:C389,C389),"")</f>
        <v>2</v>
      </c>
      <c r="V389" s="28" t="str">
        <f t="shared" si="20"/>
        <v>Prof. Dr. Şule ÜNAL CANGÜL§2</v>
      </c>
      <c r="W389" s="28" t="str">
        <f>IF(U389=1,COUNTIF($U$2:U389,1),"")</f>
        <v/>
      </c>
    </row>
    <row r="390" spans="1:23" ht="78.75" customHeight="1" x14ac:dyDescent="0.25">
      <c r="A390" s="42" t="s">
        <v>1934</v>
      </c>
      <c r="B390" s="42" t="s">
        <v>1935</v>
      </c>
      <c r="C390" s="43" t="s">
        <v>1278</v>
      </c>
      <c r="D390" s="43" t="s">
        <v>237</v>
      </c>
      <c r="E390" s="44" t="s">
        <v>1936</v>
      </c>
      <c r="F390" s="44" t="s">
        <v>1937</v>
      </c>
      <c r="G390" s="45" t="s">
        <v>34</v>
      </c>
      <c r="H390" s="47">
        <v>46125</v>
      </c>
      <c r="I390" s="47">
        <v>46140</v>
      </c>
      <c r="J390" s="43" t="s">
        <v>85</v>
      </c>
      <c r="K390" s="43" t="s">
        <v>121</v>
      </c>
      <c r="L390" s="49" t="s">
        <v>96</v>
      </c>
      <c r="M390" s="49" t="s">
        <v>69</v>
      </c>
      <c r="N390" s="49"/>
      <c r="O390" s="48"/>
      <c r="P390" s="49" t="str">
        <f t="shared" si="18"/>
        <v>ONAY</v>
      </c>
      <c r="Q390" s="27" t="s">
        <v>121</v>
      </c>
      <c r="R390" s="50" t="str">
        <f t="shared" si="19"/>
        <v/>
      </c>
      <c r="U390" s="28">
        <f>IF($C390&lt;&gt;"",COUNTIF($C$2:C390,C390),"")</f>
        <v>3</v>
      </c>
      <c r="V390" s="28" t="str">
        <f t="shared" si="20"/>
        <v>Prof. Dr. Şule ÜNAL CANGÜL§3</v>
      </c>
      <c r="W390" s="28" t="str">
        <f>IF(U390=1,COUNTIF($U$2:U390,1),"")</f>
        <v/>
      </c>
    </row>
    <row r="391" spans="1:23" ht="96" customHeight="1" x14ac:dyDescent="0.25">
      <c r="A391" s="42" t="s">
        <v>1938</v>
      </c>
      <c r="B391" s="42" t="s">
        <v>1939</v>
      </c>
      <c r="C391" s="43" t="s">
        <v>1621</v>
      </c>
      <c r="D391" s="43" t="s">
        <v>372</v>
      </c>
      <c r="E391" s="44" t="s">
        <v>1940</v>
      </c>
      <c r="F391" s="44" t="s">
        <v>1941</v>
      </c>
      <c r="G391" s="45" t="s">
        <v>35</v>
      </c>
      <c r="H391" s="47">
        <v>46125</v>
      </c>
      <c r="I391" s="47">
        <v>46140</v>
      </c>
      <c r="J391" s="43" t="s">
        <v>128</v>
      </c>
      <c r="K391" s="43" t="s">
        <v>77</v>
      </c>
      <c r="L391" s="49" t="s">
        <v>96</v>
      </c>
      <c r="M391" s="49" t="s">
        <v>69</v>
      </c>
      <c r="N391" s="49"/>
      <c r="O391" s="48"/>
      <c r="P391" s="49" t="str">
        <f t="shared" si="18"/>
        <v>ONAY</v>
      </c>
      <c r="Q391" s="27" t="s">
        <v>77</v>
      </c>
      <c r="R391" s="50" t="str">
        <f t="shared" si="19"/>
        <v/>
      </c>
      <c r="U391" s="28">
        <f>IF($C391&lt;&gt;"",COUNTIF($C$2:C391,C391),"")</f>
        <v>2</v>
      </c>
      <c r="V391" s="28" t="str">
        <f t="shared" si="20"/>
        <v>Prof. Dr. Sibel DOĞAN GÜNAYDIN§2</v>
      </c>
      <c r="W391" s="28" t="str">
        <f>IF(U391=1,COUNTIF($U$2:U391,1),"")</f>
        <v/>
      </c>
    </row>
    <row r="392" spans="1:23" ht="63" customHeight="1" x14ac:dyDescent="0.25">
      <c r="A392" s="42" t="s">
        <v>1942</v>
      </c>
      <c r="B392" s="42" t="s">
        <v>1943</v>
      </c>
      <c r="C392" s="43" t="s">
        <v>283</v>
      </c>
      <c r="D392" s="43" t="s">
        <v>175</v>
      </c>
      <c r="E392" s="44" t="s">
        <v>1944</v>
      </c>
      <c r="F392" s="44" t="s">
        <v>1945</v>
      </c>
      <c r="G392" s="45" t="s">
        <v>34</v>
      </c>
      <c r="H392" s="47">
        <v>46126</v>
      </c>
      <c r="I392" s="47">
        <v>46140</v>
      </c>
      <c r="J392" s="43" t="s">
        <v>67</v>
      </c>
      <c r="K392" s="43" t="s">
        <v>95</v>
      </c>
      <c r="L392" s="49" t="s">
        <v>69</v>
      </c>
      <c r="M392" s="49"/>
      <c r="N392" s="49"/>
      <c r="O392" s="48"/>
      <c r="P392" s="49" t="str">
        <f t="shared" si="18"/>
        <v>ONAY</v>
      </c>
      <c r="R392" s="50" t="str">
        <f t="shared" si="19"/>
        <v/>
      </c>
      <c r="U392" s="28">
        <f>IF($C392&lt;&gt;"",COUNTIF($C$2:C392,C392),"")</f>
        <v>3</v>
      </c>
      <c r="V392" s="28" t="str">
        <f t="shared" si="20"/>
        <v>Prof. Dr. Ebru DAMADOĞLU§3</v>
      </c>
      <c r="W392" s="28" t="str">
        <f>IF(U392=1,COUNTIF($U$2:U392,1),"")</f>
        <v/>
      </c>
    </row>
    <row r="393" spans="1:23" ht="63" customHeight="1" x14ac:dyDescent="0.25">
      <c r="A393" s="42" t="s">
        <v>1946</v>
      </c>
      <c r="B393" s="42" t="s">
        <v>1947</v>
      </c>
      <c r="C393" s="43" t="s">
        <v>831</v>
      </c>
      <c r="D393" s="43" t="s">
        <v>428</v>
      </c>
      <c r="E393" s="44" t="s">
        <v>1948</v>
      </c>
      <c r="F393" s="44" t="s">
        <v>1949</v>
      </c>
      <c r="G393" s="45" t="s">
        <v>34</v>
      </c>
      <c r="H393" s="47">
        <v>46127</v>
      </c>
      <c r="I393" s="47">
        <v>46140</v>
      </c>
      <c r="J393" s="43" t="s">
        <v>105</v>
      </c>
      <c r="K393" s="43" t="s">
        <v>86</v>
      </c>
      <c r="L393" s="49" t="s">
        <v>96</v>
      </c>
      <c r="M393" s="49" t="s">
        <v>69</v>
      </c>
      <c r="N393" s="49"/>
      <c r="O393" s="48"/>
      <c r="P393" s="49" t="str">
        <f t="shared" si="18"/>
        <v>ONAY</v>
      </c>
      <c r="Q393" s="27" t="s">
        <v>105</v>
      </c>
      <c r="R393" s="50" t="str">
        <f t="shared" si="19"/>
        <v/>
      </c>
      <c r="U393" s="28">
        <f>IF($C393&lt;&gt;"",COUNTIF($C$2:C393,C393),"")</f>
        <v>2</v>
      </c>
      <c r="V393" s="28" t="str">
        <f t="shared" si="20"/>
        <v>Dr. Öğr. Üyesi Emre KARA§2</v>
      </c>
      <c r="W393" s="28" t="str">
        <f>IF(U393=1,COUNTIF($U$2:U393,1),"")</f>
        <v/>
      </c>
    </row>
    <row r="394" spans="1:23" ht="47.25" customHeight="1" x14ac:dyDescent="0.25">
      <c r="A394" s="42" t="s">
        <v>1950</v>
      </c>
      <c r="B394" s="42" t="s">
        <v>1951</v>
      </c>
      <c r="C394" s="43" t="s">
        <v>1952</v>
      </c>
      <c r="D394" s="43" t="s">
        <v>82</v>
      </c>
      <c r="E394" s="44" t="s">
        <v>1953</v>
      </c>
      <c r="F394" s="44" t="s">
        <v>1954</v>
      </c>
      <c r="G394" s="45" t="s">
        <v>34</v>
      </c>
      <c r="H394" s="47">
        <v>46127</v>
      </c>
      <c r="I394" s="47">
        <v>46140</v>
      </c>
      <c r="J394" s="43" t="s">
        <v>86</v>
      </c>
      <c r="K394" s="43" t="s">
        <v>95</v>
      </c>
      <c r="L394" s="49" t="s">
        <v>69</v>
      </c>
      <c r="M394" s="49"/>
      <c r="N394" s="49"/>
      <c r="O394" s="48"/>
      <c r="P394" s="49" t="str">
        <f t="shared" si="18"/>
        <v>ONAY</v>
      </c>
      <c r="R394" s="50" t="str">
        <f t="shared" si="19"/>
        <v/>
      </c>
      <c r="U394" s="28">
        <f>IF($C394&lt;&gt;"",COUNTIF($C$2:C394,C394),"")</f>
        <v>1</v>
      </c>
      <c r="V394" s="28" t="str">
        <f t="shared" si="20"/>
        <v>Dr. Öğr. Üyesi Ahmet Gürkan ERDEMİR§1</v>
      </c>
      <c r="W394" s="28">
        <f>IF(U394=1,COUNTIF($U$2:U394,1),"")</f>
        <v>222</v>
      </c>
    </row>
    <row r="395" spans="1:23" ht="63" customHeight="1" x14ac:dyDescent="0.25">
      <c r="A395" s="42" t="s">
        <v>1955</v>
      </c>
      <c r="B395" s="42" t="s">
        <v>1956</v>
      </c>
      <c r="C395" s="43" t="s">
        <v>1957</v>
      </c>
      <c r="D395" s="43" t="s">
        <v>82</v>
      </c>
      <c r="E395" s="44" t="s">
        <v>1958</v>
      </c>
      <c r="F395" s="44" t="s">
        <v>1959</v>
      </c>
      <c r="G395" s="45" t="s">
        <v>34</v>
      </c>
      <c r="H395" s="47">
        <v>46127</v>
      </c>
      <c r="I395" s="47">
        <v>46140</v>
      </c>
      <c r="J395" s="43" t="s">
        <v>86</v>
      </c>
      <c r="K395" s="43" t="s">
        <v>128</v>
      </c>
      <c r="L395" s="49" t="s">
        <v>69</v>
      </c>
      <c r="M395" s="49"/>
      <c r="N395" s="49"/>
      <c r="O395" s="48"/>
      <c r="P395" s="49" t="str">
        <f t="shared" si="18"/>
        <v>ONAY</v>
      </c>
      <c r="R395" s="50" t="str">
        <f t="shared" si="19"/>
        <v/>
      </c>
      <c r="U395" s="28">
        <f>IF($C395&lt;&gt;"",COUNTIF($C$2:C395,C395),"")</f>
        <v>1</v>
      </c>
      <c r="V395" s="28" t="str">
        <f t="shared" si="20"/>
        <v>Doç. Dr. Rahşan GÖÇMEN§1</v>
      </c>
      <c r="W395" s="28">
        <f>IF(U395=1,COUNTIF($U$2:U395,1),"")</f>
        <v>223</v>
      </c>
    </row>
    <row r="396" spans="1:23" ht="63" customHeight="1" x14ac:dyDescent="0.25">
      <c r="A396" s="42" t="s">
        <v>1960</v>
      </c>
      <c r="B396" s="42" t="s">
        <v>1961</v>
      </c>
      <c r="C396" s="43" t="s">
        <v>95</v>
      </c>
      <c r="D396" s="43" t="s">
        <v>133</v>
      </c>
      <c r="E396" s="44" t="s">
        <v>1962</v>
      </c>
      <c r="F396" s="44" t="s">
        <v>1963</v>
      </c>
      <c r="G396" s="45" t="s">
        <v>35</v>
      </c>
      <c r="H396" s="47">
        <v>46127</v>
      </c>
      <c r="I396" s="47">
        <v>46140</v>
      </c>
      <c r="J396" s="43" t="s">
        <v>104</v>
      </c>
      <c r="K396" s="43" t="s">
        <v>94</v>
      </c>
      <c r="L396" s="49" t="s">
        <v>69</v>
      </c>
      <c r="M396" s="49"/>
      <c r="N396" s="49"/>
      <c r="O396" s="48"/>
      <c r="P396" s="49" t="str">
        <f t="shared" si="18"/>
        <v>ONAY</v>
      </c>
      <c r="R396" s="50" t="str">
        <f t="shared" si="19"/>
        <v/>
      </c>
      <c r="U396" s="28">
        <f>IF($C396&lt;&gt;"",COUNTIF($C$2:C396,C396),"")</f>
        <v>2</v>
      </c>
      <c r="V396" s="28" t="str">
        <f t="shared" si="20"/>
        <v>Doç. Dr. Burcu ERSÖZ ALAN§2</v>
      </c>
      <c r="W396" s="28" t="str">
        <f>IF(U396=1,COUNTIF($U$2:U396,1),"")</f>
        <v/>
      </c>
    </row>
    <row r="397" spans="1:23" ht="79.5" customHeight="1" x14ac:dyDescent="0.25">
      <c r="A397" s="42" t="s">
        <v>1964</v>
      </c>
      <c r="B397" s="42" t="s">
        <v>1965</v>
      </c>
      <c r="C397" s="43" t="s">
        <v>1083</v>
      </c>
      <c r="D397" s="43" t="s">
        <v>110</v>
      </c>
      <c r="E397" s="44" t="s">
        <v>1674</v>
      </c>
      <c r="F397" s="44" t="s">
        <v>1966</v>
      </c>
      <c r="G397" s="45" t="s">
        <v>34</v>
      </c>
      <c r="H397" s="47">
        <v>46127</v>
      </c>
      <c r="I397" s="47">
        <v>46140</v>
      </c>
      <c r="J397" s="43" t="s">
        <v>85</v>
      </c>
      <c r="K397" s="43" t="s">
        <v>113</v>
      </c>
      <c r="L397" s="49" t="s">
        <v>96</v>
      </c>
      <c r="M397" s="49" t="s">
        <v>69</v>
      </c>
      <c r="N397" s="49"/>
      <c r="O397" s="48"/>
      <c r="P397" s="49" t="str">
        <f t="shared" si="18"/>
        <v>ONAY</v>
      </c>
      <c r="Q397" s="27" t="s">
        <v>113</v>
      </c>
      <c r="R397" s="50" t="str">
        <f t="shared" si="19"/>
        <v/>
      </c>
      <c r="U397" s="28">
        <f>IF($C397&lt;&gt;"",COUNTIF($C$2:C397,C397),"")</f>
        <v>5</v>
      </c>
      <c r="V397" s="28" t="str">
        <f t="shared" si="20"/>
        <v>Prof. Dr. Mustafa CANKURTARAN§5</v>
      </c>
      <c r="W397" s="28" t="str">
        <f>IF(U397=1,COUNTIF($U$2:U397,1),"")</f>
        <v/>
      </c>
    </row>
    <row r="398" spans="1:23" ht="94.5" customHeight="1" x14ac:dyDescent="0.25">
      <c r="A398" s="42" t="s">
        <v>1967</v>
      </c>
      <c r="B398" s="42" t="s">
        <v>1968</v>
      </c>
      <c r="C398" s="43" t="s">
        <v>1969</v>
      </c>
      <c r="D398" s="43" t="s">
        <v>153</v>
      </c>
      <c r="E398" s="44" t="s">
        <v>1970</v>
      </c>
      <c r="F398" s="44" t="s">
        <v>1971</v>
      </c>
      <c r="G398" s="45" t="s">
        <v>35</v>
      </c>
      <c r="H398" s="47">
        <v>46127</v>
      </c>
      <c r="I398" s="47">
        <v>46140</v>
      </c>
      <c r="J398" s="43" t="s">
        <v>105</v>
      </c>
      <c r="K398" s="43" t="s">
        <v>77</v>
      </c>
      <c r="L398" s="49" t="s">
        <v>96</v>
      </c>
      <c r="M398" s="49" t="s">
        <v>69</v>
      </c>
      <c r="N398" s="49"/>
      <c r="O398" s="48"/>
      <c r="P398" s="49" t="str">
        <f t="shared" si="18"/>
        <v>ONAY</v>
      </c>
      <c r="Q398" s="27" t="s">
        <v>105</v>
      </c>
      <c r="R398" s="50" t="str">
        <f t="shared" si="19"/>
        <v/>
      </c>
      <c r="U398" s="28">
        <f>IF($C398&lt;&gt;"",COUNTIF($C$2:C398,C398),"")</f>
        <v>1</v>
      </c>
      <c r="V398" s="28" t="str">
        <f t="shared" si="20"/>
        <v>Prof. Dr. Pergin ATİLLA§1</v>
      </c>
      <c r="W398" s="28">
        <f>IF(U398=1,COUNTIF($U$2:U398,1),"")</f>
        <v>224</v>
      </c>
    </row>
    <row r="399" spans="1:23" ht="78.75" customHeight="1" x14ac:dyDescent="0.25">
      <c r="A399" s="42" t="s">
        <v>1972</v>
      </c>
      <c r="B399" s="42" t="s">
        <v>1973</v>
      </c>
      <c r="C399" s="43" t="s">
        <v>1974</v>
      </c>
      <c r="D399" s="43" t="s">
        <v>1975</v>
      </c>
      <c r="E399" s="44" t="s">
        <v>1976</v>
      </c>
      <c r="F399" s="44" t="s">
        <v>1977</v>
      </c>
      <c r="G399" s="45" t="s">
        <v>37</v>
      </c>
      <c r="H399" s="47">
        <v>46127</v>
      </c>
      <c r="I399" s="47">
        <v>46140</v>
      </c>
      <c r="J399" s="43" t="s">
        <v>86</v>
      </c>
      <c r="K399" s="43" t="s">
        <v>95</v>
      </c>
      <c r="L399" s="49" t="s">
        <v>69</v>
      </c>
      <c r="M399" s="49"/>
      <c r="N399" s="49"/>
      <c r="O399" s="48"/>
      <c r="P399" s="49" t="str">
        <f t="shared" si="18"/>
        <v>ONAY</v>
      </c>
      <c r="R399" s="50" t="str">
        <f t="shared" si="19"/>
        <v/>
      </c>
      <c r="U399" s="28">
        <f>IF($C399&lt;&gt;"",COUNTIF($C$2:C399,C399),"")</f>
        <v>1</v>
      </c>
      <c r="V399" s="28" t="str">
        <f t="shared" si="20"/>
        <v>Prof. Dr. Abdullah Ruhi SOYLU§1</v>
      </c>
      <c r="W399" s="28">
        <f>IF(U399=1,COUNTIF($U$2:U399,1),"")</f>
        <v>225</v>
      </c>
    </row>
    <row r="400" spans="1:23" ht="63" customHeight="1" x14ac:dyDescent="0.25">
      <c r="A400" s="42" t="s">
        <v>1978</v>
      </c>
      <c r="B400" s="42" t="s">
        <v>1979</v>
      </c>
      <c r="C400" s="43" t="s">
        <v>1980</v>
      </c>
      <c r="D400" s="43" t="s">
        <v>118</v>
      </c>
      <c r="E400" s="44" t="s">
        <v>1981</v>
      </c>
      <c r="F400" s="44" t="s">
        <v>1982</v>
      </c>
      <c r="G400" s="45" t="s">
        <v>34</v>
      </c>
      <c r="H400" s="47">
        <v>46127</v>
      </c>
      <c r="I400" s="47">
        <v>46140</v>
      </c>
      <c r="J400" s="43" t="s">
        <v>121</v>
      </c>
      <c r="K400" s="43" t="s">
        <v>94</v>
      </c>
      <c r="L400" s="49" t="s">
        <v>69</v>
      </c>
      <c r="M400" s="49"/>
      <c r="N400" s="49"/>
      <c r="O400" s="48"/>
      <c r="P400" s="49" t="str">
        <f t="shared" si="18"/>
        <v>ONAY</v>
      </c>
      <c r="R400" s="50" t="str">
        <f t="shared" si="19"/>
        <v/>
      </c>
      <c r="U400" s="28">
        <f>IF($C400&lt;&gt;"",COUNTIF($C$2:C400,C400),"")</f>
        <v>1</v>
      </c>
      <c r="V400" s="28" t="str">
        <f t="shared" si="20"/>
        <v>Doç. Dr. Eda Ezgi ASLANTAŞ§1</v>
      </c>
      <c r="W400" s="28">
        <f>IF(U400=1,COUNTIF($U$2:U400,1),"")</f>
        <v>226</v>
      </c>
    </row>
    <row r="401" spans="1:23" ht="126" customHeight="1" x14ac:dyDescent="0.25">
      <c r="A401" s="42" t="s">
        <v>1983</v>
      </c>
      <c r="B401" s="42" t="s">
        <v>1984</v>
      </c>
      <c r="C401" s="43" t="s">
        <v>755</v>
      </c>
      <c r="D401" s="43" t="s">
        <v>756</v>
      </c>
      <c r="E401" s="44" t="s">
        <v>1985</v>
      </c>
      <c r="F401" s="44" t="s">
        <v>1986</v>
      </c>
      <c r="G401" s="45" t="s">
        <v>34</v>
      </c>
      <c r="H401" s="47">
        <v>46128</v>
      </c>
      <c r="I401" s="47">
        <v>46140</v>
      </c>
      <c r="J401" s="43" t="s">
        <v>105</v>
      </c>
      <c r="K401" s="43" t="s">
        <v>67</v>
      </c>
      <c r="L401" s="49" t="s">
        <v>96</v>
      </c>
      <c r="M401" s="49"/>
      <c r="N401" s="49"/>
      <c r="O401" s="48"/>
      <c r="P401" s="49" t="str">
        <f t="shared" si="18"/>
        <v>DÜZELTME</v>
      </c>
      <c r="R401" s="50" t="str">
        <f t="shared" si="19"/>
        <v/>
      </c>
      <c r="U401" s="28">
        <f>IF($C401&lt;&gt;"",COUNTIF($C$2:C401,C401),"")</f>
        <v>2</v>
      </c>
      <c r="V401" s="28" t="str">
        <f t="shared" si="20"/>
        <v>Doç. Dr. Ceren ÖZKUL KOÇAK§2</v>
      </c>
      <c r="W401" s="28" t="str">
        <f>IF(U401=1,COUNTIF($U$2:U401,1),"")</f>
        <v/>
      </c>
    </row>
    <row r="402" spans="1:23" ht="78.75" customHeight="1" x14ac:dyDescent="0.25">
      <c r="A402" s="42" t="s">
        <v>1987</v>
      </c>
      <c r="B402" s="42" t="s">
        <v>1988</v>
      </c>
      <c r="C402" s="43" t="s">
        <v>1827</v>
      </c>
      <c r="D402" s="43" t="s">
        <v>110</v>
      </c>
      <c r="E402" s="44" t="s">
        <v>1989</v>
      </c>
      <c r="F402" s="44" t="s">
        <v>1990</v>
      </c>
      <c r="G402" s="45" t="s">
        <v>34</v>
      </c>
      <c r="H402" s="47">
        <v>46134</v>
      </c>
      <c r="I402" s="47">
        <v>46154</v>
      </c>
      <c r="J402" s="43" t="s">
        <v>128</v>
      </c>
      <c r="K402" s="43" t="s">
        <v>105</v>
      </c>
      <c r="L402" s="49" t="s">
        <v>69</v>
      </c>
      <c r="M402" s="49"/>
      <c r="N402" s="49"/>
      <c r="O402" s="48"/>
      <c r="P402" s="49" t="str">
        <f t="shared" si="18"/>
        <v>ONAY</v>
      </c>
      <c r="R402" s="50" t="str">
        <f t="shared" si="19"/>
        <v/>
      </c>
      <c r="U402" s="28">
        <f>IF($C402&lt;&gt;"",COUNTIF($C$2:C402,C402),"")</f>
        <v>3</v>
      </c>
      <c r="V402" s="28" t="str">
        <f t="shared" si="20"/>
        <v>Prof. Dr. Umut KALYONCU§3</v>
      </c>
      <c r="W402" s="28" t="str">
        <f>IF(U402=1,COUNTIF($U$2:U402,1),"")</f>
        <v/>
      </c>
    </row>
    <row r="403" spans="1:23" ht="63" customHeight="1" x14ac:dyDescent="0.25">
      <c r="A403" s="42" t="s">
        <v>1991</v>
      </c>
      <c r="B403" s="42" t="s">
        <v>1992</v>
      </c>
      <c r="C403" s="43" t="s">
        <v>202</v>
      </c>
      <c r="D403" s="43" t="s">
        <v>203</v>
      </c>
      <c r="E403" s="44" t="s">
        <v>871</v>
      </c>
      <c r="F403" s="44" t="s">
        <v>1993</v>
      </c>
      <c r="G403" s="45" t="s">
        <v>34</v>
      </c>
      <c r="H403" s="47">
        <v>46134</v>
      </c>
      <c r="I403" s="47">
        <v>46154</v>
      </c>
      <c r="J403" s="43" t="s">
        <v>85</v>
      </c>
      <c r="K403" s="43" t="s">
        <v>77</v>
      </c>
      <c r="L403" s="49"/>
      <c r="M403" s="49"/>
      <c r="N403" s="49"/>
      <c r="O403" s="48"/>
      <c r="P403" s="49">
        <f t="shared" si="18"/>
        <v>0</v>
      </c>
      <c r="R403" s="50" t="str">
        <f t="shared" si="19"/>
        <v/>
      </c>
      <c r="U403" s="28">
        <f>IF($C403&lt;&gt;"",COUNTIF($C$2:C403,C403),"")</f>
        <v>7</v>
      </c>
      <c r="V403" s="28" t="str">
        <f t="shared" si="20"/>
        <v>Dr. Öğr. Üyesi Figen BEZCİ AYGÜN§7</v>
      </c>
      <c r="W403" s="28" t="str">
        <f>IF(U403=1,COUNTIF($U$2:U403,1),"")</f>
        <v/>
      </c>
    </row>
    <row r="404" spans="1:23" ht="78.75" customHeight="1" x14ac:dyDescent="0.25">
      <c r="A404" s="42" t="s">
        <v>1994</v>
      </c>
      <c r="B404" s="42" t="s">
        <v>1995</v>
      </c>
      <c r="C404" s="43" t="s">
        <v>1996</v>
      </c>
      <c r="D404" s="43" t="s">
        <v>445</v>
      </c>
      <c r="E404" s="44" t="s">
        <v>1997</v>
      </c>
      <c r="F404" s="44" t="s">
        <v>1998</v>
      </c>
      <c r="G404" s="45" t="s">
        <v>34</v>
      </c>
      <c r="H404" s="47">
        <v>46134</v>
      </c>
      <c r="I404" s="47">
        <v>46154</v>
      </c>
      <c r="J404" s="43" t="s">
        <v>121</v>
      </c>
      <c r="K404" s="43" t="s">
        <v>113</v>
      </c>
      <c r="L404" s="49" t="s">
        <v>69</v>
      </c>
      <c r="M404" s="49"/>
      <c r="N404" s="49"/>
      <c r="O404" s="48"/>
      <c r="P404" s="49" t="str">
        <f t="shared" si="18"/>
        <v>ONAY</v>
      </c>
      <c r="R404" s="50" t="str">
        <f t="shared" si="19"/>
        <v/>
      </c>
      <c r="U404" s="28">
        <f>IF($C404&lt;&gt;"",COUNTIF($C$2:C404,C404),"")</f>
        <v>1</v>
      </c>
      <c r="V404" s="28" t="str">
        <f t="shared" si="20"/>
        <v>Öğr. Gör. Dt. Diler DENİZ§1</v>
      </c>
      <c r="W404" s="28">
        <f>IF(U404=1,COUNTIF($U$2:U404,1),"")</f>
        <v>227</v>
      </c>
    </row>
    <row r="405" spans="1:23" ht="78.75" customHeight="1" x14ac:dyDescent="0.25">
      <c r="A405" s="42" t="s">
        <v>1999</v>
      </c>
      <c r="B405" s="42" t="s">
        <v>2000</v>
      </c>
      <c r="C405" s="43" t="s">
        <v>2001</v>
      </c>
      <c r="D405" s="43" t="s">
        <v>1696</v>
      </c>
      <c r="E405" s="44" t="s">
        <v>2002</v>
      </c>
      <c r="F405" s="44" t="s">
        <v>2003</v>
      </c>
      <c r="G405" s="45" t="s">
        <v>35</v>
      </c>
      <c r="H405" s="47">
        <v>46134</v>
      </c>
      <c r="I405" s="47">
        <v>46154</v>
      </c>
      <c r="J405" s="43" t="s">
        <v>67</v>
      </c>
      <c r="K405" s="43" t="s">
        <v>86</v>
      </c>
      <c r="L405" s="49" t="s">
        <v>96</v>
      </c>
      <c r="M405" s="49" t="s">
        <v>69</v>
      </c>
      <c r="N405" s="49"/>
      <c r="O405" s="48"/>
      <c r="P405" s="49" t="str">
        <f t="shared" si="18"/>
        <v>ONAY</v>
      </c>
      <c r="Q405" s="27" t="s">
        <v>67</v>
      </c>
      <c r="R405" s="50" t="str">
        <f t="shared" si="19"/>
        <v/>
      </c>
      <c r="U405" s="28">
        <f>IF($C405&lt;&gt;"",COUNTIF($C$2:C405,C405),"")</f>
        <v>1</v>
      </c>
      <c r="V405" s="28" t="str">
        <f t="shared" si="20"/>
        <v>Prof. Dr. İncilay LAY§1</v>
      </c>
      <c r="W405" s="28">
        <f>IF(U405=1,COUNTIF($U$2:U405,1),"")</f>
        <v>228</v>
      </c>
    </row>
    <row r="406" spans="1:23" ht="78.75" customHeight="1" x14ac:dyDescent="0.25">
      <c r="A406" s="42" t="s">
        <v>2004</v>
      </c>
      <c r="B406" s="42" t="s">
        <v>2005</v>
      </c>
      <c r="C406" s="43" t="s">
        <v>2006</v>
      </c>
      <c r="D406" s="43" t="s">
        <v>133</v>
      </c>
      <c r="E406" s="44" t="s">
        <v>2007</v>
      </c>
      <c r="F406" s="44" t="s">
        <v>2008</v>
      </c>
      <c r="G406" s="45" t="s">
        <v>34</v>
      </c>
      <c r="H406" s="47">
        <v>46134</v>
      </c>
      <c r="I406" s="47">
        <v>46154</v>
      </c>
      <c r="J406" s="43" t="s">
        <v>95</v>
      </c>
      <c r="K406" s="43" t="s">
        <v>94</v>
      </c>
      <c r="L406" s="49" t="s">
        <v>69</v>
      </c>
      <c r="M406" s="49"/>
      <c r="N406" s="49"/>
      <c r="O406" s="48"/>
      <c r="P406" s="49" t="str">
        <f t="shared" si="18"/>
        <v>ONAY</v>
      </c>
      <c r="R406" s="50" t="str">
        <f t="shared" si="19"/>
        <v/>
      </c>
      <c r="U406" s="28">
        <f>IF($C406&lt;&gt;"",COUNTIF($C$2:C406,C406),"")</f>
        <v>1</v>
      </c>
      <c r="V406" s="28" t="str">
        <f t="shared" si="20"/>
        <v>Doç. Dr. Şükran Gülin EVİNÇ§1</v>
      </c>
      <c r="W406" s="28">
        <f>IF(U406=1,COUNTIF($U$2:U406,1),"")</f>
        <v>229</v>
      </c>
    </row>
    <row r="407" spans="1:23" ht="78.75" customHeight="1" x14ac:dyDescent="0.25">
      <c r="A407" s="42" t="s">
        <v>2009</v>
      </c>
      <c r="B407" s="42" t="s">
        <v>2010</v>
      </c>
      <c r="C407" s="43" t="s">
        <v>146</v>
      </c>
      <c r="D407" s="43" t="s">
        <v>110</v>
      </c>
      <c r="E407" s="44" t="s">
        <v>2011</v>
      </c>
      <c r="F407" s="44" t="s">
        <v>2012</v>
      </c>
      <c r="G407" s="45" t="s">
        <v>34</v>
      </c>
      <c r="H407" s="47">
        <v>46134</v>
      </c>
      <c r="I407" s="47">
        <v>46154</v>
      </c>
      <c r="J407" s="43" t="s">
        <v>68</v>
      </c>
      <c r="K407" s="43" t="s">
        <v>113</v>
      </c>
      <c r="L407" s="49" t="s">
        <v>69</v>
      </c>
      <c r="M407" s="49"/>
      <c r="N407" s="49"/>
      <c r="O407" s="48"/>
      <c r="P407" s="49" t="str">
        <f t="shared" si="18"/>
        <v>ONAY</v>
      </c>
      <c r="R407" s="50" t="str">
        <f t="shared" si="19"/>
        <v/>
      </c>
      <c r="U407" s="28">
        <f>IF($C407&lt;&gt;"",COUNTIF($C$2:C407,C407),"")</f>
        <v>2</v>
      </c>
      <c r="V407" s="28" t="str">
        <f t="shared" si="20"/>
        <v>Prof. Dr. Ömer KARADAĞ§2</v>
      </c>
      <c r="W407" s="28" t="str">
        <f>IF(U407=1,COUNTIF($U$2:U407,1),"")</f>
        <v/>
      </c>
    </row>
    <row r="408" spans="1:23" ht="78.75" customHeight="1" x14ac:dyDescent="0.25">
      <c r="A408" s="42" t="s">
        <v>2013</v>
      </c>
      <c r="B408" s="42" t="s">
        <v>2014</v>
      </c>
      <c r="C408" s="43" t="s">
        <v>1123</v>
      </c>
      <c r="D408" s="43" t="s">
        <v>215</v>
      </c>
      <c r="E408" s="44" t="s">
        <v>2015</v>
      </c>
      <c r="F408" s="44" t="s">
        <v>2016</v>
      </c>
      <c r="G408" s="45" t="s">
        <v>37</v>
      </c>
      <c r="H408" s="47">
        <v>46134</v>
      </c>
      <c r="I408" s="47">
        <v>46154</v>
      </c>
      <c r="J408" s="43" t="s">
        <v>68</v>
      </c>
      <c r="K408" s="43" t="s">
        <v>86</v>
      </c>
      <c r="L408" s="49" t="s">
        <v>69</v>
      </c>
      <c r="M408" s="49"/>
      <c r="N408" s="49"/>
      <c r="O408" s="48"/>
      <c r="P408" s="49" t="str">
        <f t="shared" si="18"/>
        <v>ONAY</v>
      </c>
      <c r="R408" s="50" t="str">
        <f t="shared" si="19"/>
        <v/>
      </c>
      <c r="U408" s="28">
        <f>IF($C408&lt;&gt;"",COUNTIF($C$2:C408,C408),"")</f>
        <v>3</v>
      </c>
      <c r="V408" s="28" t="str">
        <f t="shared" si="20"/>
        <v>Prof. Dr. Özgür UĞURLUOĞLU§3</v>
      </c>
      <c r="W408" s="28" t="str">
        <f>IF(U408=1,COUNTIF($U$2:U408,1),"")</f>
        <v/>
      </c>
    </row>
    <row r="409" spans="1:23" ht="63.75" customHeight="1" x14ac:dyDescent="0.25">
      <c r="A409" s="42" t="s">
        <v>2017</v>
      </c>
      <c r="B409" s="42" t="s">
        <v>2018</v>
      </c>
      <c r="C409" s="43" t="s">
        <v>1384</v>
      </c>
      <c r="D409" s="43" t="s">
        <v>110</v>
      </c>
      <c r="E409" s="44" t="s">
        <v>2019</v>
      </c>
      <c r="F409" s="44" t="s">
        <v>2020</v>
      </c>
      <c r="G409" s="45" t="s">
        <v>34</v>
      </c>
      <c r="H409" s="47">
        <v>46134</v>
      </c>
      <c r="I409" s="47">
        <v>46154</v>
      </c>
      <c r="J409" s="43" t="s">
        <v>85</v>
      </c>
      <c r="K409" s="43" t="s">
        <v>128</v>
      </c>
      <c r="L409" s="49" t="s">
        <v>96</v>
      </c>
      <c r="M409" s="49"/>
      <c r="N409" s="49"/>
      <c r="O409" s="48"/>
      <c r="P409" s="49" t="str">
        <f t="shared" si="18"/>
        <v>DÜZELTME</v>
      </c>
      <c r="R409" s="50" t="str">
        <f t="shared" si="19"/>
        <v/>
      </c>
      <c r="U409" s="28">
        <f>IF($C409&lt;&gt;"",COUNTIF($C$2:C409,C409),"")</f>
        <v>6</v>
      </c>
      <c r="V409" s="28" t="str">
        <f t="shared" si="20"/>
        <v>Prof. Dr. Burcu Balam DOĞU§6</v>
      </c>
      <c r="W409" s="28" t="str">
        <f>IF(U409=1,COUNTIF($U$2:U409,1),"")</f>
        <v/>
      </c>
    </row>
    <row r="410" spans="1:23" ht="78.75" customHeight="1" x14ac:dyDescent="0.25">
      <c r="A410" s="42" t="s">
        <v>2021</v>
      </c>
      <c r="B410" s="42" t="s">
        <v>2022</v>
      </c>
      <c r="C410" s="43" t="s">
        <v>109</v>
      </c>
      <c r="D410" s="43" t="s">
        <v>110</v>
      </c>
      <c r="E410" s="44" t="s">
        <v>2023</v>
      </c>
      <c r="F410" s="44" t="s">
        <v>2024</v>
      </c>
      <c r="G410" s="45" t="s">
        <v>34</v>
      </c>
      <c r="H410" s="47">
        <v>46134</v>
      </c>
      <c r="I410" s="47">
        <v>46154</v>
      </c>
      <c r="J410" s="43" t="s">
        <v>105</v>
      </c>
      <c r="K410" s="43" t="s">
        <v>113</v>
      </c>
      <c r="L410" s="49" t="s">
        <v>69</v>
      </c>
      <c r="M410" s="49"/>
      <c r="N410" s="49"/>
      <c r="O410" s="48"/>
      <c r="P410" s="49" t="str">
        <f t="shared" si="18"/>
        <v>ONAY</v>
      </c>
      <c r="R410" s="50" t="str">
        <f t="shared" si="19"/>
        <v/>
      </c>
      <c r="U410" s="28">
        <f>IF($C410&lt;&gt;"",COUNTIF($C$2:C410,C410),"")</f>
        <v>12</v>
      </c>
      <c r="V410" s="28" t="str">
        <f t="shared" si="20"/>
        <v>Prof. Dr. Meltem Gülhan HALİL§12</v>
      </c>
      <c r="W410" s="28" t="str">
        <f>IF(U410=1,COUNTIF($U$2:U410,1),"")</f>
        <v/>
      </c>
    </row>
    <row r="411" spans="1:23" ht="63" customHeight="1" x14ac:dyDescent="0.25">
      <c r="A411" s="42" t="s">
        <v>2025</v>
      </c>
      <c r="B411" s="42" t="s">
        <v>2026</v>
      </c>
      <c r="C411" s="43" t="s">
        <v>555</v>
      </c>
      <c r="D411" s="43" t="s">
        <v>110</v>
      </c>
      <c r="E411" s="44" t="s">
        <v>2027</v>
      </c>
      <c r="F411" s="44" t="s">
        <v>2028</v>
      </c>
      <c r="G411" s="45" t="s">
        <v>34</v>
      </c>
      <c r="H411" s="47">
        <v>46134</v>
      </c>
      <c r="I411" s="47">
        <v>46154</v>
      </c>
      <c r="J411" s="43" t="s">
        <v>77</v>
      </c>
      <c r="K411" s="43" t="s">
        <v>121</v>
      </c>
      <c r="L411" s="49" t="s">
        <v>69</v>
      </c>
      <c r="M411" s="49"/>
      <c r="N411" s="49"/>
      <c r="O411" s="48"/>
      <c r="P411" s="49" t="str">
        <f t="shared" si="18"/>
        <v>ONAY</v>
      </c>
      <c r="R411" s="50" t="str">
        <f t="shared" si="19"/>
        <v/>
      </c>
      <c r="U411" s="28">
        <f>IF($C411&lt;&gt;"",COUNTIF($C$2:C411,C411),"")</f>
        <v>4</v>
      </c>
      <c r="V411" s="28" t="str">
        <f t="shared" si="20"/>
        <v>Doç. Dr. Mert EŞME§4</v>
      </c>
      <c r="W411" s="28" t="str">
        <f>IF(U411=1,COUNTIF($U$2:U411,1),"")</f>
        <v/>
      </c>
    </row>
    <row r="412" spans="1:23" ht="78.75" customHeight="1" x14ac:dyDescent="0.25">
      <c r="A412" s="42" t="s">
        <v>2029</v>
      </c>
      <c r="B412" s="42" t="s">
        <v>2030</v>
      </c>
      <c r="C412" s="43" t="s">
        <v>2031</v>
      </c>
      <c r="D412" s="43" t="s">
        <v>1627</v>
      </c>
      <c r="E412" s="44" t="s">
        <v>2032</v>
      </c>
      <c r="F412" s="44" t="s">
        <v>2033</v>
      </c>
      <c r="G412" s="45" t="s">
        <v>34</v>
      </c>
      <c r="H412" s="47">
        <v>46134</v>
      </c>
      <c r="I412" s="47">
        <v>46154</v>
      </c>
      <c r="J412" s="43" t="s">
        <v>121</v>
      </c>
      <c r="K412" s="43" t="s">
        <v>94</v>
      </c>
      <c r="L412" s="49" t="s">
        <v>69</v>
      </c>
      <c r="M412" s="49"/>
      <c r="N412" s="49"/>
      <c r="O412" s="48"/>
      <c r="P412" s="49" t="str">
        <f t="shared" si="18"/>
        <v>ONAY</v>
      </c>
      <c r="R412" s="50" t="str">
        <f t="shared" si="19"/>
        <v/>
      </c>
      <c r="U412" s="28">
        <f>IF($C412&lt;&gt;"",COUNTIF($C$2:C412,C412),"")</f>
        <v>1</v>
      </c>
      <c r="V412" s="28" t="str">
        <f t="shared" si="20"/>
        <v>Prof. Dr. Melek Dilek TURGUT§1</v>
      </c>
      <c r="W412" s="28">
        <f>IF(U412=1,COUNTIF($U$2:U412,1),"")</f>
        <v>230</v>
      </c>
    </row>
    <row r="413" spans="1:23" ht="94.5" customHeight="1" x14ac:dyDescent="0.25">
      <c r="A413" s="42" t="s">
        <v>2034</v>
      </c>
      <c r="B413" s="42" t="s">
        <v>2035</v>
      </c>
      <c r="C413" s="43" t="s">
        <v>1192</v>
      </c>
      <c r="D413" s="43" t="s">
        <v>1193</v>
      </c>
      <c r="E413" s="44" t="s">
        <v>2036</v>
      </c>
      <c r="F413" s="44" t="s">
        <v>2037</v>
      </c>
      <c r="G413" s="45" t="s">
        <v>34</v>
      </c>
      <c r="H413" s="47">
        <v>46134</v>
      </c>
      <c r="I413" s="47">
        <v>46154</v>
      </c>
      <c r="J413" s="43" t="s">
        <v>121</v>
      </c>
      <c r="K413" s="43" t="s">
        <v>68</v>
      </c>
      <c r="L413" s="49" t="s">
        <v>69</v>
      </c>
      <c r="M413" s="49"/>
      <c r="N413" s="49"/>
      <c r="O413" s="48"/>
      <c r="P413" s="49" t="str">
        <f t="shared" si="18"/>
        <v>ONAY</v>
      </c>
      <c r="R413" s="50" t="str">
        <f t="shared" si="19"/>
        <v/>
      </c>
      <c r="U413" s="28">
        <f>IF($C413&lt;&gt;"",COUNTIF($C$2:C413,C413),"")</f>
        <v>2</v>
      </c>
      <c r="V413" s="28" t="str">
        <f t="shared" si="20"/>
        <v>Prof. Dr. Betül ÇELEBİ SALTIK§2</v>
      </c>
      <c r="W413" s="28" t="str">
        <f>IF(U413=1,COUNTIF($U$2:U413,1),"")</f>
        <v/>
      </c>
    </row>
    <row r="414" spans="1:23" ht="78.75" customHeight="1" x14ac:dyDescent="0.25">
      <c r="A414" s="42" t="s">
        <v>2038</v>
      </c>
      <c r="B414" s="42" t="s">
        <v>2039</v>
      </c>
      <c r="C414" s="43" t="s">
        <v>146</v>
      </c>
      <c r="D414" s="43" t="s">
        <v>110</v>
      </c>
      <c r="E414" s="44" t="s">
        <v>2040</v>
      </c>
      <c r="F414" s="44" t="s">
        <v>2041</v>
      </c>
      <c r="G414" s="45" t="s">
        <v>34</v>
      </c>
      <c r="H414" s="47">
        <v>46134</v>
      </c>
      <c r="I414" s="47">
        <v>46154</v>
      </c>
      <c r="J414" s="43" t="s">
        <v>94</v>
      </c>
      <c r="K414" s="43" t="s">
        <v>77</v>
      </c>
      <c r="L414" s="49" t="s">
        <v>69</v>
      </c>
      <c r="M414" s="49"/>
      <c r="N414" s="49"/>
      <c r="O414" s="48"/>
      <c r="P414" s="49" t="str">
        <f t="shared" si="18"/>
        <v>ONAY</v>
      </c>
      <c r="R414" s="50" t="str">
        <f t="shared" si="19"/>
        <v/>
      </c>
      <c r="U414" s="28">
        <f>IF($C414&lt;&gt;"",COUNTIF($C$2:C414,C414),"")</f>
        <v>3</v>
      </c>
      <c r="V414" s="28" t="str">
        <f t="shared" si="20"/>
        <v>Prof. Dr. Ömer KARADAĞ§3</v>
      </c>
      <c r="W414" s="28" t="str">
        <f>IF(U414=1,COUNTIF($U$2:U414,1),"")</f>
        <v/>
      </c>
    </row>
    <row r="415" spans="1:23" ht="78.75" customHeight="1" x14ac:dyDescent="0.25">
      <c r="A415" s="42" t="s">
        <v>2042</v>
      </c>
      <c r="B415" s="42" t="s">
        <v>2043</v>
      </c>
      <c r="C415" s="43" t="s">
        <v>2044</v>
      </c>
      <c r="D415" s="43" t="s">
        <v>416</v>
      </c>
      <c r="E415" s="44" t="s">
        <v>2045</v>
      </c>
      <c r="F415" s="44" t="s">
        <v>2046</v>
      </c>
      <c r="G415" s="45" t="s">
        <v>34</v>
      </c>
      <c r="H415" s="47">
        <v>46134</v>
      </c>
      <c r="I415" s="47">
        <v>46154</v>
      </c>
      <c r="J415" s="43" t="s">
        <v>105</v>
      </c>
      <c r="K415" s="43" t="s">
        <v>128</v>
      </c>
      <c r="L415" s="49" t="s">
        <v>69</v>
      </c>
      <c r="M415" s="49"/>
      <c r="N415" s="49"/>
      <c r="O415" s="48"/>
      <c r="P415" s="49" t="str">
        <f t="shared" si="18"/>
        <v>ONAY</v>
      </c>
      <c r="R415" s="50" t="str">
        <f t="shared" si="19"/>
        <v/>
      </c>
      <c r="U415" s="28">
        <f>IF($C415&lt;&gt;"",COUNTIF($C$2:C415,C415),"")</f>
        <v>1</v>
      </c>
      <c r="V415" s="28" t="str">
        <f t="shared" si="20"/>
        <v>Doç. Dr. Burak ARDIÇLI§1</v>
      </c>
      <c r="W415" s="28">
        <f>IF(U415=1,COUNTIF($U$2:U415,1),"")</f>
        <v>231</v>
      </c>
    </row>
    <row r="416" spans="1:23" ht="63" customHeight="1" x14ac:dyDescent="0.25">
      <c r="A416" s="42" t="s">
        <v>2047</v>
      </c>
      <c r="B416" s="42" t="s">
        <v>2048</v>
      </c>
      <c r="C416" s="43" t="s">
        <v>2049</v>
      </c>
      <c r="D416" s="43" t="s">
        <v>237</v>
      </c>
      <c r="E416" s="44" t="s">
        <v>2050</v>
      </c>
      <c r="F416" s="44" t="s">
        <v>2051</v>
      </c>
      <c r="G416" s="45" t="s">
        <v>35</v>
      </c>
      <c r="H416" s="47">
        <v>46134</v>
      </c>
      <c r="I416" s="47">
        <v>46154</v>
      </c>
      <c r="J416" s="43" t="s">
        <v>68</v>
      </c>
      <c r="K416" s="43" t="s">
        <v>95</v>
      </c>
      <c r="L416" s="49" t="s">
        <v>69</v>
      </c>
      <c r="M416" s="49"/>
      <c r="N416" s="49"/>
      <c r="O416" s="48"/>
      <c r="P416" s="49" t="str">
        <f t="shared" si="18"/>
        <v>ONAY</v>
      </c>
      <c r="R416" s="50" t="str">
        <f t="shared" si="19"/>
        <v/>
      </c>
      <c r="U416" s="28">
        <f>IF($C416&lt;&gt;"",COUNTIF($C$2:C416,C416),"")</f>
        <v>1</v>
      </c>
      <c r="V416" s="28" t="str">
        <f t="shared" si="20"/>
        <v>Prof. Dr. Şevkiye Selin AYTAÇ EYÜPOĞLU§1</v>
      </c>
      <c r="W416" s="28">
        <f>IF(U416=1,COUNTIF($U$2:U416,1),"")</f>
        <v>232</v>
      </c>
    </row>
    <row r="417" spans="1:23" ht="93" customHeight="1" x14ac:dyDescent="0.25">
      <c r="A417" s="42" t="s">
        <v>2052</v>
      </c>
      <c r="B417" s="42" t="s">
        <v>2053</v>
      </c>
      <c r="C417" s="43" t="s">
        <v>427</v>
      </c>
      <c r="D417" s="43" t="s">
        <v>428</v>
      </c>
      <c r="E417" s="44" t="s">
        <v>2054</v>
      </c>
      <c r="F417" s="44" t="s">
        <v>2055</v>
      </c>
      <c r="G417" s="45" t="s">
        <v>37</v>
      </c>
      <c r="H417" s="47">
        <v>46134</v>
      </c>
      <c r="I417" s="47">
        <v>46154</v>
      </c>
      <c r="J417" s="43" t="s">
        <v>77</v>
      </c>
      <c r="K417" s="43" t="s">
        <v>86</v>
      </c>
      <c r="L417" s="49" t="s">
        <v>218</v>
      </c>
      <c r="M417" s="49" t="s">
        <v>96</v>
      </c>
      <c r="N417" s="49"/>
      <c r="O417" s="48"/>
      <c r="P417" s="49" t="str">
        <f t="shared" si="18"/>
        <v>DÜZELTME</v>
      </c>
      <c r="R417" s="50" t="str">
        <f t="shared" si="19"/>
        <v/>
      </c>
      <c r="U417" s="28">
        <f>IF($C417&lt;&gt;"",COUNTIF($C$2:C417,C417),"")</f>
        <v>5</v>
      </c>
      <c r="V417" s="28" t="str">
        <f t="shared" si="20"/>
        <v>Prof. Dr. Salih Kutay DEMİRKAN§5</v>
      </c>
      <c r="W417" s="28" t="str">
        <f>IF(U417=1,COUNTIF($U$2:U417,1),"")</f>
        <v/>
      </c>
    </row>
    <row r="418" spans="1:23" ht="63" customHeight="1" x14ac:dyDescent="0.25">
      <c r="A418" s="42" t="s">
        <v>2056</v>
      </c>
      <c r="B418" s="42" t="s">
        <v>2057</v>
      </c>
      <c r="C418" s="43" t="s">
        <v>434</v>
      </c>
      <c r="D418" s="43" t="s">
        <v>435</v>
      </c>
      <c r="E418" s="44" t="s">
        <v>2058</v>
      </c>
      <c r="F418" s="44" t="s">
        <v>2059</v>
      </c>
      <c r="G418" s="45" t="s">
        <v>34</v>
      </c>
      <c r="H418" s="47">
        <v>46134</v>
      </c>
      <c r="I418" s="47">
        <v>46154</v>
      </c>
      <c r="J418" s="43" t="s">
        <v>86</v>
      </c>
      <c r="K418" s="43" t="s">
        <v>68</v>
      </c>
      <c r="L418" s="49" t="s">
        <v>69</v>
      </c>
      <c r="M418" s="49"/>
      <c r="N418" s="49"/>
      <c r="O418" s="48"/>
      <c r="P418" s="49" t="str">
        <f t="shared" si="18"/>
        <v>ONAY</v>
      </c>
      <c r="R418" s="50" t="str">
        <f t="shared" si="19"/>
        <v/>
      </c>
      <c r="U418" s="28">
        <f>IF($C418&lt;&gt;"",COUNTIF($C$2:C418,C418),"")</f>
        <v>2</v>
      </c>
      <c r="V418" s="28" t="str">
        <f t="shared" si="20"/>
        <v>Prof. Dr. Hasan Serkan DOĞAN§2</v>
      </c>
      <c r="W418" s="28" t="str">
        <f>IF(U418=1,COUNTIF($U$2:U418,1),"")</f>
        <v/>
      </c>
    </row>
    <row r="419" spans="1:23" ht="63" customHeight="1" x14ac:dyDescent="0.25">
      <c r="A419" s="42" t="s">
        <v>2060</v>
      </c>
      <c r="B419" s="42" t="s">
        <v>2061</v>
      </c>
      <c r="C419" s="43" t="s">
        <v>202</v>
      </c>
      <c r="D419" s="43" t="s">
        <v>203</v>
      </c>
      <c r="E419" s="44" t="s">
        <v>2062</v>
      </c>
      <c r="F419" s="44" t="s">
        <v>2063</v>
      </c>
      <c r="G419" s="45" t="s">
        <v>34</v>
      </c>
      <c r="H419" s="47">
        <v>46134</v>
      </c>
      <c r="I419" s="47">
        <v>46154</v>
      </c>
      <c r="J419" s="43" t="s">
        <v>85</v>
      </c>
      <c r="K419" s="43" t="s">
        <v>94</v>
      </c>
      <c r="L419" s="49"/>
      <c r="M419" s="49"/>
      <c r="N419" s="49"/>
      <c r="O419" s="48"/>
      <c r="P419" s="49">
        <f t="shared" si="18"/>
        <v>0</v>
      </c>
      <c r="R419" s="50" t="str">
        <f t="shared" si="19"/>
        <v/>
      </c>
      <c r="U419" s="28">
        <f>IF($C419&lt;&gt;"",COUNTIF($C$2:C419,C419),"")</f>
        <v>8</v>
      </c>
      <c r="V419" s="28" t="str">
        <f t="shared" si="20"/>
        <v>Dr. Öğr. Üyesi Figen BEZCİ AYGÜN§8</v>
      </c>
      <c r="W419" s="28" t="str">
        <f>IF(U419=1,COUNTIF($U$2:U419,1),"")</f>
        <v/>
      </c>
    </row>
    <row r="420" spans="1:23" ht="78.75" customHeight="1" x14ac:dyDescent="0.25">
      <c r="A420" s="42" t="s">
        <v>2064</v>
      </c>
      <c r="B420" s="42" t="s">
        <v>2065</v>
      </c>
      <c r="C420" s="43" t="s">
        <v>455</v>
      </c>
      <c r="D420" s="43" t="s">
        <v>395</v>
      </c>
      <c r="E420" s="44" t="s">
        <v>2066</v>
      </c>
      <c r="F420" s="44" t="s">
        <v>2067</v>
      </c>
      <c r="G420" s="45" t="s">
        <v>34</v>
      </c>
      <c r="H420" s="47">
        <v>46136</v>
      </c>
      <c r="I420" s="47">
        <v>46154</v>
      </c>
      <c r="J420" s="43" t="s">
        <v>104</v>
      </c>
      <c r="K420" s="43" t="s">
        <v>95</v>
      </c>
      <c r="L420" s="49" t="s">
        <v>218</v>
      </c>
      <c r="M420" s="49" t="s">
        <v>69</v>
      </c>
      <c r="N420" s="49"/>
      <c r="O420" s="48"/>
      <c r="P420" s="49" t="str">
        <f t="shared" si="18"/>
        <v>ONAY</v>
      </c>
      <c r="R420" s="50" t="str">
        <f t="shared" si="19"/>
        <v/>
      </c>
      <c r="U420" s="28">
        <f>IF($C420&lt;&gt;"",COUNTIF($C$2:C420,C420),"")</f>
        <v>4</v>
      </c>
      <c r="V420" s="28" t="str">
        <f t="shared" si="20"/>
        <v>Prof. Dr. Fatma Gökçem YILDIZ SARIKAYA§4</v>
      </c>
      <c r="W420" s="28" t="str">
        <f>IF(U420=1,COUNTIF($U$2:U420,1),"")</f>
        <v/>
      </c>
    </row>
    <row r="421" spans="1:23" ht="94.5" customHeight="1" x14ac:dyDescent="0.25">
      <c r="A421" s="42" t="s">
        <v>2068</v>
      </c>
      <c r="B421" s="42" t="s">
        <v>2069</v>
      </c>
      <c r="C421" s="43" t="s">
        <v>2070</v>
      </c>
      <c r="D421" s="43" t="s">
        <v>237</v>
      </c>
      <c r="E421" s="44" t="s">
        <v>2071</v>
      </c>
      <c r="F421" s="44" t="s">
        <v>2072</v>
      </c>
      <c r="G421" s="45" t="s">
        <v>34</v>
      </c>
      <c r="H421" s="47">
        <v>46136</v>
      </c>
      <c r="I421" s="47">
        <v>46154</v>
      </c>
      <c r="J421" s="43" t="s">
        <v>68</v>
      </c>
      <c r="K421" s="43" t="s">
        <v>105</v>
      </c>
      <c r="L421" s="49" t="s">
        <v>69</v>
      </c>
      <c r="M421" s="49"/>
      <c r="N421" s="49"/>
      <c r="O421" s="48"/>
      <c r="P421" s="49" t="str">
        <f t="shared" si="18"/>
        <v>ONAY</v>
      </c>
      <c r="R421" s="50" t="str">
        <f t="shared" si="19"/>
        <v/>
      </c>
      <c r="U421" s="28">
        <f>IF($C421&lt;&gt;"",COUNTIF($C$2:C421,C421),"")</f>
        <v>1</v>
      </c>
      <c r="V421" s="28" t="str">
        <f t="shared" si="20"/>
        <v>Prof. Dr. Elmas Ebru YALÇIN§1</v>
      </c>
      <c r="W421" s="28">
        <f>IF(U421=1,COUNTIF($U$2:U421,1),"")</f>
        <v>233</v>
      </c>
    </row>
    <row r="422" spans="1:23" ht="63" customHeight="1" x14ac:dyDescent="0.25">
      <c r="A422" s="42" t="s">
        <v>2073</v>
      </c>
      <c r="B422" s="42" t="s">
        <v>2074</v>
      </c>
      <c r="C422" s="43" t="s">
        <v>1259</v>
      </c>
      <c r="D422" s="43" t="s">
        <v>422</v>
      </c>
      <c r="E422" s="44" t="s">
        <v>2075</v>
      </c>
      <c r="F422" s="44" t="s">
        <v>2076</v>
      </c>
      <c r="G422" s="45" t="s">
        <v>34</v>
      </c>
      <c r="H422" s="47">
        <v>46136</v>
      </c>
      <c r="I422" s="47">
        <v>46154</v>
      </c>
      <c r="J422" s="43" t="s">
        <v>105</v>
      </c>
      <c r="K422" s="43" t="s">
        <v>128</v>
      </c>
      <c r="L422" s="49" t="s">
        <v>69</v>
      </c>
      <c r="M422" s="49"/>
      <c r="N422" s="49"/>
      <c r="O422" s="48"/>
      <c r="P422" s="49" t="str">
        <f t="shared" si="18"/>
        <v>ONAY</v>
      </c>
      <c r="R422" s="50" t="str">
        <f t="shared" si="19"/>
        <v/>
      </c>
      <c r="U422" s="28">
        <f>IF($C422&lt;&gt;"",COUNTIF($C$2:C422,C422),"")</f>
        <v>2</v>
      </c>
      <c r="V422" s="28" t="str">
        <f t="shared" si="20"/>
        <v>Dr. Öğr. Üyesi Gökhan AYIK§2</v>
      </c>
      <c r="W422" s="28" t="str">
        <f>IF(U422=1,COUNTIF($U$2:U422,1),"")</f>
        <v/>
      </c>
    </row>
    <row r="423" spans="1:23" ht="78.75" customHeight="1" x14ac:dyDescent="0.25">
      <c r="A423" s="42" t="s">
        <v>2077</v>
      </c>
      <c r="B423" s="42" t="s">
        <v>2078</v>
      </c>
      <c r="C423" s="43" t="s">
        <v>313</v>
      </c>
      <c r="D423" s="43" t="s">
        <v>237</v>
      </c>
      <c r="E423" s="44" t="s">
        <v>2079</v>
      </c>
      <c r="F423" s="44" t="s">
        <v>2080</v>
      </c>
      <c r="G423" s="45" t="s">
        <v>34</v>
      </c>
      <c r="H423" s="47">
        <v>46139</v>
      </c>
      <c r="I423" s="47">
        <v>46154</v>
      </c>
      <c r="J423" s="43" t="s">
        <v>105</v>
      </c>
      <c r="K423" s="43" t="s">
        <v>68</v>
      </c>
      <c r="L423" s="49" t="s">
        <v>96</v>
      </c>
      <c r="M423" s="49"/>
      <c r="N423" s="49"/>
      <c r="O423" s="48"/>
      <c r="P423" s="49" t="str">
        <f t="shared" si="18"/>
        <v>DÜZELTME</v>
      </c>
      <c r="R423" s="50" t="str">
        <f t="shared" si="19"/>
        <v/>
      </c>
      <c r="U423" s="28">
        <f>IF($C423&lt;&gt;"",COUNTIF($C$2:C423,C423),"")</f>
        <v>9</v>
      </c>
      <c r="V423" s="28" t="str">
        <f t="shared" si="20"/>
        <v>Prof. Dr. Yasemin ÖZSÜREKCİ§9</v>
      </c>
      <c r="W423" s="28" t="str">
        <f>IF(U423=1,COUNTIF($U$2:U423,1),"")</f>
        <v/>
      </c>
    </row>
    <row r="424" spans="1:23" ht="78.75" customHeight="1" x14ac:dyDescent="0.25">
      <c r="A424" s="42" t="s">
        <v>2081</v>
      </c>
      <c r="B424" s="42" t="s">
        <v>2082</v>
      </c>
      <c r="C424" s="43" t="s">
        <v>2083</v>
      </c>
      <c r="D424" s="43" t="s">
        <v>237</v>
      </c>
      <c r="E424" s="44" t="s">
        <v>2084</v>
      </c>
      <c r="F424" s="44" t="s">
        <v>2085</v>
      </c>
      <c r="G424" s="45" t="s">
        <v>34</v>
      </c>
      <c r="H424" s="47">
        <v>46139</v>
      </c>
      <c r="I424" s="47">
        <v>46154</v>
      </c>
      <c r="J424" s="43" t="s">
        <v>113</v>
      </c>
      <c r="K424" s="43" t="s">
        <v>128</v>
      </c>
      <c r="L424" s="49" t="s">
        <v>96</v>
      </c>
      <c r="M424" s="49" t="s">
        <v>69</v>
      </c>
      <c r="N424" s="49"/>
      <c r="O424" s="48"/>
      <c r="P424" s="49" t="str">
        <f t="shared" si="18"/>
        <v>ONAY</v>
      </c>
      <c r="Q424" s="27" t="s">
        <v>128</v>
      </c>
      <c r="R424" s="50" t="str">
        <f t="shared" si="19"/>
        <v/>
      </c>
      <c r="U424" s="28">
        <f>IF($C424&lt;&gt;"",COUNTIF($C$2:C424,C424),"")</f>
        <v>1</v>
      </c>
      <c r="V424" s="28" t="str">
        <f t="shared" si="20"/>
        <v>Doç. Dr. Kısmet ÇIKI§1</v>
      </c>
      <c r="W424" s="28">
        <f>IF(U424=1,COUNTIF($U$2:U424,1),"")</f>
        <v>234</v>
      </c>
    </row>
    <row r="425" spans="1:23" ht="94.5" customHeight="1" x14ac:dyDescent="0.25">
      <c r="A425" s="42" t="s">
        <v>2086</v>
      </c>
      <c r="B425" s="42" t="s">
        <v>2087</v>
      </c>
      <c r="C425" s="43" t="s">
        <v>826</v>
      </c>
      <c r="D425" s="43" t="s">
        <v>237</v>
      </c>
      <c r="E425" s="44" t="s">
        <v>2088</v>
      </c>
      <c r="F425" s="44" t="s">
        <v>2089</v>
      </c>
      <c r="G425" s="45" t="s">
        <v>34</v>
      </c>
      <c r="H425" s="47">
        <v>46139</v>
      </c>
      <c r="I425" s="47">
        <v>46154</v>
      </c>
      <c r="J425" s="43" t="s">
        <v>113</v>
      </c>
      <c r="K425" s="43" t="s">
        <v>68</v>
      </c>
      <c r="L425" s="49" t="s">
        <v>69</v>
      </c>
      <c r="M425" s="49"/>
      <c r="N425" s="49"/>
      <c r="O425" s="48"/>
      <c r="P425" s="49" t="str">
        <f t="shared" si="18"/>
        <v>ONAY</v>
      </c>
      <c r="R425" s="50" t="str">
        <f t="shared" si="19"/>
        <v/>
      </c>
      <c r="U425" s="28">
        <f>IF($C425&lt;&gt;"",COUNTIF($C$2:C425,C425),"")</f>
        <v>2</v>
      </c>
      <c r="V425" s="28" t="str">
        <f t="shared" si="20"/>
        <v>Prof. Dr. Deniz DOĞRU ERSÖZ§2</v>
      </c>
      <c r="W425" s="28" t="str">
        <f>IF(U425=1,COUNTIF($U$2:U425,1),"")</f>
        <v/>
      </c>
    </row>
    <row r="426" spans="1:23" ht="64.5" customHeight="1" x14ac:dyDescent="0.25">
      <c r="A426" s="42" t="s">
        <v>2090</v>
      </c>
      <c r="B426" s="42" t="s">
        <v>2091</v>
      </c>
      <c r="C426" s="43" t="s">
        <v>2092</v>
      </c>
      <c r="D426" s="43" t="s">
        <v>1524</v>
      </c>
      <c r="E426" s="44" t="s">
        <v>2093</v>
      </c>
      <c r="F426" s="44" t="s">
        <v>2094</v>
      </c>
      <c r="G426" s="45" t="s">
        <v>34</v>
      </c>
      <c r="H426" s="47">
        <v>46139</v>
      </c>
      <c r="I426" s="47">
        <v>46154</v>
      </c>
      <c r="J426" s="43" t="s">
        <v>86</v>
      </c>
      <c r="K426" s="43" t="s">
        <v>77</v>
      </c>
      <c r="L426" s="49" t="s">
        <v>69</v>
      </c>
      <c r="M426" s="49"/>
      <c r="N426" s="49"/>
      <c r="O426" s="48"/>
      <c r="P426" s="49" t="str">
        <f t="shared" si="18"/>
        <v>ONAY</v>
      </c>
      <c r="R426" s="50" t="str">
        <f t="shared" si="19"/>
        <v/>
      </c>
      <c r="U426" s="28">
        <f>IF($C426&lt;&gt;"",COUNTIF($C$2:C426,C426),"")</f>
        <v>1</v>
      </c>
      <c r="V426" s="28" t="str">
        <f t="shared" si="20"/>
        <v>Prof. Dr. Alp USUBÜTÜN§1</v>
      </c>
      <c r="W426" s="28">
        <f>IF(U426=1,COUNTIF($U$2:U426,1),"")</f>
        <v>235</v>
      </c>
    </row>
    <row r="427" spans="1:23" ht="75" customHeight="1" x14ac:dyDescent="0.25">
      <c r="A427" s="42" t="s">
        <v>2095</v>
      </c>
      <c r="B427" s="42" t="s">
        <v>2096</v>
      </c>
      <c r="C427" s="43" t="s">
        <v>1278</v>
      </c>
      <c r="D427" s="43" t="s">
        <v>237</v>
      </c>
      <c r="E427" s="44" t="s">
        <v>2097</v>
      </c>
      <c r="F427" s="44" t="s">
        <v>2098</v>
      </c>
      <c r="G427" s="45" t="s">
        <v>34</v>
      </c>
      <c r="H427" s="47">
        <v>46139</v>
      </c>
      <c r="I427" s="47">
        <v>46154</v>
      </c>
      <c r="J427" s="43" t="s">
        <v>67</v>
      </c>
      <c r="K427" s="43" t="s">
        <v>95</v>
      </c>
      <c r="L427" s="49" t="s">
        <v>69</v>
      </c>
      <c r="M427" s="49"/>
      <c r="N427" s="49"/>
      <c r="O427" s="48"/>
      <c r="P427" s="49" t="str">
        <f t="shared" si="18"/>
        <v>ONAY</v>
      </c>
      <c r="R427" s="50" t="str">
        <f t="shared" si="19"/>
        <v/>
      </c>
      <c r="U427" s="28">
        <f>IF($C427&lt;&gt;"",COUNTIF($C$2:C427,C427),"")</f>
        <v>4</v>
      </c>
      <c r="V427" s="28" t="str">
        <f t="shared" si="20"/>
        <v>Prof. Dr. Şule ÜNAL CANGÜL§4</v>
      </c>
      <c r="W427" s="28" t="str">
        <f>IF(U427=1,COUNTIF($U$2:U427,1),"")</f>
        <v/>
      </c>
    </row>
    <row r="428" spans="1:23" ht="63" customHeight="1" x14ac:dyDescent="0.25">
      <c r="A428" s="42" t="s">
        <v>2099</v>
      </c>
      <c r="B428" s="42" t="s">
        <v>2100</v>
      </c>
      <c r="C428" s="43" t="s">
        <v>1616</v>
      </c>
      <c r="D428" s="43" t="s">
        <v>110</v>
      </c>
      <c r="E428" s="44" t="s">
        <v>2101</v>
      </c>
      <c r="F428" s="44" t="s">
        <v>2102</v>
      </c>
      <c r="G428" s="45" t="s">
        <v>34</v>
      </c>
      <c r="H428" s="47">
        <v>46139</v>
      </c>
      <c r="I428" s="47">
        <v>46154</v>
      </c>
      <c r="J428" s="43" t="s">
        <v>85</v>
      </c>
      <c r="K428" s="43" t="s">
        <v>128</v>
      </c>
      <c r="L428" s="49" t="s">
        <v>96</v>
      </c>
      <c r="M428" s="49" t="s">
        <v>69</v>
      </c>
      <c r="N428" s="49"/>
      <c r="O428" s="48"/>
      <c r="P428" s="49" t="str">
        <f t="shared" si="18"/>
        <v>ONAY</v>
      </c>
      <c r="Q428" s="27" t="s">
        <v>128</v>
      </c>
      <c r="R428" s="50" t="str">
        <f t="shared" si="19"/>
        <v/>
      </c>
      <c r="U428" s="28">
        <f>IF($C428&lt;&gt;"",COUNTIF($C$2:C428,C428),"")</f>
        <v>4</v>
      </c>
      <c r="V428" s="28" t="str">
        <f t="shared" si="20"/>
        <v>Doç. Dr. Cafer BALCI§4</v>
      </c>
      <c r="W428" s="28" t="str">
        <f>IF(U428=1,COUNTIF($U$2:U428,1),"")</f>
        <v/>
      </c>
    </row>
    <row r="429" spans="1:23" ht="78.75" customHeight="1" x14ac:dyDescent="0.25">
      <c r="A429" s="42" t="s">
        <v>2103</v>
      </c>
      <c r="B429" s="42" t="s">
        <v>2104</v>
      </c>
      <c r="C429" s="43" t="s">
        <v>2105</v>
      </c>
      <c r="D429" s="43" t="s">
        <v>237</v>
      </c>
      <c r="E429" s="44" t="s">
        <v>2106</v>
      </c>
      <c r="F429" s="44" t="s">
        <v>2107</v>
      </c>
      <c r="G429" s="45" t="s">
        <v>34</v>
      </c>
      <c r="H429" s="47">
        <v>46140</v>
      </c>
      <c r="I429" s="47">
        <v>46154</v>
      </c>
      <c r="J429" s="43" t="s">
        <v>104</v>
      </c>
      <c r="K429" s="43" t="s">
        <v>121</v>
      </c>
      <c r="L429" s="49" t="s">
        <v>96</v>
      </c>
      <c r="M429" s="49" t="s">
        <v>69</v>
      </c>
      <c r="N429" s="49"/>
      <c r="O429" s="48"/>
      <c r="P429" s="49" t="str">
        <f t="shared" si="18"/>
        <v>ONAY</v>
      </c>
      <c r="Q429" s="27" t="s">
        <v>104</v>
      </c>
      <c r="R429" s="50" t="str">
        <f t="shared" si="19"/>
        <v/>
      </c>
      <c r="U429" s="28">
        <f>IF($C429&lt;&gt;"",COUNTIF($C$2:C429,C429),"")</f>
        <v>1</v>
      </c>
      <c r="V429" s="28" t="str">
        <f t="shared" si="20"/>
        <v>Doç. Dr. Tekin AKSU§1</v>
      </c>
      <c r="W429" s="28">
        <f>IF(U429=1,COUNTIF($U$2:U429,1),"")</f>
        <v>236</v>
      </c>
    </row>
    <row r="430" spans="1:23" ht="63" customHeight="1" x14ac:dyDescent="0.25">
      <c r="A430" s="42" t="s">
        <v>2108</v>
      </c>
      <c r="B430" s="42" t="s">
        <v>2109</v>
      </c>
      <c r="C430" s="43" t="s">
        <v>2110</v>
      </c>
      <c r="D430" s="43" t="s">
        <v>110</v>
      </c>
      <c r="E430" s="44" t="s">
        <v>2111</v>
      </c>
      <c r="F430" s="44" t="s">
        <v>2112</v>
      </c>
      <c r="G430" s="45" t="s">
        <v>34</v>
      </c>
      <c r="H430" s="47">
        <v>46140</v>
      </c>
      <c r="I430" s="47">
        <v>46154</v>
      </c>
      <c r="J430" s="43" t="s">
        <v>105</v>
      </c>
      <c r="K430" s="43" t="s">
        <v>77</v>
      </c>
      <c r="L430" s="49" t="s">
        <v>96</v>
      </c>
      <c r="M430" s="49" t="s">
        <v>69</v>
      </c>
      <c r="N430" s="49"/>
      <c r="O430" s="48"/>
      <c r="P430" s="49" t="str">
        <f t="shared" si="18"/>
        <v>ONAY</v>
      </c>
      <c r="Q430" s="27" t="s">
        <v>105</v>
      </c>
      <c r="R430" s="50" t="str">
        <f t="shared" si="19"/>
        <v/>
      </c>
      <c r="U430" s="28">
        <f>IF($C430&lt;&gt;"",COUNTIF($C$2:C430,C430),"")</f>
        <v>1</v>
      </c>
      <c r="V430" s="28" t="str">
        <f t="shared" si="20"/>
        <v>Prof. Dr. Ümit Yavuz MALKAN§1</v>
      </c>
      <c r="W430" s="28">
        <f>IF(U430=1,COUNTIF($U$2:U430,1),"")</f>
        <v>237</v>
      </c>
    </row>
    <row r="431" spans="1:23" ht="63" customHeight="1" x14ac:dyDescent="0.25">
      <c r="A431" s="42" t="s">
        <v>2113</v>
      </c>
      <c r="B431" s="42" t="s">
        <v>2114</v>
      </c>
      <c r="C431" s="43" t="s">
        <v>2110</v>
      </c>
      <c r="D431" s="43" t="s">
        <v>110</v>
      </c>
      <c r="E431" s="44" t="s">
        <v>2111</v>
      </c>
      <c r="F431" s="44" t="s">
        <v>2115</v>
      </c>
      <c r="G431" s="45" t="s">
        <v>34</v>
      </c>
      <c r="H431" s="47">
        <v>46140</v>
      </c>
      <c r="I431" s="47">
        <v>46154</v>
      </c>
      <c r="J431" s="43" t="s">
        <v>105</v>
      </c>
      <c r="K431" s="43" t="s">
        <v>77</v>
      </c>
      <c r="L431" s="49" t="s">
        <v>69</v>
      </c>
      <c r="M431" s="49"/>
      <c r="N431" s="49"/>
      <c r="O431" s="48"/>
      <c r="P431" s="49" t="str">
        <f t="shared" si="18"/>
        <v>ONAY</v>
      </c>
      <c r="R431" s="50" t="str">
        <f t="shared" si="19"/>
        <v/>
      </c>
      <c r="U431" s="28">
        <f>IF($C431&lt;&gt;"",COUNTIF($C$2:C431,C431),"")</f>
        <v>2</v>
      </c>
      <c r="V431" s="28" t="str">
        <f t="shared" si="20"/>
        <v>Prof. Dr. Ümit Yavuz MALKAN§2</v>
      </c>
      <c r="W431" s="28" t="str">
        <f>IF(U431=1,COUNTIF($U$2:U431,1),"")</f>
        <v/>
      </c>
    </row>
    <row r="432" spans="1:23" ht="63" customHeight="1" x14ac:dyDescent="0.25">
      <c r="A432" s="42" t="s">
        <v>2116</v>
      </c>
      <c r="B432" s="42" t="s">
        <v>2117</v>
      </c>
      <c r="C432" s="43" t="s">
        <v>2118</v>
      </c>
      <c r="D432" s="43" t="s">
        <v>237</v>
      </c>
      <c r="E432" s="44" t="s">
        <v>2119</v>
      </c>
      <c r="F432" s="44" t="s">
        <v>2120</v>
      </c>
      <c r="G432" s="45" t="s">
        <v>35</v>
      </c>
      <c r="H432" s="47">
        <v>46140</v>
      </c>
      <c r="I432" s="47">
        <v>46154</v>
      </c>
      <c r="J432" s="43" t="s">
        <v>85</v>
      </c>
      <c r="K432" s="43" t="s">
        <v>95</v>
      </c>
      <c r="L432" s="49" t="s">
        <v>69</v>
      </c>
      <c r="M432" s="49"/>
      <c r="N432" s="49"/>
      <c r="O432" s="48"/>
      <c r="P432" s="49" t="str">
        <f t="shared" si="18"/>
        <v>ONAY</v>
      </c>
      <c r="R432" s="50" t="str">
        <f t="shared" si="19"/>
        <v/>
      </c>
      <c r="U432" s="28">
        <f>IF($C432&lt;&gt;"",COUNTIF($C$2:C432,C432),"")</f>
        <v>1</v>
      </c>
      <c r="V432" s="28" t="str">
        <f t="shared" si="20"/>
        <v>Doç. Dr. Eda Didem KURT ŞÜKÜR§1</v>
      </c>
      <c r="W432" s="28">
        <f>IF(U432=1,COUNTIF($U$2:U432,1),"")</f>
        <v>238</v>
      </c>
    </row>
    <row r="433" spans="1:23" ht="63" customHeight="1" x14ac:dyDescent="0.25">
      <c r="A433" s="42" t="s">
        <v>2121</v>
      </c>
      <c r="B433" s="42" t="s">
        <v>2122</v>
      </c>
      <c r="C433" s="43" t="s">
        <v>121</v>
      </c>
      <c r="D433" s="43" t="s">
        <v>118</v>
      </c>
      <c r="E433" s="44" t="s">
        <v>2123</v>
      </c>
      <c r="F433" s="44" t="s">
        <v>2124</v>
      </c>
      <c r="G433" s="45" t="s">
        <v>34</v>
      </c>
      <c r="H433" s="47">
        <v>46140</v>
      </c>
      <c r="I433" s="47">
        <v>46154</v>
      </c>
      <c r="J433" s="43" t="s">
        <v>113</v>
      </c>
      <c r="K433" s="43" t="s">
        <v>85</v>
      </c>
      <c r="L433" s="49" t="s">
        <v>69</v>
      </c>
      <c r="M433" s="49"/>
      <c r="N433" s="49"/>
      <c r="O433" s="48"/>
      <c r="P433" s="49" t="str">
        <f t="shared" si="18"/>
        <v>ONAY</v>
      </c>
      <c r="R433" s="50" t="str">
        <f t="shared" si="19"/>
        <v/>
      </c>
      <c r="U433" s="28">
        <f>IF($C433&lt;&gt;"",COUNTIF($C$2:C433,C433),"")</f>
        <v>1</v>
      </c>
      <c r="V433" s="28" t="str">
        <f t="shared" si="20"/>
        <v>Prof. Dr. M. Özgür UYANIK§1</v>
      </c>
      <c r="W433" s="28">
        <f>IF(U433=1,COUNTIF($U$2:U433,1),"")</f>
        <v>239</v>
      </c>
    </row>
    <row r="434" spans="1:23" ht="78.75" customHeight="1" x14ac:dyDescent="0.25">
      <c r="A434" s="42" t="s">
        <v>2125</v>
      </c>
      <c r="B434" s="42" t="s">
        <v>2126</v>
      </c>
      <c r="C434" s="43" t="s">
        <v>2127</v>
      </c>
      <c r="D434" s="43" t="s">
        <v>372</v>
      </c>
      <c r="E434" s="44" t="s">
        <v>2128</v>
      </c>
      <c r="F434" s="44" t="s">
        <v>2129</v>
      </c>
      <c r="G434" s="45" t="s">
        <v>34</v>
      </c>
      <c r="H434" s="47">
        <v>46140</v>
      </c>
      <c r="I434" s="47">
        <v>46154</v>
      </c>
      <c r="J434" s="43" t="s">
        <v>86</v>
      </c>
      <c r="K434" s="43" t="s">
        <v>94</v>
      </c>
      <c r="L434" s="49" t="s">
        <v>69</v>
      </c>
      <c r="M434" s="49"/>
      <c r="N434" s="49"/>
      <c r="O434" s="48"/>
      <c r="P434" s="49" t="str">
        <f t="shared" si="18"/>
        <v>ONAY</v>
      </c>
      <c r="R434" s="50" t="str">
        <f t="shared" si="19"/>
        <v/>
      </c>
      <c r="U434" s="28">
        <f>IF($C434&lt;&gt;"",COUNTIF($C$2:C434,C434),"")</f>
        <v>1</v>
      </c>
      <c r="V434" s="28" t="str">
        <f t="shared" si="20"/>
        <v>Dr. Öğr. Üyesi Leyla HUSEYNOVA TERZİ§1</v>
      </c>
      <c r="W434" s="28">
        <f>IF(U434=1,COUNTIF($U$2:U434,1),"")</f>
        <v>240</v>
      </c>
    </row>
    <row r="435" spans="1:23" ht="78.75" customHeight="1" x14ac:dyDescent="0.25">
      <c r="A435" s="42" t="s">
        <v>2130</v>
      </c>
      <c r="B435" s="42" t="s">
        <v>2131</v>
      </c>
      <c r="C435" s="43" t="s">
        <v>2132</v>
      </c>
      <c r="D435" s="43" t="s">
        <v>215</v>
      </c>
      <c r="E435" s="44" t="s">
        <v>2133</v>
      </c>
      <c r="F435" s="44" t="s">
        <v>2134</v>
      </c>
      <c r="G435" s="45" t="s">
        <v>34</v>
      </c>
      <c r="H435" s="47">
        <v>46141</v>
      </c>
      <c r="I435" s="47">
        <v>46154</v>
      </c>
      <c r="J435" s="43" t="s">
        <v>67</v>
      </c>
      <c r="K435" s="43" t="s">
        <v>94</v>
      </c>
      <c r="L435" s="49" t="s">
        <v>96</v>
      </c>
      <c r="M435" s="49" t="s">
        <v>69</v>
      </c>
      <c r="N435" s="49"/>
      <c r="O435" s="48"/>
      <c r="P435" s="49" t="str">
        <f t="shared" si="18"/>
        <v>ONAY</v>
      </c>
      <c r="Q435" s="27" t="s">
        <v>67</v>
      </c>
      <c r="R435" s="50" t="str">
        <f t="shared" si="19"/>
        <v/>
      </c>
      <c r="U435" s="28">
        <f>IF($C435&lt;&gt;"",COUNTIF($C$2:C435,C435),"")</f>
        <v>1</v>
      </c>
      <c r="V435" s="28" t="str">
        <f t="shared" si="20"/>
        <v>Prof. Dr. Tarık TUNCAY§1</v>
      </c>
      <c r="W435" s="28">
        <f>IF(U435=1,COUNTIF($U$2:U435,1),"")</f>
        <v>241</v>
      </c>
    </row>
    <row r="436" spans="1:23" ht="63" customHeight="1" x14ac:dyDescent="0.25">
      <c r="A436" s="42" t="s">
        <v>2135</v>
      </c>
      <c r="B436" s="42" t="s">
        <v>2136</v>
      </c>
      <c r="C436" s="43" t="s">
        <v>2137</v>
      </c>
      <c r="D436" s="43" t="s">
        <v>237</v>
      </c>
      <c r="E436" s="44" t="s">
        <v>2138</v>
      </c>
      <c r="F436" s="44" t="s">
        <v>2139</v>
      </c>
      <c r="G436" s="45" t="s">
        <v>34</v>
      </c>
      <c r="H436" s="47">
        <v>46141</v>
      </c>
      <c r="I436" s="47">
        <v>46154</v>
      </c>
      <c r="J436" s="43" t="s">
        <v>104</v>
      </c>
      <c r="K436" s="43" t="s">
        <v>95</v>
      </c>
      <c r="L436" s="49" t="s">
        <v>156</v>
      </c>
      <c r="M436" s="49"/>
      <c r="N436" s="49"/>
      <c r="O436" s="48"/>
      <c r="P436" s="49" t="str">
        <f t="shared" si="18"/>
        <v>KAPSAM DIŞI</v>
      </c>
      <c r="R436" s="50" t="str">
        <f t="shared" si="19"/>
        <v/>
      </c>
      <c r="U436" s="28">
        <f>IF($C436&lt;&gt;"",COUNTIF($C$2:C436,C436),"")</f>
        <v>1</v>
      </c>
      <c r="V436" s="28" t="str">
        <f t="shared" si="20"/>
        <v>Arş. Gör. Dr. Şeyma KAHRAMAN§1</v>
      </c>
      <c r="W436" s="28">
        <f>IF(U436=1,COUNTIF($U$2:U436,1),"")</f>
        <v>242</v>
      </c>
    </row>
    <row r="437" spans="1:23" ht="64.5" customHeight="1" x14ac:dyDescent="0.25">
      <c r="A437" s="42" t="s">
        <v>2140</v>
      </c>
      <c r="B437" s="42" t="s">
        <v>2141</v>
      </c>
      <c r="C437" s="43" t="s">
        <v>1384</v>
      </c>
      <c r="D437" s="43" t="s">
        <v>110</v>
      </c>
      <c r="E437" s="44" t="s">
        <v>2142</v>
      </c>
      <c r="F437" s="44" t="s">
        <v>2143</v>
      </c>
      <c r="G437" s="45" t="s">
        <v>34</v>
      </c>
      <c r="H437" s="47">
        <v>46141</v>
      </c>
      <c r="I437" s="47">
        <v>46154</v>
      </c>
      <c r="J437" s="43" t="s">
        <v>128</v>
      </c>
      <c r="K437" s="43" t="s">
        <v>113</v>
      </c>
      <c r="L437" s="49" t="s">
        <v>96</v>
      </c>
      <c r="M437" s="49" t="s">
        <v>218</v>
      </c>
      <c r="N437" s="49"/>
      <c r="O437" s="48"/>
      <c r="P437" s="49" t="str">
        <f t="shared" si="18"/>
        <v>GÖRÜŞ</v>
      </c>
      <c r="R437" s="50" t="str">
        <f t="shared" si="19"/>
        <v/>
      </c>
      <c r="U437" s="28">
        <f>IF($C437&lt;&gt;"",COUNTIF($C$2:C437,C437),"")</f>
        <v>7</v>
      </c>
      <c r="V437" s="28" t="str">
        <f t="shared" si="20"/>
        <v>Prof. Dr. Burcu Balam DOĞU§7</v>
      </c>
      <c r="W437" s="28" t="str">
        <f>IF(U437=1,COUNTIF($U$2:U437,1),"")</f>
        <v/>
      </c>
    </row>
    <row r="438" spans="1:23" ht="47.25" customHeight="1" x14ac:dyDescent="0.25">
      <c r="A438" s="42" t="s">
        <v>2144</v>
      </c>
      <c r="B438" s="42" t="s">
        <v>2145</v>
      </c>
      <c r="C438" s="43" t="s">
        <v>550</v>
      </c>
      <c r="D438" s="43" t="s">
        <v>395</v>
      </c>
      <c r="E438" s="44" t="s">
        <v>2146</v>
      </c>
      <c r="F438" s="44" t="s">
        <v>2147</v>
      </c>
      <c r="G438" s="45" t="s">
        <v>34</v>
      </c>
      <c r="H438" s="47">
        <v>46141</v>
      </c>
      <c r="I438" s="47">
        <v>46154</v>
      </c>
      <c r="J438" s="43" t="s">
        <v>104</v>
      </c>
      <c r="K438" s="43" t="s">
        <v>86</v>
      </c>
      <c r="L438" s="49" t="s">
        <v>69</v>
      </c>
      <c r="M438" s="49"/>
      <c r="N438" s="49"/>
      <c r="O438" s="48"/>
      <c r="P438" s="49" t="str">
        <f t="shared" si="18"/>
        <v>ONAY</v>
      </c>
      <c r="R438" s="50" t="str">
        <f t="shared" si="19"/>
        <v/>
      </c>
      <c r="U438" s="28">
        <f>IF($C438&lt;&gt;"",COUNTIF($C$2:C438,C438),"")</f>
        <v>4</v>
      </c>
      <c r="V438" s="28" t="str">
        <f t="shared" si="20"/>
        <v>Prof. Dr. Neşe DERİCİOĞLU§4</v>
      </c>
      <c r="W438" s="28" t="str">
        <f>IF(U438=1,COUNTIF($U$2:U438,1),"")</f>
        <v/>
      </c>
    </row>
    <row r="439" spans="1:23" ht="78.75" customHeight="1" x14ac:dyDescent="0.25">
      <c r="A439" s="42" t="s">
        <v>2148</v>
      </c>
      <c r="B439" s="42" t="s">
        <v>2149</v>
      </c>
      <c r="C439" s="43" t="s">
        <v>1410</v>
      </c>
      <c r="D439" s="43" t="s">
        <v>237</v>
      </c>
      <c r="E439" s="44" t="s">
        <v>2150</v>
      </c>
      <c r="F439" s="44" t="s">
        <v>2151</v>
      </c>
      <c r="G439" s="45" t="s">
        <v>34</v>
      </c>
      <c r="H439" s="47">
        <v>46142</v>
      </c>
      <c r="I439" s="47">
        <v>46154</v>
      </c>
      <c r="J439" s="43" t="s">
        <v>67</v>
      </c>
      <c r="K439" s="43" t="s">
        <v>113</v>
      </c>
      <c r="L439" s="49" t="s">
        <v>69</v>
      </c>
      <c r="M439" s="49"/>
      <c r="N439" s="49"/>
      <c r="O439" s="48"/>
      <c r="P439" s="49" t="str">
        <f t="shared" si="18"/>
        <v>ONAY</v>
      </c>
      <c r="R439" s="50" t="str">
        <f t="shared" si="19"/>
        <v/>
      </c>
      <c r="U439" s="28">
        <f>IF($C439&lt;&gt;"",COUNTIF($C$2:C439,C439),"")</f>
        <v>3</v>
      </c>
      <c r="V439" s="28" t="str">
        <f t="shared" si="20"/>
        <v>Dr. Öğr. Üyesi Gizem ÜREL DEMİR§3</v>
      </c>
      <c r="W439" s="28" t="str">
        <f>IF(U439=1,COUNTIF($U$2:U439,1),"")</f>
        <v/>
      </c>
    </row>
    <row r="440" spans="1:23" ht="78.75" customHeight="1" x14ac:dyDescent="0.25">
      <c r="A440" s="42" t="s">
        <v>2152</v>
      </c>
      <c r="B440" s="42" t="s">
        <v>2153</v>
      </c>
      <c r="C440" s="43" t="s">
        <v>1729</v>
      </c>
      <c r="D440" s="43" t="s">
        <v>1174</v>
      </c>
      <c r="E440" s="44" t="s">
        <v>2154</v>
      </c>
      <c r="F440" s="44" t="s">
        <v>2155</v>
      </c>
      <c r="G440" s="45" t="s">
        <v>34</v>
      </c>
      <c r="H440" s="47">
        <v>46142</v>
      </c>
      <c r="I440" s="47">
        <v>46154</v>
      </c>
      <c r="J440" s="43" t="s">
        <v>85</v>
      </c>
      <c r="K440" s="43" t="s">
        <v>77</v>
      </c>
      <c r="L440" s="49" t="s">
        <v>69</v>
      </c>
      <c r="M440" s="49"/>
      <c r="N440" s="49"/>
      <c r="O440" s="48"/>
      <c r="P440" s="49" t="str">
        <f t="shared" si="18"/>
        <v>ONAY</v>
      </c>
      <c r="R440" s="50" t="str">
        <f t="shared" si="19"/>
        <v/>
      </c>
      <c r="U440" s="28">
        <f>IF($C440&lt;&gt;"",COUNTIF($C$2:C440,C440),"")</f>
        <v>2</v>
      </c>
      <c r="V440" s="28" t="str">
        <f t="shared" si="20"/>
        <v>Doç. Dr. Galip Gencay ÜSTÜN§2</v>
      </c>
      <c r="W440" s="28" t="str">
        <f>IF(U440=1,COUNTIF($U$2:U440,1),"")</f>
        <v/>
      </c>
    </row>
    <row r="441" spans="1:23" ht="63" customHeight="1" x14ac:dyDescent="0.25">
      <c r="A441" s="42" t="s">
        <v>2156</v>
      </c>
      <c r="B441" s="42" t="s">
        <v>2157</v>
      </c>
      <c r="C441" s="43" t="s">
        <v>2158</v>
      </c>
      <c r="D441" s="43" t="s">
        <v>2159</v>
      </c>
      <c r="E441" s="44" t="s">
        <v>2160</v>
      </c>
      <c r="F441" s="44" t="s">
        <v>2161</v>
      </c>
      <c r="G441" s="45" t="s">
        <v>37</v>
      </c>
      <c r="H441" s="47">
        <v>46146</v>
      </c>
      <c r="I441" s="47">
        <v>46154</v>
      </c>
      <c r="J441" s="43" t="s">
        <v>104</v>
      </c>
      <c r="K441" s="43" t="s">
        <v>95</v>
      </c>
      <c r="L441" s="49" t="s">
        <v>69</v>
      </c>
      <c r="M441" s="49"/>
      <c r="N441" s="49"/>
      <c r="O441" s="48"/>
      <c r="P441" s="49" t="str">
        <f t="shared" si="18"/>
        <v>ONAY</v>
      </c>
      <c r="R441" s="50" t="str">
        <f t="shared" si="19"/>
        <v/>
      </c>
      <c r="U441" s="28">
        <f>IF($C441&lt;&gt;"",COUNTIF($C$2:C441,C441),"")</f>
        <v>1</v>
      </c>
      <c r="V441" s="28" t="str">
        <f t="shared" si="20"/>
        <v>Doç. Dr. Ayşe Bikem KARGI§1</v>
      </c>
      <c r="W441" s="28">
        <f>IF(U441=1,COUNTIF($U$2:U441,1),"")</f>
        <v>243</v>
      </c>
    </row>
    <row r="442" spans="1:23" ht="78.75" customHeight="1" x14ac:dyDescent="0.25">
      <c r="A442" s="42" t="s">
        <v>2162</v>
      </c>
      <c r="B442" s="42" t="s">
        <v>2163</v>
      </c>
      <c r="C442" s="43" t="s">
        <v>2164</v>
      </c>
      <c r="D442" s="43" t="s">
        <v>237</v>
      </c>
      <c r="E442" s="44" t="s">
        <v>2165</v>
      </c>
      <c r="F442" s="44" t="s">
        <v>2166</v>
      </c>
      <c r="G442" s="45" t="s">
        <v>34</v>
      </c>
      <c r="H442" s="47">
        <v>46146</v>
      </c>
      <c r="I442" s="47">
        <v>46154</v>
      </c>
      <c r="J442" s="43" t="s">
        <v>67</v>
      </c>
      <c r="K442" s="43" t="s">
        <v>121</v>
      </c>
      <c r="L442" s="49" t="s">
        <v>69</v>
      </c>
      <c r="M442" s="49"/>
      <c r="N442" s="49"/>
      <c r="O442" s="48"/>
      <c r="P442" s="49" t="str">
        <f t="shared" si="18"/>
        <v>ONAY</v>
      </c>
      <c r="R442" s="50" t="str">
        <f t="shared" si="19"/>
        <v/>
      </c>
      <c r="U442" s="28">
        <f>IF($C442&lt;&gt;"",COUNTIF($C$2:C442,C442),"")</f>
        <v>1</v>
      </c>
      <c r="V442" s="28" t="str">
        <f t="shared" si="20"/>
        <v>Prof. Dr. Pelin Özlem ŞİMŞEK KİPER§1</v>
      </c>
      <c r="W442" s="28">
        <f>IF(U442=1,COUNTIF($U$2:U442,1),"")</f>
        <v>244</v>
      </c>
    </row>
    <row r="443" spans="1:23" ht="63" customHeight="1" x14ac:dyDescent="0.25">
      <c r="A443" s="42" t="s">
        <v>2167</v>
      </c>
      <c r="B443" s="42" t="s">
        <v>2168</v>
      </c>
      <c r="C443" s="43" t="s">
        <v>109</v>
      </c>
      <c r="D443" s="43" t="s">
        <v>110</v>
      </c>
      <c r="E443" s="44" t="s">
        <v>1213</v>
      </c>
      <c r="F443" s="44" t="s">
        <v>2169</v>
      </c>
      <c r="G443" s="45" t="s">
        <v>34</v>
      </c>
      <c r="H443" s="47">
        <v>46146</v>
      </c>
      <c r="I443" s="47">
        <v>46154</v>
      </c>
      <c r="J443" s="43" t="s">
        <v>67</v>
      </c>
      <c r="K443" s="43" t="s">
        <v>128</v>
      </c>
      <c r="L443" s="49" t="s">
        <v>69</v>
      </c>
      <c r="M443" s="49"/>
      <c r="N443" s="49"/>
      <c r="O443" s="48"/>
      <c r="P443" s="49" t="str">
        <f t="shared" si="18"/>
        <v>ONAY</v>
      </c>
      <c r="R443" s="50" t="str">
        <f t="shared" si="19"/>
        <v/>
      </c>
      <c r="U443" s="28">
        <f>IF($C443&lt;&gt;"",COUNTIF($C$2:C443,C443),"")</f>
        <v>13</v>
      </c>
      <c r="V443" s="28" t="str">
        <f t="shared" si="20"/>
        <v>Prof. Dr. Meltem Gülhan HALİL§13</v>
      </c>
      <c r="W443" s="28" t="str">
        <f>IF(U443=1,COUNTIF($U$2:U443,1),"")</f>
        <v/>
      </c>
    </row>
    <row r="444" spans="1:23" ht="80.25" customHeight="1" x14ac:dyDescent="0.25">
      <c r="A444" s="42" t="s">
        <v>2170</v>
      </c>
      <c r="B444" s="42" t="s">
        <v>2171</v>
      </c>
      <c r="C444" s="43" t="s">
        <v>683</v>
      </c>
      <c r="D444" s="43" t="s">
        <v>395</v>
      </c>
      <c r="E444" s="44" t="s">
        <v>2172</v>
      </c>
      <c r="F444" s="44" t="s">
        <v>2173</v>
      </c>
      <c r="G444" s="45" t="s">
        <v>34</v>
      </c>
      <c r="H444" s="47">
        <v>46146</v>
      </c>
      <c r="I444" s="47">
        <v>46154</v>
      </c>
      <c r="J444" s="43" t="s">
        <v>104</v>
      </c>
      <c r="K444" s="43" t="s">
        <v>86</v>
      </c>
      <c r="L444" s="49" t="s">
        <v>69</v>
      </c>
      <c r="M444" s="49"/>
      <c r="N444" s="49"/>
      <c r="O444" s="48"/>
      <c r="P444" s="49" t="str">
        <f t="shared" si="18"/>
        <v>ONAY</v>
      </c>
      <c r="R444" s="50" t="str">
        <f t="shared" si="19"/>
        <v/>
      </c>
      <c r="U444" s="28">
        <f>IF($C444&lt;&gt;"",COUNTIF($C$2:C444,C444),"")</f>
        <v>4</v>
      </c>
      <c r="V444" s="28" t="str">
        <f t="shared" si="20"/>
        <v>Prof. Dr. Çağrı Mesut TEMUÇİN§4</v>
      </c>
      <c r="W444" s="28" t="str">
        <f>IF(U444=1,COUNTIF($U$2:U444,1),"")</f>
        <v/>
      </c>
    </row>
    <row r="445" spans="1:23" ht="78.75" customHeight="1" x14ac:dyDescent="0.25">
      <c r="A445" s="42" t="s">
        <v>2174</v>
      </c>
      <c r="B445" s="42" t="s">
        <v>2175</v>
      </c>
      <c r="C445" s="43" t="s">
        <v>2176</v>
      </c>
      <c r="D445" s="43" t="s">
        <v>1199</v>
      </c>
      <c r="E445" s="44" t="s">
        <v>2177</v>
      </c>
      <c r="F445" s="44" t="s">
        <v>2178</v>
      </c>
      <c r="G445" s="45" t="s">
        <v>34</v>
      </c>
      <c r="H445" s="47">
        <v>46146</v>
      </c>
      <c r="I445" s="47">
        <v>46154</v>
      </c>
      <c r="J445" s="43" t="s">
        <v>94</v>
      </c>
      <c r="K445" s="43" t="s">
        <v>68</v>
      </c>
      <c r="L445" s="49" t="s">
        <v>69</v>
      </c>
      <c r="M445" s="49"/>
      <c r="N445" s="49"/>
      <c r="O445" s="48"/>
      <c r="P445" s="49" t="str">
        <f t="shared" si="18"/>
        <v>ONAY</v>
      </c>
      <c r="R445" s="50" t="str">
        <f t="shared" si="19"/>
        <v/>
      </c>
      <c r="U445" s="28">
        <f>IF($C445&lt;&gt;"",COUNTIF($C$2:C445,C445),"")</f>
        <v>1</v>
      </c>
      <c r="V445" s="28" t="str">
        <f t="shared" si="20"/>
        <v>Doç. Dr. Gülçin TELLİ DİZMAN§1</v>
      </c>
      <c r="W445" s="28">
        <f>IF(U445=1,COUNTIF($U$2:U445,1),"")</f>
        <v>245</v>
      </c>
    </row>
    <row r="446" spans="1:23" ht="63" customHeight="1" x14ac:dyDescent="0.25">
      <c r="A446" s="42" t="s">
        <v>2179</v>
      </c>
      <c r="B446" s="42" t="s">
        <v>2180</v>
      </c>
      <c r="C446" s="43" t="s">
        <v>1980</v>
      </c>
      <c r="D446" s="43" t="s">
        <v>118</v>
      </c>
      <c r="E446" s="44" t="s">
        <v>2181</v>
      </c>
      <c r="F446" s="44" t="s">
        <v>2182</v>
      </c>
      <c r="G446" s="45" t="s">
        <v>34</v>
      </c>
      <c r="H446" s="47">
        <v>46146</v>
      </c>
      <c r="I446" s="47">
        <v>46154</v>
      </c>
      <c r="J446" s="43" t="s">
        <v>121</v>
      </c>
      <c r="K446" s="43" t="s">
        <v>113</v>
      </c>
      <c r="L446" s="49" t="s">
        <v>69</v>
      </c>
      <c r="M446" s="49"/>
      <c r="N446" s="49"/>
      <c r="O446" s="48"/>
      <c r="P446" s="49" t="str">
        <f t="shared" si="18"/>
        <v>ONAY</v>
      </c>
      <c r="R446" s="50" t="str">
        <f t="shared" si="19"/>
        <v/>
      </c>
      <c r="U446" s="28">
        <f>IF($C446&lt;&gt;"",COUNTIF($C$2:C446,C446),"")</f>
        <v>2</v>
      </c>
      <c r="V446" s="28" t="str">
        <f t="shared" si="20"/>
        <v>Doç. Dr. Eda Ezgi ASLANTAŞ§2</v>
      </c>
      <c r="W446" s="28" t="str">
        <f>IF(U446=1,COUNTIF($U$2:U446,1),"")</f>
        <v/>
      </c>
    </row>
    <row r="447" spans="1:23" ht="47.25" customHeight="1" x14ac:dyDescent="0.25">
      <c r="A447" s="42" t="s">
        <v>2183</v>
      </c>
      <c r="B447" s="42" t="s">
        <v>2184</v>
      </c>
      <c r="C447" s="43" t="s">
        <v>540</v>
      </c>
      <c r="D447" s="43" t="s">
        <v>237</v>
      </c>
      <c r="E447" s="44" t="s">
        <v>2185</v>
      </c>
      <c r="F447" s="44" t="s">
        <v>2186</v>
      </c>
      <c r="G447" s="45" t="s">
        <v>34</v>
      </c>
      <c r="H447" s="47">
        <v>46146</v>
      </c>
      <c r="I447" s="47">
        <v>46154</v>
      </c>
      <c r="J447" s="43" t="s">
        <v>105</v>
      </c>
      <c r="K447" s="43" t="s">
        <v>121</v>
      </c>
      <c r="L447" s="49" t="s">
        <v>96</v>
      </c>
      <c r="M447" s="49"/>
      <c r="N447" s="49"/>
      <c r="O447" s="48"/>
      <c r="P447" s="49" t="str">
        <f t="shared" si="18"/>
        <v>DÜZELTME</v>
      </c>
      <c r="R447" s="50" t="str">
        <f t="shared" si="19"/>
        <v/>
      </c>
      <c r="U447" s="28">
        <f>IF($C447&lt;&gt;"",COUNTIF($C$2:C447,C447),"")</f>
        <v>2</v>
      </c>
      <c r="V447" s="28" t="str">
        <f t="shared" si="20"/>
        <v>Doç. Dr. Erdal SAĞ§2</v>
      </c>
      <c r="W447" s="28" t="str">
        <f>IF(U447=1,COUNTIF($U$2:U447,1),"")</f>
        <v/>
      </c>
    </row>
    <row r="448" spans="1:23" ht="46.5" customHeight="1" x14ac:dyDescent="0.25">
      <c r="A448" s="42" t="s">
        <v>2187</v>
      </c>
      <c r="B448" s="42" t="s">
        <v>2188</v>
      </c>
      <c r="C448" s="43" t="s">
        <v>555</v>
      </c>
      <c r="D448" s="43" t="s">
        <v>110</v>
      </c>
      <c r="E448" s="44" t="s">
        <v>2189</v>
      </c>
      <c r="F448" s="44" t="s">
        <v>2190</v>
      </c>
      <c r="G448" s="45" t="s">
        <v>34</v>
      </c>
      <c r="H448" s="47">
        <v>46146</v>
      </c>
      <c r="I448" s="47">
        <v>46154</v>
      </c>
      <c r="J448" s="43" t="s">
        <v>104</v>
      </c>
      <c r="K448" s="43" t="s">
        <v>77</v>
      </c>
      <c r="L448" s="49" t="s">
        <v>218</v>
      </c>
      <c r="M448" s="49" t="s">
        <v>232</v>
      </c>
      <c r="N448" s="49"/>
      <c r="O448" s="48"/>
      <c r="P448" s="49" t="str">
        <f t="shared" si="18"/>
        <v>KAEK</v>
      </c>
      <c r="R448" s="50" t="str">
        <f t="shared" si="19"/>
        <v/>
      </c>
      <c r="U448" s="28">
        <f>IF($C448&lt;&gt;"",COUNTIF($C$2:C448,C448),"")</f>
        <v>5</v>
      </c>
      <c r="V448" s="28" t="str">
        <f t="shared" si="20"/>
        <v>Doç. Dr. Mert EŞME§5</v>
      </c>
      <c r="W448" s="28" t="str">
        <f>IF(U448=1,COUNTIF($U$2:U448,1),"")</f>
        <v/>
      </c>
    </row>
    <row r="449" spans="1:23" ht="78.75" customHeight="1" x14ac:dyDescent="0.25">
      <c r="A449" s="42" t="s">
        <v>2191</v>
      </c>
      <c r="B449" s="42" t="s">
        <v>2192</v>
      </c>
      <c r="C449" s="43" t="s">
        <v>2193</v>
      </c>
      <c r="D449" s="43" t="s">
        <v>229</v>
      </c>
      <c r="E449" s="44" t="s">
        <v>2194</v>
      </c>
      <c r="F449" s="44" t="s">
        <v>2195</v>
      </c>
      <c r="G449" s="45" t="s">
        <v>34</v>
      </c>
      <c r="H449" s="47">
        <v>46146</v>
      </c>
      <c r="I449" s="47">
        <v>46154</v>
      </c>
      <c r="J449" s="43" t="s">
        <v>121</v>
      </c>
      <c r="K449" s="43" t="s">
        <v>128</v>
      </c>
      <c r="L449" s="49" t="s">
        <v>69</v>
      </c>
      <c r="M449" s="49"/>
      <c r="N449" s="49"/>
      <c r="O449" s="48"/>
      <c r="P449" s="49" t="str">
        <f t="shared" si="18"/>
        <v>ONAY</v>
      </c>
      <c r="R449" s="50" t="str">
        <f t="shared" si="19"/>
        <v/>
      </c>
      <c r="U449" s="28">
        <f>IF($C449&lt;&gt;"",COUNTIF($C$2:C449,C449),"")</f>
        <v>1</v>
      </c>
      <c r="V449" s="28" t="str">
        <f t="shared" si="20"/>
        <v>Prof. Dr. Alper AKTAŞ§1</v>
      </c>
      <c r="W449" s="28">
        <f>IF(U449=1,COUNTIF($U$2:U449,1),"")</f>
        <v>246</v>
      </c>
    </row>
    <row r="450" spans="1:23" ht="78.75" customHeight="1" x14ac:dyDescent="0.25">
      <c r="A450" s="42" t="s">
        <v>2196</v>
      </c>
      <c r="B450" s="42" t="s">
        <v>2197</v>
      </c>
      <c r="C450" s="43" t="s">
        <v>1458</v>
      </c>
      <c r="D450" s="43" t="s">
        <v>997</v>
      </c>
      <c r="E450" s="44" t="s">
        <v>2198</v>
      </c>
      <c r="F450" s="44" t="s">
        <v>2199</v>
      </c>
      <c r="G450" s="45" t="s">
        <v>34</v>
      </c>
      <c r="H450" s="47">
        <v>46146</v>
      </c>
      <c r="I450" s="47">
        <v>46154</v>
      </c>
      <c r="J450" s="43" t="s">
        <v>104</v>
      </c>
      <c r="K450" s="43" t="s">
        <v>95</v>
      </c>
      <c r="L450" s="49" t="s">
        <v>96</v>
      </c>
      <c r="M450" s="49" t="s">
        <v>96</v>
      </c>
      <c r="N450" s="49" t="s">
        <v>69</v>
      </c>
      <c r="O450" s="48"/>
      <c r="P450" s="49" t="str">
        <f t="shared" ref="P450:P513" si="21">IF(O450&lt;&gt;"",O450, IF(N450&lt;&gt;"",N450, IF(M450&lt;&gt;"",M450, L450)))</f>
        <v>ONAY</v>
      </c>
      <c r="R450" s="50" t="str">
        <f t="shared" ref="R450:R513" si="22">IF(AND($I450&lt;&gt;"",$I450&gt;=DATE(2026,6,23),COUNTIFS($C:$C,$C450,$I:$I,$I450)&gt;2),"⚠ "&amp;COUNTIFS($C:$C,$C450,$I:$I,$I450)&amp;" BAŞVURU!","")</f>
        <v/>
      </c>
      <c r="U450" s="28">
        <f>IF($C450&lt;&gt;"",COUNTIF($C$2:C450,C450),"")</f>
        <v>3</v>
      </c>
      <c r="V450" s="28" t="str">
        <f t="shared" ref="V450:V513" si="23">IF($C450&lt;&gt;"",C450&amp;"§"&amp;U450,"")</f>
        <v>Doç. Dr. Hilal AKSOY§3</v>
      </c>
      <c r="W450" s="28" t="str">
        <f>IF(U450=1,COUNTIF($U$2:U450,1),"")</f>
        <v/>
      </c>
    </row>
    <row r="451" spans="1:23" ht="110.25" customHeight="1" x14ac:dyDescent="0.25">
      <c r="A451" s="42" t="s">
        <v>2200</v>
      </c>
      <c r="B451" s="42" t="s">
        <v>2201</v>
      </c>
      <c r="C451" s="43" t="s">
        <v>222</v>
      </c>
      <c r="D451" s="43" t="s">
        <v>133</v>
      </c>
      <c r="E451" s="44" t="s">
        <v>2202</v>
      </c>
      <c r="F451" s="44" t="s">
        <v>2203</v>
      </c>
      <c r="G451" s="45" t="s">
        <v>34</v>
      </c>
      <c r="H451" s="47">
        <v>46146</v>
      </c>
      <c r="I451" s="47">
        <v>46154</v>
      </c>
      <c r="J451" s="43" t="s">
        <v>95</v>
      </c>
      <c r="K451" s="43" t="s">
        <v>85</v>
      </c>
      <c r="L451" s="49" t="s">
        <v>96</v>
      </c>
      <c r="M451" s="49" t="s">
        <v>69</v>
      </c>
      <c r="N451" s="49"/>
      <c r="O451" s="48"/>
      <c r="P451" s="49" t="str">
        <f t="shared" si="21"/>
        <v>ONAY</v>
      </c>
      <c r="Q451" s="27" t="s">
        <v>85</v>
      </c>
      <c r="R451" s="50" t="str">
        <f t="shared" si="22"/>
        <v/>
      </c>
      <c r="U451" s="28">
        <f>IF($C451&lt;&gt;"",COUNTIF($C$2:C451,C451),"")</f>
        <v>4</v>
      </c>
      <c r="V451" s="28" t="str">
        <f t="shared" si="23"/>
        <v>Doç. Dr. Dilek ÜNAL§4</v>
      </c>
      <c r="W451" s="28" t="str">
        <f>IF(U451=1,COUNTIF($U$2:U451,1),"")</f>
        <v/>
      </c>
    </row>
    <row r="452" spans="1:23" ht="63" customHeight="1" x14ac:dyDescent="0.25">
      <c r="A452" s="42" t="s">
        <v>2204</v>
      </c>
      <c r="B452" s="42" t="s">
        <v>2205</v>
      </c>
      <c r="C452" s="43" t="s">
        <v>2206</v>
      </c>
      <c r="D452" s="43" t="s">
        <v>161</v>
      </c>
      <c r="E452" s="44" t="s">
        <v>2207</v>
      </c>
      <c r="F452" s="44" t="s">
        <v>2208</v>
      </c>
      <c r="G452" s="45" t="s">
        <v>34</v>
      </c>
      <c r="H452" s="47">
        <v>46146</v>
      </c>
      <c r="I452" s="47">
        <v>46154</v>
      </c>
      <c r="J452" s="43" t="s">
        <v>85</v>
      </c>
      <c r="K452" s="43" t="s">
        <v>86</v>
      </c>
      <c r="L452" s="49" t="s">
        <v>69</v>
      </c>
      <c r="M452" s="49"/>
      <c r="N452" s="49"/>
      <c r="O452" s="48"/>
      <c r="P452" s="49" t="str">
        <f t="shared" si="21"/>
        <v>ONAY</v>
      </c>
      <c r="R452" s="50" t="str">
        <f t="shared" si="22"/>
        <v/>
      </c>
      <c r="U452" s="28">
        <f>IF($C452&lt;&gt;"",COUNTIF($C$2:C452,C452),"")</f>
        <v>1</v>
      </c>
      <c r="V452" s="28" t="str">
        <f t="shared" si="23"/>
        <v>Doç. Dr. Barış SEZER§1</v>
      </c>
      <c r="W452" s="28">
        <f>IF(U452=1,COUNTIF($U$2:U452,1),"")</f>
        <v>247</v>
      </c>
    </row>
    <row r="453" spans="1:23" ht="94.5" customHeight="1" x14ac:dyDescent="0.25">
      <c r="A453" s="42" t="s">
        <v>2209</v>
      </c>
      <c r="B453" s="42" t="s">
        <v>2210</v>
      </c>
      <c r="C453" s="43" t="s">
        <v>105</v>
      </c>
      <c r="D453" s="43" t="s">
        <v>2211</v>
      </c>
      <c r="E453" s="44" t="s">
        <v>2212</v>
      </c>
      <c r="F453" s="44" t="s">
        <v>2213</v>
      </c>
      <c r="G453" s="45" t="s">
        <v>35</v>
      </c>
      <c r="H453" s="47">
        <v>46146</v>
      </c>
      <c r="I453" s="47">
        <v>46154</v>
      </c>
      <c r="J453" s="43" t="s">
        <v>67</v>
      </c>
      <c r="K453" s="43" t="s">
        <v>94</v>
      </c>
      <c r="L453" s="49" t="s">
        <v>69</v>
      </c>
      <c r="M453" s="49"/>
      <c r="N453" s="49"/>
      <c r="O453" s="48"/>
      <c r="P453" s="49" t="str">
        <f t="shared" si="21"/>
        <v>ONAY</v>
      </c>
      <c r="R453" s="50" t="str">
        <f t="shared" si="22"/>
        <v/>
      </c>
      <c r="U453" s="28">
        <f>IF($C453&lt;&gt;"",COUNTIF($C$2:C453,C453),"")</f>
        <v>1</v>
      </c>
      <c r="V453" s="28" t="str">
        <f t="shared" si="23"/>
        <v>Prof. Dr. Melih Önder BABAOĞLU§1</v>
      </c>
      <c r="W453" s="28">
        <f>IF(U453=1,COUNTIF($U$2:U453,1),"")</f>
        <v>248</v>
      </c>
    </row>
    <row r="454" spans="1:23" ht="63" customHeight="1" x14ac:dyDescent="0.25">
      <c r="A454" s="42" t="s">
        <v>2214</v>
      </c>
      <c r="B454" s="42" t="s">
        <v>2215</v>
      </c>
      <c r="C454" s="43" t="s">
        <v>2110</v>
      </c>
      <c r="D454" s="43" t="s">
        <v>110</v>
      </c>
      <c r="E454" s="44" t="s">
        <v>2111</v>
      </c>
      <c r="F454" s="44" t="s">
        <v>2216</v>
      </c>
      <c r="G454" s="45" t="s">
        <v>34</v>
      </c>
      <c r="H454" s="47">
        <v>46154</v>
      </c>
      <c r="I454" s="47">
        <v>46175</v>
      </c>
      <c r="J454" s="43" t="s">
        <v>113</v>
      </c>
      <c r="K454" s="43" t="s">
        <v>77</v>
      </c>
      <c r="L454" s="49" t="s">
        <v>69</v>
      </c>
      <c r="M454" s="49"/>
      <c r="N454" s="49"/>
      <c r="O454" s="48"/>
      <c r="P454" s="49" t="str">
        <f t="shared" si="21"/>
        <v>ONAY</v>
      </c>
      <c r="R454" s="50" t="str">
        <f t="shared" si="22"/>
        <v/>
      </c>
      <c r="U454" s="28">
        <f>IF($C454&lt;&gt;"",COUNTIF($C$2:C454,C454),"")</f>
        <v>3</v>
      </c>
      <c r="V454" s="28" t="str">
        <f t="shared" si="23"/>
        <v>Prof. Dr. Ümit Yavuz MALKAN§3</v>
      </c>
      <c r="W454" s="28" t="str">
        <f>IF(U454=1,COUNTIF($U$2:U454,1),"")</f>
        <v/>
      </c>
    </row>
    <row r="455" spans="1:23" ht="63" customHeight="1" x14ac:dyDescent="0.25">
      <c r="A455" s="42" t="s">
        <v>2217</v>
      </c>
      <c r="B455" s="42" t="s">
        <v>2218</v>
      </c>
      <c r="C455" s="43" t="s">
        <v>2110</v>
      </c>
      <c r="D455" s="43" t="s">
        <v>110</v>
      </c>
      <c r="E455" s="44" t="s">
        <v>2111</v>
      </c>
      <c r="F455" s="44" t="s">
        <v>2219</v>
      </c>
      <c r="G455" s="45" t="s">
        <v>34</v>
      </c>
      <c r="H455" s="47">
        <v>46154</v>
      </c>
      <c r="I455" s="47">
        <v>46175</v>
      </c>
      <c r="J455" s="43" t="s">
        <v>128</v>
      </c>
      <c r="K455" s="43" t="s">
        <v>77</v>
      </c>
      <c r="L455" s="49" t="s">
        <v>69</v>
      </c>
      <c r="M455" s="49"/>
      <c r="N455" s="49"/>
      <c r="O455" s="48"/>
      <c r="P455" s="49" t="str">
        <f t="shared" si="21"/>
        <v>ONAY</v>
      </c>
      <c r="R455" s="50" t="str">
        <f t="shared" si="22"/>
        <v/>
      </c>
      <c r="U455" s="28">
        <f>IF($C455&lt;&gt;"",COUNTIF($C$2:C455,C455),"")</f>
        <v>4</v>
      </c>
      <c r="V455" s="28" t="str">
        <f t="shared" si="23"/>
        <v>Prof. Dr. Ümit Yavuz MALKAN§4</v>
      </c>
      <c r="W455" s="28" t="str">
        <f>IF(U455=1,COUNTIF($U$2:U455,1),"")</f>
        <v/>
      </c>
    </row>
    <row r="456" spans="1:23" ht="78.75" customHeight="1" x14ac:dyDescent="0.25">
      <c r="A456" s="42" t="s">
        <v>2220</v>
      </c>
      <c r="B456" s="42" t="s">
        <v>2221</v>
      </c>
      <c r="C456" s="43" t="s">
        <v>2222</v>
      </c>
      <c r="D456" s="43" t="s">
        <v>320</v>
      </c>
      <c r="E456" s="44" t="s">
        <v>2223</v>
      </c>
      <c r="F456" s="44" t="s">
        <v>2224</v>
      </c>
      <c r="G456" s="45" t="s">
        <v>34</v>
      </c>
      <c r="H456" s="47">
        <v>46154</v>
      </c>
      <c r="I456" s="47">
        <v>46175</v>
      </c>
      <c r="J456" s="43" t="s">
        <v>67</v>
      </c>
      <c r="K456" s="43" t="s">
        <v>113</v>
      </c>
      <c r="L456" s="49" t="s">
        <v>69</v>
      </c>
      <c r="M456" s="49"/>
      <c r="N456" s="49"/>
      <c r="O456" s="48"/>
      <c r="P456" s="49" t="str">
        <f t="shared" si="21"/>
        <v>ONAY</v>
      </c>
      <c r="R456" s="50" t="str">
        <f t="shared" si="22"/>
        <v/>
      </c>
      <c r="U456" s="28">
        <f>IF($C456&lt;&gt;"",COUNTIF($C$2:C456,C456),"")</f>
        <v>1</v>
      </c>
      <c r="V456" s="28" t="str">
        <f t="shared" si="23"/>
        <v>Dr. Öğr. Üyesi Oğuzhan KATAR§1</v>
      </c>
      <c r="W456" s="28">
        <f>IF(U456=1,COUNTIF($U$2:U456,1),"")</f>
        <v>249</v>
      </c>
    </row>
    <row r="457" spans="1:23" ht="63" customHeight="1" x14ac:dyDescent="0.25">
      <c r="A457" s="42" t="s">
        <v>2225</v>
      </c>
      <c r="B457" s="42" t="s">
        <v>2226</v>
      </c>
      <c r="C457" s="43" t="s">
        <v>550</v>
      </c>
      <c r="D457" s="43" t="s">
        <v>395</v>
      </c>
      <c r="E457" s="44" t="s">
        <v>2227</v>
      </c>
      <c r="F457" s="44" t="s">
        <v>2228</v>
      </c>
      <c r="G457" s="45" t="s">
        <v>34</v>
      </c>
      <c r="H457" s="47">
        <v>46154</v>
      </c>
      <c r="I457" s="47">
        <v>46175</v>
      </c>
      <c r="J457" s="43" t="s">
        <v>104</v>
      </c>
      <c r="K457" s="43" t="s">
        <v>94</v>
      </c>
      <c r="L457" s="49" t="s">
        <v>69</v>
      </c>
      <c r="M457" s="49"/>
      <c r="N457" s="49"/>
      <c r="O457" s="48"/>
      <c r="P457" s="49" t="str">
        <f t="shared" si="21"/>
        <v>ONAY</v>
      </c>
      <c r="R457" s="50" t="str">
        <f t="shared" si="22"/>
        <v/>
      </c>
      <c r="U457" s="28">
        <f>IF($C457&lt;&gt;"",COUNTIF($C$2:C457,C457),"")</f>
        <v>5</v>
      </c>
      <c r="V457" s="28" t="str">
        <f t="shared" si="23"/>
        <v>Prof. Dr. Neşe DERİCİOĞLU§5</v>
      </c>
      <c r="W457" s="28" t="str">
        <f>IF(U457=1,COUNTIF($U$2:U457,1),"")</f>
        <v/>
      </c>
    </row>
    <row r="458" spans="1:23" ht="47.25" customHeight="1" x14ac:dyDescent="0.25">
      <c r="A458" s="42" t="s">
        <v>2229</v>
      </c>
      <c r="B458" s="42" t="s">
        <v>2230</v>
      </c>
      <c r="C458" s="43" t="s">
        <v>555</v>
      </c>
      <c r="D458" s="43" t="s">
        <v>110</v>
      </c>
      <c r="E458" s="44" t="s">
        <v>2189</v>
      </c>
      <c r="F458" s="44" t="s">
        <v>2231</v>
      </c>
      <c r="G458" s="45" t="s">
        <v>34</v>
      </c>
      <c r="H458" s="47">
        <v>46154</v>
      </c>
      <c r="I458" s="47">
        <v>46175</v>
      </c>
      <c r="J458" s="43" t="s">
        <v>105</v>
      </c>
      <c r="K458" s="43" t="s">
        <v>121</v>
      </c>
      <c r="L458" s="49" t="s">
        <v>69</v>
      </c>
      <c r="M458" s="49"/>
      <c r="N458" s="49"/>
      <c r="O458" s="48"/>
      <c r="P458" s="49" t="str">
        <f t="shared" si="21"/>
        <v>ONAY</v>
      </c>
      <c r="R458" s="50" t="str">
        <f t="shared" si="22"/>
        <v/>
      </c>
      <c r="U458" s="28">
        <f>IF($C458&lt;&gt;"",COUNTIF($C$2:C458,C458),"")</f>
        <v>6</v>
      </c>
      <c r="V458" s="28" t="str">
        <f t="shared" si="23"/>
        <v>Doç. Dr. Mert EŞME§6</v>
      </c>
      <c r="W458" s="28" t="str">
        <f>IF(U458=1,COUNTIF($U$2:U458,1),"")</f>
        <v/>
      </c>
    </row>
    <row r="459" spans="1:23" ht="47.25" customHeight="1" x14ac:dyDescent="0.25">
      <c r="A459" s="42" t="s">
        <v>2232</v>
      </c>
      <c r="B459" s="42" t="s">
        <v>2233</v>
      </c>
      <c r="C459" s="43" t="s">
        <v>2234</v>
      </c>
      <c r="D459" s="43" t="s">
        <v>251</v>
      </c>
      <c r="E459" s="44" t="s">
        <v>2235</v>
      </c>
      <c r="F459" s="44" t="s">
        <v>2236</v>
      </c>
      <c r="G459" s="45" t="s">
        <v>34</v>
      </c>
      <c r="H459" s="47">
        <v>46154</v>
      </c>
      <c r="I459" s="47">
        <v>46175</v>
      </c>
      <c r="J459" s="43" t="s">
        <v>86</v>
      </c>
      <c r="K459" s="43" t="s">
        <v>95</v>
      </c>
      <c r="L459" s="49" t="s">
        <v>96</v>
      </c>
      <c r="M459" s="49" t="s">
        <v>96</v>
      </c>
      <c r="N459" s="49" t="s">
        <v>69</v>
      </c>
      <c r="O459" s="48"/>
      <c r="P459" s="49" t="str">
        <f t="shared" si="21"/>
        <v>ONAY</v>
      </c>
      <c r="Q459" s="27" t="s">
        <v>86</v>
      </c>
      <c r="R459" s="50" t="str">
        <f t="shared" si="22"/>
        <v/>
      </c>
      <c r="U459" s="28">
        <f>IF($C459&lt;&gt;"",COUNTIF($C$2:C459,C459),"")</f>
        <v>1</v>
      </c>
      <c r="V459" s="28" t="str">
        <f t="shared" si="23"/>
        <v>Doç. Dr. Ahmet KIVRAK§1</v>
      </c>
      <c r="W459" s="28">
        <f>IF(U459=1,COUNTIF($U$2:U459,1),"")</f>
        <v>250</v>
      </c>
    </row>
    <row r="460" spans="1:23" ht="78.75" customHeight="1" x14ac:dyDescent="0.25">
      <c r="A460" s="42" t="s">
        <v>2237</v>
      </c>
      <c r="B460" s="42" t="s">
        <v>2238</v>
      </c>
      <c r="C460" s="43" t="s">
        <v>1621</v>
      </c>
      <c r="D460" s="43" t="s">
        <v>372</v>
      </c>
      <c r="E460" s="44" t="s">
        <v>2239</v>
      </c>
      <c r="F460" s="44" t="s">
        <v>2240</v>
      </c>
      <c r="G460" s="45" t="s">
        <v>34</v>
      </c>
      <c r="H460" s="47">
        <v>46154</v>
      </c>
      <c r="I460" s="47">
        <v>46175</v>
      </c>
      <c r="J460" s="43" t="s">
        <v>105</v>
      </c>
      <c r="K460" s="43" t="s">
        <v>113</v>
      </c>
      <c r="L460" s="49" t="s">
        <v>96</v>
      </c>
      <c r="M460" s="49" t="s">
        <v>69</v>
      </c>
      <c r="N460" s="49"/>
      <c r="O460" s="48"/>
      <c r="P460" s="49" t="str">
        <f t="shared" si="21"/>
        <v>ONAY</v>
      </c>
      <c r="Q460" s="27" t="s">
        <v>105</v>
      </c>
      <c r="R460" s="50" t="str">
        <f t="shared" si="22"/>
        <v/>
      </c>
      <c r="U460" s="28">
        <f>IF($C460&lt;&gt;"",COUNTIF($C$2:C460,C460),"")</f>
        <v>3</v>
      </c>
      <c r="V460" s="28" t="str">
        <f t="shared" si="23"/>
        <v>Prof. Dr. Sibel DOĞAN GÜNAYDIN§3</v>
      </c>
      <c r="W460" s="28" t="str">
        <f>IF(U460=1,COUNTIF($U$2:U460,1),"")</f>
        <v/>
      </c>
    </row>
    <row r="461" spans="1:23" ht="67.5" customHeight="1" x14ac:dyDescent="0.25">
      <c r="A461" s="42" t="s">
        <v>2241</v>
      </c>
      <c r="B461" s="42" t="s">
        <v>2242</v>
      </c>
      <c r="C461" s="43" t="s">
        <v>1074</v>
      </c>
      <c r="D461" s="43" t="s">
        <v>82</v>
      </c>
      <c r="E461" s="44" t="s">
        <v>2243</v>
      </c>
      <c r="F461" s="44" t="s">
        <v>2244</v>
      </c>
      <c r="G461" s="45" t="s">
        <v>34</v>
      </c>
      <c r="H461" s="47">
        <v>46154</v>
      </c>
      <c r="I461" s="47">
        <v>46175</v>
      </c>
      <c r="J461" s="43" t="s">
        <v>86</v>
      </c>
      <c r="K461" s="43" t="s">
        <v>121</v>
      </c>
      <c r="L461" s="49" t="s">
        <v>69</v>
      </c>
      <c r="M461" s="49"/>
      <c r="N461" s="49"/>
      <c r="O461" s="48"/>
      <c r="P461" s="49" t="str">
        <f t="shared" si="21"/>
        <v>ONAY</v>
      </c>
      <c r="R461" s="50" t="str">
        <f t="shared" si="22"/>
        <v/>
      </c>
      <c r="U461" s="28">
        <f>IF($C461&lt;&gt;"",COUNTIF($C$2:C461,C461),"")</f>
        <v>3</v>
      </c>
      <c r="V461" s="28" t="str">
        <f t="shared" si="23"/>
        <v>Dr. Öğr. Üyesi Aycan UYSAL§3</v>
      </c>
      <c r="W461" s="28" t="str">
        <f>IF(U461=1,COUNTIF($U$2:U461,1),"")</f>
        <v/>
      </c>
    </row>
    <row r="462" spans="1:23" ht="63" customHeight="1" x14ac:dyDescent="0.25">
      <c r="A462" s="42" t="s">
        <v>2245</v>
      </c>
      <c r="B462" s="42" t="s">
        <v>2246</v>
      </c>
      <c r="C462" s="43" t="s">
        <v>2247</v>
      </c>
      <c r="D462" s="43" t="s">
        <v>2248</v>
      </c>
      <c r="E462" s="44" t="s">
        <v>2249</v>
      </c>
      <c r="F462" s="44" t="s">
        <v>2250</v>
      </c>
      <c r="G462" s="45" t="s">
        <v>34</v>
      </c>
      <c r="H462" s="47">
        <v>46154</v>
      </c>
      <c r="I462" s="47">
        <v>46175</v>
      </c>
      <c r="J462" s="43" t="s">
        <v>67</v>
      </c>
      <c r="K462" s="43" t="s">
        <v>77</v>
      </c>
      <c r="L462" s="49" t="s">
        <v>218</v>
      </c>
      <c r="M462" s="49" t="s">
        <v>96</v>
      </c>
      <c r="N462" s="49" t="s">
        <v>69</v>
      </c>
      <c r="O462" s="48"/>
      <c r="P462" s="49" t="str">
        <f t="shared" si="21"/>
        <v>ONAY</v>
      </c>
      <c r="Q462" s="27" t="s">
        <v>67</v>
      </c>
      <c r="R462" s="50" t="str">
        <f t="shared" si="22"/>
        <v/>
      </c>
      <c r="U462" s="28">
        <f>IF($C462&lt;&gt;"",COUNTIF($C$2:C462,C462),"")</f>
        <v>1</v>
      </c>
      <c r="V462" s="28" t="str">
        <f t="shared" si="23"/>
        <v>Arş. Gör. Dr. Ozan KAPLAN§1</v>
      </c>
      <c r="W462" s="28">
        <f>IF(U462=1,COUNTIF($U$2:U462,1),"")</f>
        <v>251</v>
      </c>
    </row>
    <row r="463" spans="1:23" ht="94.5" customHeight="1" x14ac:dyDescent="0.25">
      <c r="A463" s="42" t="s">
        <v>2251</v>
      </c>
      <c r="B463" s="42" t="s">
        <v>2252</v>
      </c>
      <c r="C463" s="43" t="s">
        <v>2253</v>
      </c>
      <c r="D463" s="43" t="s">
        <v>461</v>
      </c>
      <c r="E463" s="44" t="s">
        <v>2254</v>
      </c>
      <c r="F463" s="44" t="s">
        <v>2255</v>
      </c>
      <c r="G463" s="45" t="s">
        <v>34</v>
      </c>
      <c r="H463" s="47">
        <v>46154</v>
      </c>
      <c r="I463" s="47">
        <v>46175</v>
      </c>
      <c r="J463" s="43" t="s">
        <v>105</v>
      </c>
      <c r="K463" s="43" t="s">
        <v>95</v>
      </c>
      <c r="L463" s="49" t="s">
        <v>69</v>
      </c>
      <c r="M463" s="49"/>
      <c r="N463" s="49"/>
      <c r="O463" s="48"/>
      <c r="P463" s="49" t="str">
        <f t="shared" si="21"/>
        <v>ONAY</v>
      </c>
      <c r="R463" s="50" t="str">
        <f t="shared" si="22"/>
        <v/>
      </c>
      <c r="U463" s="28">
        <f>IF($C463&lt;&gt;"",COUNTIF($C$2:C463,C463),"")</f>
        <v>1</v>
      </c>
      <c r="V463" s="28" t="str">
        <f t="shared" si="23"/>
        <v>Dr. Öğr. Üyesi Emre MUTLU§1</v>
      </c>
      <c r="W463" s="28">
        <f>IF(U463=1,COUNTIF($U$2:U463,1),"")</f>
        <v>252</v>
      </c>
    </row>
    <row r="464" spans="1:23" ht="110.25" customHeight="1" x14ac:dyDescent="0.25">
      <c r="A464" s="42" t="s">
        <v>2256</v>
      </c>
      <c r="B464" s="42" t="s">
        <v>2257</v>
      </c>
      <c r="C464" s="43" t="s">
        <v>2258</v>
      </c>
      <c r="D464" s="43" t="s">
        <v>153</v>
      </c>
      <c r="E464" s="44" t="s">
        <v>2259</v>
      </c>
      <c r="F464" s="44" t="s">
        <v>2260</v>
      </c>
      <c r="G464" s="45" t="s">
        <v>35</v>
      </c>
      <c r="H464" s="47">
        <v>46154</v>
      </c>
      <c r="I464" s="47">
        <v>46175</v>
      </c>
      <c r="J464" s="43" t="s">
        <v>104</v>
      </c>
      <c r="K464" s="43" t="s">
        <v>94</v>
      </c>
      <c r="L464" s="49" t="s">
        <v>96</v>
      </c>
      <c r="M464" s="49" t="s">
        <v>69</v>
      </c>
      <c r="N464" s="49"/>
      <c r="O464" s="48"/>
      <c r="P464" s="49" t="str">
        <f t="shared" si="21"/>
        <v>ONAY</v>
      </c>
      <c r="Q464" s="27" t="s">
        <v>94</v>
      </c>
      <c r="R464" s="50" t="str">
        <f t="shared" si="22"/>
        <v/>
      </c>
      <c r="U464" s="28">
        <f>IF($C464&lt;&gt;"",COUNTIF($C$2:C464,C464),"")</f>
        <v>1</v>
      </c>
      <c r="V464" s="28" t="str">
        <f t="shared" si="23"/>
        <v>Prof. Dr. Lale KARAKOÇ SÖKMENSÜER§1</v>
      </c>
      <c r="W464" s="28">
        <f>IF(U464=1,COUNTIF($U$2:U464,1),"")</f>
        <v>253</v>
      </c>
    </row>
    <row r="465" spans="1:23" ht="80.25" customHeight="1" x14ac:dyDescent="0.25">
      <c r="A465" s="42" t="s">
        <v>2261</v>
      </c>
      <c r="B465" s="42" t="s">
        <v>2262</v>
      </c>
      <c r="C465" s="43" t="s">
        <v>2263</v>
      </c>
      <c r="D465" s="43" t="s">
        <v>515</v>
      </c>
      <c r="E465" s="44" t="s">
        <v>2264</v>
      </c>
      <c r="F465" s="44" t="s">
        <v>2265</v>
      </c>
      <c r="G465" s="45" t="s">
        <v>34</v>
      </c>
      <c r="H465" s="47">
        <v>46154</v>
      </c>
      <c r="I465" s="47">
        <v>46175</v>
      </c>
      <c r="J465" s="43" t="s">
        <v>121</v>
      </c>
      <c r="K465" s="43" t="s">
        <v>86</v>
      </c>
      <c r="L465" s="49" t="s">
        <v>96</v>
      </c>
      <c r="M465" s="49" t="s">
        <v>69</v>
      </c>
      <c r="N465" s="49"/>
      <c r="O465" s="48"/>
      <c r="P465" s="49" t="str">
        <f t="shared" si="21"/>
        <v>ONAY</v>
      </c>
      <c r="Q465" s="27" t="s">
        <v>121</v>
      </c>
      <c r="R465" s="50" t="str">
        <f t="shared" si="22"/>
        <v/>
      </c>
      <c r="U465" s="28">
        <f>IF($C465&lt;&gt;"",COUNTIF($C$2:C465,C465),"")</f>
        <v>1</v>
      </c>
      <c r="V465" s="28" t="str">
        <f t="shared" si="23"/>
        <v>Prof. Dr. Şevket Murat ÖZBEK§1</v>
      </c>
      <c r="W465" s="28">
        <f>IF(U465=1,COUNTIF($U$2:U465,1),"")</f>
        <v>254</v>
      </c>
    </row>
    <row r="466" spans="1:23" ht="96" customHeight="1" x14ac:dyDescent="0.25">
      <c r="A466" s="42" t="s">
        <v>2266</v>
      </c>
      <c r="B466" s="42" t="s">
        <v>2267</v>
      </c>
      <c r="C466" s="43" t="s">
        <v>2268</v>
      </c>
      <c r="D466" s="43" t="s">
        <v>2269</v>
      </c>
      <c r="E466" s="44" t="s">
        <v>2270</v>
      </c>
      <c r="F466" s="44" t="s">
        <v>2271</v>
      </c>
      <c r="G466" s="45" t="s">
        <v>36</v>
      </c>
      <c r="H466" s="47">
        <v>46154</v>
      </c>
      <c r="I466" s="47">
        <v>46175</v>
      </c>
      <c r="J466" s="43" t="s">
        <v>105</v>
      </c>
      <c r="K466" s="43" t="s">
        <v>67</v>
      </c>
      <c r="L466" s="49" t="s">
        <v>96</v>
      </c>
      <c r="M466" s="49"/>
      <c r="N466" s="49"/>
      <c r="O466" s="48"/>
      <c r="P466" s="49" t="str">
        <f t="shared" si="21"/>
        <v>DÜZELTME</v>
      </c>
      <c r="R466" s="50" t="str">
        <f t="shared" si="22"/>
        <v/>
      </c>
      <c r="U466" s="28">
        <f>IF($C466&lt;&gt;"",COUNTIF($C$2:C466,C466),"")</f>
        <v>1</v>
      </c>
      <c r="V466" s="28" t="str">
        <f t="shared" si="23"/>
        <v>Dr. Öğr. Üyesi Neslihan TAŞ§1</v>
      </c>
      <c r="W466" s="28">
        <f>IF(U466=1,COUNTIF($U$2:U466,1),"")</f>
        <v>255</v>
      </c>
    </row>
    <row r="467" spans="1:23" ht="78.75" customHeight="1" x14ac:dyDescent="0.25">
      <c r="A467" s="42" t="s">
        <v>2272</v>
      </c>
      <c r="B467" s="42" t="s">
        <v>2273</v>
      </c>
      <c r="C467" s="43" t="s">
        <v>1569</v>
      </c>
      <c r="D467" s="43" t="s">
        <v>307</v>
      </c>
      <c r="E467" s="44" t="s">
        <v>2274</v>
      </c>
      <c r="F467" s="44" t="s">
        <v>2275</v>
      </c>
      <c r="G467" s="45" t="s">
        <v>34</v>
      </c>
      <c r="H467" s="47">
        <v>46154</v>
      </c>
      <c r="I467" s="47">
        <v>46175</v>
      </c>
      <c r="J467" s="43" t="s">
        <v>104</v>
      </c>
      <c r="K467" s="43" t="s">
        <v>86</v>
      </c>
      <c r="L467" s="49" t="s">
        <v>69</v>
      </c>
      <c r="M467" s="49"/>
      <c r="N467" s="49"/>
      <c r="O467" s="48"/>
      <c r="P467" s="49" t="str">
        <f t="shared" si="21"/>
        <v>ONAY</v>
      </c>
      <c r="R467" s="50" t="str">
        <f t="shared" si="22"/>
        <v/>
      </c>
      <c r="U467" s="28">
        <f>IF($C467&lt;&gt;"",COUNTIF($C$2:C467,C467),"")</f>
        <v>2</v>
      </c>
      <c r="V467" s="28" t="str">
        <f t="shared" si="23"/>
        <v>Prof. Dr. Bilge VOLKAN SALANCI§2</v>
      </c>
      <c r="W467" s="28" t="str">
        <f>IF(U467=1,COUNTIF($U$2:U467,1),"")</f>
        <v/>
      </c>
    </row>
    <row r="468" spans="1:23" ht="78.75" customHeight="1" x14ac:dyDescent="0.25">
      <c r="A468" s="42" t="s">
        <v>2276</v>
      </c>
      <c r="B468" s="42" t="s">
        <v>2277</v>
      </c>
      <c r="C468" s="43" t="s">
        <v>2278</v>
      </c>
      <c r="D468" s="43" t="s">
        <v>535</v>
      </c>
      <c r="E468" s="44" t="s">
        <v>2279</v>
      </c>
      <c r="F468" s="44" t="s">
        <v>2280</v>
      </c>
      <c r="G468" s="45" t="s">
        <v>34</v>
      </c>
      <c r="H468" s="47">
        <v>46154</v>
      </c>
      <c r="I468" s="47">
        <v>46175</v>
      </c>
      <c r="J468" s="43" t="s">
        <v>94</v>
      </c>
      <c r="K468" s="43" t="s">
        <v>128</v>
      </c>
      <c r="L468" s="49" t="s">
        <v>218</v>
      </c>
      <c r="M468" s="49" t="s">
        <v>96</v>
      </c>
      <c r="N468" s="49"/>
      <c r="O468" s="48"/>
      <c r="P468" s="49" t="str">
        <f t="shared" si="21"/>
        <v>DÜZELTME</v>
      </c>
      <c r="R468" s="50" t="str">
        <f t="shared" si="22"/>
        <v/>
      </c>
      <c r="U468" s="28">
        <f>IF($C468&lt;&gt;"",COUNTIF($C$2:C468,C468),"")</f>
        <v>1</v>
      </c>
      <c r="V468" s="28" t="str">
        <f t="shared" si="23"/>
        <v>Prof. Dr. Ülfet Pınar ERKEKOĞLU§1</v>
      </c>
      <c r="W468" s="28">
        <f>IF(U468=1,COUNTIF($U$2:U468,1),"")</f>
        <v>256</v>
      </c>
    </row>
    <row r="469" spans="1:23" ht="63" customHeight="1" x14ac:dyDescent="0.25">
      <c r="A469" s="42" t="s">
        <v>2281</v>
      </c>
      <c r="B469" s="42" t="s">
        <v>2282</v>
      </c>
      <c r="C469" s="43" t="s">
        <v>1616</v>
      </c>
      <c r="D469" s="43" t="s">
        <v>110</v>
      </c>
      <c r="E469" s="44" t="s">
        <v>1617</v>
      </c>
      <c r="F469" s="44" t="s">
        <v>2283</v>
      </c>
      <c r="G469" s="45" t="s">
        <v>34</v>
      </c>
      <c r="H469" s="47">
        <v>46154</v>
      </c>
      <c r="I469" s="47">
        <v>46175</v>
      </c>
      <c r="J469" s="43" t="s">
        <v>113</v>
      </c>
      <c r="K469" s="43" t="s">
        <v>128</v>
      </c>
      <c r="L469" s="49" t="s">
        <v>96</v>
      </c>
      <c r="M469" s="49"/>
      <c r="N469" s="49"/>
      <c r="O469" s="48"/>
      <c r="P469" s="49" t="str">
        <f t="shared" si="21"/>
        <v>DÜZELTME</v>
      </c>
      <c r="R469" s="50" t="str">
        <f t="shared" si="22"/>
        <v/>
      </c>
      <c r="U469" s="28">
        <f>IF($C469&lt;&gt;"",COUNTIF($C$2:C469,C469),"")</f>
        <v>5</v>
      </c>
      <c r="V469" s="28" t="str">
        <f t="shared" si="23"/>
        <v>Doç. Dr. Cafer BALCI§5</v>
      </c>
      <c r="W469" s="28" t="str">
        <f>IF(U469=1,COUNTIF($U$2:U469,1),"")</f>
        <v/>
      </c>
    </row>
    <row r="470" spans="1:23" ht="47.25" customHeight="1" x14ac:dyDescent="0.25">
      <c r="A470" s="42" t="s">
        <v>2284</v>
      </c>
      <c r="B470" s="42" t="s">
        <v>2285</v>
      </c>
      <c r="C470" s="43" t="s">
        <v>109</v>
      </c>
      <c r="D470" s="43" t="s">
        <v>110</v>
      </c>
      <c r="E470" s="44" t="s">
        <v>2286</v>
      </c>
      <c r="F470" s="44" t="s">
        <v>2287</v>
      </c>
      <c r="G470" s="45" t="s">
        <v>34</v>
      </c>
      <c r="H470" s="47">
        <v>46154</v>
      </c>
      <c r="I470" s="47">
        <v>46175</v>
      </c>
      <c r="J470" s="43" t="s">
        <v>67</v>
      </c>
      <c r="K470" s="43" t="s">
        <v>104</v>
      </c>
      <c r="L470" s="49" t="s">
        <v>178</v>
      </c>
      <c r="M470" s="49"/>
      <c r="N470" s="49"/>
      <c r="O470" s="48"/>
      <c r="P470" s="49" t="str">
        <f t="shared" si="21"/>
        <v>RET</v>
      </c>
      <c r="R470" s="50" t="str">
        <f t="shared" si="22"/>
        <v/>
      </c>
      <c r="U470" s="28">
        <f>IF($C470&lt;&gt;"",COUNTIF($C$2:C470,C470),"")</f>
        <v>14</v>
      </c>
      <c r="V470" s="28" t="str">
        <f t="shared" si="23"/>
        <v>Prof. Dr. Meltem Gülhan HALİL§14</v>
      </c>
      <c r="W470" s="28" t="str">
        <f>IF(U470=1,COUNTIF($U$2:U470,1),"")</f>
        <v/>
      </c>
    </row>
    <row r="471" spans="1:23" ht="63" customHeight="1" x14ac:dyDescent="0.25">
      <c r="A471" s="42" t="s">
        <v>2288</v>
      </c>
      <c r="B471" s="42" t="s">
        <v>2289</v>
      </c>
      <c r="C471" s="43" t="s">
        <v>2290</v>
      </c>
      <c r="D471" s="43" t="s">
        <v>189</v>
      </c>
      <c r="E471" s="44" t="s">
        <v>2291</v>
      </c>
      <c r="F471" s="44" t="s">
        <v>2292</v>
      </c>
      <c r="G471" s="45" t="s">
        <v>35</v>
      </c>
      <c r="H471" s="47">
        <v>46154</v>
      </c>
      <c r="I471" s="47">
        <v>46175</v>
      </c>
      <c r="J471" s="43" t="s">
        <v>105</v>
      </c>
      <c r="K471" s="43" t="s">
        <v>121</v>
      </c>
      <c r="L471" s="49" t="s">
        <v>69</v>
      </c>
      <c r="M471" s="49"/>
      <c r="N471" s="49"/>
      <c r="O471" s="48"/>
      <c r="P471" s="49" t="str">
        <f t="shared" si="21"/>
        <v>ONAY</v>
      </c>
      <c r="R471" s="50" t="str">
        <f t="shared" si="22"/>
        <v/>
      </c>
      <c r="U471" s="28">
        <f>IF($C471&lt;&gt;"",COUNTIF($C$2:C471,C471),"")</f>
        <v>1</v>
      </c>
      <c r="V471" s="28" t="str">
        <f t="shared" si="23"/>
        <v>Prof. Dr. Filiz ÜZÜMCÜGİL§1</v>
      </c>
      <c r="W471" s="28">
        <f>IF(U471=1,COUNTIF($U$2:U471,1),"")</f>
        <v>257</v>
      </c>
    </row>
    <row r="472" spans="1:23" ht="63" customHeight="1" x14ac:dyDescent="0.25">
      <c r="A472" s="42" t="s">
        <v>2293</v>
      </c>
      <c r="B472" s="42" t="s">
        <v>2294</v>
      </c>
      <c r="C472" s="43" t="s">
        <v>2295</v>
      </c>
      <c r="D472" s="43" t="s">
        <v>422</v>
      </c>
      <c r="E472" s="44" t="s">
        <v>2296</v>
      </c>
      <c r="F472" s="44" t="s">
        <v>2297</v>
      </c>
      <c r="G472" s="45" t="s">
        <v>34</v>
      </c>
      <c r="H472" s="47">
        <v>46154</v>
      </c>
      <c r="I472" s="47">
        <v>46175</v>
      </c>
      <c r="J472" s="43" t="s">
        <v>95</v>
      </c>
      <c r="K472" s="43" t="s">
        <v>77</v>
      </c>
      <c r="L472" s="49" t="s">
        <v>69</v>
      </c>
      <c r="M472" s="49"/>
      <c r="N472" s="49"/>
      <c r="O472" s="48"/>
      <c r="P472" s="49" t="str">
        <f t="shared" si="21"/>
        <v>ONAY</v>
      </c>
      <c r="R472" s="50" t="str">
        <f t="shared" si="22"/>
        <v/>
      </c>
      <c r="U472" s="28">
        <f>IF($C472&lt;&gt;"",COUNTIF($C$2:C472,C472),"")</f>
        <v>1</v>
      </c>
      <c r="V472" s="28" t="str">
        <f t="shared" si="23"/>
        <v>Prof. Dr. Ömür ÇAĞLAR§1</v>
      </c>
      <c r="W472" s="28">
        <f>IF(U472=1,COUNTIF($U$2:U472,1),"")</f>
        <v>258</v>
      </c>
    </row>
    <row r="473" spans="1:23" ht="63" customHeight="1" x14ac:dyDescent="0.25">
      <c r="A473" s="42" t="s">
        <v>2298</v>
      </c>
      <c r="B473" s="42" t="s">
        <v>2299</v>
      </c>
      <c r="C473" s="43" t="s">
        <v>2300</v>
      </c>
      <c r="D473" s="43" t="s">
        <v>2301</v>
      </c>
      <c r="E473" s="44" t="s">
        <v>2302</v>
      </c>
      <c r="F473" s="44" t="s">
        <v>2303</v>
      </c>
      <c r="G473" s="45" t="s">
        <v>37</v>
      </c>
      <c r="H473" s="47">
        <v>46154</v>
      </c>
      <c r="I473" s="47">
        <v>46175</v>
      </c>
      <c r="J473" s="43" t="s">
        <v>94</v>
      </c>
      <c r="K473" s="43" t="s">
        <v>95</v>
      </c>
      <c r="L473" s="49" t="s">
        <v>69</v>
      </c>
      <c r="M473" s="49"/>
      <c r="N473" s="49"/>
      <c r="O473" s="48"/>
      <c r="P473" s="49" t="str">
        <f t="shared" si="21"/>
        <v>ONAY</v>
      </c>
      <c r="R473" s="50" t="str">
        <f t="shared" si="22"/>
        <v/>
      </c>
      <c r="U473" s="28">
        <f>IF($C473&lt;&gt;"",COUNTIF($C$2:C473,C473),"")</f>
        <v>1</v>
      </c>
      <c r="V473" s="28" t="str">
        <f t="shared" si="23"/>
        <v>Doç. Dr. Songül ÇINAROĞLU§1</v>
      </c>
      <c r="W473" s="28">
        <f>IF(U473=1,COUNTIF($U$2:U473,1),"")</f>
        <v>259</v>
      </c>
    </row>
    <row r="474" spans="1:23" ht="78.75" customHeight="1" x14ac:dyDescent="0.25">
      <c r="A474" s="42" t="s">
        <v>2304</v>
      </c>
      <c r="B474" s="42" t="s">
        <v>2305</v>
      </c>
      <c r="C474" s="43" t="s">
        <v>2306</v>
      </c>
      <c r="D474" s="43" t="s">
        <v>189</v>
      </c>
      <c r="E474" s="44" t="s">
        <v>2307</v>
      </c>
      <c r="F474" s="44" t="s">
        <v>2308</v>
      </c>
      <c r="G474" s="45" t="s">
        <v>34</v>
      </c>
      <c r="H474" s="47">
        <v>46154</v>
      </c>
      <c r="I474" s="47">
        <v>46175</v>
      </c>
      <c r="J474" s="43" t="s">
        <v>86</v>
      </c>
      <c r="K474" s="43" t="s">
        <v>113</v>
      </c>
      <c r="L474" s="49" t="s">
        <v>96</v>
      </c>
      <c r="M474" s="49"/>
      <c r="N474" s="49"/>
      <c r="O474" s="48"/>
      <c r="P474" s="49" t="str">
        <f t="shared" si="21"/>
        <v>DÜZELTME</v>
      </c>
      <c r="R474" s="50" t="str">
        <f t="shared" si="22"/>
        <v/>
      </c>
      <c r="U474" s="28">
        <f>IF($C474&lt;&gt;"",COUNTIF($C$2:C474,C474),"")</f>
        <v>1</v>
      </c>
      <c r="V474" s="28" t="str">
        <f t="shared" si="23"/>
        <v>Dr. Öğr. Üyesi Sehend DEBBAĞ§1</v>
      </c>
      <c r="W474" s="28">
        <f>IF(U474=1,COUNTIF($U$2:U474,1),"")</f>
        <v>260</v>
      </c>
    </row>
    <row r="475" spans="1:23" ht="110.25" customHeight="1" x14ac:dyDescent="0.25">
      <c r="A475" s="42" t="s">
        <v>2309</v>
      </c>
      <c r="B475" s="42" t="s">
        <v>2310</v>
      </c>
      <c r="C475" s="43" t="s">
        <v>2311</v>
      </c>
      <c r="D475" s="43" t="s">
        <v>570</v>
      </c>
      <c r="E475" s="44" t="s">
        <v>2312</v>
      </c>
      <c r="F475" s="44" t="s">
        <v>2313</v>
      </c>
      <c r="G475" s="45" t="s">
        <v>35</v>
      </c>
      <c r="H475" s="47">
        <v>46154</v>
      </c>
      <c r="I475" s="47">
        <v>46175</v>
      </c>
      <c r="J475" s="43" t="s">
        <v>121</v>
      </c>
      <c r="K475" s="43" t="s">
        <v>77</v>
      </c>
      <c r="L475" s="49" t="s">
        <v>96</v>
      </c>
      <c r="M475" s="49" t="s">
        <v>69</v>
      </c>
      <c r="N475" s="49"/>
      <c r="O475" s="48"/>
      <c r="P475" s="49" t="str">
        <f t="shared" si="21"/>
        <v>ONAY</v>
      </c>
      <c r="Q475" s="27" t="s">
        <v>1312</v>
      </c>
      <c r="R475" s="50" t="str">
        <f t="shared" si="22"/>
        <v/>
      </c>
      <c r="U475" s="28">
        <f>IF($C475&lt;&gt;"",COUNTIF($C$2:C475,C475),"")</f>
        <v>1</v>
      </c>
      <c r="V475" s="28" t="str">
        <f t="shared" si="23"/>
        <v>Dr. Öğr. Üyesi Yağmur Deniz YILDIRIM§1</v>
      </c>
      <c r="W475" s="28">
        <f>IF(U475=1,COUNTIF($U$2:U475,1),"")</f>
        <v>261</v>
      </c>
    </row>
    <row r="476" spans="1:23" ht="63" customHeight="1" x14ac:dyDescent="0.25">
      <c r="A476" s="42" t="s">
        <v>2314</v>
      </c>
      <c r="B476" s="42" t="s">
        <v>2315</v>
      </c>
      <c r="C476" s="43" t="s">
        <v>2316</v>
      </c>
      <c r="D476" s="43" t="s">
        <v>422</v>
      </c>
      <c r="E476" s="44" t="s">
        <v>2317</v>
      </c>
      <c r="F476" s="44" t="s">
        <v>2318</v>
      </c>
      <c r="G476" s="45" t="s">
        <v>34</v>
      </c>
      <c r="H476" s="47">
        <v>46154</v>
      </c>
      <c r="I476" s="47">
        <v>46175</v>
      </c>
      <c r="J476" s="43" t="s">
        <v>86</v>
      </c>
      <c r="K476" s="43" t="s">
        <v>94</v>
      </c>
      <c r="L476" s="49" t="s">
        <v>96</v>
      </c>
      <c r="M476" s="49" t="s">
        <v>69</v>
      </c>
      <c r="N476" s="49"/>
      <c r="O476" s="48"/>
      <c r="P476" s="49" t="str">
        <f t="shared" si="21"/>
        <v>ONAY</v>
      </c>
      <c r="Q476" s="27" t="s">
        <v>86</v>
      </c>
      <c r="R476" s="50" t="str">
        <f t="shared" si="22"/>
        <v/>
      </c>
      <c r="U476" s="28">
        <f>IF($C476&lt;&gt;"",COUNTIF($C$2:C476,C476),"")</f>
        <v>1</v>
      </c>
      <c r="V476" s="28" t="str">
        <f t="shared" si="23"/>
        <v>Prof. Dr. Bülent ATİLLA§1</v>
      </c>
      <c r="W476" s="28">
        <f>IF(U476=1,COUNTIF($U$2:U476,1),"")</f>
        <v>262</v>
      </c>
    </row>
    <row r="477" spans="1:23" ht="47.25" customHeight="1" x14ac:dyDescent="0.25">
      <c r="A477" s="42" t="s">
        <v>2319</v>
      </c>
      <c r="B477" s="42" t="s">
        <v>2320</v>
      </c>
      <c r="C477" s="43" t="s">
        <v>2234</v>
      </c>
      <c r="D477" s="43" t="s">
        <v>251</v>
      </c>
      <c r="E477" s="44" t="s">
        <v>2235</v>
      </c>
      <c r="F477" s="44" t="s">
        <v>2321</v>
      </c>
      <c r="G477" s="45" t="s">
        <v>34</v>
      </c>
      <c r="H477" s="47">
        <v>46154</v>
      </c>
      <c r="I477" s="47">
        <v>46175</v>
      </c>
      <c r="J477" s="43" t="s">
        <v>95</v>
      </c>
      <c r="K477" s="43" t="s">
        <v>128</v>
      </c>
      <c r="L477" s="49" t="s">
        <v>69</v>
      </c>
      <c r="M477" s="49"/>
      <c r="N477" s="49"/>
      <c r="O477" s="48"/>
      <c r="P477" s="49" t="str">
        <f t="shared" si="21"/>
        <v>ONAY</v>
      </c>
      <c r="R477" s="50" t="str">
        <f t="shared" si="22"/>
        <v/>
      </c>
      <c r="U477" s="28">
        <f>IF($C477&lt;&gt;"",COUNTIF($C$2:C477,C477),"")</f>
        <v>2</v>
      </c>
      <c r="V477" s="28" t="str">
        <f t="shared" si="23"/>
        <v>Doç. Dr. Ahmet KIVRAK§2</v>
      </c>
      <c r="W477" s="28" t="str">
        <f>IF(U477=1,COUNTIF($U$2:U477,1),"")</f>
        <v/>
      </c>
    </row>
    <row r="478" spans="1:23" ht="110.25" customHeight="1" x14ac:dyDescent="0.25">
      <c r="A478" s="42" t="s">
        <v>2322</v>
      </c>
      <c r="B478" s="42" t="s">
        <v>2323</v>
      </c>
      <c r="C478" s="43" t="s">
        <v>1534</v>
      </c>
      <c r="D478" s="43" t="s">
        <v>237</v>
      </c>
      <c r="E478" s="44" t="s">
        <v>2324</v>
      </c>
      <c r="F478" s="44" t="s">
        <v>2325</v>
      </c>
      <c r="G478" s="45" t="s">
        <v>34</v>
      </c>
      <c r="H478" s="47">
        <v>46154</v>
      </c>
      <c r="I478" s="47">
        <v>46175</v>
      </c>
      <c r="J478" s="43" t="s">
        <v>104</v>
      </c>
      <c r="K478" s="43" t="s">
        <v>113</v>
      </c>
      <c r="L478" s="49" t="s">
        <v>96</v>
      </c>
      <c r="M478" s="49" t="s">
        <v>69</v>
      </c>
      <c r="N478" s="49"/>
      <c r="O478" s="48"/>
      <c r="P478" s="49" t="str">
        <f t="shared" si="21"/>
        <v>ONAY</v>
      </c>
      <c r="Q478" s="27" t="s">
        <v>104</v>
      </c>
      <c r="R478" s="50" t="str">
        <f t="shared" si="22"/>
        <v/>
      </c>
      <c r="U478" s="28">
        <f>IF($C478&lt;&gt;"",COUNTIF($C$2:C478,C478),"")</f>
        <v>2</v>
      </c>
      <c r="V478" s="28" t="str">
        <f t="shared" si="23"/>
        <v>Prof. Dr. Sinem AKGÜL§2</v>
      </c>
      <c r="W478" s="28" t="str">
        <f>IF(U478=1,COUNTIF($U$2:U478,1),"")</f>
        <v/>
      </c>
    </row>
    <row r="479" spans="1:23" ht="63" customHeight="1" x14ac:dyDescent="0.25">
      <c r="A479" s="42" t="s">
        <v>2326</v>
      </c>
      <c r="B479" s="42" t="s">
        <v>2327</v>
      </c>
      <c r="C479" s="43" t="s">
        <v>2328</v>
      </c>
      <c r="D479" s="43" t="s">
        <v>237</v>
      </c>
      <c r="E479" s="44" t="s">
        <v>2329</v>
      </c>
      <c r="F479" s="44" t="s">
        <v>2330</v>
      </c>
      <c r="G479" s="45" t="s">
        <v>34</v>
      </c>
      <c r="H479" s="47">
        <v>46154</v>
      </c>
      <c r="I479" s="47">
        <v>46175</v>
      </c>
      <c r="J479" s="43" t="s">
        <v>105</v>
      </c>
      <c r="K479" s="43" t="s">
        <v>95</v>
      </c>
      <c r="L479" s="49" t="s">
        <v>69</v>
      </c>
      <c r="M479" s="49"/>
      <c r="N479" s="49"/>
      <c r="O479" s="48"/>
      <c r="P479" s="49" t="str">
        <f t="shared" si="21"/>
        <v>ONAY</v>
      </c>
      <c r="R479" s="50" t="str">
        <f t="shared" si="22"/>
        <v/>
      </c>
      <c r="U479" s="28">
        <f>IF($C479&lt;&gt;"",COUNTIF($C$2:C479,C479),"")</f>
        <v>1</v>
      </c>
      <c r="V479" s="28" t="str">
        <f t="shared" si="23"/>
        <v>Dr. Öğr. Üyesi Nur Berna ÇELİK ERTAŞ§1</v>
      </c>
      <c r="W479" s="28">
        <f>IF(U479=1,COUNTIF($U$2:U479,1),"")</f>
        <v>263</v>
      </c>
    </row>
    <row r="480" spans="1:23" ht="78.75" customHeight="1" x14ac:dyDescent="0.25">
      <c r="A480" s="42" t="s">
        <v>2331</v>
      </c>
      <c r="B480" s="42" t="s">
        <v>2332</v>
      </c>
      <c r="C480" s="43" t="s">
        <v>775</v>
      </c>
      <c r="D480" s="43" t="s">
        <v>320</v>
      </c>
      <c r="E480" s="44" t="s">
        <v>2333</v>
      </c>
      <c r="F480" s="44" t="s">
        <v>2334</v>
      </c>
      <c r="G480" s="45" t="s">
        <v>34</v>
      </c>
      <c r="H480" s="47">
        <v>46154</v>
      </c>
      <c r="I480" s="47">
        <v>46175</v>
      </c>
      <c r="J480" s="43" t="s">
        <v>121</v>
      </c>
      <c r="K480" s="43" t="s">
        <v>67</v>
      </c>
      <c r="L480" s="49" t="s">
        <v>178</v>
      </c>
      <c r="M480" s="49"/>
      <c r="N480" s="49"/>
      <c r="O480" s="48"/>
      <c r="P480" s="49" t="str">
        <f t="shared" si="21"/>
        <v>RET</v>
      </c>
      <c r="R480" s="50" t="str">
        <f t="shared" si="22"/>
        <v/>
      </c>
      <c r="U480" s="28">
        <f>IF($C480&lt;&gt;"",COUNTIF($C$2:C480,C480),"")</f>
        <v>2</v>
      </c>
      <c r="V480" s="28" t="str">
        <f t="shared" si="23"/>
        <v>Prof. Dr. Serdar ÖZER§2</v>
      </c>
      <c r="W480" s="28" t="str">
        <f>IF(U480=1,COUNTIF($U$2:U480,1),"")</f>
        <v/>
      </c>
    </row>
    <row r="481" spans="1:23" ht="81" customHeight="1" x14ac:dyDescent="0.25">
      <c r="A481" s="42" t="s">
        <v>2335</v>
      </c>
      <c r="B481" s="42" t="s">
        <v>2336</v>
      </c>
      <c r="C481" s="43" t="s">
        <v>1695</v>
      </c>
      <c r="D481" s="43" t="s">
        <v>1696</v>
      </c>
      <c r="E481" s="44" t="s">
        <v>2337</v>
      </c>
      <c r="F481" s="44" t="s">
        <v>2338</v>
      </c>
      <c r="G481" s="45" t="s">
        <v>34</v>
      </c>
      <c r="H481" s="47">
        <v>46154</v>
      </c>
      <c r="I481" s="47">
        <v>46175</v>
      </c>
      <c r="J481" s="43" t="s">
        <v>67</v>
      </c>
      <c r="K481" s="43" t="s">
        <v>128</v>
      </c>
      <c r="L481" s="49" t="s">
        <v>96</v>
      </c>
      <c r="M481" s="49" t="s">
        <v>69</v>
      </c>
      <c r="N481" s="49"/>
      <c r="O481" s="48"/>
      <c r="P481" s="49" t="str">
        <f t="shared" si="21"/>
        <v>ONAY</v>
      </c>
      <c r="Q481" s="27" t="s">
        <v>67</v>
      </c>
      <c r="R481" s="50" t="str">
        <f t="shared" si="22"/>
        <v/>
      </c>
      <c r="U481" s="28">
        <f>IF($C481&lt;&gt;"",COUNTIF($C$2:C481,C481),"")</f>
        <v>2</v>
      </c>
      <c r="V481" s="28" t="str">
        <f t="shared" si="23"/>
        <v>Doç. Dr. Oytun PORTAKAL AKÇİN§2</v>
      </c>
      <c r="W481" s="28" t="str">
        <f>IF(U481=1,COUNTIF($U$2:U481,1),"")</f>
        <v/>
      </c>
    </row>
    <row r="482" spans="1:23" ht="110.25" customHeight="1" x14ac:dyDescent="0.25">
      <c r="A482" s="42" t="s">
        <v>2339</v>
      </c>
      <c r="B482" s="42" t="s">
        <v>2340</v>
      </c>
      <c r="C482" s="43" t="s">
        <v>2341</v>
      </c>
      <c r="D482" s="43" t="s">
        <v>175</v>
      </c>
      <c r="E482" s="44" t="s">
        <v>2342</v>
      </c>
      <c r="F482" s="44" t="s">
        <v>2343</v>
      </c>
      <c r="G482" s="45" t="s">
        <v>35</v>
      </c>
      <c r="H482" s="47">
        <v>46155</v>
      </c>
      <c r="I482" s="47">
        <v>46175</v>
      </c>
      <c r="J482" s="43" t="s">
        <v>94</v>
      </c>
      <c r="K482" s="43" t="s">
        <v>104</v>
      </c>
      <c r="L482" s="49" t="s">
        <v>69</v>
      </c>
      <c r="M482" s="49"/>
      <c r="N482" s="49"/>
      <c r="O482" s="48"/>
      <c r="P482" s="49" t="str">
        <f t="shared" si="21"/>
        <v>ONAY</v>
      </c>
      <c r="R482" s="50" t="str">
        <f t="shared" si="22"/>
        <v/>
      </c>
      <c r="U482" s="28">
        <f>IF($C482&lt;&gt;"",COUNTIF($C$2:C482,C482),"")</f>
        <v>1</v>
      </c>
      <c r="V482" s="28" t="str">
        <f t="shared" si="23"/>
        <v>Dr. Öğr. Üyesi Aslı ALKAN§1</v>
      </c>
      <c r="W482" s="28">
        <f>IF(U482=1,COUNTIF($U$2:U482,1),"")</f>
        <v>264</v>
      </c>
    </row>
    <row r="483" spans="1:23" ht="78.75" customHeight="1" x14ac:dyDescent="0.25">
      <c r="A483" s="42" t="s">
        <v>2344</v>
      </c>
      <c r="B483" s="42" t="s">
        <v>2345</v>
      </c>
      <c r="C483" s="43" t="s">
        <v>2346</v>
      </c>
      <c r="D483" s="43" t="s">
        <v>237</v>
      </c>
      <c r="E483" s="44" t="s">
        <v>2347</v>
      </c>
      <c r="F483" s="44" t="s">
        <v>2348</v>
      </c>
      <c r="G483" s="45" t="s">
        <v>35</v>
      </c>
      <c r="H483" s="47">
        <v>46155</v>
      </c>
      <c r="I483" s="47">
        <v>46175</v>
      </c>
      <c r="J483" s="43" t="s">
        <v>67</v>
      </c>
      <c r="K483" s="43" t="s">
        <v>77</v>
      </c>
      <c r="L483" s="49" t="s">
        <v>69</v>
      </c>
      <c r="M483" s="49"/>
      <c r="N483" s="49"/>
      <c r="O483" s="48"/>
      <c r="P483" s="49" t="str">
        <f t="shared" si="21"/>
        <v>ONAY</v>
      </c>
      <c r="R483" s="50" t="str">
        <f t="shared" si="22"/>
        <v/>
      </c>
      <c r="U483" s="28">
        <f>IF($C483&lt;&gt;"",COUNTIF($C$2:C483,C483),"")</f>
        <v>1</v>
      </c>
      <c r="V483" s="28" t="str">
        <f t="shared" si="23"/>
        <v>Prof. Dr. Gülen Eda ÜTİNE§1</v>
      </c>
      <c r="W483" s="28">
        <f>IF(U483=1,COUNTIF($U$2:U483,1),"")</f>
        <v>265</v>
      </c>
    </row>
    <row r="484" spans="1:23" ht="78.75" customHeight="1" x14ac:dyDescent="0.25">
      <c r="A484" s="42" t="s">
        <v>2349</v>
      </c>
      <c r="B484" s="42" t="s">
        <v>2350</v>
      </c>
      <c r="C484" s="43" t="s">
        <v>2351</v>
      </c>
      <c r="D484" s="43" t="s">
        <v>110</v>
      </c>
      <c r="E484" s="44" t="s">
        <v>2352</v>
      </c>
      <c r="F484" s="44" t="s">
        <v>2353</v>
      </c>
      <c r="G484" s="45" t="s">
        <v>35</v>
      </c>
      <c r="H484" s="47">
        <v>46155</v>
      </c>
      <c r="I484" s="47">
        <v>46175</v>
      </c>
      <c r="J484" s="43" t="s">
        <v>105</v>
      </c>
      <c r="K484" s="43" t="s">
        <v>128</v>
      </c>
      <c r="L484" s="49" t="s">
        <v>69</v>
      </c>
      <c r="M484" s="49"/>
      <c r="N484" s="49"/>
      <c r="O484" s="48"/>
      <c r="P484" s="49" t="str">
        <f t="shared" si="21"/>
        <v>ONAY</v>
      </c>
      <c r="R484" s="50" t="str">
        <f t="shared" si="22"/>
        <v/>
      </c>
      <c r="U484" s="28">
        <f>IF($C484&lt;&gt;"",COUNTIF($C$2:C484,C484),"")</f>
        <v>1</v>
      </c>
      <c r="V484" s="28" t="str">
        <f t="shared" si="23"/>
        <v>Doç. Dr. Muhammed Bahaddin DURAK§1</v>
      </c>
      <c r="W484" s="28">
        <f>IF(U484=1,COUNTIF($U$2:U484,1),"")</f>
        <v>266</v>
      </c>
    </row>
    <row r="485" spans="1:23" ht="63" customHeight="1" x14ac:dyDescent="0.25">
      <c r="A485" s="42" t="s">
        <v>2354</v>
      </c>
      <c r="B485" s="42" t="s">
        <v>2355</v>
      </c>
      <c r="C485" s="43" t="s">
        <v>1559</v>
      </c>
      <c r="D485" s="43" t="s">
        <v>251</v>
      </c>
      <c r="E485" s="44" t="s">
        <v>2356</v>
      </c>
      <c r="F485" s="44" t="s">
        <v>2357</v>
      </c>
      <c r="G485" s="45" t="s">
        <v>34</v>
      </c>
      <c r="H485" s="47">
        <v>46155</v>
      </c>
      <c r="I485" s="47">
        <v>46175</v>
      </c>
      <c r="J485" s="43" t="s">
        <v>113</v>
      </c>
      <c r="K485" s="43" t="s">
        <v>86</v>
      </c>
      <c r="L485" s="49" t="s">
        <v>69</v>
      </c>
      <c r="M485" s="49"/>
      <c r="N485" s="49"/>
      <c r="O485" s="48"/>
      <c r="P485" s="49" t="str">
        <f t="shared" si="21"/>
        <v>ONAY</v>
      </c>
      <c r="R485" s="50" t="str">
        <f t="shared" si="22"/>
        <v/>
      </c>
      <c r="U485" s="28">
        <f>IF($C485&lt;&gt;"",COUNTIF($C$2:C485,C485),"")</f>
        <v>2</v>
      </c>
      <c r="V485" s="28" t="str">
        <f t="shared" si="23"/>
        <v>Doç. Dr. Cem ÇÖTELİ§2</v>
      </c>
      <c r="W485" s="28" t="str">
        <f>IF(U485=1,COUNTIF($U$2:U485,1),"")</f>
        <v/>
      </c>
    </row>
    <row r="486" spans="1:23" ht="63" customHeight="1" x14ac:dyDescent="0.25">
      <c r="A486" s="42" t="s">
        <v>2358</v>
      </c>
      <c r="B486" s="42" t="s">
        <v>2359</v>
      </c>
      <c r="C486" s="43" t="s">
        <v>1559</v>
      </c>
      <c r="D486" s="43" t="s">
        <v>251</v>
      </c>
      <c r="E486" s="44" t="s">
        <v>2356</v>
      </c>
      <c r="F486" s="44" t="s">
        <v>2360</v>
      </c>
      <c r="G486" s="45" t="s">
        <v>34</v>
      </c>
      <c r="H486" s="47">
        <v>46155</v>
      </c>
      <c r="I486" s="47">
        <v>46175</v>
      </c>
      <c r="J486" s="43" t="s">
        <v>113</v>
      </c>
      <c r="K486" s="43" t="s">
        <v>86</v>
      </c>
      <c r="L486" s="49" t="s">
        <v>96</v>
      </c>
      <c r="M486" s="49"/>
      <c r="N486" s="49"/>
      <c r="O486" s="48"/>
      <c r="P486" s="49" t="str">
        <f t="shared" si="21"/>
        <v>DÜZELTME</v>
      </c>
      <c r="R486" s="50" t="str">
        <f t="shared" si="22"/>
        <v/>
      </c>
      <c r="U486" s="28">
        <f>IF($C486&lt;&gt;"",COUNTIF($C$2:C486,C486),"")</f>
        <v>3</v>
      </c>
      <c r="V486" s="28" t="str">
        <f t="shared" si="23"/>
        <v>Doç. Dr. Cem ÇÖTELİ§3</v>
      </c>
      <c r="W486" s="28" t="str">
        <f>IF(U486=1,COUNTIF($U$2:U486,1),"")</f>
        <v/>
      </c>
    </row>
    <row r="487" spans="1:23" ht="78.75" customHeight="1" x14ac:dyDescent="0.25">
      <c r="A487" s="42" t="s">
        <v>2361</v>
      </c>
      <c r="B487" s="42" t="s">
        <v>2362</v>
      </c>
      <c r="C487" s="43" t="s">
        <v>2363</v>
      </c>
      <c r="D487" s="43" t="s">
        <v>110</v>
      </c>
      <c r="E487" s="44" t="s">
        <v>2364</v>
      </c>
      <c r="F487" s="44" t="s">
        <v>2365</v>
      </c>
      <c r="G487" s="45" t="s">
        <v>34</v>
      </c>
      <c r="H487" s="47">
        <v>46156</v>
      </c>
      <c r="I487" s="47">
        <v>46175</v>
      </c>
      <c r="J487" s="43" t="s">
        <v>104</v>
      </c>
      <c r="K487" s="43" t="s">
        <v>128</v>
      </c>
      <c r="L487" s="49" t="s">
        <v>96</v>
      </c>
      <c r="M487" s="49" t="s">
        <v>69</v>
      </c>
      <c r="N487" s="49"/>
      <c r="O487" s="48"/>
      <c r="P487" s="49" t="str">
        <f t="shared" si="21"/>
        <v>ONAY</v>
      </c>
      <c r="Q487" s="27" t="s">
        <v>67</v>
      </c>
      <c r="R487" s="50" t="str">
        <f t="shared" si="22"/>
        <v/>
      </c>
      <c r="U487" s="28">
        <f>IF($C487&lt;&gt;"",COUNTIF($C$2:C487,C487),"")</f>
        <v>1</v>
      </c>
      <c r="V487" s="28" t="str">
        <f t="shared" si="23"/>
        <v>Prof. Dr. Okan Bülent YILDIZ§1</v>
      </c>
      <c r="W487" s="28">
        <f>IF(U487=1,COUNTIF($U$2:U487,1),"")</f>
        <v>267</v>
      </c>
    </row>
    <row r="488" spans="1:23" ht="78.75" customHeight="1" x14ac:dyDescent="0.25">
      <c r="A488" s="42" t="s">
        <v>2366</v>
      </c>
      <c r="B488" s="42" t="s">
        <v>2367</v>
      </c>
      <c r="C488" s="43" t="s">
        <v>2363</v>
      </c>
      <c r="D488" s="43" t="s">
        <v>110</v>
      </c>
      <c r="E488" s="44" t="s">
        <v>2364</v>
      </c>
      <c r="F488" s="44" t="s">
        <v>2368</v>
      </c>
      <c r="G488" s="45" t="s">
        <v>34</v>
      </c>
      <c r="H488" s="47">
        <v>46156</v>
      </c>
      <c r="I488" s="47">
        <v>46175</v>
      </c>
      <c r="J488" s="43" t="s">
        <v>104</v>
      </c>
      <c r="K488" s="43" t="s">
        <v>128</v>
      </c>
      <c r="L488" s="49" t="s">
        <v>96</v>
      </c>
      <c r="M488" s="49" t="s">
        <v>69</v>
      </c>
      <c r="N488" s="49"/>
      <c r="O488" s="48"/>
      <c r="P488" s="49" t="str">
        <f t="shared" si="21"/>
        <v>ONAY</v>
      </c>
      <c r="Q488" s="27" t="s">
        <v>67</v>
      </c>
      <c r="R488" s="50" t="str">
        <f t="shared" si="22"/>
        <v/>
      </c>
      <c r="U488" s="28">
        <f>IF($C488&lt;&gt;"",COUNTIF($C$2:C488,C488),"")</f>
        <v>2</v>
      </c>
      <c r="V488" s="28" t="str">
        <f t="shared" si="23"/>
        <v>Prof. Dr. Okan Bülent YILDIZ§2</v>
      </c>
      <c r="W488" s="28" t="str">
        <f>IF(U488=1,COUNTIF($U$2:U488,1),"")</f>
        <v/>
      </c>
    </row>
    <row r="489" spans="1:23" ht="63" customHeight="1" x14ac:dyDescent="0.25">
      <c r="A489" s="42" t="s">
        <v>2369</v>
      </c>
      <c r="B489" s="42" t="s">
        <v>2370</v>
      </c>
      <c r="C489" s="43" t="s">
        <v>664</v>
      </c>
      <c r="D489" s="43" t="s">
        <v>244</v>
      </c>
      <c r="E489" s="44" t="s">
        <v>2371</v>
      </c>
      <c r="F489" s="44" t="s">
        <v>2372</v>
      </c>
      <c r="G489" s="45" t="s">
        <v>35</v>
      </c>
      <c r="H489" s="47">
        <v>46156</v>
      </c>
      <c r="I489" s="47">
        <v>46175</v>
      </c>
      <c r="J489" s="43" t="s">
        <v>77</v>
      </c>
      <c r="K489" s="43" t="s">
        <v>94</v>
      </c>
      <c r="L489" s="49" t="s">
        <v>96</v>
      </c>
      <c r="M489" s="49" t="s">
        <v>69</v>
      </c>
      <c r="N489" s="49"/>
      <c r="O489" s="48"/>
      <c r="P489" s="49" t="str">
        <f t="shared" si="21"/>
        <v>ONAY</v>
      </c>
      <c r="Q489" s="27" t="s">
        <v>77</v>
      </c>
      <c r="R489" s="50" t="str">
        <f t="shared" si="22"/>
        <v/>
      </c>
      <c r="U489" s="28">
        <f>IF($C489&lt;&gt;"",COUNTIF($C$2:C489,C489),"")</f>
        <v>6</v>
      </c>
      <c r="V489" s="28" t="str">
        <f t="shared" si="23"/>
        <v>Doç. Dr. Utku AKGÖR§6</v>
      </c>
      <c r="W489" s="28" t="str">
        <f>IF(U489=1,COUNTIF($U$2:U489,1),"")</f>
        <v/>
      </c>
    </row>
    <row r="490" spans="1:23" ht="63" customHeight="1" x14ac:dyDescent="0.25">
      <c r="A490" s="42" t="s">
        <v>2373</v>
      </c>
      <c r="B490" s="42" t="s">
        <v>2374</v>
      </c>
      <c r="C490" s="43" t="s">
        <v>2375</v>
      </c>
      <c r="D490" s="43" t="s">
        <v>416</v>
      </c>
      <c r="E490" s="44" t="s">
        <v>2376</v>
      </c>
      <c r="F490" s="44" t="s">
        <v>2377</v>
      </c>
      <c r="G490" s="45" t="s">
        <v>34</v>
      </c>
      <c r="H490" s="47">
        <v>46156</v>
      </c>
      <c r="I490" s="47">
        <v>46175</v>
      </c>
      <c r="J490" s="43" t="s">
        <v>94</v>
      </c>
      <c r="K490" s="43" t="s">
        <v>95</v>
      </c>
      <c r="L490" s="49" t="s">
        <v>69</v>
      </c>
      <c r="M490" s="49"/>
      <c r="N490" s="49"/>
      <c r="O490" s="48"/>
      <c r="P490" s="49" t="str">
        <f t="shared" si="21"/>
        <v>ONAY</v>
      </c>
      <c r="R490" s="50" t="str">
        <f t="shared" si="22"/>
        <v/>
      </c>
      <c r="U490" s="28">
        <f>IF($C490&lt;&gt;"",COUNTIF($C$2:C490,C490),"")</f>
        <v>1</v>
      </c>
      <c r="V490" s="28" t="str">
        <f t="shared" si="23"/>
        <v>Prof. Dr. Saniye EKİNCİ§1</v>
      </c>
      <c r="W490" s="28">
        <f>IF(U490=1,COUNTIF($U$2:U490,1),"")</f>
        <v>268</v>
      </c>
    </row>
    <row r="491" spans="1:23" ht="63" customHeight="1" x14ac:dyDescent="0.25">
      <c r="A491" s="42" t="s">
        <v>2378</v>
      </c>
      <c r="B491" s="42" t="s">
        <v>2379</v>
      </c>
      <c r="C491" s="43" t="s">
        <v>2380</v>
      </c>
      <c r="D491" s="43" t="s">
        <v>110</v>
      </c>
      <c r="E491" s="44" t="s">
        <v>2381</v>
      </c>
      <c r="F491" s="44" t="s">
        <v>2382</v>
      </c>
      <c r="G491" s="45" t="s">
        <v>34</v>
      </c>
      <c r="H491" s="47">
        <v>46157</v>
      </c>
      <c r="I491" s="47">
        <v>46175</v>
      </c>
      <c r="J491" s="43" t="s">
        <v>121</v>
      </c>
      <c r="K491" s="43" t="s">
        <v>77</v>
      </c>
      <c r="L491" s="49" t="s">
        <v>69</v>
      </c>
      <c r="M491" s="49"/>
      <c r="N491" s="49"/>
      <c r="O491" s="48"/>
      <c r="P491" s="49" t="str">
        <f t="shared" si="21"/>
        <v>ONAY</v>
      </c>
      <c r="R491" s="50" t="str">
        <f t="shared" si="22"/>
        <v/>
      </c>
      <c r="U491" s="28">
        <f>IF($C491&lt;&gt;"",COUNTIF($C$2:C491,C491),"")</f>
        <v>1</v>
      </c>
      <c r="V491" s="28" t="str">
        <f t="shared" si="23"/>
        <v>Prof. Dr. Gülay SAİN GÜVEN§1</v>
      </c>
      <c r="W491" s="28">
        <f>IF(U491=1,COUNTIF($U$2:U491,1),"")</f>
        <v>269</v>
      </c>
    </row>
    <row r="492" spans="1:23" ht="63" customHeight="1" x14ac:dyDescent="0.25">
      <c r="A492" s="42" t="s">
        <v>2383</v>
      </c>
      <c r="B492" s="42" t="s">
        <v>2384</v>
      </c>
      <c r="C492" s="43" t="s">
        <v>545</v>
      </c>
      <c r="D492" s="43" t="s">
        <v>320</v>
      </c>
      <c r="E492" s="44" t="s">
        <v>2385</v>
      </c>
      <c r="F492" s="44" t="s">
        <v>2386</v>
      </c>
      <c r="G492" s="45" t="s">
        <v>34</v>
      </c>
      <c r="H492" s="47">
        <v>46157</v>
      </c>
      <c r="I492" s="47">
        <v>46175</v>
      </c>
      <c r="J492" s="43" t="s">
        <v>95</v>
      </c>
      <c r="K492" s="43" t="s">
        <v>105</v>
      </c>
      <c r="L492" s="49" t="s">
        <v>69</v>
      </c>
      <c r="M492" s="49"/>
      <c r="N492" s="49"/>
      <c r="O492" s="48"/>
      <c r="P492" s="49" t="str">
        <f t="shared" si="21"/>
        <v>ONAY</v>
      </c>
      <c r="R492" s="50" t="str">
        <f t="shared" si="22"/>
        <v/>
      </c>
      <c r="U492" s="28">
        <f>IF($C492&lt;&gt;"",COUNTIF($C$2:C492,C492),"")</f>
        <v>2</v>
      </c>
      <c r="V492" s="28" t="str">
        <f t="shared" si="23"/>
        <v>Prof. Dr. Taner YILMAZ§2</v>
      </c>
      <c r="W492" s="28" t="str">
        <f>IF(U492=1,COUNTIF($U$2:U492,1),"")</f>
        <v/>
      </c>
    </row>
    <row r="493" spans="1:23" ht="78.75" customHeight="1" x14ac:dyDescent="0.25">
      <c r="A493" s="42" t="s">
        <v>2387</v>
      </c>
      <c r="B493" s="42" t="s">
        <v>2388</v>
      </c>
      <c r="C493" s="43" t="s">
        <v>664</v>
      </c>
      <c r="D493" s="43" t="s">
        <v>244</v>
      </c>
      <c r="E493" s="44" t="s">
        <v>2389</v>
      </c>
      <c r="F493" s="44" t="s">
        <v>2390</v>
      </c>
      <c r="G493" s="45" t="s">
        <v>34</v>
      </c>
      <c r="H493" s="47">
        <v>46157</v>
      </c>
      <c r="I493" s="47">
        <v>46175</v>
      </c>
      <c r="J493" s="43" t="s">
        <v>121</v>
      </c>
      <c r="K493" s="43" t="s">
        <v>67</v>
      </c>
      <c r="L493" s="49" t="s">
        <v>69</v>
      </c>
      <c r="M493" s="49"/>
      <c r="N493" s="49"/>
      <c r="O493" s="48"/>
      <c r="P493" s="49" t="str">
        <f t="shared" si="21"/>
        <v>ONAY</v>
      </c>
      <c r="R493" s="50" t="str">
        <f t="shared" si="22"/>
        <v/>
      </c>
      <c r="U493" s="28">
        <f>IF($C493&lt;&gt;"",COUNTIF($C$2:C493,C493),"")</f>
        <v>7</v>
      </c>
      <c r="V493" s="28" t="str">
        <f t="shared" si="23"/>
        <v>Doç. Dr. Utku AKGÖR§7</v>
      </c>
      <c r="W493" s="28" t="str">
        <f>IF(U493=1,COUNTIF($U$2:U493,1),"")</f>
        <v/>
      </c>
    </row>
    <row r="494" spans="1:23" ht="47.25" customHeight="1" x14ac:dyDescent="0.25">
      <c r="A494" s="42" t="s">
        <v>2391</v>
      </c>
      <c r="B494" s="42" t="s">
        <v>2392</v>
      </c>
      <c r="C494" s="43" t="s">
        <v>1458</v>
      </c>
      <c r="D494" s="43" t="s">
        <v>997</v>
      </c>
      <c r="E494" s="44" t="s">
        <v>2393</v>
      </c>
      <c r="F494" s="44" t="s">
        <v>2394</v>
      </c>
      <c r="G494" s="45" t="s">
        <v>35</v>
      </c>
      <c r="H494" s="47">
        <v>46176</v>
      </c>
      <c r="I494" s="47">
        <v>46196</v>
      </c>
      <c r="J494" s="43" t="s">
        <v>77</v>
      </c>
      <c r="K494" s="43" t="s">
        <v>113</v>
      </c>
      <c r="L494" s="49" t="s">
        <v>69</v>
      </c>
      <c r="M494" s="49"/>
      <c r="N494" s="49"/>
      <c r="O494" s="48"/>
      <c r="P494" s="49" t="str">
        <f t="shared" si="21"/>
        <v>ONAY</v>
      </c>
      <c r="R494" s="50" t="str">
        <f t="shared" si="22"/>
        <v/>
      </c>
      <c r="U494" s="28">
        <f>IF($C494&lt;&gt;"",COUNTIF($C$2:C494,C494),"")</f>
        <v>4</v>
      </c>
      <c r="V494" s="28" t="str">
        <f t="shared" si="23"/>
        <v>Doç. Dr. Hilal AKSOY§4</v>
      </c>
      <c r="W494" s="28" t="str">
        <f>IF(U494=1,COUNTIF($U$2:U494,1),"")</f>
        <v/>
      </c>
    </row>
    <row r="495" spans="1:23" ht="63" customHeight="1" x14ac:dyDescent="0.25">
      <c r="A495" s="42" t="s">
        <v>2395</v>
      </c>
      <c r="B495" s="42" t="s">
        <v>2396</v>
      </c>
      <c r="C495" s="43" t="s">
        <v>520</v>
      </c>
      <c r="D495" s="43" t="s">
        <v>327</v>
      </c>
      <c r="E495" s="44" t="s">
        <v>2397</v>
      </c>
      <c r="F495" s="44" t="s">
        <v>2398</v>
      </c>
      <c r="G495" s="45" t="s">
        <v>34</v>
      </c>
      <c r="H495" s="47">
        <v>46176</v>
      </c>
      <c r="I495" s="47">
        <v>46196</v>
      </c>
      <c r="J495" s="43" t="s">
        <v>121</v>
      </c>
      <c r="K495" s="43" t="s">
        <v>113</v>
      </c>
      <c r="L495" s="49" t="s">
        <v>69</v>
      </c>
      <c r="M495" s="49"/>
      <c r="N495" s="49"/>
      <c r="O495" s="48"/>
      <c r="P495" s="49" t="str">
        <f t="shared" si="21"/>
        <v>ONAY</v>
      </c>
      <c r="R495" s="50" t="str">
        <f t="shared" si="22"/>
        <v/>
      </c>
      <c r="U495" s="28">
        <f>IF($C495&lt;&gt;"",COUNTIF($C$2:C495,C495),"")</f>
        <v>4</v>
      </c>
      <c r="V495" s="28" t="str">
        <f t="shared" si="23"/>
        <v>Doç. Dr. Ezgi ATİK§4</v>
      </c>
      <c r="W495" s="28" t="str">
        <f>IF(U495=1,COUNTIF($U$2:U495,1),"")</f>
        <v/>
      </c>
    </row>
    <row r="496" spans="1:23" ht="63" customHeight="1" x14ac:dyDescent="0.25">
      <c r="A496" s="42" t="s">
        <v>2399</v>
      </c>
      <c r="B496" s="42" t="s">
        <v>2400</v>
      </c>
      <c r="C496" s="43" t="s">
        <v>2401</v>
      </c>
      <c r="D496" s="43" t="s">
        <v>320</v>
      </c>
      <c r="E496" s="44" t="s">
        <v>2402</v>
      </c>
      <c r="F496" s="44" t="s">
        <v>2403</v>
      </c>
      <c r="G496" s="45" t="s">
        <v>34</v>
      </c>
      <c r="H496" s="47">
        <v>46176</v>
      </c>
      <c r="I496" s="47">
        <v>46196</v>
      </c>
      <c r="J496" s="43" t="s">
        <v>67</v>
      </c>
      <c r="K496" s="43" t="s">
        <v>95</v>
      </c>
      <c r="L496" s="49" t="s">
        <v>69</v>
      </c>
      <c r="M496" s="49"/>
      <c r="N496" s="49"/>
      <c r="O496" s="48"/>
      <c r="P496" s="49" t="str">
        <f t="shared" si="21"/>
        <v>ONAY</v>
      </c>
      <c r="R496" s="50" t="str">
        <f t="shared" si="22"/>
        <v/>
      </c>
      <c r="U496" s="28">
        <f>IF($C496&lt;&gt;"",COUNTIF($C$2:C496,C496),"")</f>
        <v>1</v>
      </c>
      <c r="V496" s="28" t="str">
        <f t="shared" si="23"/>
        <v>Prof. Dr. Levent SENNAROĞLU§1</v>
      </c>
      <c r="W496" s="28">
        <f>IF(U496=1,COUNTIF($U$2:U496,1),"")</f>
        <v>270</v>
      </c>
    </row>
    <row r="497" spans="1:23" ht="63" customHeight="1" x14ac:dyDescent="0.25">
      <c r="A497" s="42" t="s">
        <v>2404</v>
      </c>
      <c r="B497" s="42" t="s">
        <v>2405</v>
      </c>
      <c r="C497" s="43" t="s">
        <v>1369</v>
      </c>
      <c r="D497" s="43" t="s">
        <v>237</v>
      </c>
      <c r="E497" s="44" t="s">
        <v>2406</v>
      </c>
      <c r="F497" s="44" t="s">
        <v>2407</v>
      </c>
      <c r="G497" s="45" t="s">
        <v>34</v>
      </c>
      <c r="H497" s="47">
        <v>46177</v>
      </c>
      <c r="I497" s="47">
        <v>46196</v>
      </c>
      <c r="J497" s="43" t="s">
        <v>68</v>
      </c>
      <c r="K497" s="43" t="s">
        <v>113</v>
      </c>
      <c r="L497" s="49" t="s">
        <v>69</v>
      </c>
      <c r="M497" s="49"/>
      <c r="N497" s="49"/>
      <c r="O497" s="48"/>
      <c r="P497" s="49" t="str">
        <f t="shared" si="21"/>
        <v>ONAY</v>
      </c>
      <c r="R497" s="50" t="str">
        <f t="shared" si="22"/>
        <v/>
      </c>
      <c r="U497" s="28">
        <f>IF($C497&lt;&gt;"",COUNTIF($C$2:C497,C497),"")</f>
        <v>2</v>
      </c>
      <c r="V497" s="28" t="str">
        <f t="shared" si="23"/>
        <v>Doç. Dr. Leman AKCAN YILDIZ§2</v>
      </c>
      <c r="W497" s="28" t="str">
        <f>IF(U497=1,COUNTIF($U$2:U497,1),"")</f>
        <v/>
      </c>
    </row>
    <row r="498" spans="1:23" ht="78.75" customHeight="1" x14ac:dyDescent="0.25">
      <c r="A498" s="42" t="s">
        <v>2408</v>
      </c>
      <c r="B498" s="42" t="s">
        <v>2409</v>
      </c>
      <c r="C498" s="43" t="s">
        <v>410</v>
      </c>
      <c r="D498" s="43" t="s">
        <v>237</v>
      </c>
      <c r="E498" s="44" t="s">
        <v>2410</v>
      </c>
      <c r="F498" s="44" t="s">
        <v>2411</v>
      </c>
      <c r="G498" s="45" t="s">
        <v>34</v>
      </c>
      <c r="H498" s="47">
        <v>46177</v>
      </c>
      <c r="I498" s="47">
        <v>46196</v>
      </c>
      <c r="J498" s="43" t="s">
        <v>68</v>
      </c>
      <c r="K498" s="43" t="s">
        <v>86</v>
      </c>
      <c r="L498" s="49" t="s">
        <v>69</v>
      </c>
      <c r="M498" s="49"/>
      <c r="N498" s="49"/>
      <c r="O498" s="48"/>
      <c r="P498" s="49" t="str">
        <f t="shared" si="21"/>
        <v>ONAY</v>
      </c>
      <c r="R498" s="50" t="str">
        <f t="shared" si="22"/>
        <v/>
      </c>
      <c r="U498" s="28">
        <f>IF($C498&lt;&gt;"",COUNTIF($C$2:C498,C498),"")</f>
        <v>6</v>
      </c>
      <c r="V498" s="28" t="str">
        <f t="shared" si="23"/>
        <v>Prof. Dr. Deniz ÇAĞDAŞ AYVAZ§6</v>
      </c>
      <c r="W498" s="28" t="str">
        <f>IF(U498=1,COUNTIF($U$2:U498,1),"")</f>
        <v/>
      </c>
    </row>
    <row r="499" spans="1:23" ht="63" customHeight="1" x14ac:dyDescent="0.25">
      <c r="A499" s="42" t="s">
        <v>2412</v>
      </c>
      <c r="B499" s="42" t="s">
        <v>2413</v>
      </c>
      <c r="C499" s="43" t="s">
        <v>555</v>
      </c>
      <c r="D499" s="43" t="s">
        <v>110</v>
      </c>
      <c r="E499" s="44" t="s">
        <v>2027</v>
      </c>
      <c r="F499" s="44" t="s">
        <v>2414</v>
      </c>
      <c r="G499" s="45" t="s">
        <v>34</v>
      </c>
      <c r="H499" s="47">
        <v>46177</v>
      </c>
      <c r="I499" s="47">
        <v>46196</v>
      </c>
      <c r="J499" s="43" t="s">
        <v>67</v>
      </c>
      <c r="K499" s="43" t="s">
        <v>128</v>
      </c>
      <c r="L499" s="49" t="s">
        <v>96</v>
      </c>
      <c r="M499" s="49"/>
      <c r="N499" s="49"/>
      <c r="O499" s="48"/>
      <c r="P499" s="49" t="str">
        <f t="shared" si="21"/>
        <v>DÜZELTME</v>
      </c>
      <c r="R499" s="50" t="str">
        <f t="shared" si="22"/>
        <v/>
      </c>
      <c r="U499" s="28">
        <f>IF($C499&lt;&gt;"",COUNTIF($C$2:C499,C499),"")</f>
        <v>7</v>
      </c>
      <c r="V499" s="28" t="str">
        <f t="shared" si="23"/>
        <v>Doç. Dr. Mert EŞME§7</v>
      </c>
      <c r="W499" s="28" t="str">
        <f>IF(U499=1,COUNTIF($U$2:U499,1),"")</f>
        <v/>
      </c>
    </row>
    <row r="500" spans="1:23" ht="65.25" customHeight="1" x14ac:dyDescent="0.25">
      <c r="A500" s="42" t="s">
        <v>2415</v>
      </c>
      <c r="B500" s="42" t="s">
        <v>2416</v>
      </c>
      <c r="C500" s="43" t="s">
        <v>579</v>
      </c>
      <c r="D500" s="43" t="s">
        <v>203</v>
      </c>
      <c r="E500" s="44" t="s">
        <v>2417</v>
      </c>
      <c r="F500" s="44" t="s">
        <v>2418</v>
      </c>
      <c r="G500" s="45" t="s">
        <v>34</v>
      </c>
      <c r="H500" s="47">
        <v>46177</v>
      </c>
      <c r="I500" s="47">
        <v>46196</v>
      </c>
      <c r="J500" s="43" t="s">
        <v>86</v>
      </c>
      <c r="K500" s="43" t="s">
        <v>77</v>
      </c>
      <c r="L500" s="49" t="s">
        <v>69</v>
      </c>
      <c r="M500" s="49"/>
      <c r="N500" s="49"/>
      <c r="O500" s="48"/>
      <c r="P500" s="49" t="str">
        <f t="shared" si="21"/>
        <v>ONAY</v>
      </c>
      <c r="R500" s="50" t="str">
        <f t="shared" si="22"/>
        <v/>
      </c>
      <c r="U500" s="28">
        <f>IF($C500&lt;&gt;"",COUNTIF($C$2:C500,C500),"")</f>
        <v>5</v>
      </c>
      <c r="V500" s="28" t="str">
        <f t="shared" si="23"/>
        <v>Doç. Dr. İrem KOÇ§5</v>
      </c>
      <c r="W500" s="28" t="str">
        <f>IF(U500=1,COUNTIF($U$2:U500,1),"")</f>
        <v/>
      </c>
    </row>
    <row r="501" spans="1:23" ht="78.75" customHeight="1" x14ac:dyDescent="0.25">
      <c r="A501" s="42" t="s">
        <v>2419</v>
      </c>
      <c r="B501" s="42" t="s">
        <v>2420</v>
      </c>
      <c r="C501" s="43" t="s">
        <v>250</v>
      </c>
      <c r="D501" s="43" t="s">
        <v>251</v>
      </c>
      <c r="E501" s="44" t="s">
        <v>2421</v>
      </c>
      <c r="F501" s="44" t="s">
        <v>2422</v>
      </c>
      <c r="G501" s="45" t="s">
        <v>35</v>
      </c>
      <c r="H501" s="47">
        <v>46177</v>
      </c>
      <c r="I501" s="47">
        <v>46196</v>
      </c>
      <c r="J501" s="43" t="s">
        <v>85</v>
      </c>
      <c r="K501" s="43" t="s">
        <v>86</v>
      </c>
      <c r="L501" s="49" t="s">
        <v>69</v>
      </c>
      <c r="M501" s="49"/>
      <c r="N501" s="49"/>
      <c r="O501" s="48"/>
      <c r="P501" s="49" t="str">
        <f t="shared" si="21"/>
        <v>ONAY</v>
      </c>
      <c r="R501" s="50" t="str">
        <f t="shared" si="22"/>
        <v/>
      </c>
      <c r="U501" s="28">
        <f>IF($C501&lt;&gt;"",COUNTIF($C$2:C501,C501),"")</f>
        <v>2</v>
      </c>
      <c r="V501" s="28" t="str">
        <f t="shared" si="23"/>
        <v>Prof. Dr. Hikmet YORGUN§2</v>
      </c>
      <c r="W501" s="28" t="str">
        <f>IF(U501=1,COUNTIF($U$2:U501,1),"")</f>
        <v/>
      </c>
    </row>
    <row r="502" spans="1:23" ht="63" customHeight="1" x14ac:dyDescent="0.25">
      <c r="A502" s="42" t="s">
        <v>2423</v>
      </c>
      <c r="B502" s="42" t="s">
        <v>2424</v>
      </c>
      <c r="C502" s="43" t="s">
        <v>2234</v>
      </c>
      <c r="D502" s="43" t="s">
        <v>251</v>
      </c>
      <c r="E502" s="44" t="s">
        <v>2425</v>
      </c>
      <c r="F502" s="44" t="s">
        <v>2426</v>
      </c>
      <c r="G502" s="45" t="s">
        <v>34</v>
      </c>
      <c r="H502" s="47">
        <v>46177</v>
      </c>
      <c r="I502" s="47">
        <v>46196</v>
      </c>
      <c r="J502" s="43" t="s">
        <v>85</v>
      </c>
      <c r="K502" s="43" t="s">
        <v>128</v>
      </c>
      <c r="L502" s="49" t="s">
        <v>69</v>
      </c>
      <c r="M502" s="49"/>
      <c r="N502" s="49"/>
      <c r="O502" s="48"/>
      <c r="P502" s="49" t="str">
        <f t="shared" si="21"/>
        <v>ONAY</v>
      </c>
      <c r="R502" s="50" t="str">
        <f t="shared" si="22"/>
        <v/>
      </c>
      <c r="U502" s="28">
        <f>IF($C502&lt;&gt;"",COUNTIF($C$2:C502,C502),"")</f>
        <v>3</v>
      </c>
      <c r="V502" s="28" t="str">
        <f t="shared" si="23"/>
        <v>Doç. Dr. Ahmet KIVRAK§3</v>
      </c>
      <c r="W502" s="28" t="str">
        <f>IF(U502=1,COUNTIF($U$2:U502,1),"")</f>
        <v/>
      </c>
    </row>
    <row r="503" spans="1:23" ht="82.5" customHeight="1" x14ac:dyDescent="0.25">
      <c r="A503" s="42" t="s">
        <v>2427</v>
      </c>
      <c r="B503" s="42" t="s">
        <v>2428</v>
      </c>
      <c r="C503" s="43" t="s">
        <v>1331</v>
      </c>
      <c r="D503" s="43" t="s">
        <v>244</v>
      </c>
      <c r="E503" s="44" t="s">
        <v>2429</v>
      </c>
      <c r="F503" s="44" t="s">
        <v>2430</v>
      </c>
      <c r="G503" s="45" t="s">
        <v>34</v>
      </c>
      <c r="H503" s="47">
        <v>46177</v>
      </c>
      <c r="I503" s="47">
        <v>46196</v>
      </c>
      <c r="J503" s="43" t="s">
        <v>67</v>
      </c>
      <c r="K503" s="43" t="s">
        <v>77</v>
      </c>
      <c r="L503" s="49" t="s">
        <v>232</v>
      </c>
      <c r="M503" s="49"/>
      <c r="N503" s="49"/>
      <c r="O503" s="48"/>
      <c r="P503" s="49" t="str">
        <f t="shared" si="21"/>
        <v>KAEK</v>
      </c>
      <c r="R503" s="50" t="str">
        <f t="shared" si="22"/>
        <v/>
      </c>
      <c r="U503" s="28">
        <f>IF($C503&lt;&gt;"",COUNTIF($C$2:C503,C503),"")</f>
        <v>4</v>
      </c>
      <c r="V503" s="28" t="str">
        <f t="shared" si="23"/>
        <v>Prof. Dr. Murat GÜLTEKİN§4</v>
      </c>
      <c r="W503" s="28" t="str">
        <f>IF(U503=1,COUNTIF($U$2:U503,1),"")</f>
        <v/>
      </c>
    </row>
    <row r="504" spans="1:23" ht="63" customHeight="1" x14ac:dyDescent="0.25">
      <c r="A504" s="42" t="s">
        <v>2431</v>
      </c>
      <c r="B504" s="42" t="s">
        <v>2432</v>
      </c>
      <c r="C504" s="43" t="s">
        <v>1331</v>
      </c>
      <c r="D504" s="43" t="s">
        <v>244</v>
      </c>
      <c r="E504" s="44" t="s">
        <v>2429</v>
      </c>
      <c r="F504" s="44" t="s">
        <v>2433</v>
      </c>
      <c r="G504" s="45" t="s">
        <v>34</v>
      </c>
      <c r="H504" s="47">
        <v>46177</v>
      </c>
      <c r="I504" s="47">
        <v>46196</v>
      </c>
      <c r="J504" s="43" t="s">
        <v>67</v>
      </c>
      <c r="K504" s="43" t="s">
        <v>77</v>
      </c>
      <c r="L504" s="49" t="s">
        <v>232</v>
      </c>
      <c r="M504" s="49"/>
      <c r="N504" s="49"/>
      <c r="O504" s="48"/>
      <c r="P504" s="49" t="str">
        <f t="shared" si="21"/>
        <v>KAEK</v>
      </c>
      <c r="R504" s="50" t="str">
        <f t="shared" si="22"/>
        <v/>
      </c>
      <c r="U504" s="28">
        <f>IF($C504&lt;&gt;"",COUNTIF($C$2:C504,C504),"")</f>
        <v>5</v>
      </c>
      <c r="V504" s="28" t="str">
        <f t="shared" si="23"/>
        <v>Prof. Dr. Murat GÜLTEKİN§5</v>
      </c>
      <c r="W504" s="28" t="str">
        <f>IF(U504=1,COUNTIF($U$2:U504,1),"")</f>
        <v/>
      </c>
    </row>
    <row r="505" spans="1:23" ht="63" customHeight="1" x14ac:dyDescent="0.25">
      <c r="A505" s="42" t="s">
        <v>2434</v>
      </c>
      <c r="B505" s="42" t="s">
        <v>2435</v>
      </c>
      <c r="C505" s="43" t="s">
        <v>2436</v>
      </c>
      <c r="D505" s="43" t="s">
        <v>110</v>
      </c>
      <c r="E505" s="44" t="s">
        <v>2437</v>
      </c>
      <c r="F505" s="44" t="s">
        <v>2438</v>
      </c>
      <c r="G505" s="45" t="s">
        <v>34</v>
      </c>
      <c r="H505" s="47">
        <v>46177</v>
      </c>
      <c r="I505" s="47">
        <v>46196</v>
      </c>
      <c r="J505" s="43" t="s">
        <v>121</v>
      </c>
      <c r="K505" s="43" t="s">
        <v>128</v>
      </c>
      <c r="L505" s="49" t="s">
        <v>69</v>
      </c>
      <c r="M505" s="49"/>
      <c r="N505" s="49"/>
      <c r="O505" s="48"/>
      <c r="P505" s="49" t="str">
        <f t="shared" si="21"/>
        <v>ONAY</v>
      </c>
      <c r="R505" s="50" t="str">
        <f t="shared" si="22"/>
        <v/>
      </c>
      <c r="U505" s="28">
        <f>IF($C505&lt;&gt;"",COUNTIF($C$2:C505,C505),"")</f>
        <v>1</v>
      </c>
      <c r="V505" s="28" t="str">
        <f t="shared" si="23"/>
        <v>Prof. Dr. Uğur ÜNLÜTÜRK§1</v>
      </c>
      <c r="W505" s="28">
        <f>IF(U505=1,COUNTIF($U$2:U505,1),"")</f>
        <v>271</v>
      </c>
    </row>
    <row r="506" spans="1:23" ht="78.75" customHeight="1" x14ac:dyDescent="0.25">
      <c r="A506" s="42" t="s">
        <v>2439</v>
      </c>
      <c r="B506" s="42" t="s">
        <v>2440</v>
      </c>
      <c r="C506" s="43" t="s">
        <v>243</v>
      </c>
      <c r="D506" s="43" t="s">
        <v>244</v>
      </c>
      <c r="E506" s="44" t="s">
        <v>2441</v>
      </c>
      <c r="F506" s="44" t="s">
        <v>2442</v>
      </c>
      <c r="G506" s="45" t="s">
        <v>34</v>
      </c>
      <c r="H506" s="47">
        <v>46177</v>
      </c>
      <c r="I506" s="47">
        <v>46196</v>
      </c>
      <c r="J506" s="43" t="s">
        <v>113</v>
      </c>
      <c r="K506" s="43" t="s">
        <v>68</v>
      </c>
      <c r="L506" s="49" t="s">
        <v>69</v>
      </c>
      <c r="M506" s="49"/>
      <c r="N506" s="49"/>
      <c r="O506" s="48"/>
      <c r="P506" s="49" t="str">
        <f t="shared" si="21"/>
        <v>ONAY</v>
      </c>
      <c r="R506" s="50" t="str">
        <f t="shared" si="22"/>
        <v/>
      </c>
      <c r="U506" s="28">
        <f>IF($C506&lt;&gt;"",COUNTIF($C$2:C506,C506),"")</f>
        <v>8</v>
      </c>
      <c r="V506" s="28" t="str">
        <f t="shared" si="23"/>
        <v>Dr. Öğr. Üyesi Gonca ÖZTEN DERE§8</v>
      </c>
      <c r="W506" s="28" t="str">
        <f>IF(U506=1,COUNTIF($U$2:U506,1),"")</f>
        <v/>
      </c>
    </row>
    <row r="507" spans="1:23" ht="78.75" customHeight="1" x14ac:dyDescent="0.25">
      <c r="A507" s="42" t="s">
        <v>2443</v>
      </c>
      <c r="B507" s="42" t="s">
        <v>2444</v>
      </c>
      <c r="C507" s="43" t="s">
        <v>2445</v>
      </c>
      <c r="D507" s="43" t="s">
        <v>237</v>
      </c>
      <c r="E507" s="44" t="s">
        <v>2446</v>
      </c>
      <c r="F507" s="44" t="s">
        <v>2447</v>
      </c>
      <c r="G507" s="45" t="s">
        <v>34</v>
      </c>
      <c r="H507" s="47">
        <v>46177</v>
      </c>
      <c r="I507" s="47">
        <v>46196</v>
      </c>
      <c r="J507" s="43" t="s">
        <v>104</v>
      </c>
      <c r="K507" s="43" t="s">
        <v>95</v>
      </c>
      <c r="L507" s="49" t="s">
        <v>96</v>
      </c>
      <c r="M507" s="49"/>
      <c r="N507" s="49"/>
      <c r="O507" s="48"/>
      <c r="P507" s="49" t="str">
        <f t="shared" si="21"/>
        <v>DÜZELTME</v>
      </c>
      <c r="R507" s="50" t="str">
        <f t="shared" si="22"/>
        <v/>
      </c>
      <c r="U507" s="28">
        <f>IF($C507&lt;&gt;"",COUNTIF($C$2:C507,C507),"")</f>
        <v>1</v>
      </c>
      <c r="V507" s="28" t="str">
        <f t="shared" si="23"/>
        <v>Doç. Dr. Melis PEHLİVANTÜRK KIZILKAN§1</v>
      </c>
      <c r="W507" s="28">
        <f>IF(U507=1,COUNTIF($U$2:U507,1),"")</f>
        <v>272</v>
      </c>
    </row>
    <row r="508" spans="1:23" ht="63" customHeight="1" x14ac:dyDescent="0.25">
      <c r="A508" s="42" t="s">
        <v>2448</v>
      </c>
      <c r="B508" s="42" t="s">
        <v>2449</v>
      </c>
      <c r="C508" s="43" t="s">
        <v>2450</v>
      </c>
      <c r="D508" s="43" t="s">
        <v>140</v>
      </c>
      <c r="E508" s="44" t="s">
        <v>2451</v>
      </c>
      <c r="F508" s="44" t="s">
        <v>2452</v>
      </c>
      <c r="G508" s="45" t="s">
        <v>34</v>
      </c>
      <c r="H508" s="47">
        <v>46177</v>
      </c>
      <c r="I508" s="47">
        <v>46196</v>
      </c>
      <c r="J508" s="43" t="s">
        <v>67</v>
      </c>
      <c r="K508" s="43" t="s">
        <v>105</v>
      </c>
      <c r="L508" s="49" t="s">
        <v>69</v>
      </c>
      <c r="M508" s="49"/>
      <c r="N508" s="49"/>
      <c r="O508" s="48"/>
      <c r="P508" s="49" t="str">
        <f t="shared" si="21"/>
        <v>ONAY</v>
      </c>
      <c r="R508" s="50" t="str">
        <f t="shared" si="22"/>
        <v/>
      </c>
      <c r="U508" s="28">
        <f>IF($C508&lt;&gt;"",COUNTIF($C$2:C508,C508),"")</f>
        <v>1</v>
      </c>
      <c r="V508" s="28" t="str">
        <f t="shared" si="23"/>
        <v>Prof. Dr. Banu SANCAK§1</v>
      </c>
      <c r="W508" s="28">
        <f>IF(U508=1,COUNTIF($U$2:U508,1),"")</f>
        <v>273</v>
      </c>
    </row>
    <row r="509" spans="1:23" ht="112.5" customHeight="1" x14ac:dyDescent="0.25">
      <c r="A509" s="42" t="s">
        <v>2453</v>
      </c>
      <c r="B509" s="42" t="s">
        <v>2454</v>
      </c>
      <c r="C509" s="43" t="s">
        <v>1559</v>
      </c>
      <c r="D509" s="43" t="s">
        <v>251</v>
      </c>
      <c r="E509" s="44" t="s">
        <v>2455</v>
      </c>
      <c r="F509" s="44" t="s">
        <v>2456</v>
      </c>
      <c r="G509" s="45" t="s">
        <v>34</v>
      </c>
      <c r="H509" s="47">
        <v>46177</v>
      </c>
      <c r="I509" s="47">
        <v>46196</v>
      </c>
      <c r="J509" s="43" t="s">
        <v>85</v>
      </c>
      <c r="K509" s="43" t="s">
        <v>86</v>
      </c>
      <c r="L509" s="49" t="s">
        <v>232</v>
      </c>
      <c r="M509" s="49"/>
      <c r="N509" s="49"/>
      <c r="O509" s="48"/>
      <c r="P509" s="49" t="str">
        <f t="shared" si="21"/>
        <v>KAEK</v>
      </c>
      <c r="R509" s="50" t="str">
        <f t="shared" si="22"/>
        <v/>
      </c>
      <c r="U509" s="28">
        <f>IF($C509&lt;&gt;"",COUNTIF($C$2:C509,C509),"")</f>
        <v>4</v>
      </c>
      <c r="V509" s="28" t="str">
        <f t="shared" si="23"/>
        <v>Doç. Dr. Cem ÇÖTELİ§4</v>
      </c>
      <c r="W509" s="28" t="str">
        <f>IF(U509=1,COUNTIF($U$2:U509,1),"")</f>
        <v/>
      </c>
    </row>
    <row r="510" spans="1:23" ht="78.75" customHeight="1" x14ac:dyDescent="0.25">
      <c r="A510" s="42" t="s">
        <v>2457</v>
      </c>
      <c r="B510" s="42" t="s">
        <v>2458</v>
      </c>
      <c r="C510" s="43" t="s">
        <v>2459</v>
      </c>
      <c r="D510" s="54" t="s">
        <v>2460</v>
      </c>
      <c r="E510" s="44" t="s">
        <v>2461</v>
      </c>
      <c r="F510" s="44" t="s">
        <v>2462</v>
      </c>
      <c r="G510" s="45" t="s">
        <v>36</v>
      </c>
      <c r="H510" s="47">
        <v>46177</v>
      </c>
      <c r="I510" s="47">
        <v>46196</v>
      </c>
      <c r="J510" s="43" t="s">
        <v>67</v>
      </c>
      <c r="K510" s="43" t="s">
        <v>68</v>
      </c>
      <c r="L510" s="49" t="s">
        <v>232</v>
      </c>
      <c r="M510" s="49"/>
      <c r="N510" s="49"/>
      <c r="O510" s="48"/>
      <c r="P510" s="49" t="str">
        <f t="shared" si="21"/>
        <v>KAEK</v>
      </c>
      <c r="R510" s="50" t="str">
        <f t="shared" si="22"/>
        <v/>
      </c>
      <c r="U510" s="28">
        <f>IF($C510&lt;&gt;"",COUNTIF($C$2:C510,C510),"")</f>
        <v>1</v>
      </c>
      <c r="V510" s="28" t="str">
        <f t="shared" si="23"/>
        <v>Doç. Dr. Eylem TOPBAŞ§1</v>
      </c>
      <c r="W510" s="28">
        <f>IF(U510=1,COUNTIF($U$2:U510,1),"")</f>
        <v>274</v>
      </c>
    </row>
    <row r="511" spans="1:23" ht="127.5" customHeight="1" x14ac:dyDescent="0.25">
      <c r="A511" s="42" t="s">
        <v>2463</v>
      </c>
      <c r="B511" s="42" t="s">
        <v>2464</v>
      </c>
      <c r="C511" s="43" t="s">
        <v>826</v>
      </c>
      <c r="D511" s="43" t="s">
        <v>237</v>
      </c>
      <c r="E511" s="44" t="s">
        <v>2465</v>
      </c>
      <c r="F511" s="44" t="s">
        <v>2466</v>
      </c>
      <c r="G511" s="45" t="s">
        <v>34</v>
      </c>
      <c r="H511" s="47">
        <v>46177</v>
      </c>
      <c r="I511" s="47">
        <v>46196</v>
      </c>
      <c r="J511" s="43" t="s">
        <v>105</v>
      </c>
      <c r="K511" s="43" t="s">
        <v>113</v>
      </c>
      <c r="L511" s="49" t="s">
        <v>232</v>
      </c>
      <c r="M511" s="49"/>
      <c r="N511" s="49"/>
      <c r="O511" s="48"/>
      <c r="P511" s="49" t="str">
        <f t="shared" si="21"/>
        <v>KAEK</v>
      </c>
      <c r="R511" s="50" t="str">
        <f t="shared" si="22"/>
        <v/>
      </c>
      <c r="U511" s="28">
        <f>IF($C511&lt;&gt;"",COUNTIF($C$2:C511,C511),"")</f>
        <v>3</v>
      </c>
      <c r="V511" s="28" t="str">
        <f t="shared" si="23"/>
        <v>Prof. Dr. Deniz DOĞRU ERSÖZ§3</v>
      </c>
      <c r="W511" s="28" t="str">
        <f>IF(U511=1,COUNTIF($U$2:U511,1),"")</f>
        <v/>
      </c>
    </row>
    <row r="512" spans="1:23" ht="94.5" customHeight="1" x14ac:dyDescent="0.25">
      <c r="A512" s="42" t="s">
        <v>2467</v>
      </c>
      <c r="B512" s="42" t="s">
        <v>2468</v>
      </c>
      <c r="C512" s="43" t="s">
        <v>2445</v>
      </c>
      <c r="D512" s="43" t="s">
        <v>237</v>
      </c>
      <c r="E512" s="44" t="s">
        <v>2469</v>
      </c>
      <c r="F512" s="44" t="s">
        <v>2470</v>
      </c>
      <c r="G512" s="45" t="s">
        <v>37</v>
      </c>
      <c r="H512" s="47">
        <v>46177</v>
      </c>
      <c r="I512" s="47">
        <v>46196</v>
      </c>
      <c r="J512" s="43" t="s">
        <v>95</v>
      </c>
      <c r="K512" s="43" t="s">
        <v>68</v>
      </c>
      <c r="L512" s="49" t="s">
        <v>96</v>
      </c>
      <c r="M512" s="49"/>
      <c r="N512" s="49"/>
      <c r="O512" s="48"/>
      <c r="P512" s="49" t="str">
        <f t="shared" si="21"/>
        <v>DÜZELTME</v>
      </c>
      <c r="R512" s="50" t="str">
        <f t="shared" si="22"/>
        <v/>
      </c>
      <c r="U512" s="28">
        <f>IF($C512&lt;&gt;"",COUNTIF($C$2:C512,C512),"")</f>
        <v>2</v>
      </c>
      <c r="V512" s="28" t="str">
        <f t="shared" si="23"/>
        <v>Doç. Dr. Melis PEHLİVANTÜRK KIZILKAN§2</v>
      </c>
      <c r="W512" s="28" t="str">
        <f>IF(U512=1,COUNTIF($U$2:U512,1),"")</f>
        <v/>
      </c>
    </row>
    <row r="513" spans="1:23" ht="78.75" customHeight="1" x14ac:dyDescent="0.25">
      <c r="A513" s="42" t="s">
        <v>2471</v>
      </c>
      <c r="B513" s="42" t="s">
        <v>2472</v>
      </c>
      <c r="C513" s="43" t="s">
        <v>2473</v>
      </c>
      <c r="D513" s="43" t="s">
        <v>327</v>
      </c>
      <c r="E513" s="44" t="s">
        <v>2474</v>
      </c>
      <c r="F513" s="44" t="s">
        <v>2475</v>
      </c>
      <c r="G513" s="45" t="s">
        <v>34</v>
      </c>
      <c r="H513" s="47">
        <v>46177</v>
      </c>
      <c r="I513" s="47">
        <v>46196</v>
      </c>
      <c r="J513" s="43" t="s">
        <v>121</v>
      </c>
      <c r="K513" s="43" t="s">
        <v>128</v>
      </c>
      <c r="L513" s="49" t="s">
        <v>69</v>
      </c>
      <c r="M513" s="49"/>
      <c r="N513" s="49"/>
      <c r="O513" s="48"/>
      <c r="P513" s="49" t="str">
        <f t="shared" si="21"/>
        <v>ONAY</v>
      </c>
      <c r="R513" s="50" t="str">
        <f t="shared" si="22"/>
        <v/>
      </c>
      <c r="U513" s="28">
        <f>IF($C513&lt;&gt;"",COUNTIF($C$2:C513,C513),"")</f>
        <v>1</v>
      </c>
      <c r="V513" s="28" t="str">
        <f t="shared" si="23"/>
        <v>Dr. Öğr. Üyesi Cenk Ahmet AKCAN§1</v>
      </c>
      <c r="W513" s="28">
        <f>IF(U513=1,COUNTIF($U$2:U513,1),"")</f>
        <v>275</v>
      </c>
    </row>
    <row r="514" spans="1:23" ht="63" customHeight="1" x14ac:dyDescent="0.25">
      <c r="A514" s="42" t="s">
        <v>2476</v>
      </c>
      <c r="B514" s="42" t="s">
        <v>2477</v>
      </c>
      <c r="C514" s="43" t="s">
        <v>1083</v>
      </c>
      <c r="D514" s="43" t="s">
        <v>110</v>
      </c>
      <c r="E514" s="44" t="s">
        <v>1084</v>
      </c>
      <c r="F514" s="44" t="s">
        <v>2478</v>
      </c>
      <c r="G514" s="45" t="s">
        <v>34</v>
      </c>
      <c r="H514" s="47">
        <v>46177</v>
      </c>
      <c r="I514" s="47">
        <v>46196</v>
      </c>
      <c r="J514" s="43" t="s">
        <v>105</v>
      </c>
      <c r="K514" s="43" t="s">
        <v>77</v>
      </c>
      <c r="L514" s="49" t="s">
        <v>156</v>
      </c>
      <c r="M514" s="49"/>
      <c r="N514" s="49"/>
      <c r="O514" s="48"/>
      <c r="P514" s="49" t="str">
        <f t="shared" ref="P514:P577" si="24">IF(O514&lt;&gt;"",O514, IF(N514&lt;&gt;"",N514, IF(M514&lt;&gt;"",M514, L514)))</f>
        <v>KAPSAM DIŞI</v>
      </c>
      <c r="R514" s="50" t="str">
        <f t="shared" ref="R514:R577" si="25">IF(AND($I514&lt;&gt;"",$I514&gt;=DATE(2026,6,23),COUNTIFS($C:$C,$C514,$I:$I,$I514)&gt;2),"⚠ "&amp;COUNTIFS($C:$C,$C514,$I:$I,$I514)&amp;" BAŞVURU!","")</f>
        <v/>
      </c>
      <c r="U514" s="28">
        <f>IF($C514&lt;&gt;"",COUNTIF($C$2:C514,C514),"")</f>
        <v>6</v>
      </c>
      <c r="V514" s="28" t="str">
        <f t="shared" ref="V514:V577" si="26">IF($C514&lt;&gt;"",C514&amp;"§"&amp;U514,"")</f>
        <v>Prof. Dr. Mustafa CANKURTARAN§6</v>
      </c>
      <c r="W514" s="28" t="str">
        <f>IF(U514=1,COUNTIF($U$2:U514,1),"")</f>
        <v/>
      </c>
    </row>
    <row r="515" spans="1:23" ht="63" customHeight="1" x14ac:dyDescent="0.25">
      <c r="A515" s="42" t="s">
        <v>2479</v>
      </c>
      <c r="B515" s="42" t="s">
        <v>2480</v>
      </c>
      <c r="C515" s="43" t="s">
        <v>1083</v>
      </c>
      <c r="D515" s="43" t="s">
        <v>110</v>
      </c>
      <c r="E515" s="44" t="s">
        <v>1084</v>
      </c>
      <c r="F515" s="44" t="s">
        <v>2481</v>
      </c>
      <c r="G515" s="45" t="s">
        <v>34</v>
      </c>
      <c r="H515" s="47">
        <v>46177</v>
      </c>
      <c r="I515" s="47">
        <v>46196</v>
      </c>
      <c r="J515" s="43" t="s">
        <v>105</v>
      </c>
      <c r="K515" s="43" t="s">
        <v>77</v>
      </c>
      <c r="L515" s="49" t="s">
        <v>156</v>
      </c>
      <c r="M515" s="49"/>
      <c r="N515" s="49"/>
      <c r="O515" s="48"/>
      <c r="P515" s="49" t="str">
        <f t="shared" si="24"/>
        <v>KAPSAM DIŞI</v>
      </c>
      <c r="R515" s="50" t="str">
        <f t="shared" si="25"/>
        <v/>
      </c>
      <c r="U515" s="28">
        <f>IF($C515&lt;&gt;"",COUNTIF($C$2:C515,C515),"")</f>
        <v>7</v>
      </c>
      <c r="V515" s="28" t="str">
        <f t="shared" si="26"/>
        <v>Prof. Dr. Mustafa CANKURTARAN§7</v>
      </c>
      <c r="W515" s="28" t="str">
        <f>IF(U515=1,COUNTIF($U$2:U515,1),"")</f>
        <v/>
      </c>
    </row>
    <row r="516" spans="1:23" ht="126" customHeight="1" x14ac:dyDescent="0.25">
      <c r="A516" s="42" t="s">
        <v>2482</v>
      </c>
      <c r="B516" s="42" t="s">
        <v>2483</v>
      </c>
      <c r="C516" s="43" t="s">
        <v>2484</v>
      </c>
      <c r="D516" s="43" t="s">
        <v>203</v>
      </c>
      <c r="E516" s="44" t="s">
        <v>2485</v>
      </c>
      <c r="F516" s="44" t="s">
        <v>2486</v>
      </c>
      <c r="G516" s="45" t="s">
        <v>34</v>
      </c>
      <c r="H516" s="47">
        <v>46177</v>
      </c>
      <c r="I516" s="47">
        <v>46196</v>
      </c>
      <c r="J516" s="43" t="s">
        <v>128</v>
      </c>
      <c r="K516" s="43" t="s">
        <v>104</v>
      </c>
      <c r="L516" s="49" t="s">
        <v>232</v>
      </c>
      <c r="M516" s="49"/>
      <c r="N516" s="49"/>
      <c r="O516" s="48"/>
      <c r="P516" s="49" t="str">
        <f t="shared" si="24"/>
        <v>KAEK</v>
      </c>
      <c r="R516" s="50" t="str">
        <f t="shared" si="25"/>
        <v/>
      </c>
      <c r="U516" s="28">
        <f>IF($C516&lt;&gt;"",COUNTIF($C$2:C516,C516),"")</f>
        <v>1</v>
      </c>
      <c r="V516" s="28" t="str">
        <f t="shared" si="26"/>
        <v>Prof. Dr. Hande TAYLAN ŞEKEROĞLU§1</v>
      </c>
      <c r="W516" s="28">
        <f>IF(U516=1,COUNTIF($U$2:U516,1),"")</f>
        <v>276</v>
      </c>
    </row>
    <row r="517" spans="1:23" ht="78.75" customHeight="1" x14ac:dyDescent="0.25">
      <c r="A517" s="42" t="s">
        <v>2487</v>
      </c>
      <c r="B517" s="42" t="s">
        <v>2488</v>
      </c>
      <c r="C517" s="43" t="s">
        <v>109</v>
      </c>
      <c r="D517" s="43" t="s">
        <v>110</v>
      </c>
      <c r="E517" s="44" t="s">
        <v>2489</v>
      </c>
      <c r="F517" s="44" t="s">
        <v>2490</v>
      </c>
      <c r="G517" s="45" t="s">
        <v>34</v>
      </c>
      <c r="H517" s="47">
        <v>46177</v>
      </c>
      <c r="I517" s="47">
        <v>46196</v>
      </c>
      <c r="J517" s="43" t="s">
        <v>85</v>
      </c>
      <c r="K517" s="43" t="s">
        <v>86</v>
      </c>
      <c r="L517" s="49" t="s">
        <v>178</v>
      </c>
      <c r="M517" s="49"/>
      <c r="N517" s="49"/>
      <c r="O517" s="48"/>
      <c r="P517" s="49" t="str">
        <f t="shared" si="24"/>
        <v>RET</v>
      </c>
      <c r="R517" s="50" t="str">
        <f t="shared" si="25"/>
        <v/>
      </c>
      <c r="U517" s="28">
        <f>IF($C517&lt;&gt;"",COUNTIF($C$2:C517,C517),"")</f>
        <v>15</v>
      </c>
      <c r="V517" s="28" t="str">
        <f t="shared" si="26"/>
        <v>Prof. Dr. Meltem Gülhan HALİL§15</v>
      </c>
      <c r="W517" s="28" t="str">
        <f>IF(U517=1,COUNTIF($U$2:U517,1),"")</f>
        <v/>
      </c>
    </row>
    <row r="518" spans="1:23" ht="63" customHeight="1" x14ac:dyDescent="0.25">
      <c r="A518" s="42" t="s">
        <v>2491</v>
      </c>
      <c r="B518" s="42" t="s">
        <v>2492</v>
      </c>
      <c r="C518" s="43" t="s">
        <v>2493</v>
      </c>
      <c r="D518" s="43" t="s">
        <v>416</v>
      </c>
      <c r="E518" s="44" t="s">
        <v>2494</v>
      </c>
      <c r="F518" s="44" t="s">
        <v>2495</v>
      </c>
      <c r="G518" s="45" t="s">
        <v>34</v>
      </c>
      <c r="H518" s="47">
        <v>46177</v>
      </c>
      <c r="I518" s="47">
        <v>46196</v>
      </c>
      <c r="J518" s="43" t="s">
        <v>68</v>
      </c>
      <c r="K518" s="43" t="s">
        <v>113</v>
      </c>
      <c r="L518" s="49" t="s">
        <v>96</v>
      </c>
      <c r="M518" s="49" t="s">
        <v>69</v>
      </c>
      <c r="N518" s="49"/>
      <c r="O518" s="48"/>
      <c r="P518" s="49" t="str">
        <f t="shared" si="24"/>
        <v>ONAY</v>
      </c>
      <c r="Q518" s="27" t="s">
        <v>68</v>
      </c>
      <c r="R518" s="50" t="str">
        <f t="shared" si="25"/>
        <v/>
      </c>
      <c r="U518" s="28">
        <f>IF($C518&lt;&gt;"",COUNTIF($C$2:C518,C518),"")</f>
        <v>1</v>
      </c>
      <c r="V518" s="28" t="str">
        <f t="shared" si="26"/>
        <v>Dr. Öğr. Üyesi Bekir ERDEVE§1</v>
      </c>
      <c r="W518" s="28">
        <f>IF(U518=1,COUNTIF($U$2:U518,1),"")</f>
        <v>277</v>
      </c>
    </row>
    <row r="519" spans="1:23" ht="97.5" customHeight="1" x14ac:dyDescent="0.25">
      <c r="A519" s="42" t="s">
        <v>2496</v>
      </c>
      <c r="B519" s="42" t="s">
        <v>2497</v>
      </c>
      <c r="C519" s="43" t="s">
        <v>1529</v>
      </c>
      <c r="D519" s="43" t="s">
        <v>110</v>
      </c>
      <c r="E519" s="44" t="s">
        <v>2498</v>
      </c>
      <c r="F519" s="44" t="s">
        <v>2499</v>
      </c>
      <c r="G519" s="45" t="s">
        <v>34</v>
      </c>
      <c r="H519" s="47">
        <v>46177</v>
      </c>
      <c r="I519" s="47">
        <v>46196</v>
      </c>
      <c r="J519" s="43" t="s">
        <v>105</v>
      </c>
      <c r="K519" s="43" t="s">
        <v>128</v>
      </c>
      <c r="L519" s="49" t="s">
        <v>96</v>
      </c>
      <c r="M519" s="49" t="s">
        <v>69</v>
      </c>
      <c r="N519" s="49"/>
      <c r="O519" s="48"/>
      <c r="P519" s="49" t="str">
        <f t="shared" si="24"/>
        <v>ONAY</v>
      </c>
      <c r="Q519" s="27" t="s">
        <v>105</v>
      </c>
      <c r="R519" s="50" t="str">
        <f t="shared" si="25"/>
        <v/>
      </c>
      <c r="U519" s="28">
        <f>IF($C519&lt;&gt;"",COUNTIF($C$2:C519,C519),"")</f>
        <v>2</v>
      </c>
      <c r="V519" s="28" t="str">
        <f t="shared" si="26"/>
        <v>Prof. Dr. Hakan GÖKER§2</v>
      </c>
      <c r="W519" s="28" t="str">
        <f>IF(U519=1,COUNTIF($U$2:U519,1),"")</f>
        <v/>
      </c>
    </row>
    <row r="520" spans="1:23" ht="94.5" customHeight="1" x14ac:dyDescent="0.25">
      <c r="A520" s="42" t="s">
        <v>2500</v>
      </c>
      <c r="B520" s="42" t="s">
        <v>2501</v>
      </c>
      <c r="C520" s="43" t="s">
        <v>2502</v>
      </c>
      <c r="D520" s="43" t="s">
        <v>2503</v>
      </c>
      <c r="E520" s="44" t="s">
        <v>2504</v>
      </c>
      <c r="F520" s="44" t="s">
        <v>2505</v>
      </c>
      <c r="G520" s="45" t="s">
        <v>34</v>
      </c>
      <c r="H520" s="47">
        <v>46177</v>
      </c>
      <c r="I520" s="47">
        <v>46196</v>
      </c>
      <c r="J520" s="43" t="s">
        <v>104</v>
      </c>
      <c r="K520" s="43" t="s">
        <v>85</v>
      </c>
      <c r="L520" s="49" t="s">
        <v>96</v>
      </c>
      <c r="M520" s="49"/>
      <c r="N520" s="49"/>
      <c r="O520" s="48"/>
      <c r="P520" s="49" t="str">
        <f t="shared" si="24"/>
        <v>DÜZELTME</v>
      </c>
      <c r="R520" s="50" t="str">
        <f t="shared" si="25"/>
        <v/>
      </c>
      <c r="U520" s="28">
        <f>IF($C520&lt;&gt;"",COUNTIF($C$2:C520,C520),"")</f>
        <v>1</v>
      </c>
      <c r="V520" s="28" t="str">
        <f t="shared" si="26"/>
        <v>Doç. Dr. Şahin HANALİOĞLU§1</v>
      </c>
      <c r="W520" s="28">
        <f>IF(U520=1,COUNTIF($U$2:U520,1),"")</f>
        <v>278</v>
      </c>
    </row>
    <row r="521" spans="1:23" ht="47.25" customHeight="1" x14ac:dyDescent="0.25">
      <c r="A521" s="42" t="s">
        <v>2506</v>
      </c>
      <c r="B521" s="42" t="s">
        <v>2507</v>
      </c>
      <c r="C521" s="43" t="s">
        <v>2234</v>
      </c>
      <c r="D521" s="43" t="s">
        <v>251</v>
      </c>
      <c r="E521" s="44" t="s">
        <v>2235</v>
      </c>
      <c r="F521" s="44" t="s">
        <v>2508</v>
      </c>
      <c r="G521" s="45" t="s">
        <v>34</v>
      </c>
      <c r="H521" s="47">
        <v>46178</v>
      </c>
      <c r="I521" s="47">
        <v>46196</v>
      </c>
      <c r="J521" s="43" t="s">
        <v>121</v>
      </c>
      <c r="K521" s="43" t="s">
        <v>95</v>
      </c>
      <c r="L521" s="49" t="s">
        <v>69</v>
      </c>
      <c r="M521" s="49"/>
      <c r="N521" s="49"/>
      <c r="O521" s="48"/>
      <c r="P521" s="49" t="str">
        <f t="shared" si="24"/>
        <v>ONAY</v>
      </c>
      <c r="R521" s="50" t="str">
        <f t="shared" si="25"/>
        <v/>
      </c>
      <c r="U521" s="28">
        <f>IF($C521&lt;&gt;"",COUNTIF($C$2:C521,C521),"")</f>
        <v>4</v>
      </c>
      <c r="V521" s="28" t="str">
        <f t="shared" si="26"/>
        <v>Doç. Dr. Ahmet KIVRAK§4</v>
      </c>
      <c r="W521" s="28" t="str">
        <f>IF(U521=1,COUNTIF($U$2:U521,1),"")</f>
        <v/>
      </c>
    </row>
    <row r="522" spans="1:23" ht="63" customHeight="1" x14ac:dyDescent="0.25">
      <c r="A522" s="42" t="s">
        <v>2509</v>
      </c>
      <c r="B522" s="42" t="s">
        <v>2510</v>
      </c>
      <c r="C522" s="43" t="s">
        <v>415</v>
      </c>
      <c r="D522" s="43" t="s">
        <v>416</v>
      </c>
      <c r="E522" s="44" t="s">
        <v>2511</v>
      </c>
      <c r="F522" s="44" t="s">
        <v>2512</v>
      </c>
      <c r="G522" s="45" t="s">
        <v>34</v>
      </c>
      <c r="H522" s="47">
        <v>46178</v>
      </c>
      <c r="I522" s="47">
        <v>46196</v>
      </c>
      <c r="J522" s="43" t="s">
        <v>86</v>
      </c>
      <c r="K522" s="43" t="s">
        <v>121</v>
      </c>
      <c r="L522" s="49" t="s">
        <v>69</v>
      </c>
      <c r="M522" s="49"/>
      <c r="N522" s="49"/>
      <c r="O522" s="48"/>
      <c r="P522" s="49" t="str">
        <f t="shared" si="24"/>
        <v>ONAY</v>
      </c>
      <c r="R522" s="50" t="str">
        <f t="shared" si="25"/>
        <v/>
      </c>
      <c r="U522" s="28">
        <f>IF($C522&lt;&gt;"",COUNTIF($C$2:C522,C522),"")</f>
        <v>5</v>
      </c>
      <c r="V522" s="28" t="str">
        <f t="shared" si="26"/>
        <v>Prof. Dr. Tutku SOYER§5</v>
      </c>
      <c r="W522" s="28" t="str">
        <f>IF(U522=1,COUNTIF($U$2:U522,1),"")</f>
        <v/>
      </c>
    </row>
    <row r="523" spans="1:23" ht="63" customHeight="1" x14ac:dyDescent="0.25">
      <c r="A523" s="42" t="s">
        <v>2513</v>
      </c>
      <c r="B523" s="42" t="s">
        <v>2514</v>
      </c>
      <c r="C523" s="43" t="s">
        <v>1616</v>
      </c>
      <c r="D523" s="43" t="s">
        <v>110</v>
      </c>
      <c r="E523" s="44" t="s">
        <v>2515</v>
      </c>
      <c r="F523" s="44" t="s">
        <v>2516</v>
      </c>
      <c r="G523" s="45" t="s">
        <v>34</v>
      </c>
      <c r="H523" s="47">
        <v>46178</v>
      </c>
      <c r="I523" s="47">
        <v>46196</v>
      </c>
      <c r="J523" s="43" t="s">
        <v>128</v>
      </c>
      <c r="K523" s="43" t="s">
        <v>121</v>
      </c>
      <c r="L523" s="49" t="s">
        <v>96</v>
      </c>
      <c r="M523" s="49"/>
      <c r="N523" s="49"/>
      <c r="O523" s="48"/>
      <c r="P523" s="49" t="str">
        <f t="shared" si="24"/>
        <v>DÜZELTME</v>
      </c>
      <c r="R523" s="50" t="str">
        <f t="shared" si="25"/>
        <v/>
      </c>
      <c r="U523" s="28">
        <f>IF($C523&lt;&gt;"",COUNTIF($C$2:C523,C523),"")</f>
        <v>6</v>
      </c>
      <c r="V523" s="28" t="str">
        <f t="shared" si="26"/>
        <v>Doç. Dr. Cafer BALCI§6</v>
      </c>
      <c r="W523" s="28" t="str">
        <f>IF(U523=1,COUNTIF($U$2:U523,1),"")</f>
        <v/>
      </c>
    </row>
    <row r="524" spans="1:23" ht="94.5" customHeight="1" x14ac:dyDescent="0.25">
      <c r="A524" s="42" t="s">
        <v>2517</v>
      </c>
      <c r="B524" s="42" t="s">
        <v>2518</v>
      </c>
      <c r="C524" s="43" t="s">
        <v>415</v>
      </c>
      <c r="D524" s="43" t="s">
        <v>416</v>
      </c>
      <c r="E524" s="44" t="s">
        <v>2519</v>
      </c>
      <c r="F524" s="44" t="s">
        <v>2520</v>
      </c>
      <c r="G524" s="45" t="s">
        <v>35</v>
      </c>
      <c r="H524" s="47">
        <v>46178</v>
      </c>
      <c r="I524" s="47">
        <v>46196</v>
      </c>
      <c r="J524" s="43" t="s">
        <v>104</v>
      </c>
      <c r="K524" s="43" t="s">
        <v>77</v>
      </c>
      <c r="L524" s="49" t="s">
        <v>69</v>
      </c>
      <c r="M524" s="49"/>
      <c r="N524" s="49"/>
      <c r="O524" s="48"/>
      <c r="P524" s="49" t="str">
        <f t="shared" si="24"/>
        <v>ONAY</v>
      </c>
      <c r="R524" s="50" t="str">
        <f t="shared" si="25"/>
        <v/>
      </c>
      <c r="U524" s="28">
        <f>IF($C524&lt;&gt;"",COUNTIF($C$2:C524,C524),"")</f>
        <v>6</v>
      </c>
      <c r="V524" s="28" t="str">
        <f t="shared" si="26"/>
        <v>Prof. Dr. Tutku SOYER§6</v>
      </c>
      <c r="W524" s="28" t="str">
        <f>IF(U524=1,COUNTIF($U$2:U524,1),"")</f>
        <v/>
      </c>
    </row>
    <row r="525" spans="1:23" ht="129" customHeight="1" x14ac:dyDescent="0.25">
      <c r="A525" s="42" t="s">
        <v>2521</v>
      </c>
      <c r="B525" s="42" t="s">
        <v>2522</v>
      </c>
      <c r="C525" s="43" t="s">
        <v>1559</v>
      </c>
      <c r="D525" s="43" t="s">
        <v>251</v>
      </c>
      <c r="E525" s="44" t="s">
        <v>2523</v>
      </c>
      <c r="F525" s="44" t="s">
        <v>2524</v>
      </c>
      <c r="G525" s="45" t="s">
        <v>34</v>
      </c>
      <c r="H525" s="47">
        <v>46178</v>
      </c>
      <c r="I525" s="47">
        <v>46196</v>
      </c>
      <c r="J525" s="43" t="s">
        <v>86</v>
      </c>
      <c r="K525" s="43" t="s">
        <v>104</v>
      </c>
      <c r="L525" s="49" t="s">
        <v>232</v>
      </c>
      <c r="M525" s="49"/>
      <c r="N525" s="49"/>
      <c r="O525" s="48"/>
      <c r="P525" s="49" t="str">
        <f t="shared" si="24"/>
        <v>KAEK</v>
      </c>
      <c r="R525" s="50" t="str">
        <f t="shared" si="25"/>
        <v/>
      </c>
      <c r="U525" s="28">
        <f>IF($C525&lt;&gt;"",COUNTIF($C$2:C525,C525),"")</f>
        <v>5</v>
      </c>
      <c r="V525" s="28" t="str">
        <f t="shared" si="26"/>
        <v>Doç. Dr. Cem ÇÖTELİ§5</v>
      </c>
      <c r="W525" s="28" t="str">
        <f>IF(U525=1,COUNTIF($U$2:U525,1),"")</f>
        <v/>
      </c>
    </row>
    <row r="526" spans="1:23" ht="63" customHeight="1" x14ac:dyDescent="0.25">
      <c r="A526" s="42" t="s">
        <v>2525</v>
      </c>
      <c r="B526" s="42" t="s">
        <v>2526</v>
      </c>
      <c r="C526" s="43" t="s">
        <v>555</v>
      </c>
      <c r="D526" s="43" t="s">
        <v>110</v>
      </c>
      <c r="E526" s="44" t="s">
        <v>2527</v>
      </c>
      <c r="F526" s="44" t="s">
        <v>2528</v>
      </c>
      <c r="G526" s="45" t="s">
        <v>34</v>
      </c>
      <c r="H526" s="47">
        <v>46178</v>
      </c>
      <c r="I526" s="47">
        <v>46196</v>
      </c>
      <c r="J526" s="43" t="s">
        <v>105</v>
      </c>
      <c r="K526" s="43" t="s">
        <v>95</v>
      </c>
      <c r="L526" s="49" t="s">
        <v>69</v>
      </c>
      <c r="M526" s="49"/>
      <c r="N526" s="49"/>
      <c r="O526" s="48"/>
      <c r="P526" s="49" t="str">
        <f t="shared" si="24"/>
        <v>ONAY</v>
      </c>
      <c r="R526" s="50" t="str">
        <f t="shared" si="25"/>
        <v/>
      </c>
      <c r="U526" s="28">
        <f>IF($C526&lt;&gt;"",COUNTIF($C$2:C526,C526),"")</f>
        <v>8</v>
      </c>
      <c r="V526" s="28" t="str">
        <f t="shared" si="26"/>
        <v>Doç. Dr. Mert EŞME§8</v>
      </c>
      <c r="W526" s="28" t="str">
        <f>IF(U526=1,COUNTIF($U$2:U526,1),"")</f>
        <v/>
      </c>
    </row>
    <row r="527" spans="1:23" ht="78.75" customHeight="1" x14ac:dyDescent="0.25">
      <c r="A527" s="42" t="s">
        <v>2529</v>
      </c>
      <c r="B527" s="42" t="s">
        <v>2530</v>
      </c>
      <c r="C527" s="43" t="s">
        <v>2531</v>
      </c>
      <c r="D527" s="43" t="s">
        <v>2503</v>
      </c>
      <c r="E527" s="44" t="s">
        <v>2532</v>
      </c>
      <c r="F527" s="44" t="s">
        <v>2533</v>
      </c>
      <c r="G527" s="45" t="s">
        <v>36</v>
      </c>
      <c r="H527" s="47">
        <v>46178</v>
      </c>
      <c r="I527" s="47">
        <v>46196</v>
      </c>
      <c r="J527" s="43" t="s">
        <v>104</v>
      </c>
      <c r="K527" s="43" t="s">
        <v>85</v>
      </c>
      <c r="L527" s="49" t="s">
        <v>69</v>
      </c>
      <c r="M527" s="49"/>
      <c r="N527" s="49"/>
      <c r="O527" s="48"/>
      <c r="P527" s="49" t="str">
        <f t="shared" si="24"/>
        <v>ONAY</v>
      </c>
      <c r="R527" s="50" t="str">
        <f t="shared" si="25"/>
        <v/>
      </c>
      <c r="U527" s="28">
        <f>IF($C527&lt;&gt;"",COUNTIF($C$2:C527,C527),"")</f>
        <v>1</v>
      </c>
      <c r="V527" s="28" t="str">
        <f t="shared" si="26"/>
        <v>Prof. Dr. Mustafa BERKER§1</v>
      </c>
      <c r="W527" s="28">
        <f>IF(U527=1,COUNTIF($U$2:U527,1),"")</f>
        <v>279</v>
      </c>
    </row>
    <row r="528" spans="1:23" ht="63" customHeight="1" x14ac:dyDescent="0.25">
      <c r="A528" s="42" t="s">
        <v>2534</v>
      </c>
      <c r="B528" s="42" t="s">
        <v>2535</v>
      </c>
      <c r="C528" s="43" t="s">
        <v>2536</v>
      </c>
      <c r="D528" s="43" t="s">
        <v>2537</v>
      </c>
      <c r="E528" s="44" t="s">
        <v>2538</v>
      </c>
      <c r="F528" s="44" t="s">
        <v>2539</v>
      </c>
      <c r="G528" s="45" t="s">
        <v>36</v>
      </c>
      <c r="H528" s="47">
        <v>46178</v>
      </c>
      <c r="I528" s="47">
        <v>46196</v>
      </c>
      <c r="J528" s="43" t="s">
        <v>67</v>
      </c>
      <c r="K528" s="43" t="s">
        <v>113</v>
      </c>
      <c r="L528" s="49" t="s">
        <v>96</v>
      </c>
      <c r="M528" s="49" t="s">
        <v>69</v>
      </c>
      <c r="N528" s="49"/>
      <c r="O528" s="48"/>
      <c r="P528" s="49" t="str">
        <f t="shared" si="24"/>
        <v>ONAY</v>
      </c>
      <c r="Q528" s="27" t="s">
        <v>67</v>
      </c>
      <c r="R528" s="50" t="str">
        <f t="shared" si="25"/>
        <v/>
      </c>
      <c r="U528" s="28">
        <f>IF($C528&lt;&gt;"",COUNTIF($C$2:C528,C528),"")</f>
        <v>1</v>
      </c>
      <c r="V528" s="28" t="str">
        <f t="shared" si="26"/>
        <v>Doç. Dr. Evren SERTALP§1</v>
      </c>
      <c r="W528" s="28">
        <f>IF(U528=1,COUNTIF($U$2:U528,1),"")</f>
        <v>280</v>
      </c>
    </row>
    <row r="529" spans="1:23" ht="63" customHeight="1" x14ac:dyDescent="0.25">
      <c r="A529" s="42" t="s">
        <v>2540</v>
      </c>
      <c r="B529" s="42" t="s">
        <v>2541</v>
      </c>
      <c r="C529" s="43" t="s">
        <v>2542</v>
      </c>
      <c r="D529" s="43" t="s">
        <v>110</v>
      </c>
      <c r="E529" s="44" t="s">
        <v>2543</v>
      </c>
      <c r="F529" s="44" t="s">
        <v>2544</v>
      </c>
      <c r="G529" s="45" t="s">
        <v>34</v>
      </c>
      <c r="H529" s="47">
        <v>46178</v>
      </c>
      <c r="I529" s="47">
        <v>46196</v>
      </c>
      <c r="J529" s="43" t="s">
        <v>85</v>
      </c>
      <c r="K529" s="43" t="s">
        <v>104</v>
      </c>
      <c r="L529" s="49" t="s">
        <v>96</v>
      </c>
      <c r="M529" s="49"/>
      <c r="N529" s="49"/>
      <c r="O529" s="48"/>
      <c r="P529" s="49" t="str">
        <f t="shared" si="24"/>
        <v>DÜZELTME</v>
      </c>
      <c r="R529" s="50" t="str">
        <f t="shared" si="25"/>
        <v/>
      </c>
      <c r="U529" s="28">
        <f>IF($C529&lt;&gt;"",COUNTIF($C$2:C529,C529),"")</f>
        <v>1</v>
      </c>
      <c r="V529" s="28" t="str">
        <f t="shared" si="26"/>
        <v>Prof. Dr. Ömer Alper GÜRLEK§1</v>
      </c>
      <c r="W529" s="28">
        <f>IF(U529=1,COUNTIF($U$2:U529,1),"")</f>
        <v>281</v>
      </c>
    </row>
    <row r="530" spans="1:23" ht="63" customHeight="1" x14ac:dyDescent="0.25">
      <c r="A530" s="42" t="s">
        <v>2545</v>
      </c>
      <c r="B530" s="42" t="s">
        <v>2546</v>
      </c>
      <c r="C530" s="43" t="s">
        <v>2547</v>
      </c>
      <c r="D530" s="43" t="s">
        <v>515</v>
      </c>
      <c r="E530" s="44" t="s">
        <v>2548</v>
      </c>
      <c r="F530" s="44" t="s">
        <v>2549</v>
      </c>
      <c r="G530" s="45" t="s">
        <v>35</v>
      </c>
      <c r="H530" s="47">
        <v>46178</v>
      </c>
      <c r="I530" s="47">
        <v>46196</v>
      </c>
      <c r="J530" s="43" t="s">
        <v>121</v>
      </c>
      <c r="K530" s="43" t="s">
        <v>68</v>
      </c>
      <c r="L530" s="49" t="s">
        <v>69</v>
      </c>
      <c r="M530" s="49"/>
      <c r="N530" s="49"/>
      <c r="O530" s="48"/>
      <c r="P530" s="49" t="str">
        <f t="shared" si="24"/>
        <v>ONAY</v>
      </c>
      <c r="R530" s="50" t="str">
        <f t="shared" si="25"/>
        <v/>
      </c>
      <c r="U530" s="28">
        <f>IF($C530&lt;&gt;"",COUNTIF($C$2:C530,C530),"")</f>
        <v>1</v>
      </c>
      <c r="V530" s="28" t="str">
        <f t="shared" si="26"/>
        <v>Doç. Dr. Nursel AKKAYA§1</v>
      </c>
      <c r="W530" s="28">
        <f>IF(U530=1,COUNTIF($U$2:U530,1),"")</f>
        <v>282</v>
      </c>
    </row>
    <row r="531" spans="1:23" ht="63" customHeight="1" x14ac:dyDescent="0.25">
      <c r="A531" s="42" t="s">
        <v>2550</v>
      </c>
      <c r="B531" s="42" t="s">
        <v>2551</v>
      </c>
      <c r="C531" s="43" t="s">
        <v>884</v>
      </c>
      <c r="D531" s="43" t="s">
        <v>615</v>
      </c>
      <c r="E531" s="44" t="s">
        <v>2552</v>
      </c>
      <c r="F531" s="44" t="s">
        <v>2553</v>
      </c>
      <c r="G531" s="45" t="s">
        <v>37</v>
      </c>
      <c r="H531" s="47">
        <v>46178</v>
      </c>
      <c r="I531" s="47">
        <v>46196</v>
      </c>
      <c r="J531" s="43" t="s">
        <v>95</v>
      </c>
      <c r="K531" s="43" t="s">
        <v>113</v>
      </c>
      <c r="L531" s="49" t="s">
        <v>69</v>
      </c>
      <c r="M531" s="49"/>
      <c r="N531" s="49"/>
      <c r="O531" s="48"/>
      <c r="P531" s="49" t="str">
        <f t="shared" si="24"/>
        <v>ONAY</v>
      </c>
      <c r="R531" s="50" t="str">
        <f t="shared" si="25"/>
        <v/>
      </c>
      <c r="U531" s="28">
        <f>IF($C531&lt;&gt;"",COUNTIF($C$2:C531,C531),"")</f>
        <v>2</v>
      </c>
      <c r="V531" s="28" t="str">
        <f t="shared" si="26"/>
        <v>Doç. Dr. Burcu HATİBOĞLU§2</v>
      </c>
      <c r="W531" s="28" t="str">
        <f>IF(U531=1,COUNTIF($U$2:U531,1),"")</f>
        <v/>
      </c>
    </row>
    <row r="532" spans="1:23" ht="78.75" customHeight="1" x14ac:dyDescent="0.25">
      <c r="A532" s="42" t="s">
        <v>2554</v>
      </c>
      <c r="B532" s="42" t="s">
        <v>2555</v>
      </c>
      <c r="C532" s="43" t="s">
        <v>2556</v>
      </c>
      <c r="D532" s="43" t="s">
        <v>133</v>
      </c>
      <c r="E532" s="44" t="s">
        <v>2557</v>
      </c>
      <c r="F532" s="44" t="s">
        <v>2558</v>
      </c>
      <c r="G532" s="45" t="s">
        <v>34</v>
      </c>
      <c r="H532" s="47">
        <v>46178</v>
      </c>
      <c r="I532" s="47">
        <v>46196</v>
      </c>
      <c r="J532" s="43" t="s">
        <v>104</v>
      </c>
      <c r="K532" s="43" t="s">
        <v>95</v>
      </c>
      <c r="L532" s="49" t="s">
        <v>69</v>
      </c>
      <c r="M532" s="49"/>
      <c r="N532" s="49"/>
      <c r="O532" s="48"/>
      <c r="P532" s="49" t="str">
        <f t="shared" si="24"/>
        <v>ONAY</v>
      </c>
      <c r="R532" s="50" t="str">
        <f t="shared" si="25"/>
        <v/>
      </c>
      <c r="U532" s="28">
        <f>IF($C532&lt;&gt;"",COUNTIF($C$2:C532,C532),"")</f>
        <v>1</v>
      </c>
      <c r="V532" s="28" t="str">
        <f t="shared" si="26"/>
        <v>Öğr. Gör. Dr. Kemal SARUHAN§1</v>
      </c>
      <c r="W532" s="28">
        <f>IF(U532=1,COUNTIF($U$2:U532,1),"")</f>
        <v>283</v>
      </c>
    </row>
    <row r="533" spans="1:23" ht="94.5" customHeight="1" x14ac:dyDescent="0.25">
      <c r="A533" s="42" t="s">
        <v>2559</v>
      </c>
      <c r="B533" s="42" t="s">
        <v>2560</v>
      </c>
      <c r="C533" s="43" t="s">
        <v>1705</v>
      </c>
      <c r="D533" s="43" t="s">
        <v>570</v>
      </c>
      <c r="E533" s="44" t="s">
        <v>2561</v>
      </c>
      <c r="F533" s="44" t="s">
        <v>2562</v>
      </c>
      <c r="G533" s="45" t="s">
        <v>35</v>
      </c>
      <c r="H533" s="47">
        <v>46178</v>
      </c>
      <c r="I533" s="47">
        <v>46196</v>
      </c>
      <c r="J533" s="43" t="s">
        <v>121</v>
      </c>
      <c r="K533" s="43" t="s">
        <v>67</v>
      </c>
      <c r="L533" s="49" t="s">
        <v>96</v>
      </c>
      <c r="M533" s="49"/>
      <c r="N533" s="49"/>
      <c r="O533" s="48"/>
      <c r="P533" s="49" t="str">
        <f t="shared" si="24"/>
        <v>DÜZELTME</v>
      </c>
      <c r="R533" s="50" t="str">
        <f t="shared" si="25"/>
        <v/>
      </c>
      <c r="U533" s="28">
        <f>IF($C533&lt;&gt;"",COUNTIF($C$2:C533,C533),"")</f>
        <v>2</v>
      </c>
      <c r="V533" s="28" t="str">
        <f t="shared" si="26"/>
        <v>Prof. Dr. Hüseyin Gencay KEÇELİ§2</v>
      </c>
      <c r="W533" s="28" t="str">
        <f>IF(U533=1,COUNTIF($U$2:U533,1),"")</f>
        <v/>
      </c>
    </row>
    <row r="534" spans="1:23" ht="47.25" customHeight="1" x14ac:dyDescent="0.25">
      <c r="A534" s="42" t="s">
        <v>2563</v>
      </c>
      <c r="B534" s="42" t="s">
        <v>2564</v>
      </c>
      <c r="C534" s="43" t="s">
        <v>268</v>
      </c>
      <c r="D534" s="43" t="s">
        <v>251</v>
      </c>
      <c r="E534" s="44" t="s">
        <v>2565</v>
      </c>
      <c r="F534" s="44" t="s">
        <v>2566</v>
      </c>
      <c r="G534" s="45" t="s">
        <v>34</v>
      </c>
      <c r="H534" s="47">
        <v>46178</v>
      </c>
      <c r="I534" s="47">
        <v>46196</v>
      </c>
      <c r="J534" s="43" t="s">
        <v>105</v>
      </c>
      <c r="K534" s="43" t="s">
        <v>86</v>
      </c>
      <c r="L534" s="49" t="s">
        <v>232</v>
      </c>
      <c r="M534" s="49"/>
      <c r="N534" s="49"/>
      <c r="O534" s="48"/>
      <c r="P534" s="49" t="str">
        <f t="shared" si="24"/>
        <v>KAEK</v>
      </c>
      <c r="R534" s="50" t="str">
        <f t="shared" si="25"/>
        <v/>
      </c>
      <c r="U534" s="28">
        <f>IF($C534&lt;&gt;"",COUNTIF($C$2:C534,C534),"")</f>
        <v>3</v>
      </c>
      <c r="V534" s="28" t="str">
        <f t="shared" si="26"/>
        <v>Prof. Dr. Kudret AYTEMİR§3</v>
      </c>
      <c r="W534" s="28" t="str">
        <f>IF(U534=1,COUNTIF($U$2:U534,1),"")</f>
        <v/>
      </c>
    </row>
    <row r="535" spans="1:23" ht="96" customHeight="1" x14ac:dyDescent="0.25">
      <c r="A535" s="42" t="s">
        <v>2567</v>
      </c>
      <c r="B535" s="42" t="s">
        <v>2568</v>
      </c>
      <c r="C535" s="43" t="s">
        <v>2569</v>
      </c>
      <c r="D535" s="43" t="s">
        <v>237</v>
      </c>
      <c r="E535" s="44" t="s">
        <v>2570</v>
      </c>
      <c r="F535" s="44" t="s">
        <v>2571</v>
      </c>
      <c r="G535" s="45" t="s">
        <v>34</v>
      </c>
      <c r="H535" s="47">
        <v>46178</v>
      </c>
      <c r="I535" s="47">
        <v>46196</v>
      </c>
      <c r="J535" s="43" t="s">
        <v>95</v>
      </c>
      <c r="K535" s="43" t="s">
        <v>68</v>
      </c>
      <c r="L535" s="49" t="s">
        <v>69</v>
      </c>
      <c r="M535" s="49"/>
      <c r="N535" s="49"/>
      <c r="O535" s="48"/>
      <c r="P535" s="49" t="str">
        <f t="shared" si="24"/>
        <v>ONAY</v>
      </c>
      <c r="R535" s="50" t="str">
        <f t="shared" si="25"/>
        <v/>
      </c>
      <c r="U535" s="28">
        <f>IF($C535&lt;&gt;"",COUNTIF($C$2:C535,C535),"")</f>
        <v>1</v>
      </c>
      <c r="V535" s="28" t="str">
        <f t="shared" si="26"/>
        <v>Arş. Gör. Dr. Eymen YILMAZ§1</v>
      </c>
      <c r="W535" s="28">
        <f>IF(U535=1,COUNTIF($U$2:U535,1),"")</f>
        <v>284</v>
      </c>
    </row>
    <row r="536" spans="1:23" ht="78.75" customHeight="1" x14ac:dyDescent="0.25">
      <c r="A536" s="42" t="s">
        <v>2572</v>
      </c>
      <c r="B536" s="42" t="s">
        <v>2573</v>
      </c>
      <c r="C536" s="43" t="s">
        <v>2306</v>
      </c>
      <c r="D536" s="43" t="s">
        <v>189</v>
      </c>
      <c r="E536" s="44" t="s">
        <v>2574</v>
      </c>
      <c r="F536" s="44" t="s">
        <v>2575</v>
      </c>
      <c r="G536" s="45" t="s">
        <v>34</v>
      </c>
      <c r="H536" s="47">
        <v>46178</v>
      </c>
      <c r="I536" s="47">
        <v>46196</v>
      </c>
      <c r="J536" s="43" t="s">
        <v>85</v>
      </c>
      <c r="K536" s="43" t="s">
        <v>105</v>
      </c>
      <c r="L536" s="49" t="s">
        <v>96</v>
      </c>
      <c r="M536" s="49" t="s">
        <v>69</v>
      </c>
      <c r="N536" s="49"/>
      <c r="O536" s="48"/>
      <c r="P536" s="49" t="str">
        <f t="shared" si="24"/>
        <v>ONAY</v>
      </c>
      <c r="Q536" s="27" t="s">
        <v>105</v>
      </c>
      <c r="R536" s="50" t="str">
        <f t="shared" si="25"/>
        <v/>
      </c>
      <c r="U536" s="28">
        <f>IF($C536&lt;&gt;"",COUNTIF($C$2:C536,C536),"")</f>
        <v>2</v>
      </c>
      <c r="V536" s="28" t="str">
        <f t="shared" si="26"/>
        <v>Dr. Öğr. Üyesi Sehend DEBBAĞ§2</v>
      </c>
      <c r="W536" s="28" t="str">
        <f>IF(U536=1,COUNTIF($U$2:U536,1),"")</f>
        <v/>
      </c>
    </row>
    <row r="537" spans="1:23" ht="81" customHeight="1" x14ac:dyDescent="0.25">
      <c r="A537" s="42" t="s">
        <v>2576</v>
      </c>
      <c r="B537" s="42" t="s">
        <v>2577</v>
      </c>
      <c r="C537" s="43" t="s">
        <v>702</v>
      </c>
      <c r="D537" s="43" t="s">
        <v>378</v>
      </c>
      <c r="E537" s="44" t="s">
        <v>2578</v>
      </c>
      <c r="F537" s="44" t="s">
        <v>2579</v>
      </c>
      <c r="G537" s="45" t="s">
        <v>34</v>
      </c>
      <c r="H537" s="47">
        <v>46178</v>
      </c>
      <c r="I537" s="47">
        <v>46196</v>
      </c>
      <c r="J537" s="43" t="s">
        <v>128</v>
      </c>
      <c r="K537" s="43" t="s">
        <v>77</v>
      </c>
      <c r="L537" s="49" t="s">
        <v>69</v>
      </c>
      <c r="M537" s="49"/>
      <c r="N537" s="49"/>
      <c r="O537" s="48"/>
      <c r="P537" s="49" t="str">
        <f t="shared" si="24"/>
        <v>ONAY</v>
      </c>
      <c r="R537" s="50" t="str">
        <f t="shared" si="25"/>
        <v/>
      </c>
      <c r="U537" s="28">
        <f>IF($C537&lt;&gt;"",COUNTIF($C$2:C537,C537),"")</f>
        <v>4</v>
      </c>
      <c r="V537" s="28" t="str">
        <f t="shared" si="26"/>
        <v>Prof. Dr. Alp ÇETİN§4</v>
      </c>
      <c r="W537" s="28" t="str">
        <f>IF(U537=1,COUNTIF($U$2:U537,1),"")</f>
        <v/>
      </c>
    </row>
    <row r="538" spans="1:23" ht="63" customHeight="1" x14ac:dyDescent="0.25">
      <c r="A538" s="42" t="s">
        <v>2580</v>
      </c>
      <c r="B538" s="42" t="s">
        <v>2581</v>
      </c>
      <c r="C538" s="43" t="s">
        <v>2582</v>
      </c>
      <c r="D538" s="43" t="s">
        <v>295</v>
      </c>
      <c r="E538" s="44" t="s">
        <v>2583</v>
      </c>
      <c r="F538" s="44" t="s">
        <v>2584</v>
      </c>
      <c r="G538" s="45" t="s">
        <v>34</v>
      </c>
      <c r="H538" s="47">
        <v>46178</v>
      </c>
      <c r="I538" s="47">
        <v>46196</v>
      </c>
      <c r="J538" s="43" t="s">
        <v>86</v>
      </c>
      <c r="K538" s="43" t="s">
        <v>113</v>
      </c>
      <c r="L538" s="49" t="s">
        <v>69</v>
      </c>
      <c r="M538" s="49"/>
      <c r="N538" s="49"/>
      <c r="O538" s="48"/>
      <c r="P538" s="49" t="str">
        <f t="shared" si="24"/>
        <v>ONAY</v>
      </c>
      <c r="R538" s="50" t="str">
        <f t="shared" si="25"/>
        <v/>
      </c>
      <c r="U538" s="28">
        <f>IF($C538&lt;&gt;"",COUNTIF($C$2:C538,C538),"")</f>
        <v>1</v>
      </c>
      <c r="V538" s="28" t="str">
        <f t="shared" si="26"/>
        <v>Dr. Öğr. Gör. Tuğçe TAŞKINDERE ABBASOĞLU§1</v>
      </c>
      <c r="W538" s="28">
        <f>IF(U538=1,COUNTIF($U$2:U538,1),"")</f>
        <v>285</v>
      </c>
    </row>
    <row r="539" spans="1:23" ht="47.25" customHeight="1" x14ac:dyDescent="0.25">
      <c r="A539" s="42" t="s">
        <v>2585</v>
      </c>
      <c r="B539" s="42" t="s">
        <v>2586</v>
      </c>
      <c r="C539" s="43" t="s">
        <v>2587</v>
      </c>
      <c r="D539" s="43" t="s">
        <v>2588</v>
      </c>
      <c r="E539" s="44" t="s">
        <v>2589</v>
      </c>
      <c r="F539" s="44" t="s">
        <v>2590</v>
      </c>
      <c r="G539" s="45" t="s">
        <v>34</v>
      </c>
      <c r="H539" s="47">
        <v>46186</v>
      </c>
      <c r="I539" s="47">
        <v>46196</v>
      </c>
      <c r="J539" s="43" t="s">
        <v>67</v>
      </c>
      <c r="K539" s="43" t="s">
        <v>85</v>
      </c>
      <c r="L539" s="49" t="s">
        <v>156</v>
      </c>
      <c r="M539" s="49"/>
      <c r="N539" s="49"/>
      <c r="O539" s="48"/>
      <c r="P539" s="49" t="str">
        <f t="shared" si="24"/>
        <v>KAPSAM DIŞI</v>
      </c>
      <c r="R539" s="50" t="str">
        <f t="shared" si="25"/>
        <v/>
      </c>
      <c r="U539" s="28">
        <f>IF($C539&lt;&gt;"",COUNTIF($C$2:C539,C539),"")</f>
        <v>1</v>
      </c>
      <c r="V539" s="28" t="str">
        <f t="shared" si="26"/>
        <v>Prof. Dr. Lokman UZUN§1</v>
      </c>
      <c r="W539" s="28">
        <f>IF(U539=1,COUNTIF($U$2:U539,1),"")</f>
        <v>286</v>
      </c>
    </row>
    <row r="540" spans="1:23" ht="93.75" customHeight="1" x14ac:dyDescent="0.25">
      <c r="A540" s="42" t="s">
        <v>2591</v>
      </c>
      <c r="B540" s="42" t="s">
        <v>2592</v>
      </c>
      <c r="C540" s="43" t="s">
        <v>389</v>
      </c>
      <c r="D540" s="43" t="s">
        <v>244</v>
      </c>
      <c r="E540" s="44" t="s">
        <v>2593</v>
      </c>
      <c r="F540" s="44" t="s">
        <v>2594</v>
      </c>
      <c r="G540" s="45" t="s">
        <v>35</v>
      </c>
      <c r="H540" s="47">
        <v>46191</v>
      </c>
      <c r="I540" s="47">
        <v>46217</v>
      </c>
      <c r="J540" s="43" t="s">
        <v>85</v>
      </c>
      <c r="K540" s="43" t="s">
        <v>95</v>
      </c>
      <c r="L540" s="49" t="s">
        <v>96</v>
      </c>
      <c r="M540" s="49"/>
      <c r="N540" s="49"/>
      <c r="O540" s="48"/>
      <c r="P540" s="49" t="str">
        <f t="shared" si="24"/>
        <v>DÜZELTME</v>
      </c>
      <c r="R540" s="50" t="str">
        <f t="shared" si="25"/>
        <v/>
      </c>
      <c r="U540" s="28">
        <f>IF($C540&lt;&gt;"",COUNTIF($C$2:C540,C540),"")</f>
        <v>3</v>
      </c>
      <c r="V540" s="28" t="str">
        <f t="shared" si="26"/>
        <v>Doç. Dr. Erdem FADILOĞLU§3</v>
      </c>
      <c r="W540" s="28" t="str">
        <f>IF(U540=1,COUNTIF($U$2:U540,1),"")</f>
        <v/>
      </c>
    </row>
    <row r="541" spans="1:23" ht="64.5" customHeight="1" x14ac:dyDescent="0.25">
      <c r="A541" s="42" t="s">
        <v>2595</v>
      </c>
      <c r="B541" s="42" t="s">
        <v>2596</v>
      </c>
      <c r="C541" s="43" t="s">
        <v>555</v>
      </c>
      <c r="D541" s="43" t="s">
        <v>110</v>
      </c>
      <c r="E541" s="44" t="s">
        <v>2597</v>
      </c>
      <c r="F541" s="44" t="s">
        <v>2598</v>
      </c>
      <c r="G541" s="45" t="s">
        <v>34</v>
      </c>
      <c r="H541" s="47">
        <v>46191</v>
      </c>
      <c r="I541" s="47">
        <v>46217</v>
      </c>
      <c r="J541" s="43" t="s">
        <v>105</v>
      </c>
      <c r="K541" s="43" t="s">
        <v>77</v>
      </c>
      <c r="L541" s="49" t="s">
        <v>156</v>
      </c>
      <c r="M541" s="49"/>
      <c r="N541" s="49"/>
      <c r="O541" s="48"/>
      <c r="P541" s="49" t="str">
        <f t="shared" si="24"/>
        <v>KAPSAM DIŞI</v>
      </c>
      <c r="R541" s="50" t="str">
        <f t="shared" si="25"/>
        <v/>
      </c>
      <c r="U541" s="28">
        <f>IF($C541&lt;&gt;"",COUNTIF($C$2:C541,C541),"")</f>
        <v>9</v>
      </c>
      <c r="V541" s="28" t="str">
        <f t="shared" si="26"/>
        <v>Doç. Dr. Mert EŞME§9</v>
      </c>
      <c r="W541" s="28" t="str">
        <f>IF(U541=1,COUNTIF($U$2:U541,1),"")</f>
        <v/>
      </c>
    </row>
    <row r="542" spans="1:23" ht="63" customHeight="1" x14ac:dyDescent="0.25">
      <c r="A542" s="42" t="s">
        <v>2599</v>
      </c>
      <c r="B542" s="42" t="s">
        <v>2600</v>
      </c>
      <c r="C542" s="43" t="s">
        <v>555</v>
      </c>
      <c r="D542" s="43" t="s">
        <v>110</v>
      </c>
      <c r="E542" s="44" t="s">
        <v>2597</v>
      </c>
      <c r="F542" s="44" t="s">
        <v>2601</v>
      </c>
      <c r="G542" s="45" t="s">
        <v>34</v>
      </c>
      <c r="H542" s="47">
        <v>46191</v>
      </c>
      <c r="I542" s="47">
        <v>46217</v>
      </c>
      <c r="J542" s="43" t="s">
        <v>94</v>
      </c>
      <c r="K542" s="43" t="s">
        <v>77</v>
      </c>
      <c r="L542" s="49" t="s">
        <v>69</v>
      </c>
      <c r="M542" s="49"/>
      <c r="N542" s="49"/>
      <c r="O542" s="48"/>
      <c r="P542" s="49" t="str">
        <f t="shared" si="24"/>
        <v>ONAY</v>
      </c>
      <c r="R542" s="50" t="str">
        <f t="shared" si="25"/>
        <v/>
      </c>
      <c r="U542" s="28">
        <f>IF($C542&lt;&gt;"",COUNTIF($C$2:C542,C542),"")</f>
        <v>10</v>
      </c>
      <c r="V542" s="28" t="str">
        <f t="shared" si="26"/>
        <v>Doç. Dr. Mert EŞME§10</v>
      </c>
      <c r="W542" s="28" t="str">
        <f>IF(U542=1,COUNTIF($U$2:U542,1),"")</f>
        <v/>
      </c>
    </row>
    <row r="543" spans="1:23" ht="78.75" customHeight="1" x14ac:dyDescent="0.25">
      <c r="A543" s="42" t="s">
        <v>2602</v>
      </c>
      <c r="B543" s="42" t="s">
        <v>2603</v>
      </c>
      <c r="C543" s="43" t="s">
        <v>742</v>
      </c>
      <c r="D543" s="43" t="s">
        <v>110</v>
      </c>
      <c r="E543" s="44" t="s">
        <v>2604</v>
      </c>
      <c r="F543" s="44" t="s">
        <v>2605</v>
      </c>
      <c r="G543" s="45" t="s">
        <v>34</v>
      </c>
      <c r="H543" s="47">
        <v>46191</v>
      </c>
      <c r="I543" s="47">
        <v>46217</v>
      </c>
      <c r="J543" s="43" t="s">
        <v>94</v>
      </c>
      <c r="K543" s="43" t="s">
        <v>68</v>
      </c>
      <c r="L543" s="49" t="s">
        <v>69</v>
      </c>
      <c r="M543" s="49"/>
      <c r="N543" s="49"/>
      <c r="O543" s="48"/>
      <c r="P543" s="49" t="str">
        <f t="shared" si="24"/>
        <v>ONAY</v>
      </c>
      <c r="R543" s="50" t="str">
        <f t="shared" si="25"/>
        <v/>
      </c>
      <c r="U543" s="28">
        <f>IF($C543&lt;&gt;"",COUNTIF($C$2:C543,C543),"")</f>
        <v>5</v>
      </c>
      <c r="V543" s="28" t="str">
        <f t="shared" si="26"/>
        <v>Doç. Dr. Süleyman Nahit ŞENDUR§5</v>
      </c>
      <c r="W543" s="28" t="str">
        <f>IF(U543=1,COUNTIF($U$2:U543,1),"")</f>
        <v/>
      </c>
    </row>
    <row r="544" spans="1:23" ht="94.5" customHeight="1" x14ac:dyDescent="0.25">
      <c r="A544" s="42" t="s">
        <v>2606</v>
      </c>
      <c r="B544" s="42" t="s">
        <v>2607</v>
      </c>
      <c r="C544" s="43" t="s">
        <v>410</v>
      </c>
      <c r="D544" s="43" t="s">
        <v>237</v>
      </c>
      <c r="E544" s="44" t="s">
        <v>2608</v>
      </c>
      <c r="F544" s="44" t="s">
        <v>2609</v>
      </c>
      <c r="G544" s="45" t="s">
        <v>34</v>
      </c>
      <c r="H544" s="47">
        <v>46191</v>
      </c>
      <c r="I544" s="47">
        <v>46217</v>
      </c>
      <c r="J544" s="43" t="s">
        <v>121</v>
      </c>
      <c r="K544" s="43" t="s">
        <v>113</v>
      </c>
      <c r="L544" s="49" t="s">
        <v>69</v>
      </c>
      <c r="M544" s="49"/>
      <c r="N544" s="49"/>
      <c r="O544" s="48"/>
      <c r="P544" s="49" t="str">
        <f t="shared" si="24"/>
        <v>ONAY</v>
      </c>
      <c r="R544" s="50" t="str">
        <f t="shared" si="25"/>
        <v/>
      </c>
      <c r="U544" s="28">
        <f>IF($C544&lt;&gt;"",COUNTIF($C$2:C544,C544),"")</f>
        <v>7</v>
      </c>
      <c r="V544" s="28" t="str">
        <f t="shared" si="26"/>
        <v>Prof. Dr. Deniz ÇAĞDAŞ AYVAZ§7</v>
      </c>
      <c r="W544" s="28" t="str">
        <f>IF(U544=1,COUNTIF($U$2:U544,1),"")</f>
        <v/>
      </c>
    </row>
    <row r="545" spans="1:23" ht="126" customHeight="1" x14ac:dyDescent="0.25">
      <c r="A545" s="42" t="s">
        <v>2610</v>
      </c>
      <c r="B545" s="42" t="s">
        <v>2611</v>
      </c>
      <c r="C545" s="43" t="s">
        <v>826</v>
      </c>
      <c r="D545" s="43" t="s">
        <v>237</v>
      </c>
      <c r="E545" s="44" t="s">
        <v>2612</v>
      </c>
      <c r="F545" s="44" t="s">
        <v>2613</v>
      </c>
      <c r="G545" s="45" t="s">
        <v>34</v>
      </c>
      <c r="H545" s="47">
        <v>46191</v>
      </c>
      <c r="I545" s="47">
        <v>46217</v>
      </c>
      <c r="J545" s="43" t="s">
        <v>85</v>
      </c>
      <c r="K545" s="43" t="s">
        <v>68</v>
      </c>
      <c r="L545" s="49" t="s">
        <v>232</v>
      </c>
      <c r="M545" s="49"/>
      <c r="N545" s="49"/>
      <c r="O545" s="48"/>
      <c r="P545" s="49" t="str">
        <f t="shared" si="24"/>
        <v>KAEK</v>
      </c>
      <c r="R545" s="50" t="str">
        <f t="shared" si="25"/>
        <v/>
      </c>
      <c r="U545" s="28">
        <f>IF($C545&lt;&gt;"",COUNTIF($C$2:C545,C545),"")</f>
        <v>4</v>
      </c>
      <c r="V545" s="28" t="str">
        <f t="shared" si="26"/>
        <v>Prof. Dr. Deniz DOĞRU ERSÖZ§4</v>
      </c>
      <c r="W545" s="28" t="str">
        <f>IF(U545=1,COUNTIF($U$2:U545,1),"")</f>
        <v/>
      </c>
    </row>
    <row r="546" spans="1:23" ht="63" customHeight="1" x14ac:dyDescent="0.25">
      <c r="A546" s="42" t="s">
        <v>2614</v>
      </c>
      <c r="B546" s="42" t="s">
        <v>2615</v>
      </c>
      <c r="C546" s="43" t="s">
        <v>389</v>
      </c>
      <c r="D546" s="43" t="s">
        <v>244</v>
      </c>
      <c r="E546" s="44" t="s">
        <v>2616</v>
      </c>
      <c r="F546" s="44" t="s">
        <v>2617</v>
      </c>
      <c r="G546" s="45" t="s">
        <v>34</v>
      </c>
      <c r="H546" s="47">
        <v>46191</v>
      </c>
      <c r="I546" s="47">
        <v>46217</v>
      </c>
      <c r="J546" s="43" t="s">
        <v>67</v>
      </c>
      <c r="K546" s="43" t="s">
        <v>113</v>
      </c>
      <c r="L546" s="49" t="s">
        <v>69</v>
      </c>
      <c r="M546" s="49"/>
      <c r="N546" s="49"/>
      <c r="O546" s="48"/>
      <c r="P546" s="49" t="str">
        <f t="shared" si="24"/>
        <v>ONAY</v>
      </c>
      <c r="R546" s="50" t="str">
        <f t="shared" si="25"/>
        <v/>
      </c>
      <c r="U546" s="28">
        <f>IF($C546&lt;&gt;"",COUNTIF($C$2:C546,C546),"")</f>
        <v>4</v>
      </c>
      <c r="V546" s="28" t="str">
        <f t="shared" si="26"/>
        <v>Doç. Dr. Erdem FADILOĞLU§4</v>
      </c>
      <c r="W546" s="28" t="str">
        <f>IF(U546=1,COUNTIF($U$2:U546,1),"")</f>
        <v/>
      </c>
    </row>
    <row r="547" spans="1:23" ht="94.5" customHeight="1" x14ac:dyDescent="0.25">
      <c r="A547" s="42" t="s">
        <v>2618</v>
      </c>
      <c r="B547" s="42" t="s">
        <v>2619</v>
      </c>
      <c r="C547" s="43" t="s">
        <v>2620</v>
      </c>
      <c r="D547" s="43" t="s">
        <v>237</v>
      </c>
      <c r="E547" s="44" t="s">
        <v>2621</v>
      </c>
      <c r="F547" s="44" t="s">
        <v>2622</v>
      </c>
      <c r="G547" s="45" t="s">
        <v>34</v>
      </c>
      <c r="H547" s="47">
        <v>46191</v>
      </c>
      <c r="I547" s="47">
        <v>46217</v>
      </c>
      <c r="J547" s="43" t="s">
        <v>86</v>
      </c>
      <c r="K547" s="43" t="s">
        <v>95</v>
      </c>
      <c r="L547" s="49" t="s">
        <v>96</v>
      </c>
      <c r="M547" s="49"/>
      <c r="N547" s="49"/>
      <c r="O547" s="48"/>
      <c r="P547" s="49" t="str">
        <f t="shared" si="24"/>
        <v>DÜZELTME</v>
      </c>
      <c r="R547" s="50" t="str">
        <f t="shared" si="25"/>
        <v/>
      </c>
      <c r="U547" s="28">
        <f>IF($C547&lt;&gt;"",COUNTIF($C$2:C547,C547),"")</f>
        <v>1</v>
      </c>
      <c r="V547" s="28" t="str">
        <f t="shared" si="26"/>
        <v>Doç. Dr. Melike OCAK§1</v>
      </c>
      <c r="W547" s="28">
        <f>IF(U547=1,COUNTIF($U$2:U547,1),"")</f>
        <v>287</v>
      </c>
    </row>
    <row r="548" spans="1:23" ht="94.5" customHeight="1" x14ac:dyDescent="0.25">
      <c r="A548" s="42" t="s">
        <v>2623</v>
      </c>
      <c r="B548" s="42" t="s">
        <v>2624</v>
      </c>
      <c r="C548" s="43" t="s">
        <v>2620</v>
      </c>
      <c r="D548" s="43" t="s">
        <v>237</v>
      </c>
      <c r="E548" s="44" t="s">
        <v>2621</v>
      </c>
      <c r="F548" s="44" t="s">
        <v>2625</v>
      </c>
      <c r="G548" s="45" t="s">
        <v>34</v>
      </c>
      <c r="H548" s="47">
        <v>46191</v>
      </c>
      <c r="I548" s="47">
        <v>46217</v>
      </c>
      <c r="J548" s="43" t="s">
        <v>67</v>
      </c>
      <c r="K548" s="43" t="s">
        <v>68</v>
      </c>
      <c r="L548" s="49" t="s">
        <v>69</v>
      </c>
      <c r="M548" s="49"/>
      <c r="N548" s="49"/>
      <c r="O548" s="48"/>
      <c r="P548" s="49" t="str">
        <f t="shared" si="24"/>
        <v>ONAY</v>
      </c>
      <c r="R548" s="50" t="str">
        <f t="shared" si="25"/>
        <v/>
      </c>
      <c r="U548" s="28">
        <f>IF($C548&lt;&gt;"",COUNTIF($C$2:C548,C548),"")</f>
        <v>2</v>
      </c>
      <c r="V548" s="28" t="str">
        <f t="shared" si="26"/>
        <v>Doç. Dr. Melike OCAK§2</v>
      </c>
      <c r="W548" s="28" t="str">
        <f>IF(U548=1,COUNTIF($U$2:U548,1),"")</f>
        <v/>
      </c>
    </row>
    <row r="549" spans="1:23" ht="78.75" customHeight="1" x14ac:dyDescent="0.25">
      <c r="A549" s="42" t="s">
        <v>2626</v>
      </c>
      <c r="B549" s="42" t="s">
        <v>2627</v>
      </c>
      <c r="C549" s="43" t="s">
        <v>2628</v>
      </c>
      <c r="D549" s="43" t="s">
        <v>237</v>
      </c>
      <c r="E549" s="44" t="s">
        <v>2629</v>
      </c>
      <c r="F549" s="44" t="s">
        <v>2630</v>
      </c>
      <c r="G549" s="45" t="s">
        <v>34</v>
      </c>
      <c r="H549" s="47">
        <v>46191</v>
      </c>
      <c r="I549" s="47">
        <v>46217</v>
      </c>
      <c r="J549" s="43" t="s">
        <v>67</v>
      </c>
      <c r="K549" s="43" t="s">
        <v>77</v>
      </c>
      <c r="L549" s="49" t="s">
        <v>69</v>
      </c>
      <c r="M549" s="49"/>
      <c r="N549" s="49"/>
      <c r="O549" s="48"/>
      <c r="P549" s="49" t="str">
        <f t="shared" si="24"/>
        <v>ONAY</v>
      </c>
      <c r="R549" s="50" t="str">
        <f t="shared" si="25"/>
        <v/>
      </c>
      <c r="U549" s="28">
        <f>IF($C549&lt;&gt;"",COUNTIF($C$2:C549,C549),"")</f>
        <v>1</v>
      </c>
      <c r="V549" s="28" t="str">
        <f t="shared" si="26"/>
        <v>Arş. Gör. Dr. Pınar YAVUZ TAZE§1</v>
      </c>
      <c r="W549" s="28">
        <f>IF(U549=1,COUNTIF($U$2:U549,1),"")</f>
        <v>288</v>
      </c>
    </row>
    <row r="550" spans="1:23" ht="94.5" customHeight="1" x14ac:dyDescent="0.25">
      <c r="A550" s="42" t="s">
        <v>2631</v>
      </c>
      <c r="B550" s="42" t="s">
        <v>2632</v>
      </c>
      <c r="C550" s="43" t="s">
        <v>1788</v>
      </c>
      <c r="D550" s="43" t="s">
        <v>1174</v>
      </c>
      <c r="E550" s="44" t="s">
        <v>2633</v>
      </c>
      <c r="F550" s="44" t="s">
        <v>2634</v>
      </c>
      <c r="G550" s="45" t="s">
        <v>34</v>
      </c>
      <c r="H550" s="47">
        <v>46191</v>
      </c>
      <c r="I550" s="47">
        <v>46217</v>
      </c>
      <c r="J550" s="43" t="s">
        <v>85</v>
      </c>
      <c r="K550" s="43" t="s">
        <v>94</v>
      </c>
      <c r="L550" s="49" t="s">
        <v>96</v>
      </c>
      <c r="M550" s="49"/>
      <c r="N550" s="49"/>
      <c r="O550" s="48"/>
      <c r="P550" s="49" t="str">
        <f t="shared" si="24"/>
        <v>DÜZELTME</v>
      </c>
      <c r="R550" s="50" t="str">
        <f t="shared" si="25"/>
        <v/>
      </c>
      <c r="U550" s="28">
        <f>IF($C550&lt;&gt;"",COUNTIF($C$2:C550,C550),"")</f>
        <v>2</v>
      </c>
      <c r="V550" s="28" t="str">
        <f t="shared" si="26"/>
        <v>Prof. Dr. Hakan UZUN§2</v>
      </c>
      <c r="W550" s="28" t="str">
        <f>IF(U550=1,COUNTIF($U$2:U550,1),"")</f>
        <v/>
      </c>
    </row>
    <row r="551" spans="1:23" ht="63" customHeight="1" x14ac:dyDescent="0.25">
      <c r="A551" s="42" t="s">
        <v>2635</v>
      </c>
      <c r="B551" s="42" t="s">
        <v>2636</v>
      </c>
      <c r="C551" s="43" t="s">
        <v>2637</v>
      </c>
      <c r="D551" s="43" t="s">
        <v>378</v>
      </c>
      <c r="E551" s="44" t="s">
        <v>2638</v>
      </c>
      <c r="F551" s="44" t="s">
        <v>2639</v>
      </c>
      <c r="G551" s="45" t="s">
        <v>35</v>
      </c>
      <c r="H551" s="47">
        <v>46284</v>
      </c>
      <c r="I551" s="47">
        <v>46217</v>
      </c>
      <c r="J551" s="43" t="s">
        <v>85</v>
      </c>
      <c r="K551" s="43" t="s">
        <v>86</v>
      </c>
      <c r="L551" s="49" t="s">
        <v>96</v>
      </c>
      <c r="M551" s="49"/>
      <c r="N551" s="49"/>
      <c r="O551" s="48"/>
      <c r="P551" s="49" t="str">
        <f t="shared" si="24"/>
        <v>DÜZELTME</v>
      </c>
      <c r="R551" s="50" t="str">
        <f t="shared" si="25"/>
        <v/>
      </c>
      <c r="U551" s="28">
        <f>IF($C551&lt;&gt;"",COUNTIF($C$2:C551,C551),"")</f>
        <v>1</v>
      </c>
      <c r="V551" s="28" t="str">
        <f t="shared" si="26"/>
        <v>Prof. Dr. Levent ÖZÇAKAR§1</v>
      </c>
      <c r="W551" s="28">
        <f>IF(U551=1,COUNTIF($U$2:U551,1),"")</f>
        <v>289</v>
      </c>
    </row>
    <row r="552" spans="1:23" ht="63" customHeight="1" x14ac:dyDescent="0.25">
      <c r="A552" s="42" t="s">
        <v>2640</v>
      </c>
      <c r="B552" s="42" t="s">
        <v>2641</v>
      </c>
      <c r="C552" s="43" t="s">
        <v>1724</v>
      </c>
      <c r="D552" s="43" t="s">
        <v>1524</v>
      </c>
      <c r="E552" s="44" t="s">
        <v>2642</v>
      </c>
      <c r="F552" s="44" t="s">
        <v>2643</v>
      </c>
      <c r="G552" s="45" t="s">
        <v>34</v>
      </c>
      <c r="H552" s="47">
        <v>46284</v>
      </c>
      <c r="I552" s="47">
        <v>46217</v>
      </c>
      <c r="J552" s="43" t="s">
        <v>113</v>
      </c>
      <c r="K552" s="43" t="s">
        <v>86</v>
      </c>
      <c r="L552" s="49" t="s">
        <v>96</v>
      </c>
      <c r="M552" s="49"/>
      <c r="N552" s="49"/>
      <c r="O552" s="48"/>
      <c r="P552" s="49" t="str">
        <f t="shared" si="24"/>
        <v>DÜZELTME</v>
      </c>
      <c r="R552" s="50" t="str">
        <f t="shared" si="25"/>
        <v/>
      </c>
      <c r="U552" s="28">
        <f>IF($C552&lt;&gt;"",COUNTIF($C$2:C552,C552),"")</f>
        <v>3</v>
      </c>
      <c r="V552" s="28" t="str">
        <f t="shared" si="26"/>
        <v>Dr. Öğr. Üyesi Ece ÖZOĞUL§3</v>
      </c>
      <c r="W552" s="28" t="str">
        <f>IF(U552=1,COUNTIF($U$2:U552,1),"")</f>
        <v/>
      </c>
    </row>
    <row r="553" spans="1:23" ht="47.25" customHeight="1" x14ac:dyDescent="0.25">
      <c r="A553" s="42" t="s">
        <v>2644</v>
      </c>
      <c r="B553" s="42" t="s">
        <v>2645</v>
      </c>
      <c r="C553" s="43" t="s">
        <v>550</v>
      </c>
      <c r="D553" s="43" t="s">
        <v>395</v>
      </c>
      <c r="E553" s="44" t="s">
        <v>2646</v>
      </c>
      <c r="F553" s="44" t="s">
        <v>2647</v>
      </c>
      <c r="G553" s="45" t="s">
        <v>34</v>
      </c>
      <c r="H553" s="47">
        <v>46284</v>
      </c>
      <c r="I553" s="47">
        <v>46217</v>
      </c>
      <c r="J553" s="43" t="s">
        <v>86</v>
      </c>
      <c r="K553" s="43" t="s">
        <v>95</v>
      </c>
      <c r="L553" s="49" t="s">
        <v>69</v>
      </c>
      <c r="M553" s="49"/>
      <c r="N553" s="49"/>
      <c r="O553" s="48"/>
      <c r="P553" s="49" t="str">
        <f t="shared" si="24"/>
        <v>ONAY</v>
      </c>
      <c r="R553" s="50" t="str">
        <f t="shared" si="25"/>
        <v/>
      </c>
      <c r="U553" s="28">
        <f>IF($C553&lt;&gt;"",COUNTIF($C$2:C553,C553),"")</f>
        <v>6</v>
      </c>
      <c r="V553" s="28" t="str">
        <f t="shared" si="26"/>
        <v>Prof. Dr. Neşe DERİCİOĞLU§6</v>
      </c>
      <c r="W553" s="28" t="str">
        <f>IF(U553=1,COUNTIF($U$2:U553,1),"")</f>
        <v/>
      </c>
    </row>
    <row r="554" spans="1:23" ht="63" customHeight="1" x14ac:dyDescent="0.25">
      <c r="A554" s="42" t="s">
        <v>2648</v>
      </c>
      <c r="B554" s="42" t="s">
        <v>2649</v>
      </c>
      <c r="C554" s="43" t="s">
        <v>1724</v>
      </c>
      <c r="D554" s="43" t="s">
        <v>1524</v>
      </c>
      <c r="E554" s="44" t="s">
        <v>2650</v>
      </c>
      <c r="F554" s="44" t="s">
        <v>2651</v>
      </c>
      <c r="G554" s="45" t="s">
        <v>34</v>
      </c>
      <c r="H554" s="47">
        <v>46284</v>
      </c>
      <c r="I554" s="47">
        <v>46217</v>
      </c>
      <c r="J554" s="43" t="s">
        <v>77</v>
      </c>
      <c r="K554" s="43" t="s">
        <v>68</v>
      </c>
      <c r="L554" s="49" t="s">
        <v>69</v>
      </c>
      <c r="M554" s="49"/>
      <c r="N554" s="49"/>
      <c r="O554" s="48"/>
      <c r="P554" s="49" t="str">
        <f t="shared" si="24"/>
        <v>ONAY</v>
      </c>
      <c r="R554" s="50" t="str">
        <f t="shared" si="25"/>
        <v/>
      </c>
      <c r="U554" s="28">
        <f>IF($C554&lt;&gt;"",COUNTIF($C$2:C554,C554),"")</f>
        <v>4</v>
      </c>
      <c r="V554" s="28" t="str">
        <f t="shared" si="26"/>
        <v>Dr. Öğr. Üyesi Ece ÖZOĞUL§4</v>
      </c>
      <c r="W554" s="28" t="str">
        <f>IF(U554=1,COUNTIF($U$2:U554,1),"")</f>
        <v/>
      </c>
    </row>
    <row r="555" spans="1:23" ht="95.25" customHeight="1" x14ac:dyDescent="0.25">
      <c r="A555" s="42" t="s">
        <v>2652</v>
      </c>
      <c r="B555" s="42" t="s">
        <v>2653</v>
      </c>
      <c r="C555" s="43" t="s">
        <v>109</v>
      </c>
      <c r="D555" s="43" t="s">
        <v>110</v>
      </c>
      <c r="E555" s="44" t="s">
        <v>2654</v>
      </c>
      <c r="F555" s="44" t="s">
        <v>2655</v>
      </c>
      <c r="G555" s="45" t="s">
        <v>34</v>
      </c>
      <c r="H555" s="47">
        <v>46284</v>
      </c>
      <c r="I555" s="47">
        <v>46217</v>
      </c>
      <c r="J555" s="43" t="s">
        <v>85</v>
      </c>
      <c r="K555" s="43" t="s">
        <v>113</v>
      </c>
      <c r="L555" s="49" t="s">
        <v>69</v>
      </c>
      <c r="M555" s="49"/>
      <c r="N555" s="49"/>
      <c r="O555" s="48"/>
      <c r="P555" s="49" t="str">
        <f t="shared" si="24"/>
        <v>ONAY</v>
      </c>
      <c r="R555" s="50" t="str">
        <f t="shared" si="25"/>
        <v/>
      </c>
      <c r="U555" s="28">
        <f>IF($C555&lt;&gt;"",COUNTIF($C$2:C555,C555),"")</f>
        <v>16</v>
      </c>
      <c r="V555" s="28" t="str">
        <f t="shared" si="26"/>
        <v>Prof. Dr. Meltem Gülhan HALİL§16</v>
      </c>
      <c r="W555" s="28" t="str">
        <f>IF(U555=1,COUNTIF($U$2:U555,1),"")</f>
        <v/>
      </c>
    </row>
    <row r="556" spans="1:23" ht="94.5" customHeight="1" x14ac:dyDescent="0.25">
      <c r="A556" s="42" t="s">
        <v>2656</v>
      </c>
      <c r="B556" s="42" t="s">
        <v>2657</v>
      </c>
      <c r="C556" s="43" t="s">
        <v>1374</v>
      </c>
      <c r="D556" s="43" t="s">
        <v>1375</v>
      </c>
      <c r="E556" s="44" t="s">
        <v>2658</v>
      </c>
      <c r="F556" s="44" t="s">
        <v>2659</v>
      </c>
      <c r="G556" s="45" t="s">
        <v>34</v>
      </c>
      <c r="H556" s="47">
        <v>46284</v>
      </c>
      <c r="I556" s="47">
        <v>46217</v>
      </c>
      <c r="J556" s="43" t="s">
        <v>113</v>
      </c>
      <c r="K556" s="43" t="s">
        <v>94</v>
      </c>
      <c r="L556" s="49" t="s">
        <v>69</v>
      </c>
      <c r="M556" s="49"/>
      <c r="N556" s="49"/>
      <c r="O556" s="48"/>
      <c r="P556" s="49" t="str">
        <f t="shared" si="24"/>
        <v>ONAY</v>
      </c>
      <c r="R556" s="50" t="str">
        <f t="shared" si="25"/>
        <v/>
      </c>
      <c r="U556" s="28">
        <f>IF($C556&lt;&gt;"",COUNTIF($C$2:C556,C556),"")</f>
        <v>2</v>
      </c>
      <c r="V556" s="28" t="str">
        <f t="shared" si="26"/>
        <v>Prof. Dr. Ali Rıza TÜMER§2</v>
      </c>
      <c r="W556" s="28" t="str">
        <f>IF(U556=1,COUNTIF($U$2:U556,1),"")</f>
        <v/>
      </c>
    </row>
    <row r="557" spans="1:23" ht="63" customHeight="1" x14ac:dyDescent="0.25">
      <c r="A557" s="42" t="s">
        <v>2660</v>
      </c>
      <c r="B557" s="42" t="s">
        <v>2661</v>
      </c>
      <c r="C557" s="43" t="s">
        <v>2290</v>
      </c>
      <c r="D557" s="43" t="s">
        <v>189</v>
      </c>
      <c r="E557" s="44" t="s">
        <v>2662</v>
      </c>
      <c r="F557" s="44" t="s">
        <v>2663</v>
      </c>
      <c r="G557" s="45" t="s">
        <v>35</v>
      </c>
      <c r="H557" s="47">
        <v>46284</v>
      </c>
      <c r="I557" s="47">
        <v>46217</v>
      </c>
      <c r="J557" s="43" t="s">
        <v>105</v>
      </c>
      <c r="K557" s="43" t="s">
        <v>95</v>
      </c>
      <c r="L557" s="49" t="s">
        <v>69</v>
      </c>
      <c r="M557" s="49"/>
      <c r="N557" s="49"/>
      <c r="O557" s="48"/>
      <c r="P557" s="49" t="str">
        <f t="shared" si="24"/>
        <v>ONAY</v>
      </c>
      <c r="R557" s="50" t="str">
        <f t="shared" si="25"/>
        <v/>
      </c>
      <c r="U557" s="28">
        <f>IF($C557&lt;&gt;"",COUNTIF($C$2:C557,C557),"")</f>
        <v>2</v>
      </c>
      <c r="V557" s="28" t="str">
        <f t="shared" si="26"/>
        <v>Prof. Dr. Filiz ÜZÜMCÜGİL§2</v>
      </c>
      <c r="W557" s="28" t="str">
        <f>IF(U557=1,COUNTIF($U$2:U557,1),"")</f>
        <v/>
      </c>
    </row>
    <row r="558" spans="1:23" ht="78.75" customHeight="1" x14ac:dyDescent="0.25">
      <c r="A558" s="42" t="s">
        <v>2664</v>
      </c>
      <c r="B558" s="42" t="s">
        <v>2665</v>
      </c>
      <c r="C558" s="43" t="s">
        <v>2666</v>
      </c>
      <c r="D558" s="43" t="s">
        <v>82</v>
      </c>
      <c r="E558" s="44" t="s">
        <v>2667</v>
      </c>
      <c r="F558" s="44" t="s">
        <v>2668</v>
      </c>
      <c r="G558" s="45" t="s">
        <v>34</v>
      </c>
      <c r="H558" s="47">
        <v>46284</v>
      </c>
      <c r="I558" s="47">
        <v>46217</v>
      </c>
      <c r="J558" s="43" t="s">
        <v>86</v>
      </c>
      <c r="K558" s="43" t="s">
        <v>68</v>
      </c>
      <c r="L558" s="49" t="s">
        <v>96</v>
      </c>
      <c r="M558" s="49"/>
      <c r="N558" s="49"/>
      <c r="O558" s="48"/>
      <c r="P558" s="49" t="str">
        <f t="shared" si="24"/>
        <v>DÜZELTME</v>
      </c>
      <c r="R558" s="50" t="str">
        <f t="shared" si="25"/>
        <v/>
      </c>
      <c r="U558" s="28">
        <f>IF($C558&lt;&gt;"",COUNTIF($C$2:C558,C558),"")</f>
        <v>1</v>
      </c>
      <c r="V558" s="28" t="str">
        <f t="shared" si="26"/>
        <v>Doç. Dr. Elif Günay BULUT§1</v>
      </c>
      <c r="W558" s="28">
        <f>IF(U558=1,COUNTIF($U$2:U558,1),"")</f>
        <v>290</v>
      </c>
    </row>
    <row r="559" spans="1:23" ht="110.25" customHeight="1" x14ac:dyDescent="0.25">
      <c r="A559" s="42" t="s">
        <v>2669</v>
      </c>
      <c r="B559" s="42" t="s">
        <v>2670</v>
      </c>
      <c r="C559" s="43" t="s">
        <v>1690</v>
      </c>
      <c r="D559" s="43" t="s">
        <v>395</v>
      </c>
      <c r="E559" s="44" t="s">
        <v>2671</v>
      </c>
      <c r="F559" s="44" t="s">
        <v>2672</v>
      </c>
      <c r="G559" s="45" t="s">
        <v>35</v>
      </c>
      <c r="H559" s="47">
        <v>46284</v>
      </c>
      <c r="I559" s="47">
        <v>46217</v>
      </c>
      <c r="J559" s="43" t="s">
        <v>67</v>
      </c>
      <c r="K559" s="43" t="s">
        <v>121</v>
      </c>
      <c r="L559" s="49" t="s">
        <v>69</v>
      </c>
      <c r="M559" s="49"/>
      <c r="N559" s="49"/>
      <c r="O559" s="48"/>
      <c r="P559" s="49" t="str">
        <f t="shared" si="24"/>
        <v>ONAY</v>
      </c>
      <c r="R559" s="50" t="str">
        <f t="shared" si="25"/>
        <v/>
      </c>
      <c r="U559" s="28">
        <f>IF($C559&lt;&gt;"",COUNTIF($C$2:C559,C559),"")</f>
        <v>2</v>
      </c>
      <c r="V559" s="28" t="str">
        <f t="shared" si="26"/>
        <v>Prof. Dr. Meryem Aslı TUNCER§2</v>
      </c>
      <c r="W559" s="28" t="str">
        <f>IF(U559=1,COUNTIF($U$2:U559,1),"")</f>
        <v/>
      </c>
    </row>
    <row r="560" spans="1:23" ht="63" customHeight="1" x14ac:dyDescent="0.25">
      <c r="A560" s="42" t="s">
        <v>2673</v>
      </c>
      <c r="B560" s="42" t="s">
        <v>2674</v>
      </c>
      <c r="C560" s="43" t="s">
        <v>1278</v>
      </c>
      <c r="D560" s="43" t="s">
        <v>237</v>
      </c>
      <c r="E560" s="44" t="s">
        <v>2675</v>
      </c>
      <c r="F560" s="44" t="s">
        <v>2676</v>
      </c>
      <c r="G560" s="45" t="s">
        <v>34</v>
      </c>
      <c r="H560" s="47">
        <v>46284</v>
      </c>
      <c r="I560" s="47">
        <v>46217</v>
      </c>
      <c r="J560" s="43" t="s">
        <v>67</v>
      </c>
      <c r="K560" s="43" t="s">
        <v>121</v>
      </c>
      <c r="L560" s="49" t="s">
        <v>96</v>
      </c>
      <c r="M560" s="49"/>
      <c r="N560" s="49"/>
      <c r="O560" s="48"/>
      <c r="P560" s="49" t="str">
        <f t="shared" si="24"/>
        <v>DÜZELTME</v>
      </c>
      <c r="R560" s="50" t="str">
        <f t="shared" si="25"/>
        <v/>
      </c>
      <c r="U560" s="28">
        <f>IF($C560&lt;&gt;"",COUNTIF($C$2:C560,C560),"")</f>
        <v>5</v>
      </c>
      <c r="V560" s="28" t="str">
        <f t="shared" si="26"/>
        <v>Prof. Dr. Şule ÜNAL CANGÜL§5</v>
      </c>
      <c r="W560" s="28" t="str">
        <f>IF(U560=1,COUNTIF($U$2:U560,1),"")</f>
        <v/>
      </c>
    </row>
    <row r="561" spans="1:23" ht="63" customHeight="1" x14ac:dyDescent="0.25">
      <c r="A561" s="42" t="s">
        <v>2677</v>
      </c>
      <c r="B561" s="42" t="s">
        <v>2678</v>
      </c>
      <c r="C561" s="43" t="s">
        <v>983</v>
      </c>
      <c r="D561" s="43" t="s">
        <v>435</v>
      </c>
      <c r="E561" s="44" t="s">
        <v>2679</v>
      </c>
      <c r="F561" s="44" t="s">
        <v>2680</v>
      </c>
      <c r="G561" s="45" t="s">
        <v>34</v>
      </c>
      <c r="H561" s="47">
        <v>46284</v>
      </c>
      <c r="I561" s="47">
        <v>46217</v>
      </c>
      <c r="J561" s="43" t="s">
        <v>105</v>
      </c>
      <c r="K561" s="43" t="s">
        <v>77</v>
      </c>
      <c r="L561" s="49" t="s">
        <v>96</v>
      </c>
      <c r="M561" s="49" t="s">
        <v>69</v>
      </c>
      <c r="N561" s="49"/>
      <c r="O561" s="48"/>
      <c r="P561" s="49" t="str">
        <f t="shared" si="24"/>
        <v>ONAY</v>
      </c>
      <c r="Q561" s="27" t="s">
        <v>105</v>
      </c>
      <c r="R561" s="50" t="str">
        <f t="shared" si="25"/>
        <v/>
      </c>
      <c r="U561" s="28">
        <f>IF($C561&lt;&gt;"",COUNTIF($C$2:C561,C561),"")</f>
        <v>2</v>
      </c>
      <c r="V561" s="28" t="str">
        <f t="shared" si="26"/>
        <v>Prof. Dr. Serdar TEKGÜL§2</v>
      </c>
      <c r="W561" s="28" t="str">
        <f>IF(U561=1,COUNTIF($U$2:U561,1),"")</f>
        <v/>
      </c>
    </row>
    <row r="562" spans="1:23" ht="63" customHeight="1" x14ac:dyDescent="0.25">
      <c r="A562" s="42" t="s">
        <v>2681</v>
      </c>
      <c r="B562" s="42" t="s">
        <v>2682</v>
      </c>
      <c r="C562" s="43" t="s">
        <v>68</v>
      </c>
      <c r="D562" s="43" t="s">
        <v>237</v>
      </c>
      <c r="E562" s="44" t="s">
        <v>2683</v>
      </c>
      <c r="F562" s="44" t="s">
        <v>2684</v>
      </c>
      <c r="G562" s="45" t="s">
        <v>34</v>
      </c>
      <c r="H562" s="47">
        <v>46284</v>
      </c>
      <c r="I562" s="47">
        <v>46217</v>
      </c>
      <c r="J562" s="43" t="s">
        <v>95</v>
      </c>
      <c r="K562" s="43" t="s">
        <v>67</v>
      </c>
      <c r="L562" s="49" t="s">
        <v>96</v>
      </c>
      <c r="M562" s="49"/>
      <c r="N562" s="49"/>
      <c r="O562" s="48"/>
      <c r="P562" s="49" t="str">
        <f t="shared" si="24"/>
        <v>DÜZELTME</v>
      </c>
      <c r="R562" s="50" t="str">
        <f t="shared" si="25"/>
        <v/>
      </c>
      <c r="U562" s="28">
        <f>IF($C562&lt;&gt;"",COUNTIF($C$2:C562,C562),"")</f>
        <v>4</v>
      </c>
      <c r="V562" s="28" t="str">
        <f t="shared" si="26"/>
        <v>Doç. Dr. Kübra AYKAÇ§4</v>
      </c>
      <c r="W562" s="28" t="str">
        <f>IF(U562=1,COUNTIF($U$2:U562,1),"")</f>
        <v/>
      </c>
    </row>
    <row r="563" spans="1:23" ht="94.5" customHeight="1" x14ac:dyDescent="0.25">
      <c r="A563" s="42" t="s">
        <v>2685</v>
      </c>
      <c r="B563" s="42" t="s">
        <v>2686</v>
      </c>
      <c r="C563" s="43" t="s">
        <v>2687</v>
      </c>
      <c r="D563" s="43" t="s">
        <v>118</v>
      </c>
      <c r="E563" s="44" t="s">
        <v>2688</v>
      </c>
      <c r="F563" s="44" t="s">
        <v>2689</v>
      </c>
      <c r="G563" s="45" t="s">
        <v>35</v>
      </c>
      <c r="H563" s="47">
        <v>46284</v>
      </c>
      <c r="I563" s="47">
        <v>46217</v>
      </c>
      <c r="J563" s="43" t="s">
        <v>121</v>
      </c>
      <c r="K563" s="43" t="s">
        <v>94</v>
      </c>
      <c r="L563" s="49" t="s">
        <v>178</v>
      </c>
      <c r="M563" s="49"/>
      <c r="N563" s="49"/>
      <c r="O563" s="48"/>
      <c r="P563" s="49" t="str">
        <f t="shared" si="24"/>
        <v>RET</v>
      </c>
      <c r="R563" s="50" t="str">
        <f t="shared" si="25"/>
        <v/>
      </c>
      <c r="U563" s="28">
        <f>IF($C563&lt;&gt;"",COUNTIF($C$2:C563,C563),"")</f>
        <v>1</v>
      </c>
      <c r="V563" s="28" t="str">
        <f t="shared" si="26"/>
        <v>Prof. Dr. Ahmet SERPER§1</v>
      </c>
      <c r="W563" s="28">
        <f>IF(U563=1,COUNTIF($U$2:U563,1),"")</f>
        <v>291</v>
      </c>
    </row>
    <row r="564" spans="1:23" ht="63" customHeight="1" x14ac:dyDescent="0.25">
      <c r="A564" s="42" t="s">
        <v>2690</v>
      </c>
      <c r="B564" s="42" t="s">
        <v>2691</v>
      </c>
      <c r="C564" s="43" t="s">
        <v>2692</v>
      </c>
      <c r="D564" s="43" t="s">
        <v>2693</v>
      </c>
      <c r="E564" s="44" t="s">
        <v>2694</v>
      </c>
      <c r="F564" s="44" t="s">
        <v>2695</v>
      </c>
      <c r="G564" s="45" t="s">
        <v>34</v>
      </c>
      <c r="H564" s="47">
        <v>46284</v>
      </c>
      <c r="I564" s="47">
        <v>46217</v>
      </c>
      <c r="J564" s="43" t="s">
        <v>67</v>
      </c>
      <c r="K564" s="43" t="s">
        <v>85</v>
      </c>
      <c r="L564" s="49" t="s">
        <v>96</v>
      </c>
      <c r="M564" s="49"/>
      <c r="N564" s="49"/>
      <c r="O564" s="48"/>
      <c r="P564" s="49" t="str">
        <f t="shared" si="24"/>
        <v>DÜZELTME</v>
      </c>
      <c r="R564" s="50" t="str">
        <f t="shared" si="25"/>
        <v/>
      </c>
      <c r="U564" s="28">
        <f>IF($C564&lt;&gt;"",COUNTIF($C$2:C564,C564),"")</f>
        <v>1</v>
      </c>
      <c r="V564" s="28" t="str">
        <f t="shared" si="26"/>
        <v>Doç. Dr. İsmail UYANIK§1</v>
      </c>
      <c r="W564" s="28">
        <f>IF(U564=1,COUNTIF($U$2:U564,1),"")</f>
        <v>292</v>
      </c>
    </row>
    <row r="565" spans="1:23" ht="63" customHeight="1" x14ac:dyDescent="0.25">
      <c r="A565" s="42" t="s">
        <v>2696</v>
      </c>
      <c r="B565" s="42" t="s">
        <v>2697</v>
      </c>
      <c r="C565" s="43" t="s">
        <v>125</v>
      </c>
      <c r="D565" s="43" t="s">
        <v>110</v>
      </c>
      <c r="E565" s="44" t="s">
        <v>2698</v>
      </c>
      <c r="F565" s="44" t="s">
        <v>2699</v>
      </c>
      <c r="G565" s="45" t="s">
        <v>34</v>
      </c>
      <c r="H565" s="47">
        <v>46284</v>
      </c>
      <c r="I565" s="47">
        <v>46217</v>
      </c>
      <c r="J565" s="43" t="s">
        <v>94</v>
      </c>
      <c r="K565" s="43" t="s">
        <v>113</v>
      </c>
      <c r="L565" s="49" t="s">
        <v>69</v>
      </c>
      <c r="M565" s="49"/>
      <c r="N565" s="49"/>
      <c r="O565" s="48"/>
      <c r="P565" s="49" t="str">
        <f t="shared" si="24"/>
        <v>ONAY</v>
      </c>
      <c r="R565" s="50" t="str">
        <f t="shared" si="25"/>
        <v/>
      </c>
      <c r="U565" s="28">
        <f>IF($C565&lt;&gt;"",COUNTIF($C$2:C565,C565),"")</f>
        <v>2</v>
      </c>
      <c r="V565" s="28" t="str">
        <f t="shared" si="26"/>
        <v>Doç. Dr. Nursel ÇALIK BAŞARAN§2</v>
      </c>
      <c r="W565" s="28" t="str">
        <f>IF(U565=1,COUNTIF($U$2:U565,1),"")</f>
        <v/>
      </c>
    </row>
    <row r="566" spans="1:23" ht="63" customHeight="1" x14ac:dyDescent="0.25">
      <c r="A566" s="42" t="s">
        <v>2700</v>
      </c>
      <c r="B566" s="42" t="s">
        <v>2701</v>
      </c>
      <c r="C566" s="43" t="s">
        <v>236</v>
      </c>
      <c r="D566" s="43" t="s">
        <v>237</v>
      </c>
      <c r="E566" s="44" t="s">
        <v>2702</v>
      </c>
      <c r="F566" s="44" t="s">
        <v>2703</v>
      </c>
      <c r="G566" s="45" t="s">
        <v>34</v>
      </c>
      <c r="H566" s="47">
        <v>46284</v>
      </c>
      <c r="I566" s="47">
        <v>46217</v>
      </c>
      <c r="J566" s="43" t="s">
        <v>105</v>
      </c>
      <c r="K566" s="43" t="s">
        <v>68</v>
      </c>
      <c r="L566" s="49" t="s">
        <v>96</v>
      </c>
      <c r="M566" s="49"/>
      <c r="N566" s="49"/>
      <c r="O566" s="48"/>
      <c r="P566" s="49" t="str">
        <f t="shared" si="24"/>
        <v>DÜZELTME</v>
      </c>
      <c r="R566" s="50" t="str">
        <f t="shared" si="25"/>
        <v/>
      </c>
      <c r="U566" s="28">
        <f>IF($C566&lt;&gt;"",COUNTIF($C$2:C566,C566),"")</f>
        <v>3</v>
      </c>
      <c r="V566" s="28" t="str">
        <f t="shared" si="26"/>
        <v>Prof. Dr. Seza ÖZEN§3</v>
      </c>
      <c r="W566" s="28" t="str">
        <f>IF(U566=1,COUNTIF($U$2:U566,1),"")</f>
        <v/>
      </c>
    </row>
    <row r="567" spans="1:23" ht="78.75" customHeight="1" x14ac:dyDescent="0.25">
      <c r="A567" s="42" t="s">
        <v>2704</v>
      </c>
      <c r="B567" s="42" t="s">
        <v>2705</v>
      </c>
      <c r="C567" s="43" t="s">
        <v>2706</v>
      </c>
      <c r="D567" s="43" t="s">
        <v>237</v>
      </c>
      <c r="E567" s="44" t="s">
        <v>2707</v>
      </c>
      <c r="F567" s="44" t="s">
        <v>2708</v>
      </c>
      <c r="G567" s="45" t="s">
        <v>34</v>
      </c>
      <c r="H567" s="47">
        <v>46284</v>
      </c>
      <c r="I567" s="47">
        <v>46217</v>
      </c>
      <c r="J567" s="43" t="s">
        <v>77</v>
      </c>
      <c r="K567" s="43" t="s">
        <v>85</v>
      </c>
      <c r="L567" s="49" t="s">
        <v>96</v>
      </c>
      <c r="M567" s="49"/>
      <c r="N567" s="49"/>
      <c r="O567" s="48"/>
      <c r="P567" s="49" t="str">
        <f t="shared" si="24"/>
        <v>DÜZELTME</v>
      </c>
      <c r="R567" s="50" t="str">
        <f t="shared" si="25"/>
        <v/>
      </c>
      <c r="U567" s="28">
        <f>IF($C567&lt;&gt;"",COUNTIF($C$2:C567,C567),"")</f>
        <v>1</v>
      </c>
      <c r="V567" s="28" t="str">
        <f t="shared" si="26"/>
        <v>Prof. Dr. Selin AYTAÇ EYÜPOĞLU§1</v>
      </c>
      <c r="W567" s="28">
        <f>IF(U567=1,COUNTIF($U$2:U567,1),"")</f>
        <v>293</v>
      </c>
    </row>
    <row r="568" spans="1:23" ht="110.25" customHeight="1" x14ac:dyDescent="0.25">
      <c r="A568" s="42" t="s">
        <v>2709</v>
      </c>
      <c r="B568" s="42" t="s">
        <v>2710</v>
      </c>
      <c r="C568" s="43" t="s">
        <v>840</v>
      </c>
      <c r="D568" s="43" t="s">
        <v>237</v>
      </c>
      <c r="E568" s="44" t="s">
        <v>2711</v>
      </c>
      <c r="F568" s="44" t="s">
        <v>2712</v>
      </c>
      <c r="G568" s="45" t="s">
        <v>34</v>
      </c>
      <c r="H568" s="47">
        <v>46284</v>
      </c>
      <c r="I568" s="47">
        <v>46217</v>
      </c>
      <c r="J568" s="43" t="s">
        <v>67</v>
      </c>
      <c r="K568" s="43" t="s">
        <v>86</v>
      </c>
      <c r="L568" s="49" t="s">
        <v>96</v>
      </c>
      <c r="M568" s="49"/>
      <c r="N568" s="49"/>
      <c r="O568" s="48"/>
      <c r="P568" s="49" t="str">
        <f t="shared" si="24"/>
        <v>DÜZELTME</v>
      </c>
      <c r="R568" s="50" t="str">
        <f t="shared" si="25"/>
        <v/>
      </c>
      <c r="U568" s="28">
        <f>IF($C568&lt;&gt;"",COUNTIF($C$2:C568,C568),"")</f>
        <v>2</v>
      </c>
      <c r="V568" s="28" t="str">
        <f t="shared" si="26"/>
        <v>Prof. Dr. Nagehan EMİRALİOĞLU ORDUKAYA§2</v>
      </c>
      <c r="W568" s="28" t="str">
        <f>IF(U568=1,COUNTIF($U$2:U568,1),"")</f>
        <v/>
      </c>
    </row>
    <row r="569" spans="1:23" ht="78.75" customHeight="1" x14ac:dyDescent="0.25">
      <c r="A569" s="42" t="s">
        <v>2713</v>
      </c>
      <c r="B569" s="42" t="s">
        <v>2714</v>
      </c>
      <c r="C569" s="43" t="s">
        <v>831</v>
      </c>
      <c r="D569" s="43" t="s">
        <v>428</v>
      </c>
      <c r="E569" s="44" t="s">
        <v>2715</v>
      </c>
      <c r="F569" s="44" t="s">
        <v>2716</v>
      </c>
      <c r="G569" s="45" t="s">
        <v>36</v>
      </c>
      <c r="H569" s="47">
        <v>46195</v>
      </c>
      <c r="I569" s="47">
        <v>46217</v>
      </c>
      <c r="J569" s="43" t="s">
        <v>105</v>
      </c>
      <c r="K569" s="43" t="s">
        <v>77</v>
      </c>
      <c r="L569" s="49" t="s">
        <v>96</v>
      </c>
      <c r="M569" s="49" t="s">
        <v>69</v>
      </c>
      <c r="N569" s="49"/>
      <c r="O569" s="48"/>
      <c r="P569" s="49" t="str">
        <f t="shared" si="24"/>
        <v>ONAY</v>
      </c>
      <c r="Q569" s="27" t="s">
        <v>77</v>
      </c>
      <c r="R569" s="50" t="str">
        <f t="shared" si="25"/>
        <v/>
      </c>
      <c r="U569" s="28">
        <f>IF($C569&lt;&gt;"",COUNTIF($C$2:C569,C569),"")</f>
        <v>3</v>
      </c>
      <c r="V569" s="28" t="str">
        <f t="shared" si="26"/>
        <v>Dr. Öğr. Üyesi Emre KARA§3</v>
      </c>
      <c r="W569" s="28" t="str">
        <f>IF(U569=1,COUNTIF($U$2:U569,1),"")</f>
        <v/>
      </c>
    </row>
    <row r="570" spans="1:23" ht="63" customHeight="1" x14ac:dyDescent="0.25">
      <c r="A570" s="42" t="s">
        <v>2717</v>
      </c>
      <c r="B570" s="42" t="s">
        <v>2718</v>
      </c>
      <c r="C570" s="43" t="s">
        <v>2706</v>
      </c>
      <c r="D570" s="43" t="s">
        <v>237</v>
      </c>
      <c r="E570" s="44" t="s">
        <v>2719</v>
      </c>
      <c r="F570" s="44" t="s">
        <v>2720</v>
      </c>
      <c r="G570" s="45" t="s">
        <v>34</v>
      </c>
      <c r="H570" s="47">
        <v>46195</v>
      </c>
      <c r="I570" s="47">
        <v>46217</v>
      </c>
      <c r="J570" s="43" t="s">
        <v>121</v>
      </c>
      <c r="K570" s="43" t="s">
        <v>95</v>
      </c>
      <c r="L570" s="49" t="s">
        <v>69</v>
      </c>
      <c r="M570" s="49"/>
      <c r="N570" s="49"/>
      <c r="O570" s="48"/>
      <c r="P570" s="49" t="str">
        <f t="shared" si="24"/>
        <v>ONAY</v>
      </c>
      <c r="R570" s="50" t="str">
        <f t="shared" si="25"/>
        <v/>
      </c>
      <c r="U570" s="28">
        <f>IF($C570&lt;&gt;"",COUNTIF($C$2:C570,C570),"")</f>
        <v>2</v>
      </c>
      <c r="V570" s="28" t="str">
        <f t="shared" si="26"/>
        <v>Prof. Dr. Selin AYTAÇ EYÜPOĞLU§2</v>
      </c>
      <c r="W570" s="28" t="str">
        <f>IF(U570=1,COUNTIF($U$2:U570,1),"")</f>
        <v/>
      </c>
    </row>
    <row r="571" spans="1:23" ht="78.75" customHeight="1" x14ac:dyDescent="0.25">
      <c r="A571" s="42" t="s">
        <v>2721</v>
      </c>
      <c r="B571" s="42" t="s">
        <v>2722</v>
      </c>
      <c r="C571" s="43" t="s">
        <v>2723</v>
      </c>
      <c r="D571" s="43" t="s">
        <v>237</v>
      </c>
      <c r="E571" s="44" t="s">
        <v>2724</v>
      </c>
      <c r="F571" s="44" t="s">
        <v>2725</v>
      </c>
      <c r="G571" s="45" t="s">
        <v>34</v>
      </c>
      <c r="H571" s="47">
        <v>46195</v>
      </c>
      <c r="I571" s="47">
        <v>46217</v>
      </c>
      <c r="J571" s="43" t="s">
        <v>121</v>
      </c>
      <c r="K571" s="43" t="s">
        <v>95</v>
      </c>
      <c r="L571" s="49" t="s">
        <v>69</v>
      </c>
      <c r="M571" s="49"/>
      <c r="N571" s="49"/>
      <c r="O571" s="48"/>
      <c r="P571" s="49" t="str">
        <f t="shared" si="24"/>
        <v>ONAY</v>
      </c>
      <c r="R571" s="50" t="str">
        <f t="shared" si="25"/>
        <v/>
      </c>
      <c r="U571" s="28">
        <f>IF($C571&lt;&gt;"",COUNTIF($C$2:C571,C571),"")</f>
        <v>1</v>
      </c>
      <c r="V571" s="28" t="str">
        <f t="shared" si="26"/>
        <v>Prof. Dr. B. Barış KUŞKONMAZ§1</v>
      </c>
      <c r="W571" s="28">
        <f>IF(U571=1,COUNTIF($U$2:U571,1),"")</f>
        <v>294</v>
      </c>
    </row>
    <row r="572" spans="1:23" ht="63" customHeight="1" x14ac:dyDescent="0.25">
      <c r="A572" s="42" t="s">
        <v>2726</v>
      </c>
      <c r="B572" s="42" t="s">
        <v>2727</v>
      </c>
      <c r="C572" s="43" t="s">
        <v>1559</v>
      </c>
      <c r="D572" s="43" t="s">
        <v>251</v>
      </c>
      <c r="E572" s="44" t="s">
        <v>2728</v>
      </c>
      <c r="F572" s="44" t="s">
        <v>2729</v>
      </c>
      <c r="G572" s="45" t="s">
        <v>34</v>
      </c>
      <c r="H572" s="47">
        <v>46195</v>
      </c>
      <c r="I572" s="47">
        <v>46217</v>
      </c>
      <c r="J572" s="43" t="s">
        <v>85</v>
      </c>
      <c r="K572" s="43" t="s">
        <v>86</v>
      </c>
      <c r="L572" s="49" t="s">
        <v>96</v>
      </c>
      <c r="M572" s="49"/>
      <c r="N572" s="49"/>
      <c r="O572" s="48"/>
      <c r="P572" s="49" t="str">
        <f t="shared" si="24"/>
        <v>DÜZELTME</v>
      </c>
      <c r="R572" s="50" t="str">
        <f t="shared" si="25"/>
        <v/>
      </c>
      <c r="U572" s="28">
        <f>IF($C572&lt;&gt;"",COUNTIF($C$2:C572,C572),"")</f>
        <v>6</v>
      </c>
      <c r="V572" s="28" t="str">
        <f t="shared" si="26"/>
        <v>Doç. Dr. Cem ÇÖTELİ§6</v>
      </c>
      <c r="W572" s="28" t="str">
        <f>IF(U572=1,COUNTIF($U$2:U572,1),"")</f>
        <v/>
      </c>
    </row>
    <row r="573" spans="1:23" ht="79.5" customHeight="1" x14ac:dyDescent="0.25">
      <c r="A573" s="42" t="s">
        <v>2730</v>
      </c>
      <c r="B573" s="42" t="s">
        <v>2731</v>
      </c>
      <c r="C573" s="43" t="s">
        <v>427</v>
      </c>
      <c r="D573" s="43" t="s">
        <v>428</v>
      </c>
      <c r="E573" s="44" t="s">
        <v>2732</v>
      </c>
      <c r="F573" s="44" t="s">
        <v>2733</v>
      </c>
      <c r="G573" s="45" t="s">
        <v>34</v>
      </c>
      <c r="H573" s="47">
        <v>46195</v>
      </c>
      <c r="I573" s="47">
        <v>46217</v>
      </c>
      <c r="J573" s="43" t="s">
        <v>105</v>
      </c>
      <c r="K573" s="43" t="s">
        <v>68</v>
      </c>
      <c r="L573" s="49" t="s">
        <v>69</v>
      </c>
      <c r="M573" s="49"/>
      <c r="N573" s="49"/>
      <c r="O573" s="48"/>
      <c r="P573" s="49" t="str">
        <f t="shared" si="24"/>
        <v>ONAY</v>
      </c>
      <c r="R573" s="50" t="str">
        <f t="shared" si="25"/>
        <v/>
      </c>
      <c r="U573" s="28">
        <f>IF($C573&lt;&gt;"",COUNTIF($C$2:C573,C573),"")</f>
        <v>6</v>
      </c>
      <c r="V573" s="28" t="str">
        <f t="shared" si="26"/>
        <v>Prof. Dr. Salih Kutay DEMİRKAN§6</v>
      </c>
      <c r="W573" s="28" t="str">
        <f>IF(U573=1,COUNTIF($U$2:U573,1),"")</f>
        <v/>
      </c>
    </row>
    <row r="574" spans="1:23" ht="94.5" customHeight="1" x14ac:dyDescent="0.25">
      <c r="A574" s="42" t="s">
        <v>2734</v>
      </c>
      <c r="B574" s="42" t="s">
        <v>2735</v>
      </c>
      <c r="C574" s="43" t="s">
        <v>1405</v>
      </c>
      <c r="D574" s="43" t="s">
        <v>237</v>
      </c>
      <c r="E574" s="44" t="s">
        <v>2736</v>
      </c>
      <c r="F574" s="44" t="s">
        <v>2737</v>
      </c>
      <c r="G574" s="45" t="s">
        <v>34</v>
      </c>
      <c r="H574" s="47">
        <v>46195</v>
      </c>
      <c r="I574" s="47">
        <v>46217</v>
      </c>
      <c r="J574" s="43" t="s">
        <v>85</v>
      </c>
      <c r="K574" s="43" t="s">
        <v>105</v>
      </c>
      <c r="L574" s="49" t="s">
        <v>69</v>
      </c>
      <c r="M574" s="49"/>
      <c r="N574" s="49"/>
      <c r="O574" s="48"/>
      <c r="P574" s="49" t="str">
        <f t="shared" si="24"/>
        <v>ONAY</v>
      </c>
      <c r="R574" s="50" t="str">
        <f t="shared" si="25"/>
        <v/>
      </c>
      <c r="U574" s="28">
        <f>IF($C574&lt;&gt;"",COUNTIF($C$2:C574,C574),"")</f>
        <v>2</v>
      </c>
      <c r="V574" s="28" t="str">
        <f t="shared" si="26"/>
        <v>Doç. Dr. Hayriye HIZARCIOĞLU GÜLŞEN§2</v>
      </c>
      <c r="W574" s="28" t="str">
        <f>IF(U574=1,COUNTIF($U$2:U574,1),"")</f>
        <v/>
      </c>
    </row>
    <row r="575" spans="1:23" ht="78.75" customHeight="1" x14ac:dyDescent="0.25">
      <c r="A575" s="42" t="s">
        <v>2738</v>
      </c>
      <c r="B575" s="42" t="s">
        <v>2739</v>
      </c>
      <c r="C575" s="43" t="s">
        <v>2740</v>
      </c>
      <c r="D575" s="43" t="s">
        <v>237</v>
      </c>
      <c r="E575" s="44" t="s">
        <v>2741</v>
      </c>
      <c r="F575" s="44" t="s">
        <v>2742</v>
      </c>
      <c r="G575" s="45" t="s">
        <v>34</v>
      </c>
      <c r="H575" s="47">
        <v>46195</v>
      </c>
      <c r="I575" s="47">
        <v>46217</v>
      </c>
      <c r="J575" s="43" t="s">
        <v>94</v>
      </c>
      <c r="K575" s="43" t="s">
        <v>113</v>
      </c>
      <c r="L575" s="49" t="s">
        <v>69</v>
      </c>
      <c r="M575" s="49"/>
      <c r="N575" s="49"/>
      <c r="O575" s="48"/>
      <c r="P575" s="49" t="str">
        <f t="shared" si="24"/>
        <v>ONAY</v>
      </c>
      <c r="R575" s="50" t="str">
        <f t="shared" si="25"/>
        <v/>
      </c>
      <c r="U575" s="28">
        <f>IF($C575&lt;&gt;"",COUNTIF($C$2:C575,C575),"")</f>
        <v>1</v>
      </c>
      <c r="V575" s="28" t="str">
        <f t="shared" si="26"/>
        <v>Prof. Dr. Yelda BİLGİNER§1</v>
      </c>
      <c r="W575" s="28">
        <f>IF(U575=1,COUNTIF($U$2:U575,1),"")</f>
        <v>295</v>
      </c>
    </row>
    <row r="576" spans="1:23" ht="63" customHeight="1" x14ac:dyDescent="0.25">
      <c r="A576" s="42" t="s">
        <v>2743</v>
      </c>
      <c r="B576" s="42" t="s">
        <v>2744</v>
      </c>
      <c r="C576" s="43" t="s">
        <v>1463</v>
      </c>
      <c r="D576" s="43" t="s">
        <v>110</v>
      </c>
      <c r="E576" s="44" t="s">
        <v>2745</v>
      </c>
      <c r="F576" s="44" t="s">
        <v>2746</v>
      </c>
      <c r="G576" s="45" t="s">
        <v>34</v>
      </c>
      <c r="H576" s="47">
        <v>46195</v>
      </c>
      <c r="I576" s="47">
        <v>46217</v>
      </c>
      <c r="J576" s="43" t="s">
        <v>105</v>
      </c>
      <c r="K576" s="43" t="s">
        <v>68</v>
      </c>
      <c r="L576" s="49" t="s">
        <v>96</v>
      </c>
      <c r="M576" s="49"/>
      <c r="N576" s="49"/>
      <c r="O576" s="48"/>
      <c r="P576" s="49" t="str">
        <f t="shared" si="24"/>
        <v>DÜZELTME</v>
      </c>
      <c r="R576" s="50" t="str">
        <f t="shared" si="25"/>
        <v/>
      </c>
      <c r="U576" s="28">
        <f>IF($C576&lt;&gt;"",COUNTIF($C$2:C576,C576),"")</f>
        <v>7</v>
      </c>
      <c r="V576" s="28" t="str">
        <f t="shared" si="26"/>
        <v>Prof. Dr. Taylan KAV§7</v>
      </c>
      <c r="W576" s="28" t="str">
        <f>IF(U576=1,COUNTIF($U$2:U576,1),"")</f>
        <v/>
      </c>
    </row>
    <row r="577" spans="1:23" ht="78.75" customHeight="1" x14ac:dyDescent="0.25">
      <c r="A577" s="42" t="s">
        <v>2747</v>
      </c>
      <c r="B577" s="42" t="s">
        <v>2748</v>
      </c>
      <c r="C577" s="43" t="s">
        <v>742</v>
      </c>
      <c r="D577" s="43" t="s">
        <v>110</v>
      </c>
      <c r="E577" s="44" t="s">
        <v>2749</v>
      </c>
      <c r="F577" s="44" t="s">
        <v>2750</v>
      </c>
      <c r="G577" s="45" t="s">
        <v>35</v>
      </c>
      <c r="H577" s="47">
        <v>46195</v>
      </c>
      <c r="I577" s="47">
        <v>46217</v>
      </c>
      <c r="J577" s="43" t="s">
        <v>77</v>
      </c>
      <c r="K577" s="43" t="s">
        <v>95</v>
      </c>
      <c r="L577" s="49" t="s">
        <v>69</v>
      </c>
      <c r="M577" s="49"/>
      <c r="N577" s="49"/>
      <c r="O577" s="48"/>
      <c r="P577" s="49" t="str">
        <f t="shared" si="24"/>
        <v>ONAY</v>
      </c>
      <c r="R577" s="50" t="str">
        <f t="shared" si="25"/>
        <v/>
      </c>
      <c r="U577" s="28">
        <f>IF($C577&lt;&gt;"",COUNTIF($C$2:C577,C577),"")</f>
        <v>6</v>
      </c>
      <c r="V577" s="28" t="str">
        <f t="shared" si="26"/>
        <v>Doç. Dr. Süleyman Nahit ŞENDUR§6</v>
      </c>
      <c r="W577" s="28" t="str">
        <f>IF(U577=1,COUNTIF($U$2:U577,1),"")</f>
        <v/>
      </c>
    </row>
    <row r="578" spans="1:23" ht="63" customHeight="1" x14ac:dyDescent="0.25">
      <c r="A578" s="42" t="s">
        <v>2751</v>
      </c>
      <c r="B578" s="42" t="s">
        <v>2752</v>
      </c>
      <c r="C578" s="43" t="s">
        <v>2753</v>
      </c>
      <c r="D578" s="43" t="s">
        <v>923</v>
      </c>
      <c r="E578" s="44" t="s">
        <v>2754</v>
      </c>
      <c r="F578" s="44" t="s">
        <v>2755</v>
      </c>
      <c r="G578" s="45" t="s">
        <v>34</v>
      </c>
      <c r="H578" s="47">
        <v>46195</v>
      </c>
      <c r="I578" s="47">
        <v>46217</v>
      </c>
      <c r="J578" s="43" t="s">
        <v>105</v>
      </c>
      <c r="K578" s="43" t="s">
        <v>86</v>
      </c>
      <c r="L578" s="49" t="s">
        <v>96</v>
      </c>
      <c r="M578" s="49"/>
      <c r="N578" s="49"/>
      <c r="O578" s="48"/>
      <c r="P578" s="49" t="str">
        <f t="shared" ref="P578:P641" si="27">IF(O578&lt;&gt;"",O578, IF(N578&lt;&gt;"",N578, IF(M578&lt;&gt;"",M578, L578)))</f>
        <v>DÜZELTME</v>
      </c>
      <c r="R578" s="50" t="str">
        <f t="shared" ref="R578:R641" si="28">IF(AND($I578&lt;&gt;"",$I578&gt;=DATE(2026,6,23),COUNTIFS($C:$C,$C578,$I:$I,$I578)&gt;2),"⚠ "&amp;COUNTIFS($C:$C,$C578,$I:$I,$I578)&amp;" BAŞVURU!","")</f>
        <v/>
      </c>
      <c r="U578" s="28">
        <f>IF($C578&lt;&gt;"",COUNTIF($C$2:C578,C578),"")</f>
        <v>1</v>
      </c>
      <c r="V578" s="28" t="str">
        <f t="shared" ref="V578:V641" si="29">IF($C578&lt;&gt;"",C578&amp;"§"&amp;U578,"")</f>
        <v>Dr. Öğr. Üyesi Aslı Şan DAĞLI GÜL§1</v>
      </c>
      <c r="W578" s="28">
        <f>IF(U578=1,COUNTIF($U$2:U578,1),"")</f>
        <v>296</v>
      </c>
    </row>
    <row r="579" spans="1:23" ht="78.75" customHeight="1" x14ac:dyDescent="0.25">
      <c r="A579" s="42" t="s">
        <v>2756</v>
      </c>
      <c r="B579" s="42" t="s">
        <v>2757</v>
      </c>
      <c r="C579" s="43" t="s">
        <v>1405</v>
      </c>
      <c r="D579" s="43" t="s">
        <v>237</v>
      </c>
      <c r="E579" s="44" t="s">
        <v>2758</v>
      </c>
      <c r="F579" s="44" t="s">
        <v>2759</v>
      </c>
      <c r="G579" s="45" t="s">
        <v>34</v>
      </c>
      <c r="H579" s="47">
        <v>46191</v>
      </c>
      <c r="I579" s="47">
        <v>46217</v>
      </c>
      <c r="J579" s="43" t="s">
        <v>94</v>
      </c>
      <c r="K579" s="43" t="s">
        <v>113</v>
      </c>
      <c r="L579" s="49" t="s">
        <v>69</v>
      </c>
      <c r="M579" s="49"/>
      <c r="N579" s="49"/>
      <c r="O579" s="48"/>
      <c r="P579" s="49" t="str">
        <f t="shared" si="27"/>
        <v>ONAY</v>
      </c>
      <c r="R579" s="50" t="str">
        <f t="shared" si="28"/>
        <v/>
      </c>
      <c r="U579" s="28">
        <f>IF($C579&lt;&gt;"",COUNTIF($C$2:C579,C579),"")</f>
        <v>3</v>
      </c>
      <c r="V579" s="28" t="str">
        <f t="shared" si="29"/>
        <v>Doç. Dr. Hayriye HIZARCIOĞLU GÜLŞEN§3</v>
      </c>
      <c r="W579" s="28" t="str">
        <f>IF(U579=1,COUNTIF($U$2:U579,1),"")</f>
        <v/>
      </c>
    </row>
    <row r="580" spans="1:23" ht="94.5" customHeight="1" x14ac:dyDescent="0.25">
      <c r="A580" s="42" t="s">
        <v>2760</v>
      </c>
      <c r="B580" s="42" t="s">
        <v>2761</v>
      </c>
      <c r="C580" s="43" t="s">
        <v>1690</v>
      </c>
      <c r="D580" s="43" t="s">
        <v>395</v>
      </c>
      <c r="E580" s="44" t="s">
        <v>2762</v>
      </c>
      <c r="F580" s="44" t="s">
        <v>2763</v>
      </c>
      <c r="G580" s="45" t="s">
        <v>34</v>
      </c>
      <c r="H580" s="47">
        <v>46196</v>
      </c>
      <c r="I580" s="47">
        <v>46217</v>
      </c>
      <c r="J580" s="43" t="s">
        <v>86</v>
      </c>
      <c r="K580" s="43" t="s">
        <v>95</v>
      </c>
      <c r="L580" s="49" t="s">
        <v>69</v>
      </c>
      <c r="M580" s="49"/>
      <c r="N580" s="49"/>
      <c r="O580" s="48"/>
      <c r="P580" s="49" t="str">
        <f t="shared" si="27"/>
        <v>ONAY</v>
      </c>
      <c r="R580" s="50" t="str">
        <f t="shared" si="28"/>
        <v/>
      </c>
      <c r="U580" s="28">
        <f>IF($C580&lt;&gt;"",COUNTIF($C$2:C580,C580),"")</f>
        <v>3</v>
      </c>
      <c r="V580" s="28" t="str">
        <f t="shared" si="29"/>
        <v>Prof. Dr. Meryem Aslı TUNCER§3</v>
      </c>
      <c r="W580" s="28" t="str">
        <f>IF(U580=1,COUNTIF($U$2:U580,1),"")</f>
        <v/>
      </c>
    </row>
    <row r="581" spans="1:23" ht="96" customHeight="1" x14ac:dyDescent="0.25">
      <c r="A581" s="42" t="s">
        <v>2764</v>
      </c>
      <c r="B581" s="42" t="s">
        <v>2765</v>
      </c>
      <c r="C581" s="43" t="s">
        <v>1074</v>
      </c>
      <c r="D581" s="43" t="s">
        <v>82</v>
      </c>
      <c r="E581" s="44" t="s">
        <v>2766</v>
      </c>
      <c r="F581" s="44" t="s">
        <v>2767</v>
      </c>
      <c r="G581" s="45" t="s">
        <v>35</v>
      </c>
      <c r="H581" s="47">
        <v>46196</v>
      </c>
      <c r="I581" s="47">
        <v>46217</v>
      </c>
      <c r="J581" s="43" t="s">
        <v>86</v>
      </c>
      <c r="K581" s="43" t="s">
        <v>68</v>
      </c>
      <c r="L581" s="49" t="s">
        <v>69</v>
      </c>
      <c r="M581" s="49"/>
      <c r="N581" s="49"/>
      <c r="O581" s="48"/>
      <c r="P581" s="49" t="str">
        <f t="shared" si="27"/>
        <v>ONAY</v>
      </c>
      <c r="R581" s="50" t="str">
        <f t="shared" si="28"/>
        <v/>
      </c>
      <c r="U581" s="28">
        <f>IF($C581&lt;&gt;"",COUNTIF($C$2:C581,C581),"")</f>
        <v>4</v>
      </c>
      <c r="V581" s="28" t="str">
        <f t="shared" si="29"/>
        <v>Dr. Öğr. Üyesi Aycan UYSAL§4</v>
      </c>
      <c r="W581" s="28" t="str">
        <f>IF(U581=1,COUNTIF($U$2:U581,1),"")</f>
        <v/>
      </c>
    </row>
    <row r="582" spans="1:23" ht="78.75" customHeight="1" x14ac:dyDescent="0.25">
      <c r="A582" s="42" t="s">
        <v>2768</v>
      </c>
      <c r="B582" s="42" t="s">
        <v>2769</v>
      </c>
      <c r="C582" s="43" t="s">
        <v>1352</v>
      </c>
      <c r="D582" s="43" t="s">
        <v>229</v>
      </c>
      <c r="E582" s="44" t="s">
        <v>2770</v>
      </c>
      <c r="F582" s="44" t="s">
        <v>2771</v>
      </c>
      <c r="G582" s="45" t="s">
        <v>34</v>
      </c>
      <c r="H582" s="47">
        <v>46196</v>
      </c>
      <c r="I582" s="47">
        <v>46217</v>
      </c>
      <c r="J582" s="43" t="s">
        <v>121</v>
      </c>
      <c r="K582" s="43" t="s">
        <v>77</v>
      </c>
      <c r="L582" s="49" t="s">
        <v>69</v>
      </c>
      <c r="M582" s="49"/>
      <c r="N582" s="49"/>
      <c r="O582" s="48"/>
      <c r="P582" s="49" t="str">
        <f t="shared" si="27"/>
        <v>ONAY</v>
      </c>
      <c r="R582" s="50" t="str">
        <f t="shared" si="28"/>
        <v/>
      </c>
      <c r="U582" s="28">
        <f>IF($C582&lt;&gt;"",COUNTIF($C$2:C582,C582),"")</f>
        <v>3</v>
      </c>
      <c r="V582" s="28" t="str">
        <f t="shared" si="29"/>
        <v>Dr. Öğr. Üyesi Selen ADİLOĞLU§3</v>
      </c>
      <c r="W582" s="28" t="str">
        <f>IF(U582=1,COUNTIF($U$2:U582,1),"")</f>
        <v/>
      </c>
    </row>
    <row r="583" spans="1:23" ht="94.5" customHeight="1" x14ac:dyDescent="0.25">
      <c r="A583" s="42" t="s">
        <v>2772</v>
      </c>
      <c r="B583" s="42" t="s">
        <v>2773</v>
      </c>
      <c r="C583" s="43" t="s">
        <v>2176</v>
      </c>
      <c r="D583" s="43" t="s">
        <v>1199</v>
      </c>
      <c r="E583" s="44" t="s">
        <v>2774</v>
      </c>
      <c r="F583" s="44" t="s">
        <v>2775</v>
      </c>
      <c r="G583" s="45" t="s">
        <v>35</v>
      </c>
      <c r="H583" s="47">
        <v>46196</v>
      </c>
      <c r="I583" s="47">
        <v>46217</v>
      </c>
      <c r="J583" s="43" t="s">
        <v>85</v>
      </c>
      <c r="K583" s="43" t="s">
        <v>94</v>
      </c>
      <c r="L583" s="49" t="s">
        <v>69</v>
      </c>
      <c r="M583" s="49"/>
      <c r="N583" s="49"/>
      <c r="O583" s="48"/>
      <c r="P583" s="49" t="str">
        <f t="shared" si="27"/>
        <v>ONAY</v>
      </c>
      <c r="R583" s="50" t="str">
        <f t="shared" si="28"/>
        <v/>
      </c>
      <c r="U583" s="28">
        <f>IF($C583&lt;&gt;"",COUNTIF($C$2:C583,C583),"")</f>
        <v>2</v>
      </c>
      <c r="V583" s="28" t="str">
        <f t="shared" si="29"/>
        <v>Doç. Dr. Gülçin TELLİ DİZMAN§2</v>
      </c>
      <c r="W583" s="28" t="str">
        <f>IF(U583=1,COUNTIF($U$2:U583,1),"")</f>
        <v/>
      </c>
    </row>
    <row r="584" spans="1:23" ht="47.25" customHeight="1" x14ac:dyDescent="0.25">
      <c r="A584" s="42" t="s">
        <v>2776</v>
      </c>
      <c r="B584" s="42" t="s">
        <v>2777</v>
      </c>
      <c r="C584" s="43" t="s">
        <v>444</v>
      </c>
      <c r="D584" s="43" t="s">
        <v>445</v>
      </c>
      <c r="E584" s="44" t="s">
        <v>2778</v>
      </c>
      <c r="F584" s="44" t="s">
        <v>2779</v>
      </c>
      <c r="G584" s="45" t="s">
        <v>34</v>
      </c>
      <c r="H584" s="47">
        <v>46196</v>
      </c>
      <c r="I584" s="47">
        <v>46217</v>
      </c>
      <c r="J584" s="43" t="s">
        <v>121</v>
      </c>
      <c r="K584" s="43" t="s">
        <v>113</v>
      </c>
      <c r="L584" s="49" t="s">
        <v>69</v>
      </c>
      <c r="M584" s="49"/>
      <c r="N584" s="49"/>
      <c r="O584" s="48"/>
      <c r="P584" s="49" t="str">
        <f t="shared" si="27"/>
        <v>ONAY</v>
      </c>
      <c r="R584" s="50" t="str">
        <f t="shared" si="28"/>
        <v/>
      </c>
      <c r="U584" s="28">
        <f>IF($C584&lt;&gt;"",COUNTIF($C$2:C584,C584),"")</f>
        <v>2</v>
      </c>
      <c r="V584" s="28" t="str">
        <f t="shared" si="29"/>
        <v>Prof. Dr. Kıvanç AKÇA§2</v>
      </c>
      <c r="W584" s="28" t="str">
        <f>IF(U584=1,COUNTIF($U$2:U584,1),"")</f>
        <v/>
      </c>
    </row>
    <row r="585" spans="1:23" ht="111.75" customHeight="1" x14ac:dyDescent="0.25">
      <c r="A585" s="42" t="s">
        <v>2780</v>
      </c>
      <c r="B585" s="42" t="s">
        <v>2781</v>
      </c>
      <c r="C585" s="43" t="s">
        <v>2782</v>
      </c>
      <c r="D585" s="43" t="s">
        <v>1193</v>
      </c>
      <c r="E585" s="44" t="s">
        <v>2783</v>
      </c>
      <c r="F585" s="44" t="s">
        <v>2784</v>
      </c>
      <c r="G585" s="45" t="s">
        <v>36</v>
      </c>
      <c r="H585" s="47">
        <v>46196</v>
      </c>
      <c r="I585" s="47">
        <v>46217</v>
      </c>
      <c r="J585" s="43" t="s">
        <v>67</v>
      </c>
      <c r="K585" s="43" t="s">
        <v>68</v>
      </c>
      <c r="L585" s="49" t="s">
        <v>69</v>
      </c>
      <c r="M585" s="49"/>
      <c r="N585" s="49"/>
      <c r="O585" s="48"/>
      <c r="P585" s="49" t="str">
        <f t="shared" si="27"/>
        <v>ONAY</v>
      </c>
      <c r="R585" s="50" t="str">
        <f t="shared" si="28"/>
        <v/>
      </c>
      <c r="U585" s="28">
        <f>IF($C585&lt;&gt;"",COUNTIF($C$2:C585,C585),"")</f>
        <v>1</v>
      </c>
      <c r="V585" s="28" t="str">
        <f t="shared" si="29"/>
        <v>Doç. Dr. Fatima AERTS KAYA§1</v>
      </c>
      <c r="W585" s="28">
        <f>IF(U585=1,COUNTIF($U$2:U585,1),"")</f>
        <v>297</v>
      </c>
    </row>
    <row r="586" spans="1:23" ht="94.5" customHeight="1" x14ac:dyDescent="0.25">
      <c r="A586" s="42" t="s">
        <v>2785</v>
      </c>
      <c r="B586" s="42" t="s">
        <v>2786</v>
      </c>
      <c r="C586" s="43" t="s">
        <v>427</v>
      </c>
      <c r="D586" s="43" t="s">
        <v>428</v>
      </c>
      <c r="E586" s="44" t="s">
        <v>2787</v>
      </c>
      <c r="F586" s="44" t="s">
        <v>2788</v>
      </c>
      <c r="G586" s="45" t="s">
        <v>35</v>
      </c>
      <c r="H586" s="47">
        <v>46196</v>
      </c>
      <c r="I586" s="47">
        <v>46217</v>
      </c>
      <c r="J586" s="43" t="s">
        <v>105</v>
      </c>
      <c r="K586" s="43" t="s">
        <v>77</v>
      </c>
      <c r="L586" s="49" t="s">
        <v>69</v>
      </c>
      <c r="M586" s="49"/>
      <c r="N586" s="49"/>
      <c r="O586" s="48"/>
      <c r="P586" s="49" t="str">
        <f t="shared" si="27"/>
        <v>ONAY</v>
      </c>
      <c r="R586" s="50" t="str">
        <f t="shared" si="28"/>
        <v/>
      </c>
      <c r="U586" s="28">
        <f>IF($C586&lt;&gt;"",COUNTIF($C$2:C586,C586),"")</f>
        <v>7</v>
      </c>
      <c r="V586" s="28" t="str">
        <f t="shared" si="29"/>
        <v>Prof. Dr. Salih Kutay DEMİRKAN§7</v>
      </c>
      <c r="W586" s="28" t="str">
        <f>IF(U586=1,COUNTIF($U$2:U586,1),"")</f>
        <v/>
      </c>
    </row>
    <row r="587" spans="1:23" ht="63" customHeight="1" x14ac:dyDescent="0.25">
      <c r="A587" s="42" t="s">
        <v>2789</v>
      </c>
      <c r="B587" s="59" t="s">
        <v>2790</v>
      </c>
      <c r="C587" s="49" t="s">
        <v>262</v>
      </c>
      <c r="D587" s="49" t="s">
        <v>110</v>
      </c>
      <c r="E587" s="60" t="s">
        <v>2791</v>
      </c>
      <c r="F587" s="60" t="s">
        <v>2792</v>
      </c>
      <c r="G587" s="61" t="s">
        <v>34</v>
      </c>
      <c r="H587" s="62">
        <v>46197</v>
      </c>
      <c r="I587" s="62">
        <v>46217</v>
      </c>
      <c r="J587" s="43" t="s">
        <v>121</v>
      </c>
      <c r="K587" s="43" t="s">
        <v>95</v>
      </c>
      <c r="L587" s="49" t="s">
        <v>69</v>
      </c>
      <c r="M587" s="49"/>
      <c r="N587" s="49"/>
      <c r="O587" s="48"/>
      <c r="P587" s="49" t="str">
        <f t="shared" si="27"/>
        <v>ONAY</v>
      </c>
      <c r="R587" s="50" t="str">
        <f t="shared" si="28"/>
        <v/>
      </c>
      <c r="U587" s="28">
        <f>IF($C587&lt;&gt;"",COUNTIF($C$2:C587,C587),"")</f>
        <v>4</v>
      </c>
      <c r="V587" s="28" t="str">
        <f t="shared" si="29"/>
        <v>Doç. Dr. Levent KILIÇ§4</v>
      </c>
      <c r="W587" s="28" t="str">
        <f>IF(U587=1,COUNTIF($U$2:U587,1),"")</f>
        <v/>
      </c>
    </row>
    <row r="588" spans="1:23" ht="78.75" customHeight="1" x14ac:dyDescent="0.25">
      <c r="A588" s="42" t="s">
        <v>2793</v>
      </c>
      <c r="B588" s="42" t="s">
        <v>2794</v>
      </c>
      <c r="C588" s="43" t="s">
        <v>996</v>
      </c>
      <c r="D588" s="43" t="s">
        <v>997</v>
      </c>
      <c r="E588" s="44" t="s">
        <v>2795</v>
      </c>
      <c r="F588" s="44" t="s">
        <v>2796</v>
      </c>
      <c r="G588" s="45" t="s">
        <v>34</v>
      </c>
      <c r="H588" s="47">
        <v>46197</v>
      </c>
      <c r="I588" s="47">
        <v>46217</v>
      </c>
      <c r="J588" s="43" t="s">
        <v>85</v>
      </c>
      <c r="K588" s="43" t="s">
        <v>113</v>
      </c>
      <c r="L588" s="49" t="s">
        <v>96</v>
      </c>
      <c r="M588" s="49" t="s">
        <v>69</v>
      </c>
      <c r="N588" s="49"/>
      <c r="O588" s="48"/>
      <c r="P588" s="49" t="str">
        <f t="shared" si="27"/>
        <v>ONAY</v>
      </c>
      <c r="Q588" s="27" t="s">
        <v>85</v>
      </c>
      <c r="R588" s="50" t="str">
        <f t="shared" si="28"/>
        <v/>
      </c>
      <c r="U588" s="28">
        <f>IF($C588&lt;&gt;"",COUNTIF($C$2:C588,C588),"")</f>
        <v>2</v>
      </c>
      <c r="V588" s="28" t="str">
        <f t="shared" si="29"/>
        <v>Doç. Dr. İzzet FİDANCI§2</v>
      </c>
      <c r="W588" s="28" t="str">
        <f>IF(U588=1,COUNTIF($U$2:U588,1),"")</f>
        <v/>
      </c>
    </row>
    <row r="589" spans="1:23" ht="94.5" customHeight="1" x14ac:dyDescent="0.25">
      <c r="A589" s="42" t="s">
        <v>2797</v>
      </c>
      <c r="B589" s="42" t="s">
        <v>2798</v>
      </c>
      <c r="C589" s="43" t="s">
        <v>2782</v>
      </c>
      <c r="D589" s="43" t="s">
        <v>1193</v>
      </c>
      <c r="E589" s="44" t="s">
        <v>2799</v>
      </c>
      <c r="F589" s="44" t="s">
        <v>2800</v>
      </c>
      <c r="G589" s="45" t="s">
        <v>36</v>
      </c>
      <c r="H589" s="47">
        <v>46197</v>
      </c>
      <c r="I589" s="47">
        <v>46217</v>
      </c>
      <c r="J589" s="43" t="s">
        <v>67</v>
      </c>
      <c r="K589" s="43" t="s">
        <v>94</v>
      </c>
      <c r="L589" s="49" t="s">
        <v>69</v>
      </c>
      <c r="M589" s="49"/>
      <c r="N589" s="49"/>
      <c r="O589" s="48"/>
      <c r="P589" s="49" t="str">
        <f t="shared" si="27"/>
        <v>ONAY</v>
      </c>
      <c r="R589" s="50" t="str">
        <f t="shared" si="28"/>
        <v/>
      </c>
      <c r="U589" s="28">
        <f>IF($C589&lt;&gt;"",COUNTIF($C$2:C589,C589),"")</f>
        <v>2</v>
      </c>
      <c r="V589" s="28" t="str">
        <f t="shared" si="29"/>
        <v>Doç. Dr. Fatima AERTS KAYA§2</v>
      </c>
      <c r="W589" s="28" t="str">
        <f>IF(U589=1,COUNTIF($U$2:U589,1),"")</f>
        <v/>
      </c>
    </row>
    <row r="590" spans="1:23" ht="63" customHeight="1" x14ac:dyDescent="0.25">
      <c r="A590" s="42" t="s">
        <v>2801</v>
      </c>
      <c r="B590" s="42" t="s">
        <v>2802</v>
      </c>
      <c r="C590" s="43" t="s">
        <v>2706</v>
      </c>
      <c r="D590" s="43" t="s">
        <v>237</v>
      </c>
      <c r="E590" s="44" t="s">
        <v>2719</v>
      </c>
      <c r="F590" s="44" t="s">
        <v>2803</v>
      </c>
      <c r="G590" s="45" t="s">
        <v>34</v>
      </c>
      <c r="H590" s="47">
        <v>46216</v>
      </c>
      <c r="I590" s="47">
        <v>46224</v>
      </c>
      <c r="J590" s="43" t="s">
        <v>68</v>
      </c>
      <c r="K590" s="43" t="s">
        <v>77</v>
      </c>
      <c r="L590" s="49" t="s">
        <v>69</v>
      </c>
      <c r="M590" s="49"/>
      <c r="N590" s="49"/>
      <c r="O590" s="48"/>
      <c r="P590" s="49" t="str">
        <f t="shared" si="27"/>
        <v>ONAY</v>
      </c>
      <c r="R590" s="50" t="str">
        <f t="shared" si="28"/>
        <v/>
      </c>
      <c r="U590" s="28">
        <f>IF($C590&lt;&gt;"",COUNTIF($C$2:C590,C590),"")</f>
        <v>3</v>
      </c>
      <c r="V590" s="28" t="str">
        <f t="shared" si="29"/>
        <v>Prof. Dr. Selin AYTAÇ EYÜPOĞLU§3</v>
      </c>
      <c r="W590" s="28" t="str">
        <f>IF(U590=1,COUNTIF($U$2:U590,1),"")</f>
        <v/>
      </c>
    </row>
    <row r="591" spans="1:23" ht="63" customHeight="1" x14ac:dyDescent="0.25">
      <c r="A591" s="42" t="s">
        <v>2804</v>
      </c>
      <c r="B591" s="42" t="s">
        <v>2805</v>
      </c>
      <c r="C591" s="43" t="s">
        <v>2806</v>
      </c>
      <c r="D591" s="43" t="s">
        <v>237</v>
      </c>
      <c r="E591" s="44" t="s">
        <v>2807</v>
      </c>
      <c r="F591" s="44" t="s">
        <v>2808</v>
      </c>
      <c r="G591" s="45" t="s">
        <v>34</v>
      </c>
      <c r="H591" s="47">
        <v>46216</v>
      </c>
      <c r="I591" s="47">
        <v>46224</v>
      </c>
      <c r="J591" s="43" t="s">
        <v>86</v>
      </c>
      <c r="K591" s="43" t="s">
        <v>95</v>
      </c>
      <c r="L591" s="49" t="s">
        <v>69</v>
      </c>
      <c r="M591" s="49"/>
      <c r="N591" s="49"/>
      <c r="O591" s="48"/>
      <c r="P591" s="49" t="str">
        <f t="shared" si="27"/>
        <v>ONAY</v>
      </c>
      <c r="R591" s="50" t="str">
        <f t="shared" si="28"/>
        <v/>
      </c>
      <c r="U591" s="28">
        <f>IF($C591&lt;&gt;"",COUNTIF($C$2:C591,C591),"")</f>
        <v>1</v>
      </c>
      <c r="V591" s="28" t="str">
        <f t="shared" si="29"/>
        <v>Prof. Dr. İlker ERTUĞRUL§1</v>
      </c>
      <c r="W591" s="28">
        <f>IF(U591=1,COUNTIF($U$2:U591,1),"")</f>
        <v>298</v>
      </c>
    </row>
    <row r="592" spans="1:23" ht="78.75" customHeight="1" x14ac:dyDescent="0.25">
      <c r="A592" s="42" t="s">
        <v>2809</v>
      </c>
      <c r="B592" s="42" t="s">
        <v>2810</v>
      </c>
      <c r="C592" s="43" t="s">
        <v>1352</v>
      </c>
      <c r="D592" s="43" t="s">
        <v>229</v>
      </c>
      <c r="E592" s="44" t="s">
        <v>2811</v>
      </c>
      <c r="F592" s="44" t="s">
        <v>2812</v>
      </c>
      <c r="G592" s="45" t="s">
        <v>34</v>
      </c>
      <c r="H592" s="47">
        <v>46216</v>
      </c>
      <c r="I592" s="47">
        <v>46224</v>
      </c>
      <c r="J592" s="43" t="s">
        <v>85</v>
      </c>
      <c r="K592" s="43" t="s">
        <v>121</v>
      </c>
      <c r="L592" s="49" t="s">
        <v>96</v>
      </c>
      <c r="M592" s="49"/>
      <c r="N592" s="49"/>
      <c r="O592" s="48"/>
      <c r="P592" s="49" t="str">
        <f t="shared" si="27"/>
        <v>DÜZELTME</v>
      </c>
      <c r="R592" s="50" t="str">
        <f t="shared" si="28"/>
        <v/>
      </c>
      <c r="U592" s="28">
        <f>IF($C592&lt;&gt;"",COUNTIF($C$2:C592,C592),"")</f>
        <v>4</v>
      </c>
      <c r="V592" s="28" t="str">
        <f t="shared" si="29"/>
        <v>Dr. Öğr. Üyesi Selen ADİLOĞLU§4</v>
      </c>
      <c r="W592" s="28" t="str">
        <f>IF(U592=1,COUNTIF($U$2:U592,1),"")</f>
        <v/>
      </c>
    </row>
    <row r="593" spans="1:23" ht="78.75" customHeight="1" x14ac:dyDescent="0.25">
      <c r="A593" s="42" t="s">
        <v>2813</v>
      </c>
      <c r="B593" s="42" t="s">
        <v>2814</v>
      </c>
      <c r="C593" s="43" t="s">
        <v>2815</v>
      </c>
      <c r="D593" s="43" t="s">
        <v>1022</v>
      </c>
      <c r="E593" s="44" t="s">
        <v>2816</v>
      </c>
      <c r="F593" s="44" t="s">
        <v>2817</v>
      </c>
      <c r="G593" s="45" t="s">
        <v>34</v>
      </c>
      <c r="H593" s="47">
        <v>46216</v>
      </c>
      <c r="I593" s="47">
        <v>46224</v>
      </c>
      <c r="J593" s="43" t="s">
        <v>121</v>
      </c>
      <c r="K593" s="43" t="s">
        <v>113</v>
      </c>
      <c r="L593" s="49" t="s">
        <v>69</v>
      </c>
      <c r="M593" s="49"/>
      <c r="N593" s="49"/>
      <c r="O593" s="48"/>
      <c r="P593" s="49" t="str">
        <f t="shared" si="27"/>
        <v>ONAY</v>
      </c>
      <c r="R593" s="50" t="str">
        <f t="shared" si="28"/>
        <v/>
      </c>
      <c r="U593" s="28">
        <f>IF($C593&lt;&gt;"",COUNTIF($C$2:C593,C593),"")</f>
        <v>1</v>
      </c>
      <c r="V593" s="28" t="str">
        <f t="shared" si="29"/>
        <v>Prof. Dr. Uzay KOÇ VURAL§1</v>
      </c>
      <c r="W593" s="28">
        <f>IF(U593=1,COUNTIF($U$2:U593,1),"")</f>
        <v>299</v>
      </c>
    </row>
    <row r="594" spans="1:23" ht="94.5" customHeight="1" x14ac:dyDescent="0.25">
      <c r="A594" s="42" t="s">
        <v>2818</v>
      </c>
      <c r="B594" s="42" t="s">
        <v>2819</v>
      </c>
      <c r="C594" s="43" t="s">
        <v>1559</v>
      </c>
      <c r="D594" s="43" t="s">
        <v>251</v>
      </c>
      <c r="E594" s="44" t="s">
        <v>2820</v>
      </c>
      <c r="F594" s="44" t="s">
        <v>2821</v>
      </c>
      <c r="G594" s="45" t="s">
        <v>34</v>
      </c>
      <c r="H594" s="47">
        <v>46216</v>
      </c>
      <c r="I594" s="47">
        <v>46224</v>
      </c>
      <c r="J594" s="43" t="s">
        <v>85</v>
      </c>
      <c r="K594" s="43" t="s">
        <v>128</v>
      </c>
      <c r="L594" s="49" t="s">
        <v>69</v>
      </c>
      <c r="M594" s="49"/>
      <c r="N594" s="49"/>
      <c r="O594" s="48"/>
      <c r="P594" s="49" t="str">
        <f t="shared" si="27"/>
        <v>ONAY</v>
      </c>
      <c r="R594" s="50" t="str">
        <f t="shared" si="28"/>
        <v/>
      </c>
      <c r="U594" s="28">
        <f>IF($C594&lt;&gt;"",COUNTIF($C$2:C594,C594),"")</f>
        <v>7</v>
      </c>
      <c r="V594" s="28" t="str">
        <f t="shared" si="29"/>
        <v>Doç. Dr. Cem ÇÖTELİ§7</v>
      </c>
      <c r="W594" s="28" t="str">
        <f>IF(U594=1,COUNTIF($U$2:U594,1),"")</f>
        <v/>
      </c>
    </row>
    <row r="595" spans="1:23" ht="78.75" customHeight="1" x14ac:dyDescent="0.25">
      <c r="A595" s="42" t="s">
        <v>2822</v>
      </c>
      <c r="B595" s="42" t="s">
        <v>2823</v>
      </c>
      <c r="C595" s="43" t="s">
        <v>2436</v>
      </c>
      <c r="D595" s="43" t="s">
        <v>110</v>
      </c>
      <c r="E595" s="44" t="s">
        <v>2824</v>
      </c>
      <c r="F595" s="44" t="s">
        <v>2825</v>
      </c>
      <c r="G595" s="45" t="s">
        <v>34</v>
      </c>
      <c r="H595" s="47">
        <v>46216</v>
      </c>
      <c r="I595" s="47">
        <v>46224</v>
      </c>
      <c r="J595" s="43" t="s">
        <v>105</v>
      </c>
      <c r="K595" s="43" t="s">
        <v>94</v>
      </c>
      <c r="L595" s="49" t="s">
        <v>96</v>
      </c>
      <c r="M595" s="49"/>
      <c r="N595" s="49"/>
      <c r="O595" s="48"/>
      <c r="P595" s="49" t="str">
        <f t="shared" si="27"/>
        <v>DÜZELTME</v>
      </c>
      <c r="R595" s="50" t="str">
        <f t="shared" si="28"/>
        <v/>
      </c>
      <c r="U595" s="28">
        <f>IF($C595&lt;&gt;"",COUNTIF($C$2:C595,C595),"")</f>
        <v>2</v>
      </c>
      <c r="V595" s="28" t="str">
        <f t="shared" si="29"/>
        <v>Prof. Dr. Uğur ÜNLÜTÜRK§2</v>
      </c>
      <c r="W595" s="28" t="str">
        <f>IF(U595=1,COUNTIF($U$2:U595,1),"")</f>
        <v/>
      </c>
    </row>
    <row r="596" spans="1:23" ht="94.5" customHeight="1" x14ac:dyDescent="0.25">
      <c r="A596" s="42" t="s">
        <v>2826</v>
      </c>
      <c r="B596" s="42" t="s">
        <v>2827</v>
      </c>
      <c r="C596" s="43" t="s">
        <v>182</v>
      </c>
      <c r="D596" s="43" t="s">
        <v>175</v>
      </c>
      <c r="E596" s="44" t="s">
        <v>2828</v>
      </c>
      <c r="F596" s="44" t="s">
        <v>2829</v>
      </c>
      <c r="G596" s="45" t="s">
        <v>34</v>
      </c>
      <c r="H596" s="47">
        <v>46216</v>
      </c>
      <c r="I596" s="47">
        <v>46224</v>
      </c>
      <c r="J596" s="43" t="s">
        <v>95</v>
      </c>
      <c r="K596" s="43" t="s">
        <v>128</v>
      </c>
      <c r="L596" s="49" t="s">
        <v>69</v>
      </c>
      <c r="M596" s="49"/>
      <c r="N596" s="49"/>
      <c r="O596" s="48"/>
      <c r="P596" s="49" t="str">
        <f t="shared" si="27"/>
        <v>ONAY</v>
      </c>
      <c r="R596" s="50" t="str">
        <f t="shared" si="28"/>
        <v/>
      </c>
      <c r="U596" s="28">
        <f>IF($C596&lt;&gt;"",COUNTIF($C$2:C596,C596),"")</f>
        <v>5</v>
      </c>
      <c r="V596" s="28" t="str">
        <f t="shared" si="29"/>
        <v>Prof. Dr. Gül KARAKAYA§5</v>
      </c>
      <c r="W596" s="28" t="str">
        <f>IF(U596=1,COUNTIF($U$2:U596,1),"")</f>
        <v/>
      </c>
    </row>
    <row r="597" spans="1:23" ht="63" customHeight="1" x14ac:dyDescent="0.25">
      <c r="A597" s="42" t="s">
        <v>2830</v>
      </c>
      <c r="B597" s="42" t="s">
        <v>2831</v>
      </c>
      <c r="C597" s="43" t="s">
        <v>2832</v>
      </c>
      <c r="D597" s="43" t="s">
        <v>615</v>
      </c>
      <c r="E597" s="44" t="s">
        <v>2833</v>
      </c>
      <c r="F597" s="44" t="s">
        <v>2834</v>
      </c>
      <c r="G597" s="45" t="s">
        <v>37</v>
      </c>
      <c r="H597" s="47">
        <v>46216</v>
      </c>
      <c r="I597" s="47">
        <v>46224</v>
      </c>
      <c r="J597" s="43" t="s">
        <v>67</v>
      </c>
      <c r="K597" s="43" t="s">
        <v>85</v>
      </c>
      <c r="L597" s="49" t="s">
        <v>96</v>
      </c>
      <c r="M597" s="49"/>
      <c r="N597" s="49"/>
      <c r="O597" s="48"/>
      <c r="P597" s="49" t="str">
        <f t="shared" si="27"/>
        <v>DÜZELTME</v>
      </c>
      <c r="R597" s="50" t="str">
        <f t="shared" si="28"/>
        <v/>
      </c>
      <c r="U597" s="28">
        <f>IF($C597&lt;&gt;"",COUNTIF($C$2:C597,C597),"")</f>
        <v>1</v>
      </c>
      <c r="V597" s="28" t="str">
        <f t="shared" si="29"/>
        <v>Prof. Dr. Reyhan ATASÜ TOPÇUOĞLU§1</v>
      </c>
      <c r="W597" s="28">
        <f>IF(U597=1,COUNTIF($U$2:U597,1),"")</f>
        <v>300</v>
      </c>
    </row>
    <row r="598" spans="1:23" ht="78.75" customHeight="1" x14ac:dyDescent="0.25">
      <c r="A598" s="42" t="s">
        <v>2835</v>
      </c>
      <c r="B598" s="42" t="s">
        <v>2836</v>
      </c>
      <c r="C598" s="43" t="s">
        <v>520</v>
      </c>
      <c r="D598" s="43" t="s">
        <v>327</v>
      </c>
      <c r="E598" s="44" t="s">
        <v>2837</v>
      </c>
      <c r="F598" s="44" t="s">
        <v>2838</v>
      </c>
      <c r="G598" s="45" t="s">
        <v>34</v>
      </c>
      <c r="H598" s="47">
        <v>46216</v>
      </c>
      <c r="I598" s="47">
        <v>46224</v>
      </c>
      <c r="J598" s="43" t="s">
        <v>121</v>
      </c>
      <c r="K598" s="43" t="s">
        <v>77</v>
      </c>
      <c r="L598" s="49" t="s">
        <v>69</v>
      </c>
      <c r="M598" s="49"/>
      <c r="N598" s="49"/>
      <c r="O598" s="48"/>
      <c r="P598" s="49" t="str">
        <f t="shared" si="27"/>
        <v>ONAY</v>
      </c>
      <c r="R598" s="50" t="str">
        <f t="shared" si="28"/>
        <v/>
      </c>
      <c r="U598" s="28">
        <f>IF($C598&lt;&gt;"",COUNTIF($C$2:C598,C598),"")</f>
        <v>5</v>
      </c>
      <c r="V598" s="28" t="str">
        <f t="shared" si="29"/>
        <v>Doç. Dr. Ezgi ATİK§5</v>
      </c>
      <c r="W598" s="28" t="str">
        <f>IF(U598=1,COUNTIF($U$2:U598,1),"")</f>
        <v/>
      </c>
    </row>
    <row r="599" spans="1:23" ht="65.25" customHeight="1" x14ac:dyDescent="0.25">
      <c r="A599" s="42" t="s">
        <v>2839</v>
      </c>
      <c r="B599" s="42" t="s">
        <v>2840</v>
      </c>
      <c r="C599" s="43" t="s">
        <v>2206</v>
      </c>
      <c r="D599" s="43" t="s">
        <v>161</v>
      </c>
      <c r="E599" s="44" t="s">
        <v>2841</v>
      </c>
      <c r="F599" s="44" t="s">
        <v>2842</v>
      </c>
      <c r="G599" s="45" t="s">
        <v>37</v>
      </c>
      <c r="H599" s="47">
        <v>46216</v>
      </c>
      <c r="I599" s="47">
        <v>46224</v>
      </c>
      <c r="J599" s="43" t="s">
        <v>85</v>
      </c>
      <c r="K599" s="43" t="s">
        <v>94</v>
      </c>
      <c r="L599" s="49" t="s">
        <v>69</v>
      </c>
      <c r="M599" s="49"/>
      <c r="N599" s="49"/>
      <c r="O599" s="48"/>
      <c r="P599" s="49" t="str">
        <f t="shared" si="27"/>
        <v>ONAY</v>
      </c>
      <c r="R599" s="50" t="str">
        <f t="shared" si="28"/>
        <v/>
      </c>
      <c r="U599" s="28">
        <f>IF($C599&lt;&gt;"",COUNTIF($C$2:C599,C599),"")</f>
        <v>2</v>
      </c>
      <c r="V599" s="28" t="str">
        <f t="shared" si="29"/>
        <v>Doç. Dr. Barış SEZER§2</v>
      </c>
      <c r="W599" s="28" t="str">
        <f>IF(U599=1,COUNTIF($U$2:U599,1),"")</f>
        <v/>
      </c>
    </row>
    <row r="600" spans="1:23" ht="63" customHeight="1" x14ac:dyDescent="0.25">
      <c r="A600" s="42" t="s">
        <v>2843</v>
      </c>
      <c r="B600" s="42" t="s">
        <v>2844</v>
      </c>
      <c r="C600" s="43" t="s">
        <v>2845</v>
      </c>
      <c r="D600" s="43" t="s">
        <v>203</v>
      </c>
      <c r="E600" s="44" t="s">
        <v>2846</v>
      </c>
      <c r="F600" s="44" t="s">
        <v>2847</v>
      </c>
      <c r="G600" s="45" t="s">
        <v>34</v>
      </c>
      <c r="H600" s="47">
        <v>46216</v>
      </c>
      <c r="I600" s="47">
        <v>46224</v>
      </c>
      <c r="J600" s="43" t="s">
        <v>105</v>
      </c>
      <c r="K600" s="43" t="s">
        <v>68</v>
      </c>
      <c r="L600" s="49" t="s">
        <v>178</v>
      </c>
      <c r="M600" s="49"/>
      <c r="N600" s="49"/>
      <c r="O600" s="48"/>
      <c r="P600" s="49" t="str">
        <f t="shared" si="27"/>
        <v>RET</v>
      </c>
      <c r="R600" s="50" t="str">
        <f t="shared" si="28"/>
        <v/>
      </c>
      <c r="U600" s="28">
        <f>IF($C600&lt;&gt;"",COUNTIF($C$2:C600,C600),"")</f>
        <v>1</v>
      </c>
      <c r="V600" s="28" t="str">
        <f t="shared" si="29"/>
        <v>Dr. Öğr. Üyesi Yavuz Kemal ARIBAŞ§1</v>
      </c>
      <c r="W600" s="28">
        <f>IF(U600=1,COUNTIF($U$2:U600,1),"")</f>
        <v>301</v>
      </c>
    </row>
    <row r="601" spans="1:23" ht="63" customHeight="1" x14ac:dyDescent="0.25">
      <c r="A601" s="42" t="s">
        <v>2848</v>
      </c>
      <c r="B601" s="42" t="s">
        <v>2849</v>
      </c>
      <c r="C601" s="43" t="s">
        <v>2850</v>
      </c>
      <c r="D601" s="43" t="s">
        <v>229</v>
      </c>
      <c r="E601" s="44" t="s">
        <v>2851</v>
      </c>
      <c r="F601" s="44" t="s">
        <v>2852</v>
      </c>
      <c r="G601" s="45" t="s">
        <v>34</v>
      </c>
      <c r="H601" s="47">
        <v>46216</v>
      </c>
      <c r="I601" s="47">
        <v>46224</v>
      </c>
      <c r="J601" s="43" t="s">
        <v>121</v>
      </c>
      <c r="K601" s="43" t="s">
        <v>113</v>
      </c>
      <c r="L601" s="49" t="s">
        <v>69</v>
      </c>
      <c r="M601" s="49"/>
      <c r="N601" s="49"/>
      <c r="O601" s="48"/>
      <c r="P601" s="49" t="str">
        <f t="shared" si="27"/>
        <v>ONAY</v>
      </c>
      <c r="R601" s="50" t="str">
        <f t="shared" si="28"/>
        <v/>
      </c>
      <c r="U601" s="28">
        <f>IF($C601&lt;&gt;"",COUNTIF($C$2:C601,C601),"")</f>
        <v>1</v>
      </c>
      <c r="V601" s="28" t="str">
        <f t="shared" si="29"/>
        <v>Dr. Öğr. Üyesi Aydın Onur GERÇEK§1</v>
      </c>
      <c r="W601" s="28">
        <f>IF(U601=1,COUNTIF($U$2:U601,1),"")</f>
        <v>302</v>
      </c>
    </row>
    <row r="602" spans="1:23" ht="63" customHeight="1" x14ac:dyDescent="0.25">
      <c r="A602" s="42" t="s">
        <v>2853</v>
      </c>
      <c r="B602" s="42" t="s">
        <v>2854</v>
      </c>
      <c r="C602" s="43" t="s">
        <v>2855</v>
      </c>
      <c r="D602" s="43" t="s">
        <v>2856</v>
      </c>
      <c r="E602" s="44" t="s">
        <v>2857</v>
      </c>
      <c r="F602" s="44" t="s">
        <v>2858</v>
      </c>
      <c r="G602" s="45" t="s">
        <v>37</v>
      </c>
      <c r="H602" s="47">
        <v>46216</v>
      </c>
      <c r="I602" s="47">
        <v>46224</v>
      </c>
      <c r="J602" s="43" t="s">
        <v>104</v>
      </c>
      <c r="K602" s="43" t="s">
        <v>67</v>
      </c>
      <c r="L602" s="49" t="s">
        <v>96</v>
      </c>
      <c r="M602" s="49"/>
      <c r="N602" s="49"/>
      <c r="O602" s="48"/>
      <c r="P602" s="49" t="str">
        <f t="shared" si="27"/>
        <v>DÜZELTME</v>
      </c>
      <c r="R602" s="50" t="str">
        <f t="shared" si="28"/>
        <v/>
      </c>
      <c r="U602" s="28">
        <f>IF($C602&lt;&gt;"",COUNTIF($C$2:C602,C602),"")</f>
        <v>1</v>
      </c>
      <c r="V602" s="28" t="str">
        <f t="shared" si="29"/>
        <v>Prof. Dr. Selis ÖNEL KAYRAN§1</v>
      </c>
      <c r="W602" s="28">
        <f>IF(U602=1,COUNTIF($U$2:U602,1),"")</f>
        <v>303</v>
      </c>
    </row>
    <row r="603" spans="1:23" ht="110.25" customHeight="1" x14ac:dyDescent="0.25">
      <c r="A603" s="42" t="s">
        <v>2859</v>
      </c>
      <c r="B603" s="42" t="s">
        <v>2860</v>
      </c>
      <c r="C603" s="43" t="s">
        <v>2861</v>
      </c>
      <c r="D603" s="43" t="s">
        <v>237</v>
      </c>
      <c r="E603" s="44" t="s">
        <v>2862</v>
      </c>
      <c r="F603" s="44" t="s">
        <v>2863</v>
      </c>
      <c r="G603" s="45" t="s">
        <v>34</v>
      </c>
      <c r="H603" s="47">
        <v>46216</v>
      </c>
      <c r="I603" s="47">
        <v>46224</v>
      </c>
      <c r="J603" s="43" t="s">
        <v>104</v>
      </c>
      <c r="K603" s="43" t="s">
        <v>95</v>
      </c>
      <c r="L603" s="49" t="s">
        <v>69</v>
      </c>
      <c r="M603" s="49"/>
      <c r="N603" s="49"/>
      <c r="O603" s="48"/>
      <c r="P603" s="49" t="str">
        <f t="shared" si="27"/>
        <v>ONAY</v>
      </c>
      <c r="R603" s="50" t="str">
        <f t="shared" si="28"/>
        <v/>
      </c>
      <c r="U603" s="28">
        <f>IF($C603&lt;&gt;"",COUNTIF($C$2:C603,C603),"")</f>
        <v>1</v>
      </c>
      <c r="V603" s="28" t="str">
        <f t="shared" si="29"/>
        <v>Doç. Dr. Ülkühan ÖZTOPRAK§1</v>
      </c>
      <c r="W603" s="28">
        <f>IF(U603=1,COUNTIF($U$2:U603,1),"")</f>
        <v>304</v>
      </c>
    </row>
    <row r="604" spans="1:23" ht="78.75" customHeight="1" x14ac:dyDescent="0.25">
      <c r="A604" s="42" t="s">
        <v>2864</v>
      </c>
      <c r="B604" s="42" t="s">
        <v>2865</v>
      </c>
      <c r="C604" s="43" t="s">
        <v>2569</v>
      </c>
      <c r="D604" s="43" t="s">
        <v>237</v>
      </c>
      <c r="E604" s="44" t="s">
        <v>2866</v>
      </c>
      <c r="F604" s="44" t="s">
        <v>2867</v>
      </c>
      <c r="G604" s="45" t="s">
        <v>34</v>
      </c>
      <c r="H604" s="47">
        <v>46216</v>
      </c>
      <c r="I604" s="47">
        <v>46224</v>
      </c>
      <c r="J604" s="43" t="s">
        <v>95</v>
      </c>
      <c r="K604" s="43" t="s">
        <v>94</v>
      </c>
      <c r="L604" s="49" t="s">
        <v>69</v>
      </c>
      <c r="M604" s="49"/>
      <c r="N604" s="49"/>
      <c r="O604" s="48"/>
      <c r="P604" s="49" t="str">
        <f t="shared" si="27"/>
        <v>ONAY</v>
      </c>
      <c r="R604" s="50" t="str">
        <f t="shared" si="28"/>
        <v/>
      </c>
      <c r="U604" s="28">
        <f>IF($C604&lt;&gt;"",COUNTIF($C$2:C604,C604),"")</f>
        <v>2</v>
      </c>
      <c r="V604" s="28" t="str">
        <f t="shared" si="29"/>
        <v>Arş. Gör. Dr. Eymen YILMAZ§2</v>
      </c>
      <c r="W604" s="28" t="str">
        <f>IF(U604=1,COUNTIF($U$2:U604,1),"")</f>
        <v/>
      </c>
    </row>
    <row r="605" spans="1:23" ht="78.75" customHeight="1" x14ac:dyDescent="0.25">
      <c r="A605" s="42" t="s">
        <v>2868</v>
      </c>
      <c r="B605" s="42" t="s">
        <v>2869</v>
      </c>
      <c r="C605" s="43" t="s">
        <v>113</v>
      </c>
      <c r="D605" s="43" t="s">
        <v>693</v>
      </c>
      <c r="E605" s="44" t="s">
        <v>2870</v>
      </c>
      <c r="F605" s="44" t="s">
        <v>2871</v>
      </c>
      <c r="G605" s="45" t="s">
        <v>36</v>
      </c>
      <c r="H605" s="47">
        <v>46216</v>
      </c>
      <c r="I605" s="47">
        <v>46224</v>
      </c>
      <c r="J605" s="43" t="s">
        <v>94</v>
      </c>
      <c r="K605" s="43" t="s">
        <v>86</v>
      </c>
      <c r="L605" s="49" t="s">
        <v>69</v>
      </c>
      <c r="M605" s="49"/>
      <c r="N605" s="49"/>
      <c r="O605" s="48"/>
      <c r="P605" s="49" t="str">
        <f t="shared" si="27"/>
        <v>ONAY</v>
      </c>
      <c r="R605" s="50" t="str">
        <f t="shared" si="28"/>
        <v/>
      </c>
      <c r="U605" s="28">
        <f>IF($C605&lt;&gt;"",COUNTIF($C$2:C605,C605),"")</f>
        <v>3</v>
      </c>
      <c r="V605" s="28" t="str">
        <f t="shared" si="29"/>
        <v>Prof. Dr. Ayşe KİN İŞLER§3</v>
      </c>
      <c r="W605" s="28" t="str">
        <f>IF(U605=1,COUNTIF($U$2:U605,1),"")</f>
        <v/>
      </c>
    </row>
    <row r="606" spans="1:23" ht="78.75" customHeight="1" x14ac:dyDescent="0.25">
      <c r="A606" s="42" t="s">
        <v>2872</v>
      </c>
      <c r="B606" s="42" t="s">
        <v>2873</v>
      </c>
      <c r="C606" s="43" t="s">
        <v>113</v>
      </c>
      <c r="D606" s="43" t="s">
        <v>693</v>
      </c>
      <c r="E606" s="44" t="s">
        <v>2874</v>
      </c>
      <c r="F606" s="44" t="s">
        <v>2875</v>
      </c>
      <c r="G606" s="45" t="s">
        <v>36</v>
      </c>
      <c r="H606" s="47">
        <v>46216</v>
      </c>
      <c r="I606" s="47">
        <v>46224</v>
      </c>
      <c r="J606" s="43" t="s">
        <v>94</v>
      </c>
      <c r="K606" s="43" t="s">
        <v>86</v>
      </c>
      <c r="L606" s="49" t="s">
        <v>69</v>
      </c>
      <c r="M606" s="49"/>
      <c r="N606" s="49"/>
      <c r="O606" s="48"/>
      <c r="P606" s="49" t="str">
        <f t="shared" si="27"/>
        <v>ONAY</v>
      </c>
      <c r="R606" s="50" t="str">
        <f t="shared" si="28"/>
        <v/>
      </c>
      <c r="U606" s="28">
        <f>IF($C606&lt;&gt;"",COUNTIF($C$2:C606,C606),"")</f>
        <v>4</v>
      </c>
      <c r="V606" s="28" t="str">
        <f t="shared" si="29"/>
        <v>Prof. Dr. Ayşe KİN İŞLER§4</v>
      </c>
      <c r="W606" s="28" t="str">
        <f>IF(U606=1,COUNTIF($U$2:U606,1),"")</f>
        <v/>
      </c>
    </row>
    <row r="607" spans="1:23" ht="63" customHeight="1" x14ac:dyDescent="0.25">
      <c r="A607" s="42" t="s">
        <v>2876</v>
      </c>
      <c r="B607" s="42" t="s">
        <v>2877</v>
      </c>
      <c r="C607" s="43" t="s">
        <v>470</v>
      </c>
      <c r="D607" s="43" t="s">
        <v>196</v>
      </c>
      <c r="E607" s="44" t="s">
        <v>2878</v>
      </c>
      <c r="F607" s="44" t="s">
        <v>2879</v>
      </c>
      <c r="G607" s="45" t="s">
        <v>34</v>
      </c>
      <c r="H607" s="47">
        <v>46216</v>
      </c>
      <c r="I607" s="47">
        <v>46224</v>
      </c>
      <c r="J607" s="43" t="s">
        <v>104</v>
      </c>
      <c r="K607" s="43" t="s">
        <v>128</v>
      </c>
      <c r="L607" s="49" t="s">
        <v>69</v>
      </c>
      <c r="M607" s="49"/>
      <c r="N607" s="49"/>
      <c r="O607" s="48"/>
      <c r="P607" s="49" t="str">
        <f t="shared" si="27"/>
        <v>ONAY</v>
      </c>
      <c r="R607" s="50" t="str">
        <f t="shared" si="28"/>
        <v/>
      </c>
      <c r="U607" s="28">
        <f>IF($C607&lt;&gt;"",COUNTIF($C$2:C607,C607),"")</f>
        <v>3</v>
      </c>
      <c r="V607" s="28" t="str">
        <f t="shared" si="29"/>
        <v>Dr. Öğr. Üyesi Serkan UYSAL§3</v>
      </c>
      <c r="W607" s="28" t="str">
        <f>IF(U607=1,COUNTIF($U$2:U607,1),"")</f>
        <v/>
      </c>
    </row>
    <row r="608" spans="1:23" ht="63" customHeight="1" x14ac:dyDescent="0.25">
      <c r="A608" s="42" t="s">
        <v>2880</v>
      </c>
      <c r="B608" s="42" t="s">
        <v>2881</v>
      </c>
      <c r="C608" s="43" t="s">
        <v>470</v>
      </c>
      <c r="D608" s="43" t="s">
        <v>196</v>
      </c>
      <c r="E608" s="44" t="s">
        <v>2878</v>
      </c>
      <c r="F608" s="44" t="s">
        <v>2882</v>
      </c>
      <c r="G608" s="45" t="s">
        <v>34</v>
      </c>
      <c r="H608" s="47">
        <v>46216</v>
      </c>
      <c r="I608" s="47">
        <v>46224</v>
      </c>
      <c r="J608" s="43" t="s">
        <v>85</v>
      </c>
      <c r="K608" s="43" t="s">
        <v>95</v>
      </c>
      <c r="L608" s="49" t="s">
        <v>69</v>
      </c>
      <c r="M608" s="49"/>
      <c r="N608" s="49"/>
      <c r="O608" s="48"/>
      <c r="P608" s="49" t="str">
        <f t="shared" si="27"/>
        <v>ONAY</v>
      </c>
      <c r="R608" s="50" t="str">
        <f t="shared" si="28"/>
        <v/>
      </c>
      <c r="U608" s="28">
        <f>IF($C608&lt;&gt;"",COUNTIF($C$2:C608,C608),"")</f>
        <v>4</v>
      </c>
      <c r="V608" s="28" t="str">
        <f t="shared" si="29"/>
        <v>Dr. Öğr. Üyesi Serkan UYSAL§4</v>
      </c>
      <c r="W608" s="28" t="str">
        <f>IF(U608=1,COUNTIF($U$2:U608,1),"")</f>
        <v/>
      </c>
    </row>
    <row r="609" spans="1:23" ht="78.75" customHeight="1" x14ac:dyDescent="0.25">
      <c r="A609" s="42" t="s">
        <v>2883</v>
      </c>
      <c r="B609" s="42" t="s">
        <v>2884</v>
      </c>
      <c r="C609" s="43" t="s">
        <v>728</v>
      </c>
      <c r="D609" s="43" t="s">
        <v>729</v>
      </c>
      <c r="E609" s="44" t="s">
        <v>2885</v>
      </c>
      <c r="F609" s="44" t="s">
        <v>2886</v>
      </c>
      <c r="G609" s="45" t="s">
        <v>36</v>
      </c>
      <c r="H609" s="47">
        <v>46216</v>
      </c>
      <c r="I609" s="47">
        <v>46224</v>
      </c>
      <c r="J609" s="43" t="s">
        <v>67</v>
      </c>
      <c r="K609" s="43" t="s">
        <v>68</v>
      </c>
      <c r="L609" s="49" t="s">
        <v>96</v>
      </c>
      <c r="M609" s="49"/>
      <c r="N609" s="49"/>
      <c r="O609" s="48"/>
      <c r="P609" s="49" t="str">
        <f t="shared" si="27"/>
        <v>DÜZELTME</v>
      </c>
      <c r="R609" s="50" t="str">
        <f t="shared" si="28"/>
        <v/>
      </c>
      <c r="U609" s="28">
        <f>IF($C609&lt;&gt;"",COUNTIF($C$2:C609,C609),"")</f>
        <v>2</v>
      </c>
      <c r="V609" s="28" t="str">
        <f t="shared" si="29"/>
        <v>Prof. Dr. Rıza Köksal ÖZGÜL§2</v>
      </c>
      <c r="W609" s="28" t="str">
        <f>IF(U609=1,COUNTIF($U$2:U609,1),"")</f>
        <v/>
      </c>
    </row>
    <row r="610" spans="1:23" ht="78.75" customHeight="1" x14ac:dyDescent="0.25">
      <c r="A610" s="42" t="s">
        <v>2887</v>
      </c>
      <c r="B610" s="42" t="s">
        <v>2888</v>
      </c>
      <c r="C610" s="43" t="s">
        <v>2889</v>
      </c>
      <c r="D610" s="43" t="s">
        <v>237</v>
      </c>
      <c r="E610" s="44" t="s">
        <v>2890</v>
      </c>
      <c r="F610" s="44" t="s">
        <v>2891</v>
      </c>
      <c r="G610" s="45" t="s">
        <v>34</v>
      </c>
      <c r="H610" s="47">
        <v>46217</v>
      </c>
      <c r="I610" s="47">
        <v>46224</v>
      </c>
      <c r="J610" s="43" t="s">
        <v>68</v>
      </c>
      <c r="K610" s="43" t="s">
        <v>113</v>
      </c>
      <c r="L610" s="49" t="s">
        <v>69</v>
      </c>
      <c r="M610" s="49"/>
      <c r="N610" s="49"/>
      <c r="O610" s="48"/>
      <c r="P610" s="49" t="str">
        <f t="shared" si="27"/>
        <v>ONAY</v>
      </c>
      <c r="R610" s="50" t="str">
        <f t="shared" si="28"/>
        <v/>
      </c>
      <c r="U610" s="28">
        <f>IF($C610&lt;&gt;"",COUNTIF($C$2:C610,C610),"")</f>
        <v>1</v>
      </c>
      <c r="V610" s="28" t="str">
        <f t="shared" si="29"/>
        <v>Dr. Öğr. Üyesi Eylem Şerife KALKAN§1</v>
      </c>
      <c r="W610" s="28">
        <f>IF(U610=1,COUNTIF($U$2:U610,1),"")</f>
        <v>305</v>
      </c>
    </row>
    <row r="611" spans="1:23" ht="63" customHeight="1" x14ac:dyDescent="0.25">
      <c r="A611" s="42" t="s">
        <v>2892</v>
      </c>
      <c r="B611" s="42" t="s">
        <v>2893</v>
      </c>
      <c r="C611" s="43" t="s">
        <v>146</v>
      </c>
      <c r="D611" s="43" t="s">
        <v>110</v>
      </c>
      <c r="E611" s="44" t="s">
        <v>2894</v>
      </c>
      <c r="F611" s="44" t="s">
        <v>2895</v>
      </c>
      <c r="G611" s="45" t="s">
        <v>34</v>
      </c>
      <c r="H611" s="47">
        <v>46217</v>
      </c>
      <c r="I611" s="47">
        <v>46224</v>
      </c>
      <c r="J611" s="43" t="s">
        <v>77</v>
      </c>
      <c r="K611" s="43" t="s">
        <v>128</v>
      </c>
      <c r="L611" s="49" t="s">
        <v>96</v>
      </c>
      <c r="M611" s="49"/>
      <c r="N611" s="49"/>
      <c r="O611" s="48"/>
      <c r="P611" s="49" t="str">
        <f t="shared" si="27"/>
        <v>DÜZELTME</v>
      </c>
      <c r="R611" s="50" t="str">
        <f t="shared" si="28"/>
        <v/>
      </c>
      <c r="U611" s="28">
        <f>IF($C611&lt;&gt;"",COUNTIF($C$2:C611,C611),"")</f>
        <v>4</v>
      </c>
      <c r="V611" s="28" t="str">
        <f t="shared" si="29"/>
        <v>Prof. Dr. Ömer KARADAĞ§4</v>
      </c>
      <c r="W611" s="28" t="str">
        <f>IF(U611=1,COUNTIF($U$2:U611,1),"")</f>
        <v/>
      </c>
    </row>
    <row r="612" spans="1:23" ht="63" customHeight="1" x14ac:dyDescent="0.25">
      <c r="A612" s="42" t="s">
        <v>2896</v>
      </c>
      <c r="B612" s="42" t="s">
        <v>2897</v>
      </c>
      <c r="C612" s="43" t="s">
        <v>1827</v>
      </c>
      <c r="D612" s="43" t="s">
        <v>110</v>
      </c>
      <c r="E612" s="44" t="s">
        <v>2898</v>
      </c>
      <c r="F612" s="44" t="s">
        <v>2899</v>
      </c>
      <c r="G612" s="45" t="s">
        <v>34</v>
      </c>
      <c r="H612" s="47">
        <v>46217</v>
      </c>
      <c r="I612" s="47">
        <v>46224</v>
      </c>
      <c r="J612" s="43" t="s">
        <v>77</v>
      </c>
      <c r="K612" s="43" t="s">
        <v>128</v>
      </c>
      <c r="L612" s="49" t="s">
        <v>96</v>
      </c>
      <c r="M612" s="49"/>
      <c r="N612" s="49"/>
      <c r="O612" s="48"/>
      <c r="P612" s="49" t="str">
        <f t="shared" si="27"/>
        <v>DÜZELTME</v>
      </c>
      <c r="R612" s="50" t="str">
        <f t="shared" si="28"/>
        <v/>
      </c>
      <c r="U612" s="28">
        <f>IF($C612&lt;&gt;"",COUNTIF($C$2:C612,C612),"")</f>
        <v>4</v>
      </c>
      <c r="V612" s="28" t="str">
        <f t="shared" si="29"/>
        <v>Prof. Dr. Umut KALYONCU§4</v>
      </c>
      <c r="W612" s="28" t="str">
        <f>IF(U612=1,COUNTIF($U$2:U612,1),"")</f>
        <v/>
      </c>
    </row>
    <row r="613" spans="1:23" ht="78.75" customHeight="1" x14ac:dyDescent="0.25">
      <c r="A613" s="42" t="s">
        <v>2900</v>
      </c>
      <c r="B613" s="42" t="s">
        <v>2901</v>
      </c>
      <c r="C613" s="43" t="s">
        <v>2902</v>
      </c>
      <c r="D613" s="43" t="s">
        <v>2903</v>
      </c>
      <c r="E613" s="44" t="s">
        <v>2904</v>
      </c>
      <c r="F613" s="44" t="s">
        <v>2905</v>
      </c>
      <c r="G613" s="45" t="s">
        <v>34</v>
      </c>
      <c r="H613" s="47">
        <v>46217</v>
      </c>
      <c r="I613" s="47">
        <v>46224</v>
      </c>
      <c r="J613" s="43" t="s">
        <v>105</v>
      </c>
      <c r="K613" s="43" t="s">
        <v>67</v>
      </c>
      <c r="L613" s="49" t="s">
        <v>156</v>
      </c>
      <c r="M613" s="49"/>
      <c r="N613" s="49"/>
      <c r="O613" s="48"/>
      <c r="P613" s="49" t="str">
        <f t="shared" si="27"/>
        <v>KAPSAM DIŞI</v>
      </c>
      <c r="R613" s="50" t="str">
        <f t="shared" si="28"/>
        <v/>
      </c>
      <c r="U613" s="28">
        <f>IF($C613&lt;&gt;"",COUNTIF($C$2:C613,C613),"")</f>
        <v>1</v>
      </c>
      <c r="V613" s="28" t="str">
        <f t="shared" si="29"/>
        <v>Dr. Öğr. Üyesi Gülden OLGUN§1</v>
      </c>
      <c r="W613" s="28">
        <f>IF(U613=1,COUNTIF($U$2:U613,1),"")</f>
        <v>306</v>
      </c>
    </row>
    <row r="614" spans="1:23" ht="78.75" customHeight="1" x14ac:dyDescent="0.25">
      <c r="A614" s="42" t="s">
        <v>2906</v>
      </c>
      <c r="B614" s="42" t="s">
        <v>2907</v>
      </c>
      <c r="C614" s="43" t="s">
        <v>410</v>
      </c>
      <c r="D614" s="43" t="s">
        <v>237</v>
      </c>
      <c r="E614" s="44" t="s">
        <v>2908</v>
      </c>
      <c r="F614" s="44" t="s">
        <v>2909</v>
      </c>
      <c r="G614" s="45" t="s">
        <v>34</v>
      </c>
      <c r="H614" s="47">
        <v>46217</v>
      </c>
      <c r="I614" s="47">
        <v>46224</v>
      </c>
      <c r="J614" s="43" t="s">
        <v>68</v>
      </c>
      <c r="K614" s="43" t="s">
        <v>113</v>
      </c>
      <c r="L614" s="49" t="s">
        <v>69</v>
      </c>
      <c r="M614" s="49"/>
      <c r="N614" s="49"/>
      <c r="O614" s="48"/>
      <c r="P614" s="49" t="str">
        <f t="shared" si="27"/>
        <v>ONAY</v>
      </c>
      <c r="R614" s="50" t="str">
        <f t="shared" si="28"/>
        <v/>
      </c>
      <c r="U614" s="28">
        <f>IF($C614&lt;&gt;"",COUNTIF($C$2:C614,C614),"")</f>
        <v>8</v>
      </c>
      <c r="V614" s="28" t="str">
        <f t="shared" si="29"/>
        <v>Prof. Dr. Deniz ÇAĞDAŞ AYVAZ§8</v>
      </c>
      <c r="W614" s="28" t="str">
        <f>IF(U614=1,COUNTIF($U$2:U614,1),"")</f>
        <v/>
      </c>
    </row>
    <row r="615" spans="1:23" ht="63" customHeight="1" x14ac:dyDescent="0.25">
      <c r="A615" s="42" t="s">
        <v>2910</v>
      </c>
      <c r="B615" s="42" t="s">
        <v>2911</v>
      </c>
      <c r="C615" s="43" t="s">
        <v>2912</v>
      </c>
      <c r="D615" s="43" t="s">
        <v>110</v>
      </c>
      <c r="E615" s="44" t="s">
        <v>2913</v>
      </c>
      <c r="F615" s="44" t="s">
        <v>2914</v>
      </c>
      <c r="G615" s="45" t="s">
        <v>34</v>
      </c>
      <c r="H615" s="47">
        <v>46217</v>
      </c>
      <c r="I615" s="47">
        <v>46224</v>
      </c>
      <c r="J615" s="43" t="s">
        <v>128</v>
      </c>
      <c r="K615" s="43" t="s">
        <v>77</v>
      </c>
      <c r="L615" s="49"/>
      <c r="M615" s="49"/>
      <c r="N615" s="49"/>
      <c r="O615" s="48"/>
      <c r="P615" s="49">
        <f t="shared" si="27"/>
        <v>0</v>
      </c>
      <c r="R615" s="50" t="str">
        <f t="shared" si="28"/>
        <v/>
      </c>
      <c r="U615" s="28">
        <f>IF($C615&lt;&gt;"",COUNTIF($C$2:C615,C615),"")</f>
        <v>1</v>
      </c>
      <c r="V615" s="28" t="str">
        <f t="shared" si="29"/>
        <v>Arş. Gör. Dr. Kadir İNTAŞ§1</v>
      </c>
      <c r="W615" s="28">
        <f>IF(U615=1,COUNTIF($U$2:U615,1),"")</f>
        <v>307</v>
      </c>
    </row>
    <row r="616" spans="1:23" ht="78.75" customHeight="1" x14ac:dyDescent="0.25">
      <c r="A616" s="42" t="s">
        <v>2915</v>
      </c>
      <c r="B616" s="42" t="s">
        <v>2916</v>
      </c>
      <c r="C616" s="43" t="s">
        <v>2917</v>
      </c>
      <c r="D616" s="43" t="s">
        <v>693</v>
      </c>
      <c r="E616" s="44" t="s">
        <v>2918</v>
      </c>
      <c r="F616" s="44" t="s">
        <v>2919</v>
      </c>
      <c r="G616" s="45" t="s">
        <v>36</v>
      </c>
      <c r="H616" s="47">
        <v>46217</v>
      </c>
      <c r="I616" s="47">
        <v>46224</v>
      </c>
      <c r="J616" s="43" t="s">
        <v>113</v>
      </c>
      <c r="K616" s="43" t="s">
        <v>94</v>
      </c>
      <c r="L616" s="49" t="s">
        <v>69</v>
      </c>
      <c r="M616" s="49"/>
      <c r="N616" s="49"/>
      <c r="O616" s="48"/>
      <c r="P616" s="49" t="str">
        <f t="shared" si="27"/>
        <v>ONAY</v>
      </c>
      <c r="R616" s="50" t="str">
        <f t="shared" si="28"/>
        <v/>
      </c>
      <c r="U616" s="28">
        <f>IF($C616&lt;&gt;"",COUNTIF($C$2:C616,C616),"")</f>
        <v>1</v>
      </c>
      <c r="V616" s="28" t="str">
        <f t="shared" si="29"/>
        <v>Prof. Dr. Şükrü Alpan CİNEMRE§1</v>
      </c>
      <c r="W616" s="28">
        <f>IF(U616=1,COUNTIF($U$2:U616,1),"")</f>
        <v>308</v>
      </c>
    </row>
    <row r="617" spans="1:23" ht="78.75" customHeight="1" x14ac:dyDescent="0.25">
      <c r="A617" s="42" t="s">
        <v>2920</v>
      </c>
      <c r="B617" s="42" t="s">
        <v>2921</v>
      </c>
      <c r="C617" s="43" t="s">
        <v>788</v>
      </c>
      <c r="D617" s="43" t="s">
        <v>428</v>
      </c>
      <c r="E617" s="44" t="s">
        <v>2922</v>
      </c>
      <c r="F617" s="44" t="s">
        <v>2923</v>
      </c>
      <c r="G617" s="45" t="s">
        <v>35</v>
      </c>
      <c r="H617" s="47">
        <v>46217</v>
      </c>
      <c r="I617" s="47">
        <v>46224</v>
      </c>
      <c r="J617" s="43" t="s">
        <v>105</v>
      </c>
      <c r="K617" s="43" t="s">
        <v>95</v>
      </c>
      <c r="L617" s="49" t="s">
        <v>96</v>
      </c>
      <c r="M617" s="49"/>
      <c r="N617" s="49"/>
      <c r="O617" s="48"/>
      <c r="P617" s="49" t="str">
        <f t="shared" si="27"/>
        <v>DÜZELTME</v>
      </c>
      <c r="R617" s="50" t="str">
        <f t="shared" si="28"/>
        <v/>
      </c>
      <c r="U617" s="28">
        <f>IF($C617&lt;&gt;"",COUNTIF($C$2:C617,C617),"")</f>
        <v>2</v>
      </c>
      <c r="V617" s="28" t="str">
        <f t="shared" si="29"/>
        <v>Prof. Dr. Aygin EKİNCİOĞLU§2</v>
      </c>
      <c r="W617" s="28" t="str">
        <f>IF(U617=1,COUNTIF($U$2:U617,1),"")</f>
        <v/>
      </c>
    </row>
    <row r="618" spans="1:23" ht="78.75" customHeight="1" x14ac:dyDescent="0.25">
      <c r="A618" s="42" t="s">
        <v>2924</v>
      </c>
      <c r="B618" s="42" t="s">
        <v>2925</v>
      </c>
      <c r="C618" s="43" t="s">
        <v>427</v>
      </c>
      <c r="D618" s="43" t="s">
        <v>428</v>
      </c>
      <c r="E618" s="44" t="s">
        <v>2926</v>
      </c>
      <c r="F618" s="44" t="s">
        <v>2927</v>
      </c>
      <c r="G618" s="45" t="s">
        <v>35</v>
      </c>
      <c r="H618" s="47">
        <v>46217</v>
      </c>
      <c r="I618" s="47">
        <v>46224</v>
      </c>
      <c r="J618" s="43" t="s">
        <v>105</v>
      </c>
      <c r="K618" s="43" t="s">
        <v>95</v>
      </c>
      <c r="L618" s="49" t="s">
        <v>96</v>
      </c>
      <c r="M618" s="49"/>
      <c r="N618" s="49"/>
      <c r="O618" s="48"/>
      <c r="P618" s="49" t="str">
        <f t="shared" si="27"/>
        <v>DÜZELTME</v>
      </c>
      <c r="R618" s="50" t="str">
        <f t="shared" si="28"/>
        <v/>
      </c>
      <c r="U618" s="28">
        <f>IF($C618&lt;&gt;"",COUNTIF($C$2:C618,C618),"")</f>
        <v>8</v>
      </c>
      <c r="V618" s="28" t="str">
        <f t="shared" si="29"/>
        <v>Prof. Dr. Salih Kutay DEMİRKAN§8</v>
      </c>
      <c r="W618" s="28" t="str">
        <f>IF(U618=1,COUNTIF($U$2:U618,1),"")</f>
        <v/>
      </c>
    </row>
    <row r="619" spans="1:23" ht="78.75" customHeight="1" x14ac:dyDescent="0.25">
      <c r="A619" s="42" t="s">
        <v>2928</v>
      </c>
      <c r="B619" s="42" t="s">
        <v>2929</v>
      </c>
      <c r="C619" s="43" t="s">
        <v>2620</v>
      </c>
      <c r="D619" s="43" t="s">
        <v>237</v>
      </c>
      <c r="E619" s="44" t="s">
        <v>2930</v>
      </c>
      <c r="F619" s="44" t="s">
        <v>2931</v>
      </c>
      <c r="G619" s="45" t="s">
        <v>34</v>
      </c>
      <c r="H619" s="47">
        <v>46217</v>
      </c>
      <c r="I619" s="47">
        <v>46224</v>
      </c>
      <c r="J619" s="43" t="s">
        <v>86</v>
      </c>
      <c r="K619" s="43" t="s">
        <v>68</v>
      </c>
      <c r="L619" s="49" t="s">
        <v>69</v>
      </c>
      <c r="M619" s="49"/>
      <c r="N619" s="49"/>
      <c r="O619" s="48"/>
      <c r="P619" s="49" t="str">
        <f t="shared" si="27"/>
        <v>ONAY</v>
      </c>
      <c r="R619" s="50" t="str">
        <f t="shared" si="28"/>
        <v/>
      </c>
      <c r="U619" s="28">
        <f>IF($C619&lt;&gt;"",COUNTIF($C$2:C619,C619),"")</f>
        <v>3</v>
      </c>
      <c r="V619" s="28" t="str">
        <f t="shared" si="29"/>
        <v>Doç. Dr. Melike OCAK§3</v>
      </c>
      <c r="W619" s="28" t="str">
        <f>IF(U619=1,COUNTIF($U$2:U619,1),"")</f>
        <v/>
      </c>
    </row>
    <row r="620" spans="1:23" ht="78.75" customHeight="1" x14ac:dyDescent="0.25">
      <c r="A620" s="42" t="s">
        <v>2932</v>
      </c>
      <c r="B620" s="42" t="s">
        <v>2933</v>
      </c>
      <c r="C620" s="43" t="s">
        <v>450</v>
      </c>
      <c r="D620" s="43" t="s">
        <v>428</v>
      </c>
      <c r="E620" s="44" t="s">
        <v>2934</v>
      </c>
      <c r="F620" s="44" t="s">
        <v>2935</v>
      </c>
      <c r="G620" s="45" t="s">
        <v>36</v>
      </c>
      <c r="H620" s="47">
        <v>46217</v>
      </c>
      <c r="I620" s="47">
        <v>46224</v>
      </c>
      <c r="J620" s="43" t="s">
        <v>105</v>
      </c>
      <c r="K620" s="43" t="s">
        <v>77</v>
      </c>
      <c r="L620" s="49" t="s">
        <v>96</v>
      </c>
      <c r="M620" s="49"/>
      <c r="N620" s="49"/>
      <c r="O620" s="48"/>
      <c r="P620" s="49" t="str">
        <f t="shared" si="27"/>
        <v>DÜZELTME</v>
      </c>
      <c r="R620" s="50" t="str">
        <f t="shared" si="28"/>
        <v/>
      </c>
      <c r="U620" s="28">
        <f>IF($C620&lt;&gt;"",COUNTIF($C$2:C620,C620),"")</f>
        <v>5</v>
      </c>
      <c r="V620" s="28" t="str">
        <f t="shared" si="29"/>
        <v>Dr. Öğr. Üyesi Burcu KELLECİ ÇAKIR§5</v>
      </c>
      <c r="W620" s="28" t="str">
        <f>IF(U620=1,COUNTIF($U$2:U620,1),"")</f>
        <v/>
      </c>
    </row>
    <row r="621" spans="1:23" ht="78.75" customHeight="1" x14ac:dyDescent="0.25">
      <c r="A621" s="42" t="s">
        <v>2936</v>
      </c>
      <c r="B621" s="42" t="s">
        <v>2937</v>
      </c>
      <c r="C621" s="43" t="s">
        <v>410</v>
      </c>
      <c r="D621" s="43" t="s">
        <v>237</v>
      </c>
      <c r="E621" s="44" t="s">
        <v>2938</v>
      </c>
      <c r="F621" s="44" t="s">
        <v>2939</v>
      </c>
      <c r="G621" s="45" t="s">
        <v>34</v>
      </c>
      <c r="H621" s="47">
        <v>46217</v>
      </c>
      <c r="I621" s="47">
        <v>46224</v>
      </c>
      <c r="J621" s="43" t="s">
        <v>105</v>
      </c>
      <c r="K621" s="43" t="s">
        <v>94</v>
      </c>
      <c r="L621" s="49" t="s">
        <v>69</v>
      </c>
      <c r="M621" s="49"/>
      <c r="N621" s="49"/>
      <c r="O621" s="48"/>
      <c r="P621" s="49" t="str">
        <f t="shared" si="27"/>
        <v>ONAY</v>
      </c>
      <c r="R621" s="50" t="str">
        <f t="shared" si="28"/>
        <v/>
      </c>
      <c r="U621" s="28">
        <f>IF($C621&lt;&gt;"",COUNTIF($C$2:C621,C621),"")</f>
        <v>9</v>
      </c>
      <c r="V621" s="28" t="str">
        <f t="shared" si="29"/>
        <v>Prof. Dr. Deniz ÇAĞDAŞ AYVAZ§9</v>
      </c>
      <c r="W621" s="28" t="str">
        <f>IF(U621=1,COUNTIF($U$2:U621,1),"")</f>
        <v/>
      </c>
    </row>
    <row r="622" spans="1:23" ht="78.75" customHeight="1" x14ac:dyDescent="0.25">
      <c r="A622" s="42" t="s">
        <v>2940</v>
      </c>
      <c r="B622" s="42" t="s">
        <v>2941</v>
      </c>
      <c r="C622" s="43" t="s">
        <v>807</v>
      </c>
      <c r="D622" s="43" t="s">
        <v>320</v>
      </c>
      <c r="E622" s="44" t="s">
        <v>2942</v>
      </c>
      <c r="F622" s="44" t="s">
        <v>2943</v>
      </c>
      <c r="G622" s="45" t="s">
        <v>34</v>
      </c>
      <c r="H622" s="47">
        <v>46217</v>
      </c>
      <c r="I622" s="47">
        <v>46224</v>
      </c>
      <c r="J622" s="43" t="s">
        <v>85</v>
      </c>
      <c r="K622" s="43" t="s">
        <v>104</v>
      </c>
      <c r="L622" s="49" t="s">
        <v>96</v>
      </c>
      <c r="M622" s="49"/>
      <c r="N622" s="49"/>
      <c r="O622" s="48"/>
      <c r="P622" s="49" t="str">
        <f t="shared" si="27"/>
        <v>DÜZELTME</v>
      </c>
      <c r="R622" s="50" t="str">
        <f t="shared" si="28"/>
        <v/>
      </c>
      <c r="U622" s="28">
        <f>IF($C622&lt;&gt;"",COUNTIF($C$2:C622,C622),"")</f>
        <v>2</v>
      </c>
      <c r="V622" s="28" t="str">
        <f t="shared" si="29"/>
        <v>Dr. Öğr. Üyesi Ergin EROĞLU§2</v>
      </c>
      <c r="W622" s="28" t="str">
        <f>IF(U622=1,COUNTIF($U$2:U622,1),"")</f>
        <v/>
      </c>
    </row>
    <row r="623" spans="1:23" ht="94.5" customHeight="1" x14ac:dyDescent="0.25">
      <c r="A623" s="42" t="s">
        <v>2944</v>
      </c>
      <c r="B623" s="42" t="s">
        <v>2945</v>
      </c>
      <c r="C623" s="43" t="s">
        <v>1291</v>
      </c>
      <c r="D623" s="43" t="s">
        <v>189</v>
      </c>
      <c r="E623" s="44" t="s">
        <v>2946</v>
      </c>
      <c r="F623" s="44" t="s">
        <v>2947</v>
      </c>
      <c r="G623" s="45" t="s">
        <v>34</v>
      </c>
      <c r="H623" s="47">
        <v>46217</v>
      </c>
      <c r="I623" s="47">
        <v>46224</v>
      </c>
      <c r="J623" s="43" t="s">
        <v>128</v>
      </c>
      <c r="K623" s="43" t="s">
        <v>104</v>
      </c>
      <c r="L623" s="49" t="s">
        <v>69</v>
      </c>
      <c r="M623" s="49"/>
      <c r="N623" s="49"/>
      <c r="O623" s="48"/>
      <c r="P623" s="49" t="str">
        <f t="shared" si="27"/>
        <v>ONAY</v>
      </c>
      <c r="R623" s="50" t="str">
        <f t="shared" si="28"/>
        <v/>
      </c>
      <c r="U623" s="28">
        <f>IF($C623&lt;&gt;"",COUNTIF($C$2:C623,C623),"")</f>
        <v>2</v>
      </c>
      <c r="V623" s="28" t="str">
        <f t="shared" si="29"/>
        <v>Prof. Dr. Seda Banu AKINCI§2</v>
      </c>
      <c r="W623" s="28" t="str">
        <f>IF(U623=1,COUNTIF($U$2:U623,1),"")</f>
        <v/>
      </c>
    </row>
    <row r="624" spans="1:23" ht="78.75" customHeight="1" x14ac:dyDescent="0.25">
      <c r="A624" s="42" t="s">
        <v>2948</v>
      </c>
      <c r="B624" s="42" t="s">
        <v>2949</v>
      </c>
      <c r="C624" s="43" t="s">
        <v>2950</v>
      </c>
      <c r="D624" s="43" t="s">
        <v>82</v>
      </c>
      <c r="E624" s="44" t="s">
        <v>2951</v>
      </c>
      <c r="F624" s="44" t="s">
        <v>2952</v>
      </c>
      <c r="G624" s="45" t="s">
        <v>34</v>
      </c>
      <c r="H624" s="47">
        <v>46217</v>
      </c>
      <c r="I624" s="47">
        <v>46224</v>
      </c>
      <c r="J624" s="43" t="s">
        <v>67</v>
      </c>
      <c r="K624" s="43" t="s">
        <v>86</v>
      </c>
      <c r="L624" s="49" t="s">
        <v>96</v>
      </c>
      <c r="M624" s="49"/>
      <c r="N624" s="49"/>
      <c r="O624" s="48"/>
      <c r="P624" s="49" t="str">
        <f t="shared" si="27"/>
        <v>DÜZELTME</v>
      </c>
      <c r="R624" s="50" t="str">
        <f t="shared" si="28"/>
        <v/>
      </c>
      <c r="U624" s="28">
        <f>IF($C624&lt;&gt;"",COUNTIF($C$2:C624,C624),"")</f>
        <v>1</v>
      </c>
      <c r="V624" s="28" t="str">
        <f t="shared" si="29"/>
        <v>Doç. Dr. Ferdi ÇAY§1</v>
      </c>
      <c r="W624" s="28">
        <f>IF(U624=1,COUNTIF($U$2:U624,1),"")</f>
        <v>309</v>
      </c>
    </row>
    <row r="625" spans="1:23" ht="63" customHeight="1" x14ac:dyDescent="0.25">
      <c r="A625" s="42" t="s">
        <v>2953</v>
      </c>
      <c r="B625" s="42" t="s">
        <v>2954</v>
      </c>
      <c r="C625" s="43" t="s">
        <v>2955</v>
      </c>
      <c r="D625" s="43" t="s">
        <v>320</v>
      </c>
      <c r="E625" s="44" t="s">
        <v>2956</v>
      </c>
      <c r="F625" s="44" t="s">
        <v>2957</v>
      </c>
      <c r="G625" s="45" t="s">
        <v>34</v>
      </c>
      <c r="H625" s="47">
        <v>46217</v>
      </c>
      <c r="I625" s="47">
        <v>46224</v>
      </c>
      <c r="J625" s="43" t="s">
        <v>85</v>
      </c>
      <c r="K625" s="43" t="s">
        <v>94</v>
      </c>
      <c r="L625" s="49" t="s">
        <v>96</v>
      </c>
      <c r="M625" s="49"/>
      <c r="N625" s="49"/>
      <c r="O625" s="48"/>
      <c r="P625" s="49" t="str">
        <f t="shared" si="27"/>
        <v>DÜZELTME</v>
      </c>
      <c r="R625" s="50" t="str">
        <f t="shared" si="28"/>
        <v/>
      </c>
      <c r="U625" s="28">
        <f>IF($C625&lt;&gt;"",COUNTIF($C$2:C625,C625),"")</f>
        <v>1</v>
      </c>
      <c r="V625" s="28" t="str">
        <f t="shared" si="29"/>
        <v>Doç. Dr. Ahmet Erim PAMUK§1</v>
      </c>
      <c r="W625" s="28">
        <f>IF(U625=1,COUNTIF($U$2:U625,1),"")</f>
        <v>310</v>
      </c>
    </row>
    <row r="626" spans="1:23" ht="80.25" customHeight="1" x14ac:dyDescent="0.25">
      <c r="A626" s="42" t="s">
        <v>2958</v>
      </c>
      <c r="B626" s="42" t="s">
        <v>2959</v>
      </c>
      <c r="C626" s="43" t="s">
        <v>2375</v>
      </c>
      <c r="D626" s="43" t="s">
        <v>416</v>
      </c>
      <c r="E626" s="44" t="s">
        <v>2960</v>
      </c>
      <c r="F626" s="44" t="s">
        <v>2961</v>
      </c>
      <c r="G626" s="45" t="s">
        <v>34</v>
      </c>
      <c r="H626" s="47">
        <v>46217</v>
      </c>
      <c r="I626" s="47">
        <v>46224</v>
      </c>
      <c r="J626" s="43" t="s">
        <v>105</v>
      </c>
      <c r="K626" s="43" t="s">
        <v>68</v>
      </c>
      <c r="L626" s="49" t="s">
        <v>96</v>
      </c>
      <c r="M626" s="49"/>
      <c r="N626" s="49"/>
      <c r="O626" s="48"/>
      <c r="P626" s="49" t="str">
        <f t="shared" si="27"/>
        <v>DÜZELTME</v>
      </c>
      <c r="R626" s="50" t="str">
        <f t="shared" si="28"/>
        <v/>
      </c>
      <c r="U626" s="28">
        <f>IF($C626&lt;&gt;"",COUNTIF($C$2:C626,C626),"")</f>
        <v>2</v>
      </c>
      <c r="V626" s="28" t="str">
        <f t="shared" si="29"/>
        <v>Prof. Dr. Saniye EKİNCİ§2</v>
      </c>
      <c r="W626" s="28" t="str">
        <f>IF(U626=1,COUNTIF($U$2:U626,1),"")</f>
        <v/>
      </c>
    </row>
    <row r="627" spans="1:23" ht="78.75" customHeight="1" x14ac:dyDescent="0.25">
      <c r="A627" s="42" t="s">
        <v>2962</v>
      </c>
      <c r="B627" s="42" t="s">
        <v>2963</v>
      </c>
      <c r="C627" s="43" t="s">
        <v>109</v>
      </c>
      <c r="D627" s="43" t="s">
        <v>110</v>
      </c>
      <c r="E627" s="44" t="s">
        <v>2964</v>
      </c>
      <c r="F627" s="44" t="s">
        <v>2965</v>
      </c>
      <c r="G627" s="45" t="s">
        <v>34</v>
      </c>
      <c r="H627" s="47">
        <v>46217</v>
      </c>
      <c r="I627" s="47">
        <v>46224</v>
      </c>
      <c r="J627" s="43" t="s">
        <v>105</v>
      </c>
      <c r="K627" s="43" t="s">
        <v>113</v>
      </c>
      <c r="L627" s="49" t="s">
        <v>96</v>
      </c>
      <c r="M627" s="49"/>
      <c r="N627" s="49"/>
      <c r="O627" s="48"/>
      <c r="P627" s="49" t="str">
        <f t="shared" si="27"/>
        <v>DÜZELTME</v>
      </c>
      <c r="R627" s="50" t="str">
        <f t="shared" si="28"/>
        <v/>
      </c>
      <c r="U627" s="28">
        <f>IF($C627&lt;&gt;"",COUNTIF($C$2:C627,C627),"")</f>
        <v>17</v>
      </c>
      <c r="V627" s="28" t="str">
        <f t="shared" si="29"/>
        <v>Prof. Dr. Meltem Gülhan HALİL§17</v>
      </c>
      <c r="W627" s="28" t="str">
        <f>IF(U627=1,COUNTIF($U$2:U627,1),"")</f>
        <v/>
      </c>
    </row>
    <row r="628" spans="1:23" ht="63" customHeight="1" x14ac:dyDescent="0.25">
      <c r="A628" s="42" t="s">
        <v>2966</v>
      </c>
      <c r="B628" s="42" t="s">
        <v>2967</v>
      </c>
      <c r="C628" s="43" t="s">
        <v>2968</v>
      </c>
      <c r="D628" s="43" t="s">
        <v>1927</v>
      </c>
      <c r="E628" s="44" t="s">
        <v>2969</v>
      </c>
      <c r="F628" s="44" t="s">
        <v>2970</v>
      </c>
      <c r="G628" s="45" t="s">
        <v>34</v>
      </c>
      <c r="H628" s="47">
        <v>46217</v>
      </c>
      <c r="I628" s="47">
        <v>46224</v>
      </c>
      <c r="J628" s="43" t="s">
        <v>113</v>
      </c>
      <c r="K628" s="43" t="s">
        <v>77</v>
      </c>
      <c r="L628" s="49" t="s">
        <v>69</v>
      </c>
      <c r="M628" s="49"/>
      <c r="N628" s="49"/>
      <c r="O628" s="48"/>
      <c r="P628" s="49" t="str">
        <f t="shared" si="27"/>
        <v>ONAY</v>
      </c>
      <c r="R628" s="50" t="str">
        <f t="shared" si="28"/>
        <v/>
      </c>
      <c r="U628" s="28">
        <f>IF($C628&lt;&gt;"",COUNTIF($C$2:C628,C628),"")</f>
        <v>1</v>
      </c>
      <c r="V628" s="28" t="str">
        <f t="shared" si="29"/>
        <v>Doç. Dr. Yasemin GÜZEL§1</v>
      </c>
      <c r="W628" s="28">
        <f>IF(U628=1,COUNTIF($U$2:U628,1),"")</f>
        <v>311</v>
      </c>
    </row>
    <row r="629" spans="1:23" ht="63" customHeight="1" x14ac:dyDescent="0.25">
      <c r="A629" s="42" t="s">
        <v>2971</v>
      </c>
      <c r="B629" s="42" t="s">
        <v>2972</v>
      </c>
      <c r="C629" s="43" t="s">
        <v>2973</v>
      </c>
      <c r="D629" s="43" t="s">
        <v>82</v>
      </c>
      <c r="E629" s="44" t="s">
        <v>2974</v>
      </c>
      <c r="F629" s="44" t="s">
        <v>2975</v>
      </c>
      <c r="G629" s="45" t="s">
        <v>34</v>
      </c>
      <c r="H629" s="47">
        <v>46217</v>
      </c>
      <c r="I629" s="47">
        <v>46224</v>
      </c>
      <c r="J629" s="43" t="s">
        <v>85</v>
      </c>
      <c r="K629" s="43" t="s">
        <v>68</v>
      </c>
      <c r="L629" s="49" t="s">
        <v>69</v>
      </c>
      <c r="M629" s="49"/>
      <c r="N629" s="49"/>
      <c r="O629" s="48"/>
      <c r="P629" s="49" t="str">
        <f t="shared" si="27"/>
        <v>ONAY</v>
      </c>
      <c r="R629" s="50" t="str">
        <f t="shared" si="28"/>
        <v/>
      </c>
      <c r="U629" s="28">
        <f>IF($C629&lt;&gt;"",COUNTIF($C$2:C629,C629),"")</f>
        <v>1</v>
      </c>
      <c r="V629" s="28" t="str">
        <f t="shared" si="29"/>
        <v>Dr. Öğr. Üyesi Sinan BALCI§1</v>
      </c>
      <c r="W629" s="28">
        <f>IF(U629=1,COUNTIF($U$2:U629,1),"")</f>
        <v>312</v>
      </c>
    </row>
    <row r="630" spans="1:23" ht="94.5" customHeight="1" x14ac:dyDescent="0.25">
      <c r="A630" s="42" t="s">
        <v>2976</v>
      </c>
      <c r="B630" s="42" t="s">
        <v>2977</v>
      </c>
      <c r="C630" s="43" t="s">
        <v>2978</v>
      </c>
      <c r="D630" s="43" t="s">
        <v>237</v>
      </c>
      <c r="E630" s="44" t="s">
        <v>2979</v>
      </c>
      <c r="F630" s="44" t="s">
        <v>2980</v>
      </c>
      <c r="G630" s="45" t="s">
        <v>34</v>
      </c>
      <c r="H630" s="47">
        <v>46217</v>
      </c>
      <c r="I630" s="47">
        <v>46224</v>
      </c>
      <c r="J630" s="43" t="s">
        <v>95</v>
      </c>
      <c r="K630" s="43" t="s">
        <v>86</v>
      </c>
      <c r="L630" s="49" t="s">
        <v>69</v>
      </c>
      <c r="M630" s="49"/>
      <c r="N630" s="49"/>
      <c r="O630" s="48"/>
      <c r="P630" s="49" t="str">
        <f t="shared" si="27"/>
        <v>ONAY</v>
      </c>
      <c r="R630" s="50" t="str">
        <f t="shared" si="28"/>
        <v/>
      </c>
      <c r="U630" s="28">
        <f>IF($C630&lt;&gt;"",COUNTIF($C$2:C630,C630),"")</f>
        <v>1</v>
      </c>
      <c r="V630" s="28" t="str">
        <f t="shared" si="29"/>
        <v>Arş. Gör. Dr. Oğuzhan SERİN§1</v>
      </c>
      <c r="W630" s="28">
        <f>IF(U630=1,COUNTIF($U$2:U630,1),"")</f>
        <v>313</v>
      </c>
    </row>
    <row r="631" spans="1:23" ht="63" customHeight="1" x14ac:dyDescent="0.25">
      <c r="A631" s="42" t="s">
        <v>2981</v>
      </c>
      <c r="B631" s="42" t="s">
        <v>2982</v>
      </c>
      <c r="C631" s="43" t="s">
        <v>2912</v>
      </c>
      <c r="D631" s="43" t="s">
        <v>110</v>
      </c>
      <c r="E631" s="44" t="s">
        <v>2913</v>
      </c>
      <c r="F631" s="44" t="s">
        <v>2983</v>
      </c>
      <c r="G631" s="45" t="s">
        <v>34</v>
      </c>
      <c r="H631" s="47">
        <v>46217</v>
      </c>
      <c r="I631" s="47">
        <v>46224</v>
      </c>
      <c r="J631" s="43" t="s">
        <v>104</v>
      </c>
      <c r="K631" s="43" t="s">
        <v>121</v>
      </c>
      <c r="L631" s="49"/>
      <c r="M631" s="49"/>
      <c r="N631" s="49"/>
      <c r="O631" s="48"/>
      <c r="P631" s="49">
        <f t="shared" si="27"/>
        <v>0</v>
      </c>
      <c r="R631" s="50" t="str">
        <f t="shared" si="28"/>
        <v/>
      </c>
      <c r="U631" s="28">
        <f>IF($C631&lt;&gt;"",COUNTIF($C$2:C631,C631),"")</f>
        <v>2</v>
      </c>
      <c r="V631" s="28" t="str">
        <f t="shared" si="29"/>
        <v>Arş. Gör. Dr. Kadir İNTAŞ§2</v>
      </c>
      <c r="W631" s="28" t="str">
        <f>IF(U631=1,COUNTIF($U$2:U631,1),"")</f>
        <v/>
      </c>
    </row>
    <row r="632" spans="1:23" ht="110.25" customHeight="1" x14ac:dyDescent="0.25">
      <c r="A632" s="42" t="s">
        <v>2984</v>
      </c>
      <c r="B632" s="42" t="s">
        <v>2985</v>
      </c>
      <c r="C632" s="43" t="s">
        <v>1534</v>
      </c>
      <c r="D632" s="43" t="s">
        <v>237</v>
      </c>
      <c r="E632" s="44" t="s">
        <v>2986</v>
      </c>
      <c r="F632" s="44" t="s">
        <v>2987</v>
      </c>
      <c r="G632" s="45" t="s">
        <v>34</v>
      </c>
      <c r="H632" s="47">
        <v>46217</v>
      </c>
      <c r="I632" s="47">
        <v>46224</v>
      </c>
      <c r="J632" s="43" t="s">
        <v>95</v>
      </c>
      <c r="K632" s="43" t="s">
        <v>121</v>
      </c>
      <c r="L632" s="49" t="s">
        <v>232</v>
      </c>
      <c r="M632" s="49"/>
      <c r="N632" s="49"/>
      <c r="O632" s="48"/>
      <c r="P632" s="49" t="str">
        <f t="shared" si="27"/>
        <v>KAEK</v>
      </c>
      <c r="R632" s="50" t="str">
        <f t="shared" si="28"/>
        <v/>
      </c>
      <c r="U632" s="28">
        <f>IF($C632&lt;&gt;"",COUNTIF($C$2:C632,C632),"")</f>
        <v>3</v>
      </c>
      <c r="V632" s="28" t="str">
        <f t="shared" si="29"/>
        <v>Prof. Dr. Sinem AKGÜL§3</v>
      </c>
      <c r="W632" s="28" t="str">
        <f>IF(U632=1,COUNTIF($U$2:U632,1),"")</f>
        <v/>
      </c>
    </row>
    <row r="633" spans="1:23" ht="78.75" customHeight="1" x14ac:dyDescent="0.25">
      <c r="A633" s="42" t="s">
        <v>2988</v>
      </c>
      <c r="B633" s="42" t="s">
        <v>2989</v>
      </c>
      <c r="C633" s="43" t="s">
        <v>635</v>
      </c>
      <c r="D633" s="43" t="s">
        <v>229</v>
      </c>
      <c r="E633" s="44" t="s">
        <v>2990</v>
      </c>
      <c r="F633" s="44" t="s">
        <v>2991</v>
      </c>
      <c r="G633" s="45" t="s">
        <v>34</v>
      </c>
      <c r="H633" s="47">
        <v>46217</v>
      </c>
      <c r="I633" s="47">
        <v>46224</v>
      </c>
      <c r="J633" s="43" t="s">
        <v>121</v>
      </c>
      <c r="K633" s="43" t="s">
        <v>113</v>
      </c>
      <c r="L633" s="49" t="s">
        <v>69</v>
      </c>
      <c r="M633" s="49"/>
      <c r="N633" s="49"/>
      <c r="O633" s="48"/>
      <c r="P633" s="49" t="str">
        <f t="shared" si="27"/>
        <v>ONAY</v>
      </c>
      <c r="R633" s="50" t="str">
        <f t="shared" si="28"/>
        <v/>
      </c>
      <c r="U633" s="28">
        <f>IF($C633&lt;&gt;"",COUNTIF($C$2:C633,C633),"")</f>
        <v>2</v>
      </c>
      <c r="V633" s="28" t="str">
        <f t="shared" si="29"/>
        <v>Prof. Dr. Hakan Hıfzı TÜZ§2</v>
      </c>
      <c r="W633" s="28" t="str">
        <f>IF(U633=1,COUNTIF($U$2:U633,1),"")</f>
        <v/>
      </c>
    </row>
    <row r="634" spans="1:23" ht="94.5" customHeight="1" x14ac:dyDescent="0.25">
      <c r="A634" s="42" t="s">
        <v>2992</v>
      </c>
      <c r="B634" s="42" t="s">
        <v>2993</v>
      </c>
      <c r="C634" s="43" t="s">
        <v>2994</v>
      </c>
      <c r="D634" s="43" t="s">
        <v>118</v>
      </c>
      <c r="E634" s="44" t="s">
        <v>2995</v>
      </c>
      <c r="F634" s="44" t="s">
        <v>2996</v>
      </c>
      <c r="G634" s="45" t="s">
        <v>35</v>
      </c>
      <c r="H634" s="47">
        <v>46217</v>
      </c>
      <c r="I634" s="47">
        <v>46224</v>
      </c>
      <c r="J634" s="43" t="s">
        <v>121</v>
      </c>
      <c r="K634" s="43" t="s">
        <v>94</v>
      </c>
      <c r="L634" s="49" t="s">
        <v>69</v>
      </c>
      <c r="M634" s="49"/>
      <c r="N634" s="49"/>
      <c r="O634" s="48"/>
      <c r="P634" s="49" t="str">
        <f t="shared" si="27"/>
        <v>ONAY</v>
      </c>
      <c r="R634" s="50" t="str">
        <f t="shared" si="28"/>
        <v/>
      </c>
      <c r="U634" s="28">
        <f>IF($C634&lt;&gt;"",COUNTIF($C$2:C634,C634),"")</f>
        <v>1</v>
      </c>
      <c r="V634" s="28" t="str">
        <f t="shared" si="29"/>
        <v>Dr. Öğr. Üyesi Sevinç ASKERBEYLİ ÖRS§1</v>
      </c>
      <c r="W634" s="28">
        <f>IF(U634=1,COUNTIF($U$2:U634,1),"")</f>
        <v>314</v>
      </c>
    </row>
    <row r="635" spans="1:23" ht="63" customHeight="1" x14ac:dyDescent="0.25">
      <c r="A635" s="42" t="s">
        <v>2997</v>
      </c>
      <c r="B635" s="42" t="s">
        <v>2998</v>
      </c>
      <c r="C635" s="43" t="s">
        <v>1463</v>
      </c>
      <c r="D635" s="43" t="s">
        <v>110</v>
      </c>
      <c r="E635" s="44" t="s">
        <v>2999</v>
      </c>
      <c r="F635" s="44" t="s">
        <v>3000</v>
      </c>
      <c r="G635" s="45" t="s">
        <v>34</v>
      </c>
      <c r="H635" s="47">
        <v>46217</v>
      </c>
      <c r="I635" s="47">
        <v>46224</v>
      </c>
      <c r="J635" s="43" t="s">
        <v>104</v>
      </c>
      <c r="K635" s="43" t="s">
        <v>128</v>
      </c>
      <c r="L635" s="49"/>
      <c r="M635" s="49"/>
      <c r="N635" s="49"/>
      <c r="O635" s="48"/>
      <c r="P635" s="49">
        <f t="shared" si="27"/>
        <v>0</v>
      </c>
      <c r="R635" s="50" t="str">
        <f t="shared" si="28"/>
        <v/>
      </c>
      <c r="U635" s="28">
        <f>IF($C635&lt;&gt;"",COUNTIF($C$2:C635,C635),"")</f>
        <v>8</v>
      </c>
      <c r="V635" s="28" t="str">
        <f t="shared" si="29"/>
        <v>Prof. Dr. Taylan KAV§8</v>
      </c>
      <c r="W635" s="28" t="str">
        <f>IF(U635=1,COUNTIF($U$2:U635,1),"")</f>
        <v/>
      </c>
    </row>
    <row r="636" spans="1:23" ht="110.25" customHeight="1" x14ac:dyDescent="0.25">
      <c r="A636" s="42" t="s">
        <v>3001</v>
      </c>
      <c r="B636" s="42" t="s">
        <v>3002</v>
      </c>
      <c r="C636" s="43" t="s">
        <v>712</v>
      </c>
      <c r="D636" s="43" t="s">
        <v>110</v>
      </c>
      <c r="E636" s="44" t="s">
        <v>3003</v>
      </c>
      <c r="F636" s="44" t="s">
        <v>3004</v>
      </c>
      <c r="G636" s="45" t="s">
        <v>34</v>
      </c>
      <c r="H636" s="47">
        <v>46217</v>
      </c>
      <c r="I636" s="47">
        <v>46224</v>
      </c>
      <c r="J636" s="43" t="s">
        <v>85</v>
      </c>
      <c r="K636" s="43" t="s">
        <v>86</v>
      </c>
      <c r="L636" s="49" t="s">
        <v>156</v>
      </c>
      <c r="M636" s="49"/>
      <c r="N636" s="49"/>
      <c r="O636" s="48"/>
      <c r="P636" s="49" t="str">
        <f t="shared" si="27"/>
        <v>KAPSAM DIŞI</v>
      </c>
      <c r="R636" s="50" t="str">
        <f t="shared" si="28"/>
        <v/>
      </c>
      <c r="U636" s="28">
        <f>IF($C636&lt;&gt;"",COUNTIF($C$2:C636,C636),"")</f>
        <v>3</v>
      </c>
      <c r="V636" s="28" t="str">
        <f t="shared" si="29"/>
        <v>Prof. Dr. Hatice Yasemin BALABAN§3</v>
      </c>
      <c r="W636" s="28" t="str">
        <f>IF(U636=1,COUNTIF($U$2:U636,1),"")</f>
        <v/>
      </c>
    </row>
    <row r="637" spans="1:23" ht="80.25" customHeight="1" x14ac:dyDescent="0.25">
      <c r="A637" s="42" t="s">
        <v>3005</v>
      </c>
      <c r="B637" s="42" t="s">
        <v>3006</v>
      </c>
      <c r="C637" s="43" t="s">
        <v>1463</v>
      </c>
      <c r="D637" s="43" t="s">
        <v>110</v>
      </c>
      <c r="E637" s="44" t="s">
        <v>3007</v>
      </c>
      <c r="F637" s="44" t="s">
        <v>3008</v>
      </c>
      <c r="G637" s="45" t="s">
        <v>34</v>
      </c>
      <c r="H637" s="47">
        <v>46217</v>
      </c>
      <c r="I637" s="47">
        <v>46224</v>
      </c>
      <c r="J637" s="43" t="s">
        <v>77</v>
      </c>
      <c r="K637" s="43" t="s">
        <v>86</v>
      </c>
      <c r="L637" s="49" t="s">
        <v>69</v>
      </c>
      <c r="M637" s="49"/>
      <c r="N637" s="49"/>
      <c r="O637" s="48"/>
      <c r="P637" s="49" t="str">
        <f t="shared" si="27"/>
        <v>ONAY</v>
      </c>
      <c r="R637" s="50" t="str">
        <f t="shared" si="28"/>
        <v/>
      </c>
      <c r="U637" s="28">
        <f>IF($C637&lt;&gt;"",COUNTIF($C$2:C637,C637),"")</f>
        <v>9</v>
      </c>
      <c r="V637" s="28" t="str">
        <f t="shared" si="29"/>
        <v>Prof. Dr. Taylan KAV§9</v>
      </c>
      <c r="W637" s="28" t="str">
        <f>IF(U637=1,COUNTIF($U$2:U637,1),"")</f>
        <v/>
      </c>
    </row>
    <row r="638" spans="1:23" ht="78.75" customHeight="1" x14ac:dyDescent="0.25">
      <c r="A638" s="42" t="s">
        <v>3009</v>
      </c>
      <c r="B638" s="42" t="s">
        <v>3010</v>
      </c>
      <c r="C638" s="43" t="s">
        <v>3011</v>
      </c>
      <c r="D638" s="43" t="s">
        <v>82</v>
      </c>
      <c r="E638" s="44" t="s">
        <v>3012</v>
      </c>
      <c r="F638" s="44" t="s">
        <v>3013</v>
      </c>
      <c r="G638" s="45" t="s">
        <v>34</v>
      </c>
      <c r="H638" s="47">
        <v>46217</v>
      </c>
      <c r="I638" s="47">
        <v>46224</v>
      </c>
      <c r="J638" s="43" t="s">
        <v>86</v>
      </c>
      <c r="K638" s="43" t="s">
        <v>104</v>
      </c>
      <c r="L638" s="49" t="s">
        <v>69</v>
      </c>
      <c r="M638" s="49"/>
      <c r="N638" s="49"/>
      <c r="O638" s="48"/>
      <c r="P638" s="49" t="str">
        <f t="shared" si="27"/>
        <v>ONAY</v>
      </c>
      <c r="R638" s="50" t="str">
        <f t="shared" si="28"/>
        <v/>
      </c>
      <c r="U638" s="28">
        <f>IF($C638&lt;&gt;"",COUNTIF($C$2:C638,C638),"")</f>
        <v>1</v>
      </c>
      <c r="V638" s="28" t="str">
        <f t="shared" si="29"/>
        <v>Dr. Öğr. Üyesi Yasin SARIKAYA§1</v>
      </c>
      <c r="W638" s="28">
        <f>IF(U638=1,COUNTIF($U$2:U638,1),"")</f>
        <v>315</v>
      </c>
    </row>
    <row r="639" spans="1:23" ht="94.5" customHeight="1" x14ac:dyDescent="0.25">
      <c r="A639" s="42" t="s">
        <v>3014</v>
      </c>
      <c r="B639" s="42" t="s">
        <v>3015</v>
      </c>
      <c r="C639" s="43" t="s">
        <v>3016</v>
      </c>
      <c r="D639" s="43" t="s">
        <v>237</v>
      </c>
      <c r="E639" s="44" t="s">
        <v>3017</v>
      </c>
      <c r="F639" s="44" t="s">
        <v>3018</v>
      </c>
      <c r="G639" s="45" t="s">
        <v>34</v>
      </c>
      <c r="H639" s="47">
        <v>46217</v>
      </c>
      <c r="I639" s="47">
        <v>46224</v>
      </c>
      <c r="J639" s="43" t="s">
        <v>68</v>
      </c>
      <c r="K639" s="43" t="s">
        <v>77</v>
      </c>
      <c r="L639" s="49" t="s">
        <v>69</v>
      </c>
      <c r="M639" s="49"/>
      <c r="N639" s="49"/>
      <c r="O639" s="48"/>
      <c r="P639" s="49" t="str">
        <f t="shared" si="27"/>
        <v>ONAY</v>
      </c>
      <c r="R639" s="50" t="str">
        <f t="shared" si="28"/>
        <v/>
      </c>
      <c r="U639" s="28">
        <f>IF($C639&lt;&gt;"",COUNTIF($C$2:C639,C639),"")</f>
        <v>1</v>
      </c>
      <c r="V639" s="28" t="str">
        <f t="shared" si="29"/>
        <v>Doç. Dr. Halide Özge BAŞARAN§1</v>
      </c>
      <c r="W639" s="28">
        <f>IF(U639=1,COUNTIF($U$2:U639,1),"")</f>
        <v>316</v>
      </c>
    </row>
    <row r="640" spans="1:23" ht="47.25" customHeight="1" x14ac:dyDescent="0.25">
      <c r="A640" s="42" t="s">
        <v>3019</v>
      </c>
      <c r="B640" s="42" t="s">
        <v>3020</v>
      </c>
      <c r="C640" s="43" t="s">
        <v>3021</v>
      </c>
      <c r="D640" s="43" t="s">
        <v>1975</v>
      </c>
      <c r="E640" s="44" t="s">
        <v>3022</v>
      </c>
      <c r="F640" s="44" t="s">
        <v>3023</v>
      </c>
      <c r="G640" s="45" t="s">
        <v>34</v>
      </c>
      <c r="H640" s="47">
        <v>46217</v>
      </c>
      <c r="I640" s="47">
        <v>46224</v>
      </c>
      <c r="J640" s="43" t="s">
        <v>67</v>
      </c>
      <c r="K640" s="43" t="s">
        <v>104</v>
      </c>
      <c r="L640" s="49" t="s">
        <v>69</v>
      </c>
      <c r="M640" s="49"/>
      <c r="N640" s="49"/>
      <c r="O640" s="48"/>
      <c r="P640" s="49" t="str">
        <f t="shared" si="27"/>
        <v>ONAY</v>
      </c>
      <c r="R640" s="50" t="str">
        <f t="shared" si="28"/>
        <v/>
      </c>
      <c r="U640" s="28">
        <f>IF($C640&lt;&gt;"",COUNTIF($C$2:C640,C640),"")</f>
        <v>1</v>
      </c>
      <c r="V640" s="28" t="str">
        <f t="shared" si="29"/>
        <v>Prof. Dr. Serap AYDIN§1</v>
      </c>
      <c r="W640" s="28">
        <f>IF(U640=1,COUNTIF($U$2:U640,1),"")</f>
        <v>317</v>
      </c>
    </row>
    <row r="641" spans="1:23" ht="94.5" customHeight="1" x14ac:dyDescent="0.25">
      <c r="A641" s="42" t="s">
        <v>3024</v>
      </c>
      <c r="B641" s="42" t="s">
        <v>3025</v>
      </c>
      <c r="C641" s="43" t="s">
        <v>410</v>
      </c>
      <c r="D641" s="43" t="s">
        <v>237</v>
      </c>
      <c r="E641" s="44" t="s">
        <v>3026</v>
      </c>
      <c r="F641" s="44" t="s">
        <v>3027</v>
      </c>
      <c r="G641" s="45" t="s">
        <v>34</v>
      </c>
      <c r="H641" s="47">
        <v>46217</v>
      </c>
      <c r="I641" s="47">
        <v>46231</v>
      </c>
      <c r="J641" s="43" t="s">
        <v>68</v>
      </c>
      <c r="K641" s="43" t="s">
        <v>113</v>
      </c>
      <c r="L641" s="49"/>
      <c r="M641" s="49"/>
      <c r="N641" s="49"/>
      <c r="O641" s="48"/>
      <c r="P641" s="49">
        <f t="shared" si="27"/>
        <v>0</v>
      </c>
      <c r="R641" s="50" t="str">
        <f t="shared" si="28"/>
        <v/>
      </c>
      <c r="U641" s="28">
        <f>IF($C641&lt;&gt;"",COUNTIF($C$2:C641,C641),"")</f>
        <v>10</v>
      </c>
      <c r="V641" s="28" t="str">
        <f t="shared" si="29"/>
        <v>Prof. Dr. Deniz ÇAĞDAŞ AYVAZ§10</v>
      </c>
      <c r="W641" s="28" t="str">
        <f>IF(U641=1,COUNTIF($U$2:U641,1),"")</f>
        <v/>
      </c>
    </row>
    <row r="642" spans="1:23" ht="78.75" customHeight="1" x14ac:dyDescent="0.25">
      <c r="A642" s="42" t="s">
        <v>3028</v>
      </c>
      <c r="B642" s="42" t="s">
        <v>3029</v>
      </c>
      <c r="C642" s="43" t="s">
        <v>410</v>
      </c>
      <c r="D642" s="43" t="s">
        <v>237</v>
      </c>
      <c r="E642" s="44" t="s">
        <v>3030</v>
      </c>
      <c r="F642" s="44" t="s">
        <v>3031</v>
      </c>
      <c r="G642" s="45" t="s">
        <v>34</v>
      </c>
      <c r="H642" s="47">
        <v>46217</v>
      </c>
      <c r="I642" s="47">
        <v>46231</v>
      </c>
      <c r="J642" s="43" t="s">
        <v>68</v>
      </c>
      <c r="K642" s="43" t="s">
        <v>113</v>
      </c>
      <c r="L642" s="49"/>
      <c r="M642" s="49"/>
      <c r="N642" s="49"/>
      <c r="O642" s="48"/>
      <c r="P642" s="49">
        <f t="shared" ref="P642:P705" si="30">IF(O642&lt;&gt;"",O642, IF(N642&lt;&gt;"",N642, IF(M642&lt;&gt;"",M642, L642)))</f>
        <v>0</v>
      </c>
      <c r="R642" s="50" t="str">
        <f t="shared" ref="R642:R705" si="31">IF(AND($I642&lt;&gt;"",$I642&gt;=DATE(2026,6,23),COUNTIFS($C:$C,$C642,$I:$I,$I642)&gt;2),"⚠ "&amp;COUNTIFS($C:$C,$C642,$I:$I,$I642)&amp;" BAŞVURU!","")</f>
        <v/>
      </c>
      <c r="U642" s="28">
        <f>IF($C642&lt;&gt;"",COUNTIF($C$2:C642,C642),"")</f>
        <v>11</v>
      </c>
      <c r="V642" s="28" t="str">
        <f t="shared" ref="V642:V705" si="32">IF($C642&lt;&gt;"",C642&amp;"§"&amp;U642,"")</f>
        <v>Prof. Dr. Deniz ÇAĞDAŞ AYVAZ§11</v>
      </c>
      <c r="W642" s="28" t="str">
        <f>IF(U642=1,COUNTIF($U$2:U642,1),"")</f>
        <v/>
      </c>
    </row>
    <row r="643" spans="1:23" ht="63" customHeight="1" x14ac:dyDescent="0.25">
      <c r="A643" s="42" t="s">
        <v>3032</v>
      </c>
      <c r="B643" s="42" t="s">
        <v>3033</v>
      </c>
      <c r="C643" s="43" t="s">
        <v>1463</v>
      </c>
      <c r="D643" s="43" t="s">
        <v>110</v>
      </c>
      <c r="E643" s="44" t="s">
        <v>3034</v>
      </c>
      <c r="F643" s="44" t="s">
        <v>3035</v>
      </c>
      <c r="G643" s="45" t="s">
        <v>34</v>
      </c>
      <c r="H643" s="47">
        <v>46217</v>
      </c>
      <c r="I643" s="47">
        <v>46231</v>
      </c>
      <c r="J643" s="43" t="s">
        <v>104</v>
      </c>
      <c r="K643" s="43" t="s">
        <v>94</v>
      </c>
      <c r="L643" s="49"/>
      <c r="M643" s="49"/>
      <c r="N643" s="49"/>
      <c r="O643" s="48"/>
      <c r="P643" s="49">
        <f t="shared" si="30"/>
        <v>0</v>
      </c>
      <c r="R643" s="50" t="str">
        <f t="shared" si="31"/>
        <v/>
      </c>
      <c r="U643" s="28">
        <f>IF($C643&lt;&gt;"",COUNTIF($C$2:C643,C643),"")</f>
        <v>10</v>
      </c>
      <c r="V643" s="28" t="str">
        <f t="shared" si="32"/>
        <v>Prof. Dr. Taylan KAV§10</v>
      </c>
      <c r="W643" s="28" t="str">
        <f>IF(U643=1,COUNTIF($U$2:U643,1),"")</f>
        <v/>
      </c>
    </row>
    <row r="644" spans="1:23" ht="94.5" customHeight="1" x14ac:dyDescent="0.25">
      <c r="A644" s="42" t="s">
        <v>3036</v>
      </c>
      <c r="B644" s="42" t="s">
        <v>3037</v>
      </c>
      <c r="C644" s="43" t="s">
        <v>702</v>
      </c>
      <c r="D644" s="43" t="s">
        <v>378</v>
      </c>
      <c r="E644" s="44" t="s">
        <v>3038</v>
      </c>
      <c r="F644" s="44" t="s">
        <v>3039</v>
      </c>
      <c r="G644" s="45" t="s">
        <v>34</v>
      </c>
      <c r="H644" s="47">
        <v>46217</v>
      </c>
      <c r="I644" s="47">
        <v>46231</v>
      </c>
      <c r="J644" s="43" t="s">
        <v>104</v>
      </c>
      <c r="K644" s="43" t="s">
        <v>95</v>
      </c>
      <c r="L644" s="49"/>
      <c r="M644" s="49"/>
      <c r="N644" s="49"/>
      <c r="O644" s="48"/>
      <c r="P644" s="49">
        <f t="shared" si="30"/>
        <v>0</v>
      </c>
      <c r="R644" s="50" t="str">
        <f t="shared" si="31"/>
        <v/>
      </c>
      <c r="U644" s="28">
        <f>IF($C644&lt;&gt;"",COUNTIF($C$2:C644,C644),"")</f>
        <v>5</v>
      </c>
      <c r="V644" s="28" t="str">
        <f t="shared" si="32"/>
        <v>Prof. Dr. Alp ÇETİN§5</v>
      </c>
      <c r="W644" s="28" t="str">
        <f>IF(U644=1,COUNTIF($U$2:U644,1),"")</f>
        <v/>
      </c>
    </row>
    <row r="645" spans="1:23" ht="63" customHeight="1" x14ac:dyDescent="0.25">
      <c r="A645" s="42" t="s">
        <v>3040</v>
      </c>
      <c r="B645" s="42" t="s">
        <v>3041</v>
      </c>
      <c r="C645" s="43" t="s">
        <v>1238</v>
      </c>
      <c r="D645" s="43" t="s">
        <v>237</v>
      </c>
      <c r="E645" s="44" t="s">
        <v>3042</v>
      </c>
      <c r="F645" s="44" t="s">
        <v>3043</v>
      </c>
      <c r="G645" s="45" t="s">
        <v>34</v>
      </c>
      <c r="H645" s="47">
        <v>46217</v>
      </c>
      <c r="I645" s="47">
        <v>46231</v>
      </c>
      <c r="J645" s="43" t="s">
        <v>77</v>
      </c>
      <c r="K645" s="43" t="s">
        <v>86</v>
      </c>
      <c r="L645" s="49"/>
      <c r="M645" s="49"/>
      <c r="N645" s="49"/>
      <c r="O645" s="48"/>
      <c r="P645" s="49">
        <f t="shared" si="30"/>
        <v>0</v>
      </c>
      <c r="R645" s="50" t="str">
        <f t="shared" si="31"/>
        <v/>
      </c>
      <c r="U645" s="28">
        <f>IF($C645&lt;&gt;"",COUNTIF($C$2:C645,C645),"")</f>
        <v>5</v>
      </c>
      <c r="V645" s="28" t="str">
        <f t="shared" si="32"/>
        <v>Prof. Dr. Özlem TEKŞAM§5</v>
      </c>
      <c r="W645" s="28" t="str">
        <f>IF(U645=1,COUNTIF($U$2:U645,1),"")</f>
        <v/>
      </c>
    </row>
    <row r="646" spans="1:23" ht="63" customHeight="1" x14ac:dyDescent="0.25">
      <c r="A646" s="42" t="s">
        <v>3044</v>
      </c>
      <c r="B646" s="42" t="s">
        <v>3045</v>
      </c>
      <c r="C646" s="43" t="s">
        <v>1238</v>
      </c>
      <c r="D646" s="43" t="s">
        <v>237</v>
      </c>
      <c r="E646" s="44" t="s">
        <v>3046</v>
      </c>
      <c r="F646" s="44" t="s">
        <v>3047</v>
      </c>
      <c r="G646" s="45" t="s">
        <v>35</v>
      </c>
      <c r="H646" s="47">
        <v>46217</v>
      </c>
      <c r="I646" s="47">
        <v>46231</v>
      </c>
      <c r="J646" s="43" t="s">
        <v>77</v>
      </c>
      <c r="K646" s="43" t="s">
        <v>86</v>
      </c>
      <c r="L646" s="49"/>
      <c r="M646" s="49"/>
      <c r="N646" s="49"/>
      <c r="O646" s="48"/>
      <c r="P646" s="49">
        <f t="shared" si="30"/>
        <v>0</v>
      </c>
      <c r="R646" s="50" t="str">
        <f t="shared" si="31"/>
        <v/>
      </c>
      <c r="U646" s="28">
        <f>IF($C646&lt;&gt;"",COUNTIF($C$2:C646,C646),"")</f>
        <v>6</v>
      </c>
      <c r="V646" s="28" t="str">
        <f t="shared" si="32"/>
        <v>Prof. Dr. Özlem TEKŞAM§6</v>
      </c>
      <c r="W646" s="28" t="str">
        <f>IF(U646=1,COUNTIF($U$2:U646,1),"")</f>
        <v/>
      </c>
    </row>
    <row r="647" spans="1:23" ht="157.5" customHeight="1" x14ac:dyDescent="0.25">
      <c r="A647" s="42" t="s">
        <v>3048</v>
      </c>
      <c r="B647" s="42" t="s">
        <v>3049</v>
      </c>
      <c r="C647" s="43" t="s">
        <v>3050</v>
      </c>
      <c r="D647" s="43" t="s">
        <v>237</v>
      </c>
      <c r="E647" s="44" t="s">
        <v>3051</v>
      </c>
      <c r="F647" s="44" t="s">
        <v>3052</v>
      </c>
      <c r="G647" s="45" t="s">
        <v>34</v>
      </c>
      <c r="H647" s="47">
        <v>46217</v>
      </c>
      <c r="I647" s="47">
        <v>46231</v>
      </c>
      <c r="J647" s="43" t="s">
        <v>94</v>
      </c>
      <c r="K647" s="43" t="s">
        <v>128</v>
      </c>
      <c r="L647" s="49"/>
      <c r="M647" s="49"/>
      <c r="N647" s="49"/>
      <c r="O647" s="48"/>
      <c r="P647" s="49">
        <f t="shared" si="30"/>
        <v>0</v>
      </c>
      <c r="R647" s="50" t="str">
        <f t="shared" si="31"/>
        <v/>
      </c>
      <c r="U647" s="28">
        <f>IF($C647&lt;&gt;"",COUNTIF($C$2:C647,C647),"")</f>
        <v>1</v>
      </c>
      <c r="V647" s="28" t="str">
        <f t="shared" si="32"/>
        <v>Prof. Dr. Göknur HALİLOĞLU§1</v>
      </c>
      <c r="W647" s="28">
        <f>IF(U647=1,COUNTIF($U$2:U647,1),"")</f>
        <v>318</v>
      </c>
    </row>
    <row r="648" spans="1:23" ht="65.25" customHeight="1" x14ac:dyDescent="0.25">
      <c r="A648" s="42" t="s">
        <v>3053</v>
      </c>
      <c r="B648" s="42" t="s">
        <v>3054</v>
      </c>
      <c r="C648" s="43" t="s">
        <v>85</v>
      </c>
      <c r="D648" s="43" t="s">
        <v>3055</v>
      </c>
      <c r="E648" s="44" t="s">
        <v>3056</v>
      </c>
      <c r="F648" s="44" t="s">
        <v>3057</v>
      </c>
      <c r="G648" s="45" t="s">
        <v>37</v>
      </c>
      <c r="H648" s="47">
        <v>46217</v>
      </c>
      <c r="I648" s="47">
        <v>46231</v>
      </c>
      <c r="J648" s="43" t="s">
        <v>67</v>
      </c>
      <c r="K648" s="43" t="s">
        <v>94</v>
      </c>
      <c r="L648" s="49"/>
      <c r="M648" s="49"/>
      <c r="N648" s="49"/>
      <c r="O648" s="48"/>
      <c r="P648" s="49">
        <f t="shared" si="30"/>
        <v>0</v>
      </c>
      <c r="R648" s="50" t="str">
        <f t="shared" si="31"/>
        <v/>
      </c>
      <c r="U648" s="28">
        <f>IF($C648&lt;&gt;"",COUNTIF($C$2:C648,C648),"")</f>
        <v>1</v>
      </c>
      <c r="V648" s="28" t="str">
        <f t="shared" si="32"/>
        <v>Dr. Öğr. Üyesi Müge DEMİR§1</v>
      </c>
      <c r="W648" s="28">
        <f>IF(U648=1,COUNTIF($U$2:U648,1),"")</f>
        <v>319</v>
      </c>
    </row>
    <row r="649" spans="1:23" ht="63" customHeight="1" x14ac:dyDescent="0.25">
      <c r="A649" s="42" t="s">
        <v>3058</v>
      </c>
      <c r="B649" s="42" t="s">
        <v>3059</v>
      </c>
      <c r="C649" s="43" t="s">
        <v>1564</v>
      </c>
      <c r="D649" s="43" t="s">
        <v>110</v>
      </c>
      <c r="E649" s="44" t="s">
        <v>3060</v>
      </c>
      <c r="F649" s="44" t="s">
        <v>3061</v>
      </c>
      <c r="G649" s="45" t="s">
        <v>34</v>
      </c>
      <c r="H649" s="47">
        <v>46217</v>
      </c>
      <c r="I649" s="47">
        <v>46231</v>
      </c>
      <c r="J649" s="43" t="s">
        <v>128</v>
      </c>
      <c r="K649" s="43" t="s">
        <v>77</v>
      </c>
      <c r="L649" s="49"/>
      <c r="M649" s="49"/>
      <c r="N649" s="49"/>
      <c r="O649" s="48"/>
      <c r="P649" s="49">
        <f t="shared" si="30"/>
        <v>0</v>
      </c>
      <c r="R649" s="50" t="str">
        <f t="shared" si="31"/>
        <v/>
      </c>
      <c r="U649" s="28">
        <f>IF($C649&lt;&gt;"",COUNTIF($C$2:C649,C649),"")</f>
        <v>2</v>
      </c>
      <c r="V649" s="28" t="str">
        <f t="shared" si="32"/>
        <v>Doç. Dr. Oğuz Abdullah UYAROĞLU§2</v>
      </c>
      <c r="W649" s="28" t="str">
        <f>IF(U649=1,COUNTIF($U$2:U649,1),"")</f>
        <v/>
      </c>
    </row>
    <row r="650" spans="1:23" ht="64.5" customHeight="1" x14ac:dyDescent="0.25">
      <c r="A650" s="42" t="s">
        <v>3062</v>
      </c>
      <c r="B650" s="42" t="s">
        <v>3063</v>
      </c>
      <c r="C650" s="43" t="s">
        <v>591</v>
      </c>
      <c r="D650" s="43" t="s">
        <v>110</v>
      </c>
      <c r="E650" s="44" t="s">
        <v>3064</v>
      </c>
      <c r="F650" s="44" t="s">
        <v>3065</v>
      </c>
      <c r="G650" s="45" t="s">
        <v>34</v>
      </c>
      <c r="H650" s="47">
        <v>46217</v>
      </c>
      <c r="I650" s="47">
        <v>46231</v>
      </c>
      <c r="J650" s="43" t="s">
        <v>104</v>
      </c>
      <c r="K650" s="43" t="s">
        <v>77</v>
      </c>
      <c r="L650" s="49"/>
      <c r="M650" s="49"/>
      <c r="N650" s="49"/>
      <c r="O650" s="48"/>
      <c r="P650" s="49">
        <f t="shared" si="30"/>
        <v>0</v>
      </c>
      <c r="R650" s="50" t="str">
        <f t="shared" si="31"/>
        <v/>
      </c>
      <c r="U650" s="28">
        <f>IF($C650&lt;&gt;"",COUNTIF($C$2:C650,C650),"")</f>
        <v>2</v>
      </c>
      <c r="V650" s="28" t="str">
        <f t="shared" si="32"/>
        <v>Doç. Dr. Hacı Hasan YETER§2</v>
      </c>
      <c r="W650" s="28" t="str">
        <f>IF(U650=1,COUNTIF($U$2:U650,1),"")</f>
        <v/>
      </c>
    </row>
    <row r="651" spans="1:23" ht="64.5" customHeight="1" x14ac:dyDescent="0.25">
      <c r="A651" s="42" t="s">
        <v>3066</v>
      </c>
      <c r="B651" s="42" t="s">
        <v>3067</v>
      </c>
      <c r="C651" s="43" t="s">
        <v>591</v>
      </c>
      <c r="D651" s="43" t="s">
        <v>110</v>
      </c>
      <c r="E651" s="44" t="s">
        <v>3064</v>
      </c>
      <c r="F651" s="44" t="s">
        <v>3068</v>
      </c>
      <c r="G651" s="45" t="s">
        <v>34</v>
      </c>
      <c r="H651" s="47">
        <v>46217</v>
      </c>
      <c r="I651" s="47">
        <v>46231</v>
      </c>
      <c r="J651" s="43" t="s">
        <v>77</v>
      </c>
      <c r="K651" s="43" t="s">
        <v>104</v>
      </c>
      <c r="L651" s="49"/>
      <c r="M651" s="49"/>
      <c r="N651" s="49"/>
      <c r="O651" s="48"/>
      <c r="P651" s="49">
        <f t="shared" si="30"/>
        <v>0</v>
      </c>
      <c r="R651" s="50" t="str">
        <f t="shared" si="31"/>
        <v/>
      </c>
      <c r="U651" s="28">
        <f>IF($C651&lt;&gt;"",COUNTIF($C$2:C651,C651),"")</f>
        <v>3</v>
      </c>
      <c r="V651" s="28" t="str">
        <f t="shared" si="32"/>
        <v>Doç. Dr. Hacı Hasan YETER§3</v>
      </c>
      <c r="W651" s="28" t="str">
        <f>IF(U651=1,COUNTIF($U$2:U651,1),"")</f>
        <v/>
      </c>
    </row>
    <row r="652" spans="1:23" ht="96" customHeight="1" x14ac:dyDescent="0.25">
      <c r="A652" s="42" t="s">
        <v>3069</v>
      </c>
      <c r="B652" s="42" t="s">
        <v>3070</v>
      </c>
      <c r="C652" s="43" t="s">
        <v>2502</v>
      </c>
      <c r="D652" s="43" t="s">
        <v>2503</v>
      </c>
      <c r="E652" s="44" t="s">
        <v>3071</v>
      </c>
      <c r="F652" s="44" t="s">
        <v>3072</v>
      </c>
      <c r="G652" s="45" t="s">
        <v>35</v>
      </c>
      <c r="H652" s="47">
        <v>46219</v>
      </c>
      <c r="I652" s="47">
        <v>46231</v>
      </c>
      <c r="J652" s="43" t="s">
        <v>67</v>
      </c>
      <c r="K652" s="43" t="s">
        <v>68</v>
      </c>
      <c r="L652" s="49"/>
      <c r="M652" s="49"/>
      <c r="N652" s="49"/>
      <c r="O652" s="48"/>
      <c r="P652" s="49">
        <f t="shared" si="30"/>
        <v>0</v>
      </c>
      <c r="R652" s="50" t="str">
        <f t="shared" si="31"/>
        <v/>
      </c>
      <c r="U652" s="28">
        <f>IF($C652&lt;&gt;"",COUNTIF($C$2:C652,C652),"")</f>
        <v>2</v>
      </c>
      <c r="V652" s="28" t="str">
        <f t="shared" si="32"/>
        <v>Doç. Dr. Şahin HANALİOĞLU§2</v>
      </c>
      <c r="W652" s="28" t="str">
        <f>IF(U652=1,COUNTIF($U$2:U652,1),"")</f>
        <v/>
      </c>
    </row>
    <row r="653" spans="1:23" ht="63" customHeight="1" x14ac:dyDescent="0.25">
      <c r="A653" s="42" t="s">
        <v>3073</v>
      </c>
      <c r="B653" s="42" t="s">
        <v>3074</v>
      </c>
      <c r="C653" s="43" t="s">
        <v>3075</v>
      </c>
      <c r="D653" s="43" t="s">
        <v>110</v>
      </c>
      <c r="E653" s="44" t="s">
        <v>3076</v>
      </c>
      <c r="F653" s="44" t="s">
        <v>3077</v>
      </c>
      <c r="G653" s="45" t="s">
        <v>34</v>
      </c>
      <c r="H653" s="47">
        <v>46220</v>
      </c>
      <c r="I653" s="47">
        <v>46231</v>
      </c>
      <c r="J653" s="43" t="s">
        <v>67</v>
      </c>
      <c r="K653" s="43" t="s">
        <v>86</v>
      </c>
      <c r="L653" s="49"/>
      <c r="M653" s="49"/>
      <c r="N653" s="49"/>
      <c r="O653" s="48"/>
      <c r="P653" s="49">
        <f t="shared" si="30"/>
        <v>0</v>
      </c>
      <c r="R653" s="50" t="str">
        <f t="shared" si="31"/>
        <v/>
      </c>
      <c r="U653" s="28">
        <f>IF($C653&lt;&gt;"",COUNTIF($C$2:C653,C653),"")</f>
        <v>1</v>
      </c>
      <c r="V653" s="28" t="str">
        <f t="shared" si="32"/>
        <v>Prof. Dr. Arzu TOPELİ İSKİT§1</v>
      </c>
      <c r="W653" s="28">
        <f>IF(U653=1,COUNTIF($U$2:U653,1),"")</f>
        <v>320</v>
      </c>
    </row>
    <row r="654" spans="1:23" ht="94.5" customHeight="1" x14ac:dyDescent="0.25">
      <c r="A654" s="42" t="s">
        <v>3078</v>
      </c>
      <c r="B654" s="42" t="s">
        <v>3079</v>
      </c>
      <c r="C654" s="43" t="s">
        <v>3080</v>
      </c>
      <c r="D654" s="43" t="s">
        <v>237</v>
      </c>
      <c r="E654" s="44" t="s">
        <v>3081</v>
      </c>
      <c r="F654" s="44" t="s">
        <v>3082</v>
      </c>
      <c r="G654" s="45" t="s">
        <v>34</v>
      </c>
      <c r="H654" s="47">
        <v>46220</v>
      </c>
      <c r="I654" s="47">
        <v>46231</v>
      </c>
      <c r="J654" s="43" t="s">
        <v>68</v>
      </c>
      <c r="K654" s="43" t="s">
        <v>121</v>
      </c>
      <c r="L654" s="49"/>
      <c r="M654" s="49"/>
      <c r="N654" s="49"/>
      <c r="O654" s="48"/>
      <c r="P654" s="49">
        <f t="shared" si="30"/>
        <v>0</v>
      </c>
      <c r="R654" s="50" t="str">
        <f t="shared" si="31"/>
        <v/>
      </c>
      <c r="U654" s="28">
        <f>IF($C654&lt;&gt;"",COUNTIF($C$2:C654,C654),"")</f>
        <v>1</v>
      </c>
      <c r="V654" s="28" t="str">
        <f t="shared" si="32"/>
        <v>Prof. Dr. Ümit Murat ŞAHİNER§1</v>
      </c>
      <c r="W654" s="28">
        <f>IF(U654=1,COUNTIF($U$2:U654,1),"")</f>
        <v>321</v>
      </c>
    </row>
    <row r="655" spans="1:23" ht="63" customHeight="1" x14ac:dyDescent="0.25">
      <c r="A655" s="42" t="s">
        <v>3083</v>
      </c>
      <c r="B655" s="42" t="s">
        <v>3084</v>
      </c>
      <c r="C655" s="43" t="s">
        <v>262</v>
      </c>
      <c r="D655" s="43" t="s">
        <v>110</v>
      </c>
      <c r="E655" s="44" t="s">
        <v>3085</v>
      </c>
      <c r="F655" s="44" t="s">
        <v>3086</v>
      </c>
      <c r="G655" s="45" t="s">
        <v>34</v>
      </c>
      <c r="H655" s="47">
        <v>46220</v>
      </c>
      <c r="I655" s="47">
        <v>46231</v>
      </c>
      <c r="J655" s="43" t="s">
        <v>105</v>
      </c>
      <c r="K655" s="43" t="s">
        <v>95</v>
      </c>
      <c r="L655" s="49"/>
      <c r="M655" s="49"/>
      <c r="N655" s="49"/>
      <c r="O655" s="48"/>
      <c r="P655" s="49">
        <f t="shared" si="30"/>
        <v>0</v>
      </c>
      <c r="R655" s="50" t="str">
        <f t="shared" si="31"/>
        <v/>
      </c>
      <c r="U655" s="28">
        <f>IF($C655&lt;&gt;"",COUNTIF($C$2:C655,C655),"")</f>
        <v>5</v>
      </c>
      <c r="V655" s="28" t="str">
        <f t="shared" si="32"/>
        <v>Doç. Dr. Levent KILIÇ§5</v>
      </c>
      <c r="W655" s="28" t="str">
        <f>IF(U655=1,COUNTIF($U$2:U655,1),"")</f>
        <v/>
      </c>
    </row>
    <row r="656" spans="1:23" ht="63" customHeight="1" x14ac:dyDescent="0.25">
      <c r="A656" s="42" t="s">
        <v>3087</v>
      </c>
      <c r="B656" s="42" t="s">
        <v>3088</v>
      </c>
      <c r="C656" s="43" t="s">
        <v>3089</v>
      </c>
      <c r="D656" s="43" t="s">
        <v>110</v>
      </c>
      <c r="E656" s="44" t="s">
        <v>3090</v>
      </c>
      <c r="F656" s="44" t="s">
        <v>3091</v>
      </c>
      <c r="G656" s="45" t="s">
        <v>34</v>
      </c>
      <c r="H656" s="47">
        <v>46220</v>
      </c>
      <c r="I656" s="47">
        <v>46231</v>
      </c>
      <c r="J656" s="43" t="s">
        <v>86</v>
      </c>
      <c r="K656" s="43" t="s">
        <v>128</v>
      </c>
      <c r="L656" s="49"/>
      <c r="M656" s="49"/>
      <c r="N656" s="49"/>
      <c r="O656" s="48"/>
      <c r="P656" s="49">
        <f t="shared" si="30"/>
        <v>0</v>
      </c>
      <c r="R656" s="50" t="str">
        <f t="shared" si="31"/>
        <v/>
      </c>
      <c r="U656" s="28">
        <f>IF($C656&lt;&gt;"",COUNTIF($C$2:C656,C656),"")</f>
        <v>1</v>
      </c>
      <c r="V656" s="28" t="str">
        <f t="shared" si="32"/>
        <v>Prof. Dr. Ali AKDOĞAN§1</v>
      </c>
      <c r="W656" s="28">
        <f>IF(U656=1,COUNTIF($U$2:U656,1),"")</f>
        <v>322</v>
      </c>
    </row>
    <row r="657" spans="1:23" ht="78.75" customHeight="1" x14ac:dyDescent="0.25">
      <c r="A657" s="42" t="s">
        <v>3092</v>
      </c>
      <c r="B657" s="42" t="s">
        <v>3093</v>
      </c>
      <c r="C657" s="43" t="s">
        <v>2263</v>
      </c>
      <c r="D657" s="43" t="s">
        <v>515</v>
      </c>
      <c r="E657" s="44" t="s">
        <v>3094</v>
      </c>
      <c r="F657" s="44" t="s">
        <v>3095</v>
      </c>
      <c r="G657" s="45" t="s">
        <v>35</v>
      </c>
      <c r="H657" s="47">
        <v>46220</v>
      </c>
      <c r="I657" s="47">
        <v>46231</v>
      </c>
      <c r="J657" s="43" t="s">
        <v>86</v>
      </c>
      <c r="K657" s="43" t="s">
        <v>95</v>
      </c>
      <c r="L657" s="49"/>
      <c r="M657" s="49"/>
      <c r="N657" s="49"/>
      <c r="O657" s="48"/>
      <c r="P657" s="49">
        <f t="shared" si="30"/>
        <v>0</v>
      </c>
      <c r="R657" s="50" t="str">
        <f t="shared" si="31"/>
        <v/>
      </c>
      <c r="U657" s="28">
        <f>IF($C657&lt;&gt;"",COUNTIF($C$2:C657,C657),"")</f>
        <v>2</v>
      </c>
      <c r="V657" s="28" t="str">
        <f t="shared" si="32"/>
        <v>Prof. Dr. Şevket Murat ÖZBEK§2</v>
      </c>
      <c r="W657" s="28" t="str">
        <f>IF(U657=1,COUNTIF($U$2:U657,1),"")</f>
        <v/>
      </c>
    </row>
    <row r="658" spans="1:23" ht="94.5" customHeight="1" x14ac:dyDescent="0.25">
      <c r="A658" s="42" t="s">
        <v>3096</v>
      </c>
      <c r="B658" s="42" t="s">
        <v>3097</v>
      </c>
      <c r="C658" s="43" t="s">
        <v>3098</v>
      </c>
      <c r="D658" s="43" t="s">
        <v>1627</v>
      </c>
      <c r="E658" s="44" t="s">
        <v>3099</v>
      </c>
      <c r="F658" s="44" t="s">
        <v>3100</v>
      </c>
      <c r="G658" s="45" t="s">
        <v>35</v>
      </c>
      <c r="H658" s="47">
        <v>46223</v>
      </c>
      <c r="I658" s="47">
        <v>46231</v>
      </c>
      <c r="J658" s="43" t="s">
        <v>121</v>
      </c>
      <c r="K658" s="43" t="s">
        <v>113</v>
      </c>
      <c r="L658" s="49"/>
      <c r="M658" s="49"/>
      <c r="N658" s="49"/>
      <c r="O658" s="48"/>
      <c r="P658" s="49">
        <f t="shared" si="30"/>
        <v>0</v>
      </c>
      <c r="R658" s="50" t="str">
        <f t="shared" si="31"/>
        <v/>
      </c>
      <c r="U658" s="28">
        <f>IF($C658&lt;&gt;"",COUNTIF($C$2:C658,C658),"")</f>
        <v>1</v>
      </c>
      <c r="V658" s="28" t="str">
        <f t="shared" si="32"/>
        <v>Prof. Dr. Meryem UZAMIŞ TEKÇİÇEK§1</v>
      </c>
      <c r="W658" s="28">
        <f>IF(U658=1,COUNTIF($U$2:U658,1),"")</f>
        <v>323</v>
      </c>
    </row>
    <row r="659" spans="1:23" ht="78.75" customHeight="1" x14ac:dyDescent="0.25">
      <c r="A659" s="42" t="s">
        <v>3101</v>
      </c>
      <c r="B659" s="42" t="s">
        <v>3102</v>
      </c>
      <c r="C659" s="43" t="s">
        <v>1094</v>
      </c>
      <c r="D659" s="43" t="s">
        <v>515</v>
      </c>
      <c r="E659" s="44" t="s">
        <v>3103</v>
      </c>
      <c r="F659" s="44" t="s">
        <v>3104</v>
      </c>
      <c r="G659" s="45" t="s">
        <v>35</v>
      </c>
      <c r="H659" s="47">
        <v>46223</v>
      </c>
      <c r="I659" s="47">
        <v>46231</v>
      </c>
      <c r="J659" s="43" t="s">
        <v>121</v>
      </c>
      <c r="K659" s="43" t="s">
        <v>113</v>
      </c>
      <c r="L659" s="49"/>
      <c r="M659" s="49"/>
      <c r="N659" s="49"/>
      <c r="O659" s="48"/>
      <c r="P659" s="49">
        <f t="shared" si="30"/>
        <v>0</v>
      </c>
      <c r="R659" s="50" t="str">
        <f t="shared" si="31"/>
        <v/>
      </c>
      <c r="U659" s="28">
        <f>IF($C659&lt;&gt;"",COUNTIF($C$2:C659,C659),"")</f>
        <v>2</v>
      </c>
      <c r="V659" s="28" t="str">
        <f t="shared" si="32"/>
        <v>Dr. Öğr. Üyesi Hatice BOYACIOĞLU ERDEN§2</v>
      </c>
      <c r="W659" s="28" t="str">
        <f>IF(U659=1,COUNTIF($U$2:U659,1),"")</f>
        <v/>
      </c>
    </row>
    <row r="660" spans="1:23" ht="94.5" customHeight="1" x14ac:dyDescent="0.25">
      <c r="A660" s="42" t="s">
        <v>3105</v>
      </c>
      <c r="B660" s="42" t="s">
        <v>3106</v>
      </c>
      <c r="C660" s="43" t="s">
        <v>3107</v>
      </c>
      <c r="D660" s="43" t="s">
        <v>237</v>
      </c>
      <c r="E660" s="44" t="s">
        <v>3108</v>
      </c>
      <c r="F660" s="44" t="s">
        <v>3109</v>
      </c>
      <c r="G660" s="45" t="s">
        <v>34</v>
      </c>
      <c r="H660" s="47">
        <v>46223</v>
      </c>
      <c r="I660" s="47">
        <v>46231</v>
      </c>
      <c r="J660" s="43" t="s">
        <v>94</v>
      </c>
      <c r="K660" s="43" t="s">
        <v>95</v>
      </c>
      <c r="L660" s="49"/>
      <c r="M660" s="49"/>
      <c r="N660" s="49"/>
      <c r="O660" s="48"/>
      <c r="P660" s="49">
        <f t="shared" si="30"/>
        <v>0</v>
      </c>
      <c r="R660" s="50" t="str">
        <f t="shared" si="31"/>
        <v/>
      </c>
      <c r="U660" s="28">
        <f>IF($C660&lt;&gt;"",COUNTIF($C$2:C660,C660),"")</f>
        <v>1</v>
      </c>
      <c r="V660" s="28" t="str">
        <f t="shared" si="32"/>
        <v>Prof. Dr. Özge UYSAL SOYER§1</v>
      </c>
      <c r="W660" s="28">
        <f>IF(U660=1,COUNTIF($U$2:U660,1),"")</f>
        <v>324</v>
      </c>
    </row>
    <row r="661" spans="1:23" ht="111.75" customHeight="1" x14ac:dyDescent="0.25">
      <c r="A661" s="42" t="s">
        <v>3110</v>
      </c>
      <c r="B661" s="42" t="s">
        <v>3111</v>
      </c>
      <c r="C661" s="43" t="s">
        <v>3107</v>
      </c>
      <c r="D661" s="43" t="s">
        <v>237</v>
      </c>
      <c r="E661" s="44" t="s">
        <v>3112</v>
      </c>
      <c r="F661" s="44" t="s">
        <v>3113</v>
      </c>
      <c r="G661" s="45" t="s">
        <v>34</v>
      </c>
      <c r="H661" s="47">
        <v>46223</v>
      </c>
      <c r="I661" s="47">
        <v>46231</v>
      </c>
      <c r="J661" s="43" t="s">
        <v>94</v>
      </c>
      <c r="K661" s="43" t="s">
        <v>95</v>
      </c>
      <c r="L661" s="49"/>
      <c r="M661" s="49"/>
      <c r="N661" s="49"/>
      <c r="O661" s="48"/>
      <c r="P661" s="49">
        <f t="shared" si="30"/>
        <v>0</v>
      </c>
      <c r="R661" s="50" t="str">
        <f t="shared" si="31"/>
        <v/>
      </c>
      <c r="U661" s="28">
        <f>IF($C661&lt;&gt;"",COUNTIF($C$2:C661,C661),"")</f>
        <v>2</v>
      </c>
      <c r="V661" s="28" t="str">
        <f t="shared" si="32"/>
        <v>Prof. Dr. Özge UYSAL SOYER§2</v>
      </c>
      <c r="W661" s="28" t="str">
        <f>IF(U661=1,COUNTIF($U$2:U661,1),"")</f>
        <v/>
      </c>
    </row>
    <row r="662" spans="1:23" ht="78.75" customHeight="1" x14ac:dyDescent="0.25">
      <c r="A662" s="42" t="s">
        <v>3114</v>
      </c>
      <c r="B662" s="42" t="s">
        <v>3115</v>
      </c>
      <c r="C662" s="43" t="s">
        <v>167</v>
      </c>
      <c r="D662" s="43" t="s">
        <v>168</v>
      </c>
      <c r="E662" s="44" t="s">
        <v>257</v>
      </c>
      <c r="F662" s="44" t="s">
        <v>3116</v>
      </c>
      <c r="G662" s="45" t="s">
        <v>34</v>
      </c>
      <c r="H662" s="47">
        <v>46223</v>
      </c>
      <c r="I662" s="47">
        <v>46231</v>
      </c>
      <c r="J662" s="43" t="s">
        <v>113</v>
      </c>
      <c r="K662" s="43" t="s">
        <v>128</v>
      </c>
      <c r="L662" s="49"/>
      <c r="M662" s="49"/>
      <c r="N662" s="49"/>
      <c r="O662" s="48"/>
      <c r="P662" s="49">
        <f t="shared" si="30"/>
        <v>0</v>
      </c>
      <c r="R662" s="50" t="str">
        <f t="shared" si="31"/>
        <v/>
      </c>
      <c r="U662" s="28">
        <f>IF($C662&lt;&gt;"",COUNTIF($C$2:C662,C662),"")</f>
        <v>3</v>
      </c>
      <c r="V662" s="28" t="str">
        <f t="shared" si="32"/>
        <v>Dr. Öğr. Üyesi Yiğitcan KARANFİL§3</v>
      </c>
      <c r="W662" s="28" t="str">
        <f>IF(U662=1,COUNTIF($U$2:U662,1),"")</f>
        <v/>
      </c>
    </row>
    <row r="663" spans="1:23" ht="110.25" customHeight="1" x14ac:dyDescent="0.25">
      <c r="A663" s="42" t="s">
        <v>3117</v>
      </c>
      <c r="B663" s="42" t="s">
        <v>3118</v>
      </c>
      <c r="C663" s="43" t="s">
        <v>712</v>
      </c>
      <c r="D663" s="43" t="s">
        <v>110</v>
      </c>
      <c r="E663" s="44" t="s">
        <v>3119</v>
      </c>
      <c r="F663" s="44" t="s">
        <v>3120</v>
      </c>
      <c r="G663" s="45" t="s">
        <v>34</v>
      </c>
      <c r="H663" s="47">
        <v>46223</v>
      </c>
      <c r="I663" s="47">
        <v>46231</v>
      </c>
      <c r="J663" s="43" t="s">
        <v>128</v>
      </c>
      <c r="K663" s="43" t="s">
        <v>94</v>
      </c>
      <c r="L663" s="49"/>
      <c r="M663" s="49"/>
      <c r="N663" s="49"/>
      <c r="O663" s="48"/>
      <c r="P663" s="49">
        <f t="shared" si="30"/>
        <v>0</v>
      </c>
      <c r="R663" s="50" t="str">
        <f t="shared" si="31"/>
        <v/>
      </c>
      <c r="U663" s="28">
        <f>IF($C663&lt;&gt;"",COUNTIF($C$2:C663,C663),"")</f>
        <v>4</v>
      </c>
      <c r="V663" s="28" t="str">
        <f t="shared" si="32"/>
        <v>Prof. Dr. Hatice Yasemin BALABAN§4</v>
      </c>
      <c r="W663" s="28" t="str">
        <f>IF(U663=1,COUNTIF($U$2:U663,1),"")</f>
        <v/>
      </c>
    </row>
    <row r="664" spans="1:23" ht="63" customHeight="1" x14ac:dyDescent="0.25">
      <c r="A664" s="42" t="s">
        <v>3121</v>
      </c>
      <c r="B664" s="42" t="s">
        <v>3122</v>
      </c>
      <c r="C664" s="43" t="s">
        <v>988</v>
      </c>
      <c r="D664" s="43" t="s">
        <v>435</v>
      </c>
      <c r="E664" s="44" t="s">
        <v>3123</v>
      </c>
      <c r="F664" s="44" t="s">
        <v>3124</v>
      </c>
      <c r="G664" s="45" t="s">
        <v>34</v>
      </c>
      <c r="H664" s="47">
        <v>46223</v>
      </c>
      <c r="I664" s="47">
        <v>46231</v>
      </c>
      <c r="J664" s="43" t="s">
        <v>104</v>
      </c>
      <c r="K664" s="43" t="s">
        <v>68</v>
      </c>
      <c r="L664" s="49"/>
      <c r="M664" s="49"/>
      <c r="N664" s="49"/>
      <c r="O664" s="48"/>
      <c r="P664" s="49">
        <f t="shared" si="30"/>
        <v>0</v>
      </c>
      <c r="R664" s="50" t="str">
        <f t="shared" si="31"/>
        <v/>
      </c>
      <c r="U664" s="28">
        <f>IF($C664&lt;&gt;"",COUNTIF($C$2:C664,C664),"")</f>
        <v>4</v>
      </c>
      <c r="V664" s="28" t="str">
        <f t="shared" si="32"/>
        <v>Doç. Dr. Mesut ALTAN§4</v>
      </c>
      <c r="W664" s="28" t="str">
        <f>IF(U664=1,COUNTIF($U$2:U664,1),"")</f>
        <v/>
      </c>
    </row>
    <row r="665" spans="1:23" ht="110.25" customHeight="1" x14ac:dyDescent="0.25">
      <c r="A665" s="42" t="s">
        <v>3125</v>
      </c>
      <c r="B665" s="42" t="s">
        <v>3126</v>
      </c>
      <c r="C665" s="43" t="s">
        <v>6018</v>
      </c>
      <c r="D665" s="43" t="s">
        <v>237</v>
      </c>
      <c r="E665" s="44" t="s">
        <v>3127</v>
      </c>
      <c r="F665" s="44" t="s">
        <v>3128</v>
      </c>
      <c r="G665" s="45" t="s">
        <v>34</v>
      </c>
      <c r="H665" s="47">
        <v>46224</v>
      </c>
      <c r="I665" s="47">
        <v>46231</v>
      </c>
      <c r="J665" s="43" t="s">
        <v>95</v>
      </c>
      <c r="K665" s="43" t="s">
        <v>68</v>
      </c>
      <c r="L665" s="49"/>
      <c r="M665" s="49"/>
      <c r="N665" s="49"/>
      <c r="O665" s="48"/>
      <c r="P665" s="49">
        <f t="shared" si="30"/>
        <v>0</v>
      </c>
      <c r="R665" s="50" t="str">
        <f t="shared" si="31"/>
        <v/>
      </c>
      <c r="U665" s="28">
        <f>IF($C665&lt;&gt;"",COUNTIF($C$2:C665,C665),"")</f>
        <v>1</v>
      </c>
      <c r="V665" s="28" t="str">
        <f t="shared" si="32"/>
        <v>Arş. Gör. Dr. İsmail Çağrı ÖZÜTOK§1</v>
      </c>
      <c r="W665" s="28">
        <f>IF(U665=1,COUNTIF($U$2:U665,1),"")</f>
        <v>325</v>
      </c>
    </row>
    <row r="666" spans="1:23" ht="80.25" customHeight="1" x14ac:dyDescent="0.25">
      <c r="A666" s="42" t="s">
        <v>3129</v>
      </c>
      <c r="B666" s="42" t="s">
        <v>3130</v>
      </c>
      <c r="C666" s="43" t="s">
        <v>3131</v>
      </c>
      <c r="D666" s="43" t="s">
        <v>110</v>
      </c>
      <c r="E666" s="44" t="s">
        <v>3132</v>
      </c>
      <c r="F666" s="44" t="s">
        <v>3133</v>
      </c>
      <c r="G666" s="45" t="s">
        <v>34</v>
      </c>
      <c r="H666" s="47">
        <v>46224</v>
      </c>
      <c r="I666" s="47">
        <v>46231</v>
      </c>
      <c r="J666" s="43" t="s">
        <v>67</v>
      </c>
      <c r="K666" s="43" t="s">
        <v>128</v>
      </c>
      <c r="L666" s="49"/>
      <c r="M666" s="49"/>
      <c r="N666" s="49"/>
      <c r="O666" s="48"/>
      <c r="P666" s="49">
        <f t="shared" si="30"/>
        <v>0</v>
      </c>
      <c r="R666" s="50" t="str">
        <f t="shared" si="31"/>
        <v/>
      </c>
      <c r="U666" s="28">
        <f>IF($C666&lt;&gt;"",COUNTIF($C$2:C666,C666),"")</f>
        <v>1</v>
      </c>
      <c r="V666" s="28" t="str">
        <f t="shared" si="32"/>
        <v>Dr. Öğr. Üyesi Bengi ÖZTÜRK§1</v>
      </c>
      <c r="W666" s="28">
        <f>IF(U666=1,COUNTIF($U$2:U666,1),"")</f>
        <v>326</v>
      </c>
    </row>
    <row r="667" spans="1:23" ht="78.75" customHeight="1" x14ac:dyDescent="0.25">
      <c r="A667" s="42" t="s">
        <v>3134</v>
      </c>
      <c r="B667" s="42" t="s">
        <v>3135</v>
      </c>
      <c r="C667" s="43" t="s">
        <v>2401</v>
      </c>
      <c r="D667" s="43" t="s">
        <v>320</v>
      </c>
      <c r="E667" s="44" t="s">
        <v>3136</v>
      </c>
      <c r="F667" s="44" t="s">
        <v>3137</v>
      </c>
      <c r="G667" s="45" t="s">
        <v>34</v>
      </c>
      <c r="H667" s="47">
        <v>46225</v>
      </c>
      <c r="I667" s="47">
        <v>46231</v>
      </c>
      <c r="J667" s="43" t="s">
        <v>67</v>
      </c>
      <c r="K667" s="43" t="s">
        <v>77</v>
      </c>
      <c r="L667" s="49"/>
      <c r="M667" s="49"/>
      <c r="N667" s="49"/>
      <c r="O667" s="48"/>
      <c r="P667" s="49">
        <f t="shared" si="30"/>
        <v>0</v>
      </c>
      <c r="R667" s="50" t="str">
        <f t="shared" si="31"/>
        <v/>
      </c>
      <c r="U667" s="28">
        <f>IF($C667&lt;&gt;"",COUNTIF($C$2:C667,C667),"")</f>
        <v>2</v>
      </c>
      <c r="V667" s="28" t="str">
        <f t="shared" si="32"/>
        <v>Prof. Dr. Levent SENNAROĞLU§2</v>
      </c>
      <c r="W667" s="28" t="str">
        <f>IF(U667=1,COUNTIF($U$2:U667,1),"")</f>
        <v/>
      </c>
    </row>
    <row r="668" spans="1:23" ht="47.25" x14ac:dyDescent="0.25">
      <c r="A668" s="42" t="s">
        <v>3138</v>
      </c>
      <c r="B668" s="42" t="s">
        <v>3139</v>
      </c>
      <c r="C668" s="43" t="s">
        <v>4465</v>
      </c>
      <c r="D668" s="43" t="s">
        <v>6016</v>
      </c>
      <c r="E668" s="44" t="s">
        <v>6017</v>
      </c>
      <c r="F668" s="44" t="s">
        <v>6015</v>
      </c>
      <c r="G668" s="45" t="s">
        <v>34</v>
      </c>
      <c r="H668" s="47">
        <v>46225</v>
      </c>
      <c r="I668" s="47">
        <v>46231</v>
      </c>
      <c r="J668" s="43" t="s">
        <v>105</v>
      </c>
      <c r="K668" s="43" t="s">
        <v>86</v>
      </c>
      <c r="L668" s="49"/>
      <c r="M668" s="49"/>
      <c r="N668" s="49"/>
      <c r="O668" s="48"/>
      <c r="P668" s="49">
        <f t="shared" si="30"/>
        <v>0</v>
      </c>
      <c r="R668" s="50" t="str">
        <f t="shared" si="31"/>
        <v/>
      </c>
      <c r="U668" s="28">
        <f>IF($C668&lt;&gt;"",COUNTIF($C$2:C668,C668),"")</f>
        <v>1</v>
      </c>
      <c r="V668" s="28" t="str">
        <f t="shared" si="32"/>
        <v>Prof. Dr. Turgut Emrah BOZKURT§1</v>
      </c>
      <c r="W668" s="28">
        <f>IF(U668=1,COUNTIF($U$2:U668,1),"")</f>
        <v>327</v>
      </c>
    </row>
    <row r="669" spans="1:23" ht="63" x14ac:dyDescent="0.25">
      <c r="A669" s="42" t="s">
        <v>3140</v>
      </c>
      <c r="B669" s="42" t="s">
        <v>3141</v>
      </c>
      <c r="C669" s="43" t="s">
        <v>1529</v>
      </c>
      <c r="D669" s="43" t="s">
        <v>110</v>
      </c>
      <c r="E669" s="44" t="s">
        <v>6019</v>
      </c>
      <c r="F669" s="44" t="s">
        <v>6020</v>
      </c>
      <c r="G669" s="45" t="s">
        <v>34</v>
      </c>
      <c r="H669" s="47">
        <v>46225</v>
      </c>
      <c r="I669" s="47">
        <v>46231</v>
      </c>
      <c r="J669" s="43" t="s">
        <v>67</v>
      </c>
      <c r="K669" s="43" t="s">
        <v>121</v>
      </c>
      <c r="L669" s="49"/>
      <c r="M669" s="49"/>
      <c r="N669" s="49"/>
      <c r="O669" s="48"/>
      <c r="P669" s="49">
        <f t="shared" si="30"/>
        <v>0</v>
      </c>
      <c r="R669" s="50" t="str">
        <f t="shared" si="31"/>
        <v/>
      </c>
      <c r="U669" s="28">
        <f>IF($C669&lt;&gt;"",COUNTIF($C$2:C669,C669),"")</f>
        <v>3</v>
      </c>
      <c r="V669" s="28" t="str">
        <f t="shared" si="32"/>
        <v>Prof. Dr. Hakan GÖKER§3</v>
      </c>
      <c r="W669" s="28" t="str">
        <f>IF(U669=1,COUNTIF($U$2:U669,1),"")</f>
        <v/>
      </c>
    </row>
    <row r="670" spans="1:23" ht="64.5" customHeight="1" x14ac:dyDescent="0.25">
      <c r="A670" s="42" t="s">
        <v>3142</v>
      </c>
      <c r="B670" s="42" t="s">
        <v>3143</v>
      </c>
      <c r="C670" s="43" t="s">
        <v>1616</v>
      </c>
      <c r="D670" s="43" t="s">
        <v>110</v>
      </c>
      <c r="E670" s="44" t="s">
        <v>6021</v>
      </c>
      <c r="F670" s="44" t="s">
        <v>6022</v>
      </c>
      <c r="G670" s="45" t="s">
        <v>34</v>
      </c>
      <c r="H670" s="47">
        <v>46225</v>
      </c>
      <c r="I670" s="47">
        <v>46231</v>
      </c>
      <c r="J670" s="43" t="s">
        <v>104</v>
      </c>
      <c r="K670" s="43" t="s">
        <v>121</v>
      </c>
      <c r="L670" s="49"/>
      <c r="M670" s="49"/>
      <c r="N670" s="49"/>
      <c r="O670" s="48"/>
      <c r="P670" s="49">
        <f t="shared" si="30"/>
        <v>0</v>
      </c>
      <c r="R670" s="50" t="str">
        <f t="shared" si="31"/>
        <v/>
      </c>
      <c r="U670" s="28">
        <f>IF($C670&lt;&gt;"",COUNTIF($C$2:C670,C670),"")</f>
        <v>7</v>
      </c>
      <c r="V670" s="28" t="str">
        <f t="shared" si="32"/>
        <v>Doç. Dr. Cafer BALCI§7</v>
      </c>
      <c r="W670" s="28" t="str">
        <f>IF(U670=1,COUNTIF($U$2:U670,1),"")</f>
        <v/>
      </c>
    </row>
    <row r="671" spans="1:23" ht="78.75" x14ac:dyDescent="0.25">
      <c r="A671" s="42" t="s">
        <v>3144</v>
      </c>
      <c r="B671" s="42" t="s">
        <v>3145</v>
      </c>
      <c r="C671" s="43" t="s">
        <v>4673</v>
      </c>
      <c r="D671" s="43" t="s">
        <v>1174</v>
      </c>
      <c r="E671" s="44" t="s">
        <v>6024</v>
      </c>
      <c r="F671" s="44" t="s">
        <v>6023</v>
      </c>
      <c r="G671" s="45" t="s">
        <v>35</v>
      </c>
      <c r="H671" s="47">
        <v>46225</v>
      </c>
      <c r="I671" s="47">
        <v>46231</v>
      </c>
      <c r="J671" s="43" t="s">
        <v>67</v>
      </c>
      <c r="K671" s="43" t="s">
        <v>113</v>
      </c>
      <c r="L671" s="49"/>
      <c r="M671" s="49"/>
      <c r="N671" s="49"/>
      <c r="O671" s="48"/>
      <c r="P671" s="49">
        <f t="shared" si="30"/>
        <v>0</v>
      </c>
      <c r="R671" s="50" t="str">
        <f t="shared" si="31"/>
        <v/>
      </c>
      <c r="U671" s="28">
        <f>IF($C671&lt;&gt;"",COUNTIF($C$2:C671,C671),"")</f>
        <v>1</v>
      </c>
      <c r="V671" s="28" t="str">
        <f t="shared" si="32"/>
        <v>Doç. Dr. Murat KARA§1</v>
      </c>
      <c r="W671" s="28">
        <f>IF(U671=1,COUNTIF($U$2:U671,1),"")</f>
        <v>328</v>
      </c>
    </row>
    <row r="672" spans="1:23" ht="15.75" customHeight="1" x14ac:dyDescent="0.25">
      <c r="A672" s="42" t="s">
        <v>3146</v>
      </c>
      <c r="B672" s="42" t="s">
        <v>3147</v>
      </c>
      <c r="C672" s="43"/>
      <c r="D672" s="43"/>
      <c r="E672" s="44"/>
      <c r="F672" s="44"/>
      <c r="G672" s="45"/>
      <c r="H672" s="47"/>
      <c r="I672" s="47"/>
      <c r="J672" s="43"/>
      <c r="K672" s="43"/>
      <c r="L672" s="49"/>
      <c r="M672" s="49"/>
      <c r="N672" s="49"/>
      <c r="O672" s="48"/>
      <c r="P672" s="49">
        <f t="shared" si="30"/>
        <v>0</v>
      </c>
      <c r="R672" s="50" t="str">
        <f t="shared" si="31"/>
        <v/>
      </c>
      <c r="U672" s="28" t="str">
        <f>IF($C672&lt;&gt;"",COUNTIF($C$2:C672,C672),"")</f>
        <v/>
      </c>
      <c r="V672" s="28" t="str">
        <f t="shared" si="32"/>
        <v/>
      </c>
      <c r="W672" s="28" t="str">
        <f>IF(U672=1,COUNTIF($U$2:U672,1),"")</f>
        <v/>
      </c>
    </row>
    <row r="673" spans="1:23" ht="15.75" customHeight="1" x14ac:dyDescent="0.25">
      <c r="A673" s="42" t="s">
        <v>3148</v>
      </c>
      <c r="B673" s="42" t="s">
        <v>3149</v>
      </c>
      <c r="C673" s="43"/>
      <c r="D673" s="43"/>
      <c r="E673" s="44"/>
      <c r="F673" s="44"/>
      <c r="G673" s="45"/>
      <c r="H673" s="47"/>
      <c r="I673" s="47"/>
      <c r="J673" s="43"/>
      <c r="K673" s="43"/>
      <c r="L673" s="49"/>
      <c r="M673" s="49"/>
      <c r="N673" s="49"/>
      <c r="O673" s="48"/>
      <c r="P673" s="49">
        <f t="shared" si="30"/>
        <v>0</v>
      </c>
      <c r="R673" s="50" t="str">
        <f t="shared" si="31"/>
        <v/>
      </c>
      <c r="U673" s="28" t="str">
        <f>IF($C673&lt;&gt;"",COUNTIF($C$2:C673,C673),"")</f>
        <v/>
      </c>
      <c r="V673" s="28" t="str">
        <f t="shared" si="32"/>
        <v/>
      </c>
      <c r="W673" s="28" t="str">
        <f>IF(U673=1,COUNTIF($U$2:U673,1),"")</f>
        <v/>
      </c>
    </row>
    <row r="674" spans="1:23" ht="15.75" customHeight="1" x14ac:dyDescent="0.25">
      <c r="A674" s="42" t="s">
        <v>3150</v>
      </c>
      <c r="B674" s="42" t="s">
        <v>3151</v>
      </c>
      <c r="C674" s="43"/>
      <c r="D674" s="43"/>
      <c r="E674" s="44"/>
      <c r="F674" s="44"/>
      <c r="G674" s="45"/>
      <c r="H674" s="47"/>
      <c r="I674" s="47"/>
      <c r="J674" s="43"/>
      <c r="K674" s="43"/>
      <c r="L674" s="49"/>
      <c r="M674" s="49"/>
      <c r="N674" s="49"/>
      <c r="O674" s="48"/>
      <c r="P674" s="49">
        <f t="shared" si="30"/>
        <v>0</v>
      </c>
      <c r="R674" s="50" t="str">
        <f t="shared" si="31"/>
        <v/>
      </c>
      <c r="U674" s="28" t="str">
        <f>IF($C674&lt;&gt;"",COUNTIF($C$2:C674,C674),"")</f>
        <v/>
      </c>
      <c r="V674" s="28" t="str">
        <f t="shared" si="32"/>
        <v/>
      </c>
      <c r="W674" s="28" t="str">
        <f>IF(U674=1,COUNTIF($U$2:U674,1),"")</f>
        <v/>
      </c>
    </row>
    <row r="675" spans="1:23" ht="15.75" customHeight="1" x14ac:dyDescent="0.25">
      <c r="A675" s="42" t="s">
        <v>3152</v>
      </c>
      <c r="B675" s="42" t="s">
        <v>3153</v>
      </c>
      <c r="C675" s="43"/>
      <c r="D675" s="43"/>
      <c r="E675" s="44"/>
      <c r="F675" s="44"/>
      <c r="G675" s="45"/>
      <c r="H675" s="47"/>
      <c r="I675" s="47"/>
      <c r="J675" s="43"/>
      <c r="K675" s="43"/>
      <c r="L675" s="49"/>
      <c r="M675" s="49"/>
      <c r="N675" s="49"/>
      <c r="O675" s="48"/>
      <c r="P675" s="49">
        <f t="shared" si="30"/>
        <v>0</v>
      </c>
      <c r="R675" s="50" t="str">
        <f t="shared" si="31"/>
        <v/>
      </c>
      <c r="U675" s="28" t="str">
        <f>IF($C675&lt;&gt;"",COUNTIF($C$2:C675,C675),"")</f>
        <v/>
      </c>
      <c r="V675" s="28" t="str">
        <f t="shared" si="32"/>
        <v/>
      </c>
      <c r="W675" s="28" t="str">
        <f>IF(U675=1,COUNTIF($U$2:U675,1),"")</f>
        <v/>
      </c>
    </row>
    <row r="676" spans="1:23" ht="15.75" customHeight="1" x14ac:dyDescent="0.25">
      <c r="A676" s="42" t="s">
        <v>3154</v>
      </c>
      <c r="B676" s="42" t="s">
        <v>3155</v>
      </c>
      <c r="C676" s="43"/>
      <c r="D676" s="43"/>
      <c r="E676" s="44"/>
      <c r="F676" s="44"/>
      <c r="G676" s="45"/>
      <c r="H676" s="47"/>
      <c r="I676" s="47"/>
      <c r="J676" s="43"/>
      <c r="K676" s="43"/>
      <c r="L676" s="49"/>
      <c r="M676" s="49"/>
      <c r="N676" s="49"/>
      <c r="O676" s="48"/>
      <c r="P676" s="49">
        <f t="shared" si="30"/>
        <v>0</v>
      </c>
      <c r="R676" s="50" t="str">
        <f t="shared" si="31"/>
        <v/>
      </c>
      <c r="U676" s="28" t="str">
        <f>IF($C676&lt;&gt;"",COUNTIF($C$2:C676,C676),"")</f>
        <v/>
      </c>
      <c r="V676" s="28" t="str">
        <f t="shared" si="32"/>
        <v/>
      </c>
      <c r="W676" s="28" t="str">
        <f>IF(U676=1,COUNTIF($U$2:U676,1),"")</f>
        <v/>
      </c>
    </row>
    <row r="677" spans="1:23" ht="15.75" customHeight="1" x14ac:dyDescent="0.25">
      <c r="A677" s="42" t="s">
        <v>3156</v>
      </c>
      <c r="B677" s="42" t="s">
        <v>3157</v>
      </c>
      <c r="C677" s="43"/>
      <c r="D677" s="43"/>
      <c r="E677" s="44"/>
      <c r="F677" s="44"/>
      <c r="G677" s="45"/>
      <c r="H677" s="47"/>
      <c r="I677" s="47"/>
      <c r="J677" s="43"/>
      <c r="K677" s="43"/>
      <c r="L677" s="49"/>
      <c r="M677" s="49"/>
      <c r="N677" s="49"/>
      <c r="O677" s="48"/>
      <c r="P677" s="49">
        <f t="shared" si="30"/>
        <v>0</v>
      </c>
      <c r="R677" s="50" t="str">
        <f t="shared" si="31"/>
        <v/>
      </c>
      <c r="U677" s="28" t="str">
        <f>IF($C677&lt;&gt;"",COUNTIF($C$2:C677,C677),"")</f>
        <v/>
      </c>
      <c r="V677" s="28" t="str">
        <f t="shared" si="32"/>
        <v/>
      </c>
      <c r="W677" s="28" t="str">
        <f>IF(U677=1,COUNTIF($U$2:U677,1),"")</f>
        <v/>
      </c>
    </row>
    <row r="678" spans="1:23" ht="15.75" customHeight="1" x14ac:dyDescent="0.25">
      <c r="A678" s="42" t="s">
        <v>3158</v>
      </c>
      <c r="B678" s="42" t="s">
        <v>3159</v>
      </c>
      <c r="C678" s="43"/>
      <c r="D678" s="43"/>
      <c r="E678" s="44"/>
      <c r="F678" s="44"/>
      <c r="G678" s="45"/>
      <c r="H678" s="47"/>
      <c r="I678" s="47"/>
      <c r="J678" s="43"/>
      <c r="K678" s="43"/>
      <c r="L678" s="49"/>
      <c r="M678" s="49"/>
      <c r="N678" s="49"/>
      <c r="O678" s="48"/>
      <c r="P678" s="49">
        <f t="shared" si="30"/>
        <v>0</v>
      </c>
      <c r="R678" s="50" t="str">
        <f t="shared" si="31"/>
        <v/>
      </c>
      <c r="U678" s="28" t="str">
        <f>IF($C678&lt;&gt;"",COUNTIF($C$2:C678,C678),"")</f>
        <v/>
      </c>
      <c r="V678" s="28" t="str">
        <f t="shared" si="32"/>
        <v/>
      </c>
      <c r="W678" s="28" t="str">
        <f>IF(U678=1,COUNTIF($U$2:U678,1),"")</f>
        <v/>
      </c>
    </row>
    <row r="679" spans="1:23" ht="15.75" customHeight="1" x14ac:dyDescent="0.25">
      <c r="A679" s="42" t="s">
        <v>3160</v>
      </c>
      <c r="B679" s="42" t="s">
        <v>3161</v>
      </c>
      <c r="C679" s="43"/>
      <c r="D679" s="43"/>
      <c r="E679" s="44"/>
      <c r="F679" s="44"/>
      <c r="G679" s="45"/>
      <c r="H679" s="47"/>
      <c r="I679" s="47"/>
      <c r="J679" s="43"/>
      <c r="K679" s="43"/>
      <c r="L679" s="49"/>
      <c r="M679" s="49"/>
      <c r="N679" s="49"/>
      <c r="O679" s="48"/>
      <c r="P679" s="49">
        <f t="shared" si="30"/>
        <v>0</v>
      </c>
      <c r="R679" s="50" t="str">
        <f t="shared" si="31"/>
        <v/>
      </c>
      <c r="U679" s="28" t="str">
        <f>IF($C679&lt;&gt;"",COUNTIF($C$2:C679,C679),"")</f>
        <v/>
      </c>
      <c r="V679" s="28" t="str">
        <f t="shared" si="32"/>
        <v/>
      </c>
      <c r="W679" s="28" t="str">
        <f>IF(U679=1,COUNTIF($U$2:U679,1),"")</f>
        <v/>
      </c>
    </row>
    <row r="680" spans="1:23" ht="15.75" customHeight="1" x14ac:dyDescent="0.25">
      <c r="A680" s="42" t="s">
        <v>3162</v>
      </c>
      <c r="B680" s="42" t="s">
        <v>3163</v>
      </c>
      <c r="C680" s="43"/>
      <c r="D680" s="43"/>
      <c r="E680" s="44"/>
      <c r="F680" s="44"/>
      <c r="G680" s="45"/>
      <c r="H680" s="47"/>
      <c r="I680" s="47"/>
      <c r="J680" s="43"/>
      <c r="K680" s="43"/>
      <c r="L680" s="49"/>
      <c r="M680" s="49"/>
      <c r="N680" s="49"/>
      <c r="O680" s="48"/>
      <c r="P680" s="49">
        <f t="shared" si="30"/>
        <v>0</v>
      </c>
      <c r="R680" s="50" t="str">
        <f t="shared" si="31"/>
        <v/>
      </c>
      <c r="U680" s="28" t="str">
        <f>IF($C680&lt;&gt;"",COUNTIF($C$2:C680,C680),"")</f>
        <v/>
      </c>
      <c r="V680" s="28" t="str">
        <f t="shared" si="32"/>
        <v/>
      </c>
      <c r="W680" s="28" t="str">
        <f>IF(U680=1,COUNTIF($U$2:U680,1),"")</f>
        <v/>
      </c>
    </row>
    <row r="681" spans="1:23" ht="15.75" customHeight="1" x14ac:dyDescent="0.25">
      <c r="A681" s="42" t="s">
        <v>3164</v>
      </c>
      <c r="B681" s="42" t="s">
        <v>3165</v>
      </c>
      <c r="C681" s="43"/>
      <c r="D681" s="43"/>
      <c r="E681" s="44"/>
      <c r="F681" s="44"/>
      <c r="G681" s="45"/>
      <c r="H681" s="47"/>
      <c r="I681" s="47"/>
      <c r="J681" s="43"/>
      <c r="K681" s="43"/>
      <c r="L681" s="49"/>
      <c r="M681" s="49"/>
      <c r="N681" s="49"/>
      <c r="O681" s="48"/>
      <c r="P681" s="49">
        <f t="shared" si="30"/>
        <v>0</v>
      </c>
      <c r="R681" s="50" t="str">
        <f t="shared" si="31"/>
        <v/>
      </c>
      <c r="U681" s="28" t="str">
        <f>IF($C681&lt;&gt;"",COUNTIF($C$2:C681,C681),"")</f>
        <v/>
      </c>
      <c r="V681" s="28" t="str">
        <f t="shared" si="32"/>
        <v/>
      </c>
      <c r="W681" s="28" t="str">
        <f>IF(U681=1,COUNTIF($U$2:U681,1),"")</f>
        <v/>
      </c>
    </row>
    <row r="682" spans="1:23" ht="15.75" customHeight="1" x14ac:dyDescent="0.25">
      <c r="A682" s="42" t="s">
        <v>3166</v>
      </c>
      <c r="B682" s="42" t="s">
        <v>3167</v>
      </c>
      <c r="C682" s="43"/>
      <c r="D682" s="43"/>
      <c r="E682" s="44"/>
      <c r="F682" s="44"/>
      <c r="G682" s="45"/>
      <c r="H682" s="47"/>
      <c r="I682" s="47"/>
      <c r="J682" s="43"/>
      <c r="K682" s="43"/>
      <c r="L682" s="49"/>
      <c r="M682" s="49"/>
      <c r="N682" s="49"/>
      <c r="O682" s="48"/>
      <c r="P682" s="49">
        <f t="shared" si="30"/>
        <v>0</v>
      </c>
      <c r="R682" s="50" t="str">
        <f t="shared" si="31"/>
        <v/>
      </c>
      <c r="U682" s="28" t="str">
        <f>IF($C682&lt;&gt;"",COUNTIF($C$2:C682,C682),"")</f>
        <v/>
      </c>
      <c r="V682" s="28" t="str">
        <f t="shared" si="32"/>
        <v/>
      </c>
      <c r="W682" s="28" t="str">
        <f>IF(U682=1,COUNTIF($U$2:U682,1),"")</f>
        <v/>
      </c>
    </row>
    <row r="683" spans="1:23" ht="15.75" customHeight="1" x14ac:dyDescent="0.25">
      <c r="A683" s="42" t="s">
        <v>3168</v>
      </c>
      <c r="B683" s="42" t="s">
        <v>3169</v>
      </c>
      <c r="C683" s="43"/>
      <c r="D683" s="43"/>
      <c r="E683" s="44"/>
      <c r="F683" s="44"/>
      <c r="G683" s="45"/>
      <c r="H683" s="47"/>
      <c r="I683" s="47"/>
      <c r="J683" s="43"/>
      <c r="K683" s="43"/>
      <c r="L683" s="49"/>
      <c r="M683" s="49"/>
      <c r="N683" s="49"/>
      <c r="O683" s="48"/>
      <c r="P683" s="49">
        <f t="shared" si="30"/>
        <v>0</v>
      </c>
      <c r="R683" s="50" t="str">
        <f t="shared" si="31"/>
        <v/>
      </c>
      <c r="U683" s="28" t="str">
        <f>IF($C683&lt;&gt;"",COUNTIF($C$2:C683,C683),"")</f>
        <v/>
      </c>
      <c r="V683" s="28" t="str">
        <f t="shared" si="32"/>
        <v/>
      </c>
      <c r="W683" s="28" t="str">
        <f>IF(U683=1,COUNTIF($U$2:U683,1),"")</f>
        <v/>
      </c>
    </row>
    <row r="684" spans="1:23" ht="15.75" customHeight="1" x14ac:dyDescent="0.25">
      <c r="A684" s="42" t="s">
        <v>3170</v>
      </c>
      <c r="B684" s="42" t="s">
        <v>3171</v>
      </c>
      <c r="C684" s="43"/>
      <c r="D684" s="43"/>
      <c r="E684" s="44"/>
      <c r="F684" s="44"/>
      <c r="G684" s="45"/>
      <c r="H684" s="47"/>
      <c r="I684" s="47"/>
      <c r="J684" s="43"/>
      <c r="K684" s="43"/>
      <c r="L684" s="49"/>
      <c r="M684" s="49"/>
      <c r="N684" s="49"/>
      <c r="O684" s="48"/>
      <c r="P684" s="49">
        <f t="shared" si="30"/>
        <v>0</v>
      </c>
      <c r="R684" s="50" t="str">
        <f t="shared" si="31"/>
        <v/>
      </c>
      <c r="U684" s="28" t="str">
        <f>IF($C684&lt;&gt;"",COUNTIF($C$2:C684,C684),"")</f>
        <v/>
      </c>
      <c r="V684" s="28" t="str">
        <f t="shared" si="32"/>
        <v/>
      </c>
      <c r="W684" s="28" t="str">
        <f>IF(U684=1,COUNTIF($U$2:U684,1),"")</f>
        <v/>
      </c>
    </row>
    <row r="685" spans="1:23" ht="15.75" customHeight="1" x14ac:dyDescent="0.25">
      <c r="A685" s="42" t="s">
        <v>3172</v>
      </c>
      <c r="B685" s="42" t="s">
        <v>3173</v>
      </c>
      <c r="C685" s="43"/>
      <c r="D685" s="43"/>
      <c r="E685" s="44"/>
      <c r="F685" s="44"/>
      <c r="G685" s="45"/>
      <c r="H685" s="47"/>
      <c r="I685" s="47"/>
      <c r="J685" s="43"/>
      <c r="K685" s="43"/>
      <c r="L685" s="49"/>
      <c r="M685" s="49"/>
      <c r="N685" s="49"/>
      <c r="O685" s="48"/>
      <c r="P685" s="49">
        <f t="shared" si="30"/>
        <v>0</v>
      </c>
      <c r="R685" s="50" t="str">
        <f t="shared" si="31"/>
        <v/>
      </c>
      <c r="U685" s="28" t="str">
        <f>IF($C685&lt;&gt;"",COUNTIF($C$2:C685,C685),"")</f>
        <v/>
      </c>
      <c r="V685" s="28" t="str">
        <f t="shared" si="32"/>
        <v/>
      </c>
      <c r="W685" s="28" t="str">
        <f>IF(U685=1,COUNTIF($U$2:U685,1),"")</f>
        <v/>
      </c>
    </row>
    <row r="686" spans="1:23" ht="15.75" customHeight="1" x14ac:dyDescent="0.25">
      <c r="A686" s="42" t="s">
        <v>3174</v>
      </c>
      <c r="B686" s="42" t="s">
        <v>3175</v>
      </c>
      <c r="C686" s="43"/>
      <c r="D686" s="43"/>
      <c r="E686" s="44"/>
      <c r="F686" s="44"/>
      <c r="G686" s="45"/>
      <c r="H686" s="47"/>
      <c r="I686" s="47"/>
      <c r="J686" s="43"/>
      <c r="K686" s="43"/>
      <c r="L686" s="49"/>
      <c r="M686" s="49"/>
      <c r="N686" s="49"/>
      <c r="O686" s="48"/>
      <c r="P686" s="49">
        <f t="shared" si="30"/>
        <v>0</v>
      </c>
      <c r="R686" s="50" t="str">
        <f t="shared" si="31"/>
        <v/>
      </c>
      <c r="U686" s="28" t="str">
        <f>IF($C686&lt;&gt;"",COUNTIF($C$2:C686,C686),"")</f>
        <v/>
      </c>
      <c r="V686" s="28" t="str">
        <f t="shared" si="32"/>
        <v/>
      </c>
      <c r="W686" s="28" t="str">
        <f>IF(U686=1,COUNTIF($U$2:U686,1),"")</f>
        <v/>
      </c>
    </row>
    <row r="687" spans="1:23" ht="15.75" customHeight="1" x14ac:dyDescent="0.25">
      <c r="A687" s="42" t="s">
        <v>3176</v>
      </c>
      <c r="B687" s="42" t="s">
        <v>3177</v>
      </c>
      <c r="C687" s="43"/>
      <c r="D687" s="43"/>
      <c r="E687" s="44"/>
      <c r="F687" s="44"/>
      <c r="G687" s="45"/>
      <c r="H687" s="47"/>
      <c r="I687" s="47"/>
      <c r="J687" s="43"/>
      <c r="K687" s="43"/>
      <c r="L687" s="49"/>
      <c r="M687" s="49"/>
      <c r="N687" s="49"/>
      <c r="O687" s="48"/>
      <c r="P687" s="49">
        <f t="shared" si="30"/>
        <v>0</v>
      </c>
      <c r="R687" s="50" t="str">
        <f t="shared" si="31"/>
        <v/>
      </c>
      <c r="U687" s="28" t="str">
        <f>IF($C687&lt;&gt;"",COUNTIF($C$2:C687,C687),"")</f>
        <v/>
      </c>
      <c r="V687" s="28" t="str">
        <f t="shared" si="32"/>
        <v/>
      </c>
      <c r="W687" s="28" t="str">
        <f>IF(U687=1,COUNTIF($U$2:U687,1),"")</f>
        <v/>
      </c>
    </row>
    <row r="688" spans="1:23" ht="15.75" customHeight="1" x14ac:dyDescent="0.25">
      <c r="A688" s="42" t="s">
        <v>3178</v>
      </c>
      <c r="B688" s="42" t="s">
        <v>3179</v>
      </c>
      <c r="C688" s="43"/>
      <c r="D688" s="43"/>
      <c r="E688" s="44"/>
      <c r="F688" s="44"/>
      <c r="G688" s="45"/>
      <c r="H688" s="47"/>
      <c r="I688" s="47"/>
      <c r="J688" s="43"/>
      <c r="K688" s="43"/>
      <c r="L688" s="49"/>
      <c r="M688" s="49"/>
      <c r="N688" s="49"/>
      <c r="O688" s="48"/>
      <c r="P688" s="49">
        <f t="shared" si="30"/>
        <v>0</v>
      </c>
      <c r="R688" s="50" t="str">
        <f t="shared" si="31"/>
        <v/>
      </c>
      <c r="U688" s="28" t="str">
        <f>IF($C688&lt;&gt;"",COUNTIF($C$2:C688,C688),"")</f>
        <v/>
      </c>
      <c r="V688" s="28" t="str">
        <f t="shared" si="32"/>
        <v/>
      </c>
      <c r="W688" s="28" t="str">
        <f>IF(U688=1,COUNTIF($U$2:U688,1),"")</f>
        <v/>
      </c>
    </row>
    <row r="689" spans="1:23" ht="15.75" customHeight="1" x14ac:dyDescent="0.25">
      <c r="A689" s="42" t="s">
        <v>3180</v>
      </c>
      <c r="B689" s="42" t="s">
        <v>3181</v>
      </c>
      <c r="C689" s="43"/>
      <c r="D689" s="43"/>
      <c r="E689" s="44"/>
      <c r="F689" s="44"/>
      <c r="G689" s="45"/>
      <c r="H689" s="47"/>
      <c r="I689" s="47"/>
      <c r="J689" s="43"/>
      <c r="K689" s="43"/>
      <c r="L689" s="49"/>
      <c r="M689" s="49"/>
      <c r="N689" s="49"/>
      <c r="O689" s="48"/>
      <c r="P689" s="49">
        <f t="shared" si="30"/>
        <v>0</v>
      </c>
      <c r="R689" s="50" t="str">
        <f t="shared" si="31"/>
        <v/>
      </c>
      <c r="U689" s="28" t="str">
        <f>IF($C689&lt;&gt;"",COUNTIF($C$2:C689,C689),"")</f>
        <v/>
      </c>
      <c r="V689" s="28" t="str">
        <f t="shared" si="32"/>
        <v/>
      </c>
      <c r="W689" s="28" t="str">
        <f>IF(U689=1,COUNTIF($U$2:U689,1),"")</f>
        <v/>
      </c>
    </row>
    <row r="690" spans="1:23" ht="15.75" customHeight="1" x14ac:dyDescent="0.25">
      <c r="A690" s="42" t="s">
        <v>3182</v>
      </c>
      <c r="B690" s="42" t="s">
        <v>3183</v>
      </c>
      <c r="C690" s="43"/>
      <c r="D690" s="43"/>
      <c r="E690" s="44"/>
      <c r="F690" s="44"/>
      <c r="G690" s="45"/>
      <c r="H690" s="47"/>
      <c r="I690" s="47"/>
      <c r="J690" s="43"/>
      <c r="K690" s="43"/>
      <c r="L690" s="49"/>
      <c r="M690" s="49"/>
      <c r="N690" s="49"/>
      <c r="O690" s="48"/>
      <c r="P690" s="49">
        <f t="shared" si="30"/>
        <v>0</v>
      </c>
      <c r="R690" s="50" t="str">
        <f t="shared" si="31"/>
        <v/>
      </c>
      <c r="U690" s="28" t="str">
        <f>IF($C690&lt;&gt;"",COUNTIF($C$2:C690,C690),"")</f>
        <v/>
      </c>
      <c r="V690" s="28" t="str">
        <f t="shared" si="32"/>
        <v/>
      </c>
      <c r="W690" s="28" t="str">
        <f>IF(U690=1,COUNTIF($U$2:U690,1),"")</f>
        <v/>
      </c>
    </row>
    <row r="691" spans="1:23" ht="15.75" customHeight="1" x14ac:dyDescent="0.25">
      <c r="A691" s="42" t="s">
        <v>3184</v>
      </c>
      <c r="B691" s="42" t="s">
        <v>3185</v>
      </c>
      <c r="C691" s="43"/>
      <c r="D691" s="43"/>
      <c r="E691" s="44"/>
      <c r="F691" s="44"/>
      <c r="G691" s="45"/>
      <c r="H691" s="47"/>
      <c r="I691" s="47"/>
      <c r="J691" s="43"/>
      <c r="K691" s="43"/>
      <c r="L691" s="49"/>
      <c r="M691" s="49"/>
      <c r="N691" s="49"/>
      <c r="O691" s="48"/>
      <c r="P691" s="49">
        <f t="shared" si="30"/>
        <v>0</v>
      </c>
      <c r="R691" s="50" t="str">
        <f t="shared" si="31"/>
        <v/>
      </c>
      <c r="U691" s="28" t="str">
        <f>IF($C691&lt;&gt;"",COUNTIF($C$2:C691,C691),"")</f>
        <v/>
      </c>
      <c r="V691" s="28" t="str">
        <f t="shared" si="32"/>
        <v/>
      </c>
      <c r="W691" s="28" t="str">
        <f>IF(U691=1,COUNTIF($U$2:U691,1),"")</f>
        <v/>
      </c>
    </row>
    <row r="692" spans="1:23" ht="15.75" customHeight="1" x14ac:dyDescent="0.25">
      <c r="A692" s="42" t="s">
        <v>3186</v>
      </c>
      <c r="B692" s="42" t="s">
        <v>3187</v>
      </c>
      <c r="C692" s="43"/>
      <c r="D692" s="43"/>
      <c r="E692" s="44"/>
      <c r="F692" s="44"/>
      <c r="G692" s="45"/>
      <c r="H692" s="47"/>
      <c r="I692" s="47"/>
      <c r="J692" s="43"/>
      <c r="K692" s="43"/>
      <c r="L692" s="49"/>
      <c r="M692" s="49"/>
      <c r="N692" s="49"/>
      <c r="O692" s="48"/>
      <c r="P692" s="49">
        <f t="shared" si="30"/>
        <v>0</v>
      </c>
      <c r="R692" s="50" t="str">
        <f t="shared" si="31"/>
        <v/>
      </c>
      <c r="U692" s="28" t="str">
        <f>IF($C692&lt;&gt;"",COUNTIF($C$2:C692,C692),"")</f>
        <v/>
      </c>
      <c r="V692" s="28" t="str">
        <f t="shared" si="32"/>
        <v/>
      </c>
      <c r="W692" s="28" t="str">
        <f>IF(U692=1,COUNTIF($U$2:U692,1),"")</f>
        <v/>
      </c>
    </row>
    <row r="693" spans="1:23" ht="15.75" customHeight="1" x14ac:dyDescent="0.25">
      <c r="A693" s="42" t="s">
        <v>3188</v>
      </c>
      <c r="B693" s="42" t="s">
        <v>3189</v>
      </c>
      <c r="C693" s="43"/>
      <c r="D693" s="43"/>
      <c r="E693" s="44"/>
      <c r="F693" s="44"/>
      <c r="G693" s="45"/>
      <c r="H693" s="47"/>
      <c r="I693" s="47"/>
      <c r="J693" s="43"/>
      <c r="K693" s="43"/>
      <c r="L693" s="49"/>
      <c r="M693" s="49"/>
      <c r="N693" s="49"/>
      <c r="O693" s="48"/>
      <c r="P693" s="49">
        <f t="shared" si="30"/>
        <v>0</v>
      </c>
      <c r="R693" s="50" t="str">
        <f t="shared" si="31"/>
        <v/>
      </c>
      <c r="U693" s="28" t="str">
        <f>IF($C693&lt;&gt;"",COUNTIF($C$2:C693,C693),"")</f>
        <v/>
      </c>
      <c r="V693" s="28" t="str">
        <f t="shared" si="32"/>
        <v/>
      </c>
      <c r="W693" s="28" t="str">
        <f>IF(U693=1,COUNTIF($U$2:U693,1),"")</f>
        <v/>
      </c>
    </row>
    <row r="694" spans="1:23" ht="15.75" customHeight="1" x14ac:dyDescent="0.25">
      <c r="A694" s="42" t="s">
        <v>3190</v>
      </c>
      <c r="B694" s="42" t="s">
        <v>3191</v>
      </c>
      <c r="C694" s="43"/>
      <c r="D694" s="43"/>
      <c r="E694" s="44"/>
      <c r="F694" s="44"/>
      <c r="G694" s="45"/>
      <c r="H694" s="47"/>
      <c r="I694" s="47"/>
      <c r="J694" s="43"/>
      <c r="K694" s="43"/>
      <c r="L694" s="49"/>
      <c r="M694" s="49"/>
      <c r="N694" s="49"/>
      <c r="O694" s="48"/>
      <c r="P694" s="49">
        <f t="shared" si="30"/>
        <v>0</v>
      </c>
      <c r="R694" s="50" t="str">
        <f t="shared" si="31"/>
        <v/>
      </c>
      <c r="U694" s="28" t="str">
        <f>IF($C694&lt;&gt;"",COUNTIF($C$2:C694,C694),"")</f>
        <v/>
      </c>
      <c r="V694" s="28" t="str">
        <f t="shared" si="32"/>
        <v/>
      </c>
      <c r="W694" s="28" t="str">
        <f>IF(U694=1,COUNTIF($U$2:U694,1),"")</f>
        <v/>
      </c>
    </row>
    <row r="695" spans="1:23" ht="15.75" customHeight="1" x14ac:dyDescent="0.25">
      <c r="A695" s="42" t="s">
        <v>3192</v>
      </c>
      <c r="B695" s="42" t="s">
        <v>3193</v>
      </c>
      <c r="C695" s="43"/>
      <c r="D695" s="43"/>
      <c r="E695" s="44"/>
      <c r="F695" s="44"/>
      <c r="G695" s="45"/>
      <c r="H695" s="47"/>
      <c r="I695" s="47"/>
      <c r="J695" s="43"/>
      <c r="K695" s="43"/>
      <c r="L695" s="49"/>
      <c r="M695" s="49"/>
      <c r="N695" s="49"/>
      <c r="O695" s="48"/>
      <c r="P695" s="49">
        <f t="shared" si="30"/>
        <v>0</v>
      </c>
      <c r="R695" s="50" t="str">
        <f t="shared" si="31"/>
        <v/>
      </c>
      <c r="U695" s="28" t="str">
        <f>IF($C695&lt;&gt;"",COUNTIF($C$2:C695,C695),"")</f>
        <v/>
      </c>
      <c r="V695" s="28" t="str">
        <f t="shared" si="32"/>
        <v/>
      </c>
      <c r="W695" s="28" t="str">
        <f>IF(U695=1,COUNTIF($U$2:U695,1),"")</f>
        <v/>
      </c>
    </row>
    <row r="696" spans="1:23" ht="15.75" customHeight="1" x14ac:dyDescent="0.25">
      <c r="A696" s="42" t="s">
        <v>3194</v>
      </c>
      <c r="B696" s="42" t="s">
        <v>3195</v>
      </c>
      <c r="C696" s="43"/>
      <c r="D696" s="43"/>
      <c r="E696" s="44"/>
      <c r="F696" s="44"/>
      <c r="G696" s="45"/>
      <c r="H696" s="47"/>
      <c r="I696" s="47"/>
      <c r="J696" s="43"/>
      <c r="K696" s="43"/>
      <c r="L696" s="49"/>
      <c r="M696" s="49"/>
      <c r="N696" s="49"/>
      <c r="O696" s="48"/>
      <c r="P696" s="49">
        <f t="shared" si="30"/>
        <v>0</v>
      </c>
      <c r="R696" s="50" t="str">
        <f t="shared" si="31"/>
        <v/>
      </c>
      <c r="U696" s="28" t="str">
        <f>IF($C696&lt;&gt;"",COUNTIF($C$2:C696,C696),"")</f>
        <v/>
      </c>
      <c r="V696" s="28" t="str">
        <f t="shared" si="32"/>
        <v/>
      </c>
      <c r="W696" s="28" t="str">
        <f>IF(U696=1,COUNTIF($U$2:U696,1),"")</f>
        <v/>
      </c>
    </row>
    <row r="697" spans="1:23" ht="15.75" customHeight="1" x14ac:dyDescent="0.25">
      <c r="A697" s="42" t="s">
        <v>3196</v>
      </c>
      <c r="B697" s="42" t="s">
        <v>3197</v>
      </c>
      <c r="C697" s="43"/>
      <c r="D697" s="43"/>
      <c r="E697" s="44"/>
      <c r="F697" s="44"/>
      <c r="G697" s="45"/>
      <c r="H697" s="47"/>
      <c r="I697" s="47"/>
      <c r="J697" s="43"/>
      <c r="K697" s="43"/>
      <c r="L697" s="49"/>
      <c r="M697" s="49"/>
      <c r="N697" s="49"/>
      <c r="O697" s="48"/>
      <c r="P697" s="49">
        <f t="shared" si="30"/>
        <v>0</v>
      </c>
      <c r="R697" s="50" t="str">
        <f t="shared" si="31"/>
        <v/>
      </c>
      <c r="U697" s="28" t="str">
        <f>IF($C697&lt;&gt;"",COUNTIF($C$2:C697,C697),"")</f>
        <v/>
      </c>
      <c r="V697" s="28" t="str">
        <f t="shared" si="32"/>
        <v/>
      </c>
      <c r="W697" s="28" t="str">
        <f>IF(U697=1,COUNTIF($U$2:U697,1),"")</f>
        <v/>
      </c>
    </row>
    <row r="698" spans="1:23" ht="15.75" customHeight="1" x14ac:dyDescent="0.25">
      <c r="A698" s="42" t="s">
        <v>3198</v>
      </c>
      <c r="B698" s="42" t="s">
        <v>3199</v>
      </c>
      <c r="C698" s="43"/>
      <c r="D698" s="43"/>
      <c r="E698" s="44"/>
      <c r="F698" s="44"/>
      <c r="G698" s="45"/>
      <c r="H698" s="47"/>
      <c r="I698" s="47"/>
      <c r="J698" s="43"/>
      <c r="K698" s="43"/>
      <c r="L698" s="49"/>
      <c r="M698" s="49"/>
      <c r="N698" s="49"/>
      <c r="O698" s="48"/>
      <c r="P698" s="49">
        <f t="shared" si="30"/>
        <v>0</v>
      </c>
      <c r="R698" s="50" t="str">
        <f t="shared" si="31"/>
        <v/>
      </c>
      <c r="U698" s="28" t="str">
        <f>IF($C698&lt;&gt;"",COUNTIF($C$2:C698,C698),"")</f>
        <v/>
      </c>
      <c r="V698" s="28" t="str">
        <f t="shared" si="32"/>
        <v/>
      </c>
      <c r="W698" s="28" t="str">
        <f>IF(U698=1,COUNTIF($U$2:U698,1),"")</f>
        <v/>
      </c>
    </row>
    <row r="699" spans="1:23" ht="15.75" customHeight="1" x14ac:dyDescent="0.25">
      <c r="A699" s="42" t="s">
        <v>3200</v>
      </c>
      <c r="B699" s="42" t="s">
        <v>3201</v>
      </c>
      <c r="C699" s="43"/>
      <c r="D699" s="43"/>
      <c r="E699" s="44"/>
      <c r="F699" s="44"/>
      <c r="G699" s="45"/>
      <c r="H699" s="47"/>
      <c r="I699" s="47"/>
      <c r="J699" s="43"/>
      <c r="K699" s="43"/>
      <c r="L699" s="49"/>
      <c r="M699" s="49"/>
      <c r="N699" s="49"/>
      <c r="O699" s="48"/>
      <c r="P699" s="49">
        <f t="shared" si="30"/>
        <v>0</v>
      </c>
      <c r="R699" s="50" t="str">
        <f t="shared" si="31"/>
        <v/>
      </c>
      <c r="U699" s="28" t="str">
        <f>IF($C699&lt;&gt;"",COUNTIF($C$2:C699,C699),"")</f>
        <v/>
      </c>
      <c r="V699" s="28" t="str">
        <f t="shared" si="32"/>
        <v/>
      </c>
      <c r="W699" s="28" t="str">
        <f>IF(U699=1,COUNTIF($U$2:U699,1),"")</f>
        <v/>
      </c>
    </row>
    <row r="700" spans="1:23" ht="15.75" customHeight="1" x14ac:dyDescent="0.25">
      <c r="A700" s="42" t="s">
        <v>3202</v>
      </c>
      <c r="B700" s="42" t="s">
        <v>3203</v>
      </c>
      <c r="C700" s="43"/>
      <c r="D700" s="43"/>
      <c r="E700" s="44"/>
      <c r="F700" s="44"/>
      <c r="G700" s="45"/>
      <c r="H700" s="47"/>
      <c r="I700" s="47"/>
      <c r="J700" s="43"/>
      <c r="K700" s="43"/>
      <c r="L700" s="49"/>
      <c r="M700" s="49"/>
      <c r="N700" s="49"/>
      <c r="O700" s="48"/>
      <c r="P700" s="49">
        <f t="shared" si="30"/>
        <v>0</v>
      </c>
      <c r="R700" s="50" t="str">
        <f t="shared" si="31"/>
        <v/>
      </c>
      <c r="U700" s="28" t="str">
        <f>IF($C700&lt;&gt;"",COUNTIF($C$2:C700,C700),"")</f>
        <v/>
      </c>
      <c r="V700" s="28" t="str">
        <f t="shared" si="32"/>
        <v/>
      </c>
      <c r="W700" s="28" t="str">
        <f>IF(U700=1,COUNTIF($U$2:U700,1),"")</f>
        <v/>
      </c>
    </row>
    <row r="701" spans="1:23" ht="15.75" customHeight="1" x14ac:dyDescent="0.25">
      <c r="A701" s="42" t="s">
        <v>3204</v>
      </c>
      <c r="B701" s="42" t="s">
        <v>3205</v>
      </c>
      <c r="C701" s="43"/>
      <c r="D701" s="43"/>
      <c r="E701" s="44"/>
      <c r="F701" s="44"/>
      <c r="G701" s="45"/>
      <c r="H701" s="47"/>
      <c r="I701" s="47"/>
      <c r="J701" s="43"/>
      <c r="K701" s="43"/>
      <c r="L701" s="49"/>
      <c r="M701" s="49"/>
      <c r="N701" s="49"/>
      <c r="O701" s="48"/>
      <c r="P701" s="49">
        <f t="shared" si="30"/>
        <v>0</v>
      </c>
      <c r="R701" s="50" t="str">
        <f t="shared" si="31"/>
        <v/>
      </c>
      <c r="U701" s="28" t="str">
        <f>IF($C701&lt;&gt;"",COUNTIF($C$2:C701,C701),"")</f>
        <v/>
      </c>
      <c r="V701" s="28" t="str">
        <f t="shared" si="32"/>
        <v/>
      </c>
      <c r="W701" s="28" t="str">
        <f>IF(U701=1,COUNTIF($U$2:U701,1),"")</f>
        <v/>
      </c>
    </row>
    <row r="702" spans="1:23" ht="15.75" customHeight="1" x14ac:dyDescent="0.25">
      <c r="A702" s="42" t="s">
        <v>3206</v>
      </c>
      <c r="B702" s="42" t="s">
        <v>3207</v>
      </c>
      <c r="C702" s="43"/>
      <c r="D702" s="43"/>
      <c r="E702" s="44"/>
      <c r="F702" s="44"/>
      <c r="G702" s="45"/>
      <c r="H702" s="47"/>
      <c r="I702" s="47"/>
      <c r="J702" s="43"/>
      <c r="K702" s="43"/>
      <c r="L702" s="49"/>
      <c r="M702" s="49"/>
      <c r="N702" s="49"/>
      <c r="O702" s="48"/>
      <c r="P702" s="49">
        <f t="shared" si="30"/>
        <v>0</v>
      </c>
      <c r="R702" s="50" t="str">
        <f t="shared" si="31"/>
        <v/>
      </c>
      <c r="U702" s="28" t="str">
        <f>IF($C702&lt;&gt;"",COUNTIF($C$2:C702,C702),"")</f>
        <v/>
      </c>
      <c r="V702" s="28" t="str">
        <f t="shared" si="32"/>
        <v/>
      </c>
      <c r="W702" s="28" t="str">
        <f>IF(U702=1,COUNTIF($U$2:U702,1),"")</f>
        <v/>
      </c>
    </row>
    <row r="703" spans="1:23" ht="15.75" customHeight="1" x14ac:dyDescent="0.25">
      <c r="A703" s="42" t="s">
        <v>3208</v>
      </c>
      <c r="B703" s="42" t="s">
        <v>3209</v>
      </c>
      <c r="C703" s="43"/>
      <c r="D703" s="43"/>
      <c r="E703" s="44"/>
      <c r="F703" s="44"/>
      <c r="G703" s="45"/>
      <c r="H703" s="47"/>
      <c r="I703" s="47"/>
      <c r="J703" s="43"/>
      <c r="K703" s="43"/>
      <c r="L703" s="49"/>
      <c r="M703" s="49"/>
      <c r="N703" s="49"/>
      <c r="O703" s="48"/>
      <c r="P703" s="49">
        <f t="shared" si="30"/>
        <v>0</v>
      </c>
      <c r="R703" s="50" t="str">
        <f t="shared" si="31"/>
        <v/>
      </c>
      <c r="U703" s="28" t="str">
        <f>IF($C703&lt;&gt;"",COUNTIF($C$2:C703,C703),"")</f>
        <v/>
      </c>
      <c r="V703" s="28" t="str">
        <f t="shared" si="32"/>
        <v/>
      </c>
      <c r="W703" s="28" t="str">
        <f>IF(U703=1,COUNTIF($U$2:U703,1),"")</f>
        <v/>
      </c>
    </row>
    <row r="704" spans="1:23" ht="15.75" customHeight="1" x14ac:dyDescent="0.25">
      <c r="A704" s="42" t="s">
        <v>3210</v>
      </c>
      <c r="B704" s="42" t="s">
        <v>3211</v>
      </c>
      <c r="C704" s="43"/>
      <c r="D704" s="43"/>
      <c r="E704" s="44"/>
      <c r="F704" s="44"/>
      <c r="G704" s="45"/>
      <c r="H704" s="47"/>
      <c r="I704" s="47"/>
      <c r="J704" s="43"/>
      <c r="K704" s="43"/>
      <c r="L704" s="49"/>
      <c r="M704" s="49"/>
      <c r="N704" s="49"/>
      <c r="O704" s="48"/>
      <c r="P704" s="49">
        <f t="shared" si="30"/>
        <v>0</v>
      </c>
      <c r="R704" s="50" t="str">
        <f t="shared" si="31"/>
        <v/>
      </c>
      <c r="U704" s="28" t="str">
        <f>IF($C704&lt;&gt;"",COUNTIF($C$2:C704,C704),"")</f>
        <v/>
      </c>
      <c r="V704" s="28" t="str">
        <f t="shared" si="32"/>
        <v/>
      </c>
      <c r="W704" s="28" t="str">
        <f>IF(U704=1,COUNTIF($U$2:U704,1),"")</f>
        <v/>
      </c>
    </row>
    <row r="705" spans="1:23" ht="15.75" customHeight="1" x14ac:dyDescent="0.25">
      <c r="A705" s="42" t="s">
        <v>3212</v>
      </c>
      <c r="B705" s="42" t="s">
        <v>3213</v>
      </c>
      <c r="C705" s="43"/>
      <c r="D705" s="43"/>
      <c r="E705" s="44"/>
      <c r="F705" s="44"/>
      <c r="G705" s="45"/>
      <c r="H705" s="47"/>
      <c r="I705" s="47"/>
      <c r="J705" s="43"/>
      <c r="K705" s="43"/>
      <c r="L705" s="49"/>
      <c r="M705" s="49"/>
      <c r="N705" s="49"/>
      <c r="O705" s="48"/>
      <c r="P705" s="49">
        <f t="shared" si="30"/>
        <v>0</v>
      </c>
      <c r="R705" s="50" t="str">
        <f t="shared" si="31"/>
        <v/>
      </c>
      <c r="U705" s="28" t="str">
        <f>IF($C705&lt;&gt;"",COUNTIF($C$2:C705,C705),"")</f>
        <v/>
      </c>
      <c r="V705" s="28" t="str">
        <f t="shared" si="32"/>
        <v/>
      </c>
      <c r="W705" s="28" t="str">
        <f>IF(U705=1,COUNTIF($U$2:U705,1),"")</f>
        <v/>
      </c>
    </row>
    <row r="706" spans="1:23" ht="15.75" customHeight="1" x14ac:dyDescent="0.25">
      <c r="A706" s="42" t="s">
        <v>3214</v>
      </c>
      <c r="B706" s="42" t="s">
        <v>3215</v>
      </c>
      <c r="C706" s="43"/>
      <c r="D706" s="43"/>
      <c r="E706" s="44"/>
      <c r="F706" s="44"/>
      <c r="G706" s="45"/>
      <c r="H706" s="47"/>
      <c r="I706" s="47"/>
      <c r="J706" s="43"/>
      <c r="K706" s="43"/>
      <c r="L706" s="49"/>
      <c r="M706" s="49"/>
      <c r="N706" s="49"/>
      <c r="O706" s="48"/>
      <c r="P706" s="49">
        <f t="shared" ref="P706:P714" si="33">IF(O706&lt;&gt;"",O706, IF(N706&lt;&gt;"",N706, IF(M706&lt;&gt;"",M706, L706)))</f>
        <v>0</v>
      </c>
      <c r="R706" s="50" t="str">
        <f t="shared" ref="R706:R764" si="34">IF(AND($I706&lt;&gt;"",$I706&gt;=DATE(2026,6,23),COUNTIFS($C:$C,$C706,$I:$I,$I706)&gt;2),"⚠ "&amp;COUNTIFS($C:$C,$C706,$I:$I,$I706)&amp;" BAŞVURU!","")</f>
        <v/>
      </c>
      <c r="U706" s="28" t="str">
        <f>IF($C706&lt;&gt;"",COUNTIF($C$2:C706,C706),"")</f>
        <v/>
      </c>
      <c r="V706" s="28" t="str">
        <f t="shared" ref="V706:V769" si="35">IF($C706&lt;&gt;"",C706&amp;"§"&amp;U706,"")</f>
        <v/>
      </c>
      <c r="W706" s="28" t="str">
        <f>IF(U706=1,COUNTIF($U$2:U706,1),"")</f>
        <v/>
      </c>
    </row>
    <row r="707" spans="1:23" ht="15.75" customHeight="1" x14ac:dyDescent="0.25">
      <c r="A707" s="42" t="s">
        <v>3216</v>
      </c>
      <c r="B707" s="42" t="s">
        <v>3217</v>
      </c>
      <c r="C707" s="43"/>
      <c r="D707" s="43"/>
      <c r="E707" s="44"/>
      <c r="F707" s="44"/>
      <c r="G707" s="45"/>
      <c r="H707" s="47"/>
      <c r="I707" s="47"/>
      <c r="J707" s="43"/>
      <c r="K707" s="43"/>
      <c r="L707" s="49"/>
      <c r="M707" s="49"/>
      <c r="N707" s="49"/>
      <c r="O707" s="48"/>
      <c r="P707" s="49">
        <f t="shared" si="33"/>
        <v>0</v>
      </c>
      <c r="R707" s="50" t="str">
        <f t="shared" si="34"/>
        <v/>
      </c>
      <c r="U707" s="28" t="str">
        <f>IF($C707&lt;&gt;"",COUNTIF($C$2:C707,C707),"")</f>
        <v/>
      </c>
      <c r="V707" s="28" t="str">
        <f t="shared" si="35"/>
        <v/>
      </c>
      <c r="W707" s="28" t="str">
        <f>IF(U707=1,COUNTIF($U$2:U707,1),"")</f>
        <v/>
      </c>
    </row>
    <row r="708" spans="1:23" ht="15.75" customHeight="1" x14ac:dyDescent="0.25">
      <c r="A708" s="42" t="s">
        <v>3218</v>
      </c>
      <c r="B708" s="42" t="s">
        <v>3219</v>
      </c>
      <c r="C708" s="43"/>
      <c r="D708" s="43"/>
      <c r="E708" s="44"/>
      <c r="F708" s="44"/>
      <c r="G708" s="45"/>
      <c r="H708" s="47"/>
      <c r="I708" s="47"/>
      <c r="J708" s="43"/>
      <c r="K708" s="43"/>
      <c r="L708" s="49"/>
      <c r="M708" s="49"/>
      <c r="N708" s="49"/>
      <c r="O708" s="48"/>
      <c r="P708" s="49">
        <f t="shared" si="33"/>
        <v>0</v>
      </c>
      <c r="R708" s="50" t="str">
        <f t="shared" si="34"/>
        <v/>
      </c>
      <c r="U708" s="28" t="str">
        <f>IF($C708&lt;&gt;"",COUNTIF($C$2:C708,C708),"")</f>
        <v/>
      </c>
      <c r="V708" s="28" t="str">
        <f t="shared" si="35"/>
        <v/>
      </c>
      <c r="W708" s="28" t="str">
        <f>IF(U708=1,COUNTIF($U$2:U708,1),"")</f>
        <v/>
      </c>
    </row>
    <row r="709" spans="1:23" ht="15.75" customHeight="1" x14ac:dyDescent="0.25">
      <c r="A709" s="42" t="s">
        <v>3220</v>
      </c>
      <c r="B709" s="42" t="s">
        <v>3221</v>
      </c>
      <c r="C709" s="43"/>
      <c r="D709" s="43"/>
      <c r="E709" s="44"/>
      <c r="F709" s="44"/>
      <c r="G709" s="45"/>
      <c r="H709" s="47"/>
      <c r="I709" s="47"/>
      <c r="J709" s="43"/>
      <c r="K709" s="43"/>
      <c r="L709" s="49"/>
      <c r="M709" s="49"/>
      <c r="N709" s="49"/>
      <c r="O709" s="48"/>
      <c r="P709" s="49">
        <f t="shared" si="33"/>
        <v>0</v>
      </c>
      <c r="R709" s="50" t="str">
        <f t="shared" si="34"/>
        <v/>
      </c>
      <c r="U709" s="28" t="str">
        <f>IF($C709&lt;&gt;"",COUNTIF($C$2:C709,C709),"")</f>
        <v/>
      </c>
      <c r="V709" s="28" t="str">
        <f t="shared" si="35"/>
        <v/>
      </c>
      <c r="W709" s="28" t="str">
        <f>IF(U709=1,COUNTIF($U$2:U709,1),"")</f>
        <v/>
      </c>
    </row>
    <row r="710" spans="1:23" ht="15.75" customHeight="1" x14ac:dyDescent="0.25">
      <c r="A710" s="42" t="s">
        <v>3222</v>
      </c>
      <c r="B710" s="42" t="s">
        <v>3223</v>
      </c>
      <c r="C710" s="43"/>
      <c r="D710" s="43"/>
      <c r="E710" s="44"/>
      <c r="F710" s="44"/>
      <c r="G710" s="45"/>
      <c r="H710" s="47"/>
      <c r="I710" s="47"/>
      <c r="J710" s="43"/>
      <c r="K710" s="43"/>
      <c r="L710" s="49"/>
      <c r="M710" s="49"/>
      <c r="N710" s="49"/>
      <c r="O710" s="48"/>
      <c r="P710" s="49">
        <f t="shared" si="33"/>
        <v>0</v>
      </c>
      <c r="R710" s="50" t="str">
        <f t="shared" si="34"/>
        <v/>
      </c>
      <c r="U710" s="28" t="str">
        <f>IF($C710&lt;&gt;"",COUNTIF($C$2:C710,C710),"")</f>
        <v/>
      </c>
      <c r="V710" s="28" t="str">
        <f t="shared" si="35"/>
        <v/>
      </c>
      <c r="W710" s="28" t="str">
        <f>IF(U710=1,COUNTIF($U$2:U710,1),"")</f>
        <v/>
      </c>
    </row>
    <row r="711" spans="1:23" ht="15.75" customHeight="1" x14ac:dyDescent="0.25">
      <c r="A711" s="42" t="s">
        <v>3224</v>
      </c>
      <c r="B711" s="42" t="s">
        <v>3225</v>
      </c>
      <c r="C711" s="43"/>
      <c r="D711" s="43"/>
      <c r="E711" s="44"/>
      <c r="F711" s="44"/>
      <c r="G711" s="45"/>
      <c r="H711" s="47"/>
      <c r="I711" s="47"/>
      <c r="J711" s="43"/>
      <c r="K711" s="43"/>
      <c r="L711" s="49"/>
      <c r="M711" s="49"/>
      <c r="N711" s="49"/>
      <c r="O711" s="48"/>
      <c r="P711" s="49">
        <f t="shared" si="33"/>
        <v>0</v>
      </c>
      <c r="R711" s="50" t="str">
        <f t="shared" si="34"/>
        <v/>
      </c>
      <c r="U711" s="28" t="str">
        <f>IF($C711&lt;&gt;"",COUNTIF($C$2:C711,C711),"")</f>
        <v/>
      </c>
      <c r="V711" s="28" t="str">
        <f t="shared" si="35"/>
        <v/>
      </c>
      <c r="W711" s="28" t="str">
        <f>IF(U711=1,COUNTIF($U$2:U711,1),"")</f>
        <v/>
      </c>
    </row>
    <row r="712" spans="1:23" ht="15.75" customHeight="1" x14ac:dyDescent="0.25">
      <c r="A712" s="42" t="s">
        <v>3226</v>
      </c>
      <c r="B712" s="42" t="s">
        <v>3227</v>
      </c>
      <c r="C712" s="43"/>
      <c r="D712" s="43"/>
      <c r="E712" s="44"/>
      <c r="F712" s="44"/>
      <c r="G712" s="45"/>
      <c r="H712" s="47"/>
      <c r="I712" s="47"/>
      <c r="J712" s="43"/>
      <c r="K712" s="43"/>
      <c r="L712" s="49"/>
      <c r="M712" s="49"/>
      <c r="N712" s="49"/>
      <c r="O712" s="48"/>
      <c r="P712" s="49">
        <f t="shared" si="33"/>
        <v>0</v>
      </c>
      <c r="R712" s="50" t="str">
        <f t="shared" si="34"/>
        <v/>
      </c>
      <c r="U712" s="28" t="str">
        <f>IF($C712&lt;&gt;"",COUNTIF($C$2:C712,C712),"")</f>
        <v/>
      </c>
      <c r="V712" s="28" t="str">
        <f t="shared" si="35"/>
        <v/>
      </c>
      <c r="W712" s="28" t="str">
        <f>IF(U712=1,COUNTIF($U$2:U712,1),"")</f>
        <v/>
      </c>
    </row>
    <row r="713" spans="1:23" ht="15.75" customHeight="1" x14ac:dyDescent="0.25">
      <c r="A713" s="42" t="s">
        <v>3228</v>
      </c>
      <c r="B713" s="42" t="s">
        <v>3229</v>
      </c>
      <c r="C713" s="43"/>
      <c r="D713" s="43"/>
      <c r="E713" s="44"/>
      <c r="F713" s="44"/>
      <c r="G713" s="45"/>
      <c r="H713" s="47"/>
      <c r="I713" s="47"/>
      <c r="J713" s="43"/>
      <c r="K713" s="43"/>
      <c r="L713" s="49"/>
      <c r="M713" s="49"/>
      <c r="N713" s="49"/>
      <c r="O713" s="48"/>
      <c r="P713" s="49">
        <f t="shared" si="33"/>
        <v>0</v>
      </c>
      <c r="R713" s="50" t="str">
        <f t="shared" si="34"/>
        <v/>
      </c>
      <c r="U713" s="28" t="str">
        <f>IF($C713&lt;&gt;"",COUNTIF($C$2:C713,C713),"")</f>
        <v/>
      </c>
      <c r="V713" s="28" t="str">
        <f t="shared" si="35"/>
        <v/>
      </c>
      <c r="W713" s="28" t="str">
        <f>IF(U713=1,COUNTIF($U$2:U713,1),"")</f>
        <v/>
      </c>
    </row>
    <row r="714" spans="1:23" ht="15.75" customHeight="1" x14ac:dyDescent="0.25">
      <c r="A714" s="42" t="s">
        <v>3230</v>
      </c>
      <c r="B714" s="42" t="s">
        <v>3231</v>
      </c>
      <c r="C714" s="43"/>
      <c r="D714" s="43"/>
      <c r="E714" s="44"/>
      <c r="F714" s="44"/>
      <c r="G714" s="45"/>
      <c r="H714" s="47"/>
      <c r="I714" s="47"/>
      <c r="J714" s="43"/>
      <c r="K714" s="43"/>
      <c r="L714" s="49"/>
      <c r="M714" s="49"/>
      <c r="N714" s="49"/>
      <c r="O714" s="48"/>
      <c r="P714" s="49">
        <f t="shared" si="33"/>
        <v>0</v>
      </c>
      <c r="R714" s="50" t="str">
        <f t="shared" si="34"/>
        <v/>
      </c>
      <c r="U714" s="28" t="str">
        <f>IF($C714&lt;&gt;"",COUNTIF($C$2:C714,C714),"")</f>
        <v/>
      </c>
      <c r="V714" s="28" t="str">
        <f t="shared" si="35"/>
        <v/>
      </c>
      <c r="W714" s="28" t="str">
        <f>IF(U714=1,COUNTIF($U$2:U714,1),"")</f>
        <v/>
      </c>
    </row>
    <row r="715" spans="1:23" ht="15.75" customHeight="1" x14ac:dyDescent="0.25">
      <c r="C715" s="27"/>
      <c r="D715" s="27"/>
      <c r="E715" s="57"/>
      <c r="F715" s="57"/>
      <c r="G715" s="28"/>
      <c r="H715" s="63"/>
      <c r="I715" s="64"/>
      <c r="J715" s="27"/>
      <c r="K715" s="27"/>
      <c r="L715" s="31"/>
      <c r="M715" s="31"/>
      <c r="N715" s="31"/>
      <c r="O715" s="31"/>
      <c r="R715" s="50" t="str">
        <f t="shared" si="34"/>
        <v/>
      </c>
      <c r="U715" s="28" t="str">
        <f>IF($C715&lt;&gt;"",COUNTIF($C$2:C715,C715),"")</f>
        <v/>
      </c>
      <c r="V715" s="28" t="str">
        <f t="shared" si="35"/>
        <v/>
      </c>
      <c r="W715" s="28" t="str">
        <f>IF(U715=1,COUNTIF($U$2:U715,1),"")</f>
        <v/>
      </c>
    </row>
    <row r="716" spans="1:23" ht="15.75" customHeight="1" x14ac:dyDescent="0.25">
      <c r="C716" s="27"/>
      <c r="D716" s="27"/>
      <c r="E716" s="57"/>
      <c r="F716" s="57"/>
      <c r="G716" s="28"/>
      <c r="H716" s="63"/>
      <c r="I716" s="64"/>
      <c r="K716" s="27"/>
      <c r="L716" s="31"/>
      <c r="M716" s="31"/>
      <c r="N716" s="31"/>
      <c r="O716" s="31"/>
      <c r="R716" s="50" t="str">
        <f t="shared" si="34"/>
        <v/>
      </c>
      <c r="U716" s="28" t="str">
        <f>IF($C716&lt;&gt;"",COUNTIF($C$2:C716,C716),"")</f>
        <v/>
      </c>
      <c r="V716" s="28" t="str">
        <f t="shared" si="35"/>
        <v/>
      </c>
      <c r="W716" s="28" t="str">
        <f>IF(U716=1,COUNTIF($U$2:U716,1),"")</f>
        <v/>
      </c>
    </row>
    <row r="717" spans="1:23" ht="15.75" customHeight="1" x14ac:dyDescent="0.25">
      <c r="C717" s="27"/>
      <c r="D717" s="27"/>
      <c r="E717" s="57"/>
      <c r="F717" s="57"/>
      <c r="G717" s="28"/>
      <c r="H717" s="63"/>
      <c r="I717" s="64"/>
      <c r="J717" s="27"/>
      <c r="K717" s="27"/>
      <c r="L717" s="31"/>
      <c r="M717" s="31"/>
      <c r="N717" s="31"/>
      <c r="O717" s="31"/>
      <c r="R717" s="50" t="str">
        <f t="shared" si="34"/>
        <v/>
      </c>
      <c r="U717" s="28" t="str">
        <f>IF($C717&lt;&gt;"",COUNTIF($C$2:C717,C717),"")</f>
        <v/>
      </c>
      <c r="V717" s="28" t="str">
        <f t="shared" si="35"/>
        <v/>
      </c>
      <c r="W717" s="28" t="str">
        <f>IF(U717=1,COUNTIF($U$2:U717,1),"")</f>
        <v/>
      </c>
    </row>
    <row r="718" spans="1:23" ht="15.75" customHeight="1" x14ac:dyDescent="0.25">
      <c r="R718" s="50" t="str">
        <f t="shared" si="34"/>
        <v/>
      </c>
      <c r="U718" s="28" t="str">
        <f>IF($C718&lt;&gt;"",COUNTIF($C$2:C718,C718),"")</f>
        <v/>
      </c>
      <c r="V718" s="28" t="str">
        <f t="shared" si="35"/>
        <v/>
      </c>
      <c r="W718" s="28" t="str">
        <f>IF(U718=1,COUNTIF($U$2:U718,1),"")</f>
        <v/>
      </c>
    </row>
    <row r="719" spans="1:23" ht="31.5" customHeight="1" x14ac:dyDescent="0.25">
      <c r="F719" s="65" t="s">
        <v>3232</v>
      </c>
      <c r="K719" s="66" t="s">
        <v>69</v>
      </c>
      <c r="L719" s="67">
        <f>COUNTIF(L2:L714,"ONAY")</f>
        <v>348</v>
      </c>
      <c r="M719" s="68">
        <f>COUNTIF(M2:M714,"ONAY")</f>
        <v>136</v>
      </c>
      <c r="N719" s="67">
        <f>COUNTIF(N2:N714,"ONAY")</f>
        <v>20</v>
      </c>
      <c r="O719" s="69">
        <f>COUNTIF(O2:O714,"ONAY")</f>
        <v>3</v>
      </c>
      <c r="P719" s="68">
        <f>COUNTIF(P2:P714,"ONAY")</f>
        <v>507</v>
      </c>
      <c r="R719" s="50" t="str">
        <f t="shared" si="34"/>
        <v/>
      </c>
      <c r="U719" s="28" t="str">
        <f>IF($C719&lt;&gt;"",COUNTIF($C$2:C719,C719),"")</f>
        <v/>
      </c>
      <c r="V719" s="28" t="str">
        <f t="shared" si="35"/>
        <v/>
      </c>
      <c r="W719" s="28" t="str">
        <f>IF(U719=1,COUNTIF($U$2:U719,1),"")</f>
        <v/>
      </c>
    </row>
    <row r="720" spans="1:23" ht="31.5" customHeight="1" x14ac:dyDescent="0.25">
      <c r="F720" s="65" t="s">
        <v>3233</v>
      </c>
      <c r="K720" s="70" t="s">
        <v>96</v>
      </c>
      <c r="L720" s="71">
        <f>COUNTIF(L2:L714,"DÜZELTME")</f>
        <v>209</v>
      </c>
      <c r="M720" s="72">
        <f>COUNTIF(M2:M714,"DÜZELTME")</f>
        <v>27</v>
      </c>
      <c r="N720" s="71">
        <f>COUNTIF(N2:N714,"DÜZELTME")</f>
        <v>4</v>
      </c>
      <c r="O720" s="72">
        <f>COUNTIF(O2:O714,"DÜZELTME")</f>
        <v>0</v>
      </c>
      <c r="P720" s="73">
        <f>COUNTIF(P2:P714,"DÜZELTME")</f>
        <v>68</v>
      </c>
      <c r="R720" s="50" t="str">
        <f t="shared" si="34"/>
        <v/>
      </c>
      <c r="U720" s="28" t="str">
        <f>IF($C720&lt;&gt;"",COUNTIF($C$2:C720,C720),"")</f>
        <v/>
      </c>
      <c r="V720" s="28" t="str">
        <f t="shared" si="35"/>
        <v/>
      </c>
      <c r="W720" s="28" t="str">
        <f>IF(U720=1,COUNTIF($U$2:U720,1),"")</f>
        <v/>
      </c>
    </row>
    <row r="721" spans="6:23" ht="47.25" customHeight="1" x14ac:dyDescent="0.25">
      <c r="F721" s="65" t="s">
        <v>3234</v>
      </c>
      <c r="K721" s="74" t="s">
        <v>232</v>
      </c>
      <c r="L721" s="75">
        <f>COUNTIF(L2:L714,"KAEK")</f>
        <v>17</v>
      </c>
      <c r="M721" s="76">
        <f>COUNTIF(M2:M714,"KAEK")</f>
        <v>2</v>
      </c>
      <c r="N721" s="75">
        <f>COUNTIF(N2:N714,"KAEK")</f>
        <v>0</v>
      </c>
      <c r="O721" s="76">
        <f>COUNTIF(O2:O714,"KAEK")</f>
        <v>0</v>
      </c>
      <c r="P721" s="76">
        <f>COUNTIF(P2:P714,"KAEK")</f>
        <v>19</v>
      </c>
      <c r="R721" s="50" t="str">
        <f t="shared" si="34"/>
        <v/>
      </c>
      <c r="U721" s="28" t="str">
        <f>IF($C721&lt;&gt;"",COUNTIF($C$2:C721,C721),"")</f>
        <v/>
      </c>
      <c r="V721" s="28" t="str">
        <f t="shared" si="35"/>
        <v/>
      </c>
      <c r="W721" s="28" t="str">
        <f>IF(U721=1,COUNTIF($U$2:U721,1),"")</f>
        <v/>
      </c>
    </row>
    <row r="722" spans="6:23" ht="63" customHeight="1" x14ac:dyDescent="0.25">
      <c r="F722" s="65" t="s">
        <v>3235</v>
      </c>
      <c r="K722" s="77" t="s">
        <v>218</v>
      </c>
      <c r="L722" s="78">
        <f>COUNTIF(L2:L714,"GÖRÜŞ")</f>
        <v>24</v>
      </c>
      <c r="M722" s="79">
        <f>COUNTIF(M2:M714,"GÖRÜŞ")</f>
        <v>6</v>
      </c>
      <c r="N722" s="78">
        <f>COUNTIF(N2:N714,"GÖRÜŞ")</f>
        <v>0</v>
      </c>
      <c r="O722" s="79">
        <f>COUNTIF(O2:O714,"GÖRÜŞ")</f>
        <v>0</v>
      </c>
      <c r="P722" s="79">
        <f>COUNTIF(P2:P714,"GÖRÜŞ")</f>
        <v>2</v>
      </c>
      <c r="R722" s="50" t="str">
        <f t="shared" si="34"/>
        <v/>
      </c>
      <c r="U722" s="28" t="str">
        <f>IF($C722&lt;&gt;"",COUNTIF($C$2:C722,C722),"")</f>
        <v/>
      </c>
      <c r="V722" s="28" t="str">
        <f t="shared" si="35"/>
        <v/>
      </c>
      <c r="W722" s="28" t="str">
        <f>IF(U722=1,COUNTIF($U$2:U722,1),"")</f>
        <v/>
      </c>
    </row>
    <row r="723" spans="6:23" ht="47.25" customHeight="1" x14ac:dyDescent="0.25">
      <c r="F723" s="65" t="s">
        <v>3236</v>
      </c>
      <c r="K723" s="80" t="s">
        <v>156</v>
      </c>
      <c r="L723" s="81">
        <f>COUNTIF(L2:L714,"KAPSAM DIŞI")</f>
        <v>13</v>
      </c>
      <c r="M723" s="82">
        <f>COUNTIF(M2:M714,"KAPSAM DIŞI")</f>
        <v>1</v>
      </c>
      <c r="N723" s="81">
        <f>COUNTIF(N2:N714,"KAPSAM DIŞI")</f>
        <v>0</v>
      </c>
      <c r="O723" s="82">
        <f>COUNTIF(O2:O714,"KAPSAM DIŞI")</f>
        <v>0</v>
      </c>
      <c r="P723" s="82">
        <f>COUNTIF(P2:P714,"KAPSAM DIŞI")</f>
        <v>14</v>
      </c>
      <c r="R723" s="50" t="str">
        <f t="shared" si="34"/>
        <v/>
      </c>
      <c r="U723" s="28" t="str">
        <f>IF($C723&lt;&gt;"",COUNTIF($C$2:C723,C723),"")</f>
        <v/>
      </c>
      <c r="V723" s="28" t="str">
        <f t="shared" si="35"/>
        <v/>
      </c>
      <c r="W723" s="28" t="str">
        <f>IF(U723=1,COUNTIF($U$2:U723,1),"")</f>
        <v/>
      </c>
    </row>
    <row r="724" spans="6:23" ht="31.5" customHeight="1" x14ac:dyDescent="0.25">
      <c r="F724" s="65" t="s">
        <v>3237</v>
      </c>
      <c r="K724" s="83" t="s">
        <v>178</v>
      </c>
      <c r="L724" s="84">
        <f>COUNTIF(L2:L714,"RET")</f>
        <v>21</v>
      </c>
      <c r="M724" s="85">
        <f>COUNTIF(M2:M714,"RET")</f>
        <v>1</v>
      </c>
      <c r="N724" s="84">
        <f>COUNTIF(N2:N714,"RET")</f>
        <v>0</v>
      </c>
      <c r="O724" s="85">
        <f>COUNTIF(O2:O714,"RET")</f>
        <v>0</v>
      </c>
      <c r="P724" s="85">
        <f>COUNTIF(P2:P714,"RET")</f>
        <v>18</v>
      </c>
      <c r="R724" s="50" t="str">
        <f t="shared" si="34"/>
        <v/>
      </c>
      <c r="U724" s="28" t="str">
        <f>IF($C724&lt;&gt;"",COUNTIF($C$2:C724,C724),"")</f>
        <v/>
      </c>
      <c r="V724" s="28" t="str">
        <f t="shared" si="35"/>
        <v/>
      </c>
      <c r="W724" s="28" t="str">
        <f>IF(U724=1,COUNTIF($U$2:U724,1),"")</f>
        <v/>
      </c>
    </row>
    <row r="725" spans="6:23" ht="31.5" customHeight="1" x14ac:dyDescent="0.25">
      <c r="F725" s="65" t="s">
        <v>3238</v>
      </c>
      <c r="K725" s="86" t="s">
        <v>431</v>
      </c>
      <c r="L725" s="87">
        <f>COUNTIF(L2:L714,"GERİ ÇEKİLDİ")</f>
        <v>0</v>
      </c>
      <c r="M725" s="88">
        <f>COUNTIF(M2:M714,"GERİ ÇEKİLDİ")</f>
        <v>4</v>
      </c>
      <c r="N725" s="87">
        <f>COUNTIF(N2:N714,"GERİ ÇEKİLDİ")</f>
        <v>0</v>
      </c>
      <c r="O725" s="88">
        <f>COUNTIF(O2:O714,"GERİ ÇEKİLDİ")</f>
        <v>0</v>
      </c>
      <c r="P725" s="88">
        <f>COUNTIF(P2:P714,"GERİ ÇEKİLDİ")</f>
        <v>4</v>
      </c>
      <c r="R725" s="50" t="str">
        <f t="shared" si="34"/>
        <v/>
      </c>
      <c r="U725" s="28" t="str">
        <f>IF($C725&lt;&gt;"",COUNTIF($C$2:C725,C725),"")</f>
        <v/>
      </c>
      <c r="V725" s="28" t="str">
        <f t="shared" si="35"/>
        <v/>
      </c>
      <c r="W725" s="28" t="str">
        <f>IF(U725=1,COUNTIF($U$2:U725,1),"")</f>
        <v/>
      </c>
    </row>
    <row r="726" spans="6:23" ht="47.25" customHeight="1" x14ac:dyDescent="0.25">
      <c r="F726" s="65" t="s">
        <v>3239</v>
      </c>
      <c r="K726" s="89" t="s">
        <v>4</v>
      </c>
      <c r="L726" s="90">
        <f>SUM(L719:L725)</f>
        <v>632</v>
      </c>
      <c r="M726" s="91">
        <f>SUM(M719:M725)</f>
        <v>177</v>
      </c>
      <c r="N726" s="90">
        <f>SUM(N719:N725)</f>
        <v>24</v>
      </c>
      <c r="O726" s="91">
        <f>SUM(O719:O725)</f>
        <v>3</v>
      </c>
      <c r="P726" s="91">
        <f>SUM(P719:P725)</f>
        <v>632</v>
      </c>
      <c r="R726" s="50" t="str">
        <f t="shared" si="34"/>
        <v/>
      </c>
      <c r="U726" s="28" t="str">
        <f>IF($C726&lt;&gt;"",COUNTIF($C$2:C726,C726),"")</f>
        <v/>
      </c>
      <c r="V726" s="28" t="str">
        <f t="shared" si="35"/>
        <v/>
      </c>
      <c r="W726" s="28" t="str">
        <f>IF(U726=1,COUNTIF($U$2:U726,1),"")</f>
        <v/>
      </c>
    </row>
    <row r="727" spans="6:23" ht="31.5" customHeight="1" x14ac:dyDescent="0.25">
      <c r="F727" s="65" t="s">
        <v>3240</v>
      </c>
      <c r="R727" s="50" t="str">
        <f t="shared" si="34"/>
        <v/>
      </c>
      <c r="U727" s="28" t="str">
        <f>IF($C727&lt;&gt;"",COUNTIF($C$2:C727,C727),"")</f>
        <v/>
      </c>
      <c r="V727" s="28" t="str">
        <f t="shared" si="35"/>
        <v/>
      </c>
      <c r="W727" s="28" t="str">
        <f>IF(U727=1,COUNTIF($U$2:U727,1),"")</f>
        <v/>
      </c>
    </row>
    <row r="728" spans="6:23" ht="47.25" customHeight="1" x14ac:dyDescent="0.25">
      <c r="F728" s="65" t="s">
        <v>3241</v>
      </c>
      <c r="R728" s="50" t="str">
        <f t="shared" si="34"/>
        <v/>
      </c>
      <c r="U728" s="28" t="str">
        <f>IF($C728&lt;&gt;"",COUNTIF($C$2:C728,C728),"")</f>
        <v/>
      </c>
      <c r="V728" s="28" t="str">
        <f t="shared" si="35"/>
        <v/>
      </c>
      <c r="W728" s="28" t="str">
        <f>IF(U728=1,COUNTIF($U$2:U728,1),"")</f>
        <v/>
      </c>
    </row>
    <row r="729" spans="6:23" ht="63" customHeight="1" x14ac:dyDescent="0.25">
      <c r="F729" s="65" t="s">
        <v>3242</v>
      </c>
      <c r="L729" s="27">
        <f>COUNTIF(L2:L714,"")</f>
        <v>81</v>
      </c>
      <c r="R729" s="50" t="str">
        <f t="shared" si="34"/>
        <v/>
      </c>
      <c r="U729" s="28" t="str">
        <f>IF($C729&lt;&gt;"",COUNTIF($C$2:C729,C729),"")</f>
        <v/>
      </c>
      <c r="V729" s="28" t="str">
        <f t="shared" si="35"/>
        <v/>
      </c>
      <c r="W729" s="28" t="str">
        <f>IF(U729=1,COUNTIF($U$2:U729,1),"")</f>
        <v/>
      </c>
    </row>
    <row r="730" spans="6:23" ht="31.5" customHeight="1" x14ac:dyDescent="0.25">
      <c r="F730" s="65" t="s">
        <v>3243</v>
      </c>
      <c r="R730" s="50" t="str">
        <f t="shared" si="34"/>
        <v/>
      </c>
      <c r="U730" s="28" t="str">
        <f>IF($C730&lt;&gt;"",COUNTIF($C$2:C730,C730),"")</f>
        <v/>
      </c>
      <c r="V730" s="28" t="str">
        <f t="shared" si="35"/>
        <v/>
      </c>
      <c r="W730" s="28" t="str">
        <f>IF(U730=1,COUNTIF($U$2:U730,1),"")</f>
        <v/>
      </c>
    </row>
    <row r="731" spans="6:23" ht="31.5" customHeight="1" x14ac:dyDescent="0.25">
      <c r="F731" s="65" t="s">
        <v>3244</v>
      </c>
      <c r="L731" s="92" t="str">
        <f>IF(COUNTIF(L2:L714,"")&gt;0, "⚠ DİKKAT: Boş bırakılan alanlar var!", "✓ Tüm alanlar dolu")</f>
        <v>⚠ DİKKAT: Boş bırakılan alanlar var!</v>
      </c>
      <c r="M731" s="92"/>
      <c r="R731" s="50" t="str">
        <f t="shared" si="34"/>
        <v/>
      </c>
      <c r="U731" s="28" t="str">
        <f>IF($C731&lt;&gt;"",COUNTIF($C$2:C731,C731),"")</f>
        <v/>
      </c>
      <c r="V731" s="28" t="str">
        <f t="shared" si="35"/>
        <v/>
      </c>
      <c r="W731" s="28" t="str">
        <f>IF(U731=1,COUNTIF($U$2:U731,1),"")</f>
        <v/>
      </c>
    </row>
    <row r="732" spans="6:23" ht="31.5" customHeight="1" x14ac:dyDescent="0.25">
      <c r="F732" s="65" t="s">
        <v>3245</v>
      </c>
      <c r="M732" s="92"/>
      <c r="R732" s="50" t="str">
        <f t="shared" si="34"/>
        <v/>
      </c>
      <c r="U732" s="28" t="str">
        <f>IF($C732&lt;&gt;"",COUNTIF($C$2:C732,C732),"")</f>
        <v/>
      </c>
      <c r="V732" s="28" t="str">
        <f t="shared" si="35"/>
        <v/>
      </c>
      <c r="W732" s="28" t="str">
        <f>IF(U732=1,COUNTIF($U$2:U732,1),"")</f>
        <v/>
      </c>
    </row>
    <row r="733" spans="6:23" ht="31.5" customHeight="1" x14ac:dyDescent="0.25">
      <c r="F733" s="65" t="s">
        <v>3246</v>
      </c>
      <c r="L733" s="92"/>
      <c r="R733" s="50" t="str">
        <f t="shared" si="34"/>
        <v/>
      </c>
      <c r="U733" s="28" t="str">
        <f>IF($C733&lt;&gt;"",COUNTIF($C$2:C733,C733),"")</f>
        <v/>
      </c>
      <c r="V733" s="28" t="str">
        <f t="shared" si="35"/>
        <v/>
      </c>
      <c r="W733" s="28" t="str">
        <f>IF(U733=1,COUNTIF($U$2:U733,1),"")</f>
        <v/>
      </c>
    </row>
    <row r="734" spans="6:23" ht="31.5" customHeight="1" x14ac:dyDescent="0.25">
      <c r="F734" s="65" t="s">
        <v>3247</v>
      </c>
      <c r="R734" s="50" t="str">
        <f t="shared" si="34"/>
        <v/>
      </c>
      <c r="U734" s="28" t="str">
        <f>IF($C734&lt;&gt;"",COUNTIF($C$2:C734,C734),"")</f>
        <v/>
      </c>
      <c r="V734" s="28" t="str">
        <f t="shared" si="35"/>
        <v/>
      </c>
      <c r="W734" s="28" t="str">
        <f>IF(U734=1,COUNTIF($U$2:U734,1),"")</f>
        <v/>
      </c>
    </row>
    <row r="735" spans="6:23" ht="47.25" customHeight="1" x14ac:dyDescent="0.25">
      <c r="F735" s="65" t="s">
        <v>3248</v>
      </c>
      <c r="R735" s="50" t="str">
        <f t="shared" si="34"/>
        <v/>
      </c>
      <c r="U735" s="28" t="str">
        <f>IF($C735&lt;&gt;"",COUNTIF($C$2:C735,C735),"")</f>
        <v/>
      </c>
      <c r="V735" s="28" t="str">
        <f t="shared" si="35"/>
        <v/>
      </c>
      <c r="W735" s="28" t="str">
        <f>IF(U735=1,COUNTIF($U$2:U735,1),"")</f>
        <v/>
      </c>
    </row>
    <row r="736" spans="6:23" ht="31.5" customHeight="1" x14ac:dyDescent="0.25">
      <c r="F736" s="65" t="s">
        <v>3249</v>
      </c>
      <c r="R736" s="50" t="str">
        <f t="shared" si="34"/>
        <v/>
      </c>
      <c r="U736" s="28" t="str">
        <f>IF($C736&lt;&gt;"",COUNTIF($C$2:C736,C736),"")</f>
        <v/>
      </c>
      <c r="V736" s="28" t="str">
        <f t="shared" si="35"/>
        <v/>
      </c>
      <c r="W736" s="28" t="str">
        <f>IF(U736=1,COUNTIF($U$2:U736,1),"")</f>
        <v/>
      </c>
    </row>
    <row r="737" spans="6:23" ht="47.25" customHeight="1" x14ac:dyDescent="0.25">
      <c r="F737" s="65" t="s">
        <v>3250</v>
      </c>
      <c r="R737" s="50" t="str">
        <f t="shared" si="34"/>
        <v/>
      </c>
      <c r="U737" s="28" t="str">
        <f>IF($C737&lt;&gt;"",COUNTIF($C$2:C737,C737),"")</f>
        <v/>
      </c>
      <c r="V737" s="28" t="str">
        <f t="shared" si="35"/>
        <v/>
      </c>
      <c r="W737" s="28" t="str">
        <f>IF(U737=1,COUNTIF($U$2:U737,1),"")</f>
        <v/>
      </c>
    </row>
    <row r="738" spans="6:23" ht="47.25" customHeight="1" x14ac:dyDescent="0.25">
      <c r="F738" s="65" t="s">
        <v>3251</v>
      </c>
      <c r="R738" s="50" t="str">
        <f t="shared" si="34"/>
        <v/>
      </c>
      <c r="U738" s="28" t="str">
        <f>IF($C738&lt;&gt;"",COUNTIF($C$2:C738,C738),"")</f>
        <v/>
      </c>
      <c r="V738" s="28" t="str">
        <f t="shared" si="35"/>
        <v/>
      </c>
      <c r="W738" s="28" t="str">
        <f>IF(U738=1,COUNTIF($U$2:U738,1),"")</f>
        <v/>
      </c>
    </row>
    <row r="739" spans="6:23" ht="47.25" customHeight="1" x14ac:dyDescent="0.25">
      <c r="F739" s="65" t="s">
        <v>3252</v>
      </c>
      <c r="R739" s="50" t="str">
        <f t="shared" si="34"/>
        <v/>
      </c>
      <c r="U739" s="28" t="str">
        <f>IF($C739&lt;&gt;"",COUNTIF($C$2:C739,C739),"")</f>
        <v/>
      </c>
      <c r="V739" s="28" t="str">
        <f t="shared" si="35"/>
        <v/>
      </c>
      <c r="W739" s="28" t="str">
        <f>IF(U739=1,COUNTIF($U$2:U739,1),"")</f>
        <v/>
      </c>
    </row>
    <row r="740" spans="6:23" ht="47.25" customHeight="1" x14ac:dyDescent="0.25">
      <c r="F740" s="65" t="s">
        <v>3253</v>
      </c>
      <c r="R740" s="50" t="str">
        <f t="shared" si="34"/>
        <v/>
      </c>
      <c r="U740" s="28" t="str">
        <f>IF($C740&lt;&gt;"",COUNTIF($C$2:C740,C740),"")</f>
        <v/>
      </c>
      <c r="V740" s="28" t="str">
        <f t="shared" si="35"/>
        <v/>
      </c>
      <c r="W740" s="28" t="str">
        <f>IF(U740=1,COUNTIF($U$2:U740,1),"")</f>
        <v/>
      </c>
    </row>
    <row r="741" spans="6:23" ht="31.5" customHeight="1" x14ac:dyDescent="0.25">
      <c r="F741" s="65" t="s">
        <v>3254</v>
      </c>
      <c r="R741" s="50" t="str">
        <f t="shared" si="34"/>
        <v/>
      </c>
      <c r="U741" s="28" t="str">
        <f>IF($C741&lt;&gt;"",COUNTIF($C$2:C741,C741),"")</f>
        <v/>
      </c>
      <c r="V741" s="28" t="str">
        <f t="shared" si="35"/>
        <v/>
      </c>
      <c r="W741" s="28" t="str">
        <f>IF(U741=1,COUNTIF($U$2:U741,1),"")</f>
        <v/>
      </c>
    </row>
    <row r="742" spans="6:23" ht="31.5" customHeight="1" x14ac:dyDescent="0.25">
      <c r="F742" s="65" t="s">
        <v>3255</v>
      </c>
      <c r="R742" s="50" t="str">
        <f t="shared" si="34"/>
        <v/>
      </c>
      <c r="U742" s="28" t="str">
        <f>IF($C742&lt;&gt;"",COUNTIF($C$2:C742,C742),"")</f>
        <v/>
      </c>
      <c r="V742" s="28" t="str">
        <f t="shared" si="35"/>
        <v/>
      </c>
      <c r="W742" s="28" t="str">
        <f>IF(U742=1,COUNTIF($U$2:U742,1),"")</f>
        <v/>
      </c>
    </row>
    <row r="743" spans="6:23" ht="31.5" customHeight="1" x14ac:dyDescent="0.25">
      <c r="F743" s="65" t="s">
        <v>3256</v>
      </c>
      <c r="R743" s="50" t="str">
        <f t="shared" si="34"/>
        <v/>
      </c>
      <c r="U743" s="28" t="str">
        <f>IF($C743&lt;&gt;"",COUNTIF($C$2:C743,C743),"")</f>
        <v/>
      </c>
      <c r="V743" s="28" t="str">
        <f t="shared" si="35"/>
        <v/>
      </c>
      <c r="W743" s="28" t="str">
        <f>IF(U743=1,COUNTIF($U$2:U743,1),"")</f>
        <v/>
      </c>
    </row>
    <row r="744" spans="6:23" ht="31.5" customHeight="1" x14ac:dyDescent="0.25">
      <c r="F744" s="65" t="s">
        <v>3257</v>
      </c>
      <c r="R744" s="50" t="str">
        <f t="shared" si="34"/>
        <v/>
      </c>
      <c r="U744" s="28" t="str">
        <f>IF($C744&lt;&gt;"",COUNTIF($C$2:C744,C744),"")</f>
        <v/>
      </c>
      <c r="V744" s="28" t="str">
        <f t="shared" si="35"/>
        <v/>
      </c>
      <c r="W744" s="28" t="str">
        <f>IF(U744=1,COUNTIF($U$2:U744,1),"")</f>
        <v/>
      </c>
    </row>
    <row r="745" spans="6:23" ht="47.25" customHeight="1" x14ac:dyDescent="0.25">
      <c r="F745" s="65" t="s">
        <v>3258</v>
      </c>
      <c r="R745" s="50" t="str">
        <f t="shared" si="34"/>
        <v/>
      </c>
      <c r="U745" s="28" t="str">
        <f>IF($C745&lt;&gt;"",COUNTIF($C$2:C745,C745),"")</f>
        <v/>
      </c>
      <c r="V745" s="28" t="str">
        <f t="shared" si="35"/>
        <v/>
      </c>
      <c r="W745" s="28" t="str">
        <f>IF(U745=1,COUNTIF($U$2:U745,1),"")</f>
        <v/>
      </c>
    </row>
    <row r="746" spans="6:23" ht="47.25" customHeight="1" x14ac:dyDescent="0.25">
      <c r="F746" s="65" t="s">
        <v>3259</v>
      </c>
      <c r="R746" s="50" t="str">
        <f t="shared" si="34"/>
        <v/>
      </c>
      <c r="U746" s="28" t="str">
        <f>IF($C746&lt;&gt;"",COUNTIF($C$2:C746,C746),"")</f>
        <v/>
      </c>
      <c r="V746" s="28" t="str">
        <f t="shared" si="35"/>
        <v/>
      </c>
      <c r="W746" s="28" t="str">
        <f>IF(U746=1,COUNTIF($U$2:U746,1),"")</f>
        <v/>
      </c>
    </row>
    <row r="747" spans="6:23" ht="47.25" customHeight="1" x14ac:dyDescent="0.25">
      <c r="F747" s="65" t="s">
        <v>3260</v>
      </c>
      <c r="R747" s="50" t="str">
        <f t="shared" si="34"/>
        <v/>
      </c>
      <c r="U747" s="28" t="str">
        <f>IF($C747&lt;&gt;"",COUNTIF($C$2:C747,C747),"")</f>
        <v/>
      </c>
      <c r="V747" s="28" t="str">
        <f t="shared" si="35"/>
        <v/>
      </c>
      <c r="W747" s="28" t="str">
        <f>IF(U747=1,COUNTIF($U$2:U747,1),"")</f>
        <v/>
      </c>
    </row>
    <row r="748" spans="6:23" ht="31.5" customHeight="1" x14ac:dyDescent="0.25">
      <c r="F748" s="65" t="s">
        <v>3261</v>
      </c>
      <c r="R748" s="50" t="str">
        <f t="shared" si="34"/>
        <v/>
      </c>
      <c r="U748" s="28" t="str">
        <f>IF($C748&lt;&gt;"",COUNTIF($C$2:C748,C748),"")</f>
        <v/>
      </c>
      <c r="V748" s="28" t="str">
        <f t="shared" si="35"/>
        <v/>
      </c>
      <c r="W748" s="28" t="str">
        <f>IF(U748=1,COUNTIF($U$2:U748,1),"")</f>
        <v/>
      </c>
    </row>
    <row r="749" spans="6:23" ht="63" customHeight="1" x14ac:dyDescent="0.25">
      <c r="F749" s="65" t="s">
        <v>3262</v>
      </c>
      <c r="R749" s="50" t="str">
        <f t="shared" si="34"/>
        <v/>
      </c>
      <c r="U749" s="28" t="str">
        <f>IF($C749&lt;&gt;"",COUNTIF($C$2:C749,C749),"")</f>
        <v/>
      </c>
      <c r="V749" s="28" t="str">
        <f t="shared" si="35"/>
        <v/>
      </c>
      <c r="W749" s="28" t="str">
        <f>IF(U749=1,COUNTIF($U$2:U749,1),"")</f>
        <v/>
      </c>
    </row>
    <row r="750" spans="6:23" ht="47.25" customHeight="1" x14ac:dyDescent="0.25">
      <c r="F750" s="65" t="s">
        <v>3263</v>
      </c>
      <c r="R750" s="50" t="str">
        <f t="shared" si="34"/>
        <v/>
      </c>
      <c r="U750" s="28" t="str">
        <f>IF($C750&lt;&gt;"",COUNTIF($C$2:C750,C750),"")</f>
        <v/>
      </c>
      <c r="V750" s="28" t="str">
        <f t="shared" si="35"/>
        <v/>
      </c>
      <c r="W750" s="28" t="str">
        <f>IF(U750=1,COUNTIF($U$2:U750,1),"")</f>
        <v/>
      </c>
    </row>
    <row r="751" spans="6:23" ht="63" customHeight="1" x14ac:dyDescent="0.25">
      <c r="F751" s="65" t="s">
        <v>3264</v>
      </c>
      <c r="R751" s="50" t="str">
        <f t="shared" si="34"/>
        <v/>
      </c>
      <c r="U751" s="28" t="str">
        <f>IF($C751&lt;&gt;"",COUNTIF($C$2:C751,C751),"")</f>
        <v/>
      </c>
      <c r="V751" s="28" t="str">
        <f t="shared" si="35"/>
        <v/>
      </c>
      <c r="W751" s="28" t="str">
        <f>IF(U751=1,COUNTIF($U$2:U751,1),"")</f>
        <v/>
      </c>
    </row>
    <row r="752" spans="6:23" ht="47.25" customHeight="1" x14ac:dyDescent="0.25">
      <c r="F752" s="65" t="s">
        <v>3265</v>
      </c>
      <c r="R752" s="50" t="str">
        <f t="shared" si="34"/>
        <v/>
      </c>
      <c r="U752" s="28" t="str">
        <f>IF($C752&lt;&gt;"",COUNTIF($C$2:C752,C752),"")</f>
        <v/>
      </c>
      <c r="V752" s="28" t="str">
        <f t="shared" si="35"/>
        <v/>
      </c>
      <c r="W752" s="28" t="str">
        <f>IF(U752=1,COUNTIF($U$2:U752,1),"")</f>
        <v/>
      </c>
    </row>
    <row r="753" spans="6:23" ht="47.25" customHeight="1" x14ac:dyDescent="0.25">
      <c r="F753" s="65" t="s">
        <v>3266</v>
      </c>
      <c r="R753" s="50" t="str">
        <f t="shared" si="34"/>
        <v/>
      </c>
      <c r="U753" s="28" t="str">
        <f>IF($C753&lt;&gt;"",COUNTIF($C$2:C753,C753),"")</f>
        <v/>
      </c>
      <c r="V753" s="28" t="str">
        <f t="shared" si="35"/>
        <v/>
      </c>
      <c r="W753" s="28" t="str">
        <f>IF(U753=1,COUNTIF($U$2:U753,1),"")</f>
        <v/>
      </c>
    </row>
    <row r="754" spans="6:23" ht="47.25" customHeight="1" x14ac:dyDescent="0.25">
      <c r="F754" s="65" t="s">
        <v>3267</v>
      </c>
      <c r="R754" s="50" t="str">
        <f t="shared" si="34"/>
        <v/>
      </c>
      <c r="U754" s="28" t="str">
        <f>IF($C754&lt;&gt;"",COUNTIF($C$2:C754,C754),"")</f>
        <v/>
      </c>
      <c r="V754" s="28" t="str">
        <f t="shared" si="35"/>
        <v/>
      </c>
      <c r="W754" s="28" t="str">
        <f>IF(U754=1,COUNTIF($U$2:U754,1),"")</f>
        <v/>
      </c>
    </row>
    <row r="755" spans="6:23" ht="47.25" customHeight="1" x14ac:dyDescent="0.25">
      <c r="F755" s="65" t="s">
        <v>3268</v>
      </c>
      <c r="R755" s="50" t="str">
        <f t="shared" si="34"/>
        <v/>
      </c>
      <c r="U755" s="28" t="str">
        <f>IF($C755&lt;&gt;"",COUNTIF($C$2:C755,C755),"")</f>
        <v/>
      </c>
      <c r="V755" s="28" t="str">
        <f t="shared" si="35"/>
        <v/>
      </c>
      <c r="W755" s="28" t="str">
        <f>IF(U755=1,COUNTIF($U$2:U755,1),"")</f>
        <v/>
      </c>
    </row>
    <row r="756" spans="6:23" ht="47.25" customHeight="1" x14ac:dyDescent="0.25">
      <c r="F756" s="65" t="s">
        <v>3269</v>
      </c>
      <c r="R756" s="50" t="str">
        <f t="shared" si="34"/>
        <v/>
      </c>
      <c r="U756" s="28" t="str">
        <f>IF($C756&lt;&gt;"",COUNTIF($C$2:C756,C756),"")</f>
        <v/>
      </c>
      <c r="V756" s="28" t="str">
        <f t="shared" si="35"/>
        <v/>
      </c>
      <c r="W756" s="28" t="str">
        <f>IF(U756=1,COUNTIF($U$2:U756,1),"")</f>
        <v/>
      </c>
    </row>
    <row r="757" spans="6:23" ht="63" customHeight="1" x14ac:dyDescent="0.25">
      <c r="F757" s="65" t="s">
        <v>3270</v>
      </c>
      <c r="R757" s="50" t="str">
        <f t="shared" si="34"/>
        <v/>
      </c>
      <c r="U757" s="28" t="str">
        <f>IF($C757&lt;&gt;"",COUNTIF($C$2:C757,C757),"")</f>
        <v/>
      </c>
      <c r="V757" s="28" t="str">
        <f t="shared" si="35"/>
        <v/>
      </c>
      <c r="W757" s="28" t="str">
        <f>IF(U757=1,COUNTIF($U$2:U757,1),"")</f>
        <v/>
      </c>
    </row>
    <row r="758" spans="6:23" ht="78.75" customHeight="1" x14ac:dyDescent="0.25">
      <c r="F758" s="65" t="s">
        <v>3271</v>
      </c>
      <c r="R758" s="50" t="str">
        <f t="shared" si="34"/>
        <v/>
      </c>
      <c r="U758" s="28" t="str">
        <f>IF($C758&lt;&gt;"",COUNTIF($C$2:C758,C758),"")</f>
        <v/>
      </c>
      <c r="V758" s="28" t="str">
        <f t="shared" si="35"/>
        <v/>
      </c>
      <c r="W758" s="28" t="str">
        <f>IF(U758=1,COUNTIF($U$2:U758,1),"")</f>
        <v/>
      </c>
    </row>
    <row r="759" spans="6:23" ht="31.5" customHeight="1" x14ac:dyDescent="0.25">
      <c r="F759" s="65" t="s">
        <v>3272</v>
      </c>
      <c r="R759" s="50" t="str">
        <f t="shared" si="34"/>
        <v/>
      </c>
      <c r="U759" s="28" t="str">
        <f>IF($C759&lt;&gt;"",COUNTIF($C$2:C759,C759),"")</f>
        <v/>
      </c>
      <c r="V759" s="28" t="str">
        <f t="shared" si="35"/>
        <v/>
      </c>
      <c r="W759" s="28" t="str">
        <f>IF(U759=1,COUNTIF($U$2:U759,1),"")</f>
        <v/>
      </c>
    </row>
    <row r="760" spans="6:23" ht="47.25" customHeight="1" x14ac:dyDescent="0.25">
      <c r="F760" s="65" t="s">
        <v>3273</v>
      </c>
      <c r="R760" s="50" t="str">
        <f t="shared" si="34"/>
        <v/>
      </c>
      <c r="U760" s="28" t="str">
        <f>IF($C760&lt;&gt;"",COUNTIF($C$2:C760,C760),"")</f>
        <v/>
      </c>
      <c r="V760" s="28" t="str">
        <f t="shared" si="35"/>
        <v/>
      </c>
      <c r="W760" s="28" t="str">
        <f>IF(U760=1,COUNTIF($U$2:U760,1),"")</f>
        <v/>
      </c>
    </row>
    <row r="761" spans="6:23" ht="63" customHeight="1" x14ac:dyDescent="0.25">
      <c r="F761" s="65" t="s">
        <v>3274</v>
      </c>
      <c r="R761" s="50" t="str">
        <f t="shared" si="34"/>
        <v/>
      </c>
      <c r="U761" s="28" t="str">
        <f>IF($C761&lt;&gt;"",COUNTIF($C$2:C761,C761),"")</f>
        <v/>
      </c>
      <c r="V761" s="28" t="str">
        <f t="shared" si="35"/>
        <v/>
      </c>
      <c r="W761" s="28" t="str">
        <f>IF(U761=1,COUNTIF($U$2:U761,1),"")</f>
        <v/>
      </c>
    </row>
    <row r="762" spans="6:23" ht="63" customHeight="1" x14ac:dyDescent="0.25">
      <c r="F762" s="65" t="s">
        <v>3275</v>
      </c>
      <c r="R762" s="50" t="str">
        <f t="shared" si="34"/>
        <v/>
      </c>
      <c r="U762" s="28" t="str">
        <f>IF($C762&lt;&gt;"",COUNTIF($C$2:C762,C762),"")</f>
        <v/>
      </c>
      <c r="V762" s="28" t="str">
        <f t="shared" si="35"/>
        <v/>
      </c>
      <c r="W762" s="28" t="str">
        <f>IF(U762=1,COUNTIF($U$2:U762,1),"")</f>
        <v/>
      </c>
    </row>
    <row r="763" spans="6:23" ht="31.5" customHeight="1" x14ac:dyDescent="0.25">
      <c r="F763" s="65" t="s">
        <v>3276</v>
      </c>
      <c r="R763" s="50" t="str">
        <f t="shared" si="34"/>
        <v/>
      </c>
      <c r="U763" s="28" t="str">
        <f>IF($C763&lt;&gt;"",COUNTIF($C$2:C763,C763),"")</f>
        <v/>
      </c>
      <c r="V763" s="28" t="str">
        <f t="shared" si="35"/>
        <v/>
      </c>
      <c r="W763" s="28" t="str">
        <f>IF(U763=1,COUNTIF($U$2:U763,1),"")</f>
        <v/>
      </c>
    </row>
    <row r="764" spans="6:23" ht="31.5" customHeight="1" x14ac:dyDescent="0.25">
      <c r="F764" s="65" t="s">
        <v>3277</v>
      </c>
      <c r="R764" s="50" t="str">
        <f t="shared" si="34"/>
        <v/>
      </c>
      <c r="U764" s="28" t="str">
        <f>IF($C764&lt;&gt;"",COUNTIF($C$2:C764,C764),"")</f>
        <v/>
      </c>
      <c r="V764" s="28" t="str">
        <f t="shared" si="35"/>
        <v/>
      </c>
      <c r="W764" s="28" t="str">
        <f>IF(U764=1,COUNTIF($U$2:U764,1),"")</f>
        <v/>
      </c>
    </row>
    <row r="765" spans="6:23" ht="31.5" customHeight="1" x14ac:dyDescent="0.25">
      <c r="F765" s="65" t="s">
        <v>3278</v>
      </c>
      <c r="U765" s="28" t="str">
        <f>IF($C765&lt;&gt;"",COUNTIF($C$2:C765,C765),"")</f>
        <v/>
      </c>
      <c r="V765" s="28" t="str">
        <f t="shared" si="35"/>
        <v/>
      </c>
      <c r="W765" s="28" t="str">
        <f>IF(U765=1,COUNTIF($U$2:U765,1),"")</f>
        <v/>
      </c>
    </row>
    <row r="766" spans="6:23" ht="31.5" customHeight="1" x14ac:dyDescent="0.25">
      <c r="F766" s="65" t="s">
        <v>3279</v>
      </c>
      <c r="U766" s="28" t="str">
        <f>IF($C766&lt;&gt;"",COUNTIF($C$2:C766,C766),"")</f>
        <v/>
      </c>
      <c r="V766" s="28" t="str">
        <f t="shared" si="35"/>
        <v/>
      </c>
      <c r="W766" s="28" t="str">
        <f>IF(U766=1,COUNTIF($U$2:U766,1),"")</f>
        <v/>
      </c>
    </row>
    <row r="767" spans="6:23" ht="31.5" customHeight="1" x14ac:dyDescent="0.25">
      <c r="F767" s="65" t="s">
        <v>3280</v>
      </c>
      <c r="U767" s="28" t="str">
        <f>IF($C767&lt;&gt;"",COUNTIF($C$2:C767,C767),"")</f>
        <v/>
      </c>
      <c r="V767" s="28" t="str">
        <f t="shared" si="35"/>
        <v/>
      </c>
      <c r="W767" s="28" t="str">
        <f>IF(U767=1,COUNTIF($U$2:U767,1),"")</f>
        <v/>
      </c>
    </row>
    <row r="768" spans="6:23" ht="31.5" customHeight="1" x14ac:dyDescent="0.25">
      <c r="F768" s="65" t="s">
        <v>3281</v>
      </c>
      <c r="U768" s="28" t="str">
        <f>IF($C768&lt;&gt;"",COUNTIF($C$2:C768,C768),"")</f>
        <v/>
      </c>
      <c r="V768" s="28" t="str">
        <f t="shared" si="35"/>
        <v/>
      </c>
      <c r="W768" s="28" t="str">
        <f>IF(U768=1,COUNTIF($U$2:U768,1),"")</f>
        <v/>
      </c>
    </row>
    <row r="769" spans="6:23" ht="31.5" customHeight="1" x14ac:dyDescent="0.25">
      <c r="F769" s="65" t="s">
        <v>3282</v>
      </c>
      <c r="U769" s="28" t="str">
        <f>IF($C769&lt;&gt;"",COUNTIF($C$2:C769,C769),"")</f>
        <v/>
      </c>
      <c r="V769" s="28" t="str">
        <f t="shared" si="35"/>
        <v/>
      </c>
      <c r="W769" s="28" t="str">
        <f>IF(U769=1,COUNTIF($U$2:U769,1),"")</f>
        <v/>
      </c>
    </row>
    <row r="770" spans="6:23" ht="47.25" customHeight="1" x14ac:dyDescent="0.25">
      <c r="F770" s="65" t="s">
        <v>3283</v>
      </c>
      <c r="U770" s="28" t="str">
        <f>IF($C770&lt;&gt;"",COUNTIF($C$2:C770,C770),"")</f>
        <v/>
      </c>
      <c r="V770" s="28" t="str">
        <f t="shared" ref="V770:V833" si="36">IF($C770&lt;&gt;"",C770&amp;"§"&amp;U770,"")</f>
        <v/>
      </c>
      <c r="W770" s="28" t="str">
        <f>IF(U770=1,COUNTIF($U$2:U770,1),"")</f>
        <v/>
      </c>
    </row>
    <row r="771" spans="6:23" ht="31.5" customHeight="1" x14ac:dyDescent="0.25">
      <c r="F771" s="65" t="s">
        <v>3284</v>
      </c>
      <c r="U771" s="28" t="str">
        <f>IF($C771&lt;&gt;"",COUNTIF($C$2:C771,C771),"")</f>
        <v/>
      </c>
      <c r="V771" s="28" t="str">
        <f t="shared" si="36"/>
        <v/>
      </c>
      <c r="W771" s="28" t="str">
        <f>IF(U771=1,COUNTIF($U$2:U771,1),"")</f>
        <v/>
      </c>
    </row>
    <row r="772" spans="6:23" ht="63" customHeight="1" x14ac:dyDescent="0.25">
      <c r="F772" s="65" t="s">
        <v>3285</v>
      </c>
      <c r="U772" s="28" t="str">
        <f>IF($C772&lt;&gt;"",COUNTIF($C$2:C772,C772),"")</f>
        <v/>
      </c>
      <c r="V772" s="28" t="str">
        <f t="shared" si="36"/>
        <v/>
      </c>
      <c r="W772" s="28" t="str">
        <f>IF(U772=1,COUNTIF($U$2:U772,1),"")</f>
        <v/>
      </c>
    </row>
    <row r="773" spans="6:23" ht="47.25" customHeight="1" x14ac:dyDescent="0.25">
      <c r="F773" s="65" t="s">
        <v>3286</v>
      </c>
      <c r="U773" s="28" t="str">
        <f>IF($C773&lt;&gt;"",COUNTIF($C$2:C773,C773),"")</f>
        <v/>
      </c>
      <c r="V773" s="28" t="str">
        <f t="shared" si="36"/>
        <v/>
      </c>
      <c r="W773" s="28" t="str">
        <f>IF(U773=1,COUNTIF($U$2:U773,1),"")</f>
        <v/>
      </c>
    </row>
    <row r="774" spans="6:23" ht="47.25" customHeight="1" x14ac:dyDescent="0.25">
      <c r="F774" s="65" t="s">
        <v>3287</v>
      </c>
      <c r="U774" s="28" t="str">
        <f>IF($C774&lt;&gt;"",COUNTIF($C$2:C774,C774),"")</f>
        <v/>
      </c>
      <c r="V774" s="28" t="str">
        <f t="shared" si="36"/>
        <v/>
      </c>
      <c r="W774" s="28" t="str">
        <f>IF(U774=1,COUNTIF($U$2:U774,1),"")</f>
        <v/>
      </c>
    </row>
    <row r="775" spans="6:23" ht="31.5" customHeight="1" x14ac:dyDescent="0.25">
      <c r="F775" s="65" t="s">
        <v>3288</v>
      </c>
      <c r="U775" s="28" t="str">
        <f>IF($C775&lt;&gt;"",COUNTIF($C$2:C775,C775),"")</f>
        <v/>
      </c>
      <c r="V775" s="28" t="str">
        <f t="shared" si="36"/>
        <v/>
      </c>
      <c r="W775" s="28" t="str">
        <f>IF(U775=1,COUNTIF($U$2:U775,1),"")</f>
        <v/>
      </c>
    </row>
    <row r="776" spans="6:23" ht="31.5" customHeight="1" x14ac:dyDescent="0.25">
      <c r="F776" s="65" t="s">
        <v>3289</v>
      </c>
      <c r="U776" s="28" t="str">
        <f>IF($C776&lt;&gt;"",COUNTIF($C$2:C776,C776),"")</f>
        <v/>
      </c>
      <c r="V776" s="28" t="str">
        <f t="shared" si="36"/>
        <v/>
      </c>
      <c r="W776" s="28" t="str">
        <f>IF(U776=1,COUNTIF($U$2:U776,1),"")</f>
        <v/>
      </c>
    </row>
    <row r="777" spans="6:23" ht="47.25" customHeight="1" x14ac:dyDescent="0.25">
      <c r="F777" s="65" t="s">
        <v>3290</v>
      </c>
      <c r="U777" s="28" t="str">
        <f>IF($C777&lt;&gt;"",COUNTIF($C$2:C777,C777),"")</f>
        <v/>
      </c>
      <c r="V777" s="28" t="str">
        <f t="shared" si="36"/>
        <v/>
      </c>
      <c r="W777" s="28" t="str">
        <f>IF(U777=1,COUNTIF($U$2:U777,1),"")</f>
        <v/>
      </c>
    </row>
    <row r="778" spans="6:23" ht="31.5" customHeight="1" x14ac:dyDescent="0.25">
      <c r="F778" s="65" t="s">
        <v>3291</v>
      </c>
      <c r="U778" s="28" t="str">
        <f>IF($C778&lt;&gt;"",COUNTIF($C$2:C778,C778),"")</f>
        <v/>
      </c>
      <c r="V778" s="28" t="str">
        <f t="shared" si="36"/>
        <v/>
      </c>
      <c r="W778" s="28" t="str">
        <f>IF(U778=1,COUNTIF($U$2:U778,1),"")</f>
        <v/>
      </c>
    </row>
    <row r="779" spans="6:23" ht="47.25" customHeight="1" x14ac:dyDescent="0.25">
      <c r="F779" s="65" t="s">
        <v>3292</v>
      </c>
      <c r="U779" s="28" t="str">
        <f>IF($C779&lt;&gt;"",COUNTIF($C$2:C779,C779),"")</f>
        <v/>
      </c>
      <c r="V779" s="28" t="str">
        <f t="shared" si="36"/>
        <v/>
      </c>
      <c r="W779" s="28" t="str">
        <f>IF(U779=1,COUNTIF($U$2:U779,1),"")</f>
        <v/>
      </c>
    </row>
    <row r="780" spans="6:23" ht="63" customHeight="1" x14ac:dyDescent="0.25">
      <c r="F780" s="65" t="s">
        <v>3293</v>
      </c>
      <c r="U780" s="28" t="str">
        <f>IF($C780&lt;&gt;"",COUNTIF($C$2:C780,C780),"")</f>
        <v/>
      </c>
      <c r="V780" s="28" t="str">
        <f t="shared" si="36"/>
        <v/>
      </c>
      <c r="W780" s="28" t="str">
        <f>IF(U780=1,COUNTIF($U$2:U780,1),"")</f>
        <v/>
      </c>
    </row>
    <row r="781" spans="6:23" ht="31.5" customHeight="1" x14ac:dyDescent="0.25">
      <c r="F781" s="65" t="s">
        <v>3294</v>
      </c>
      <c r="U781" s="28" t="str">
        <f>IF($C781&lt;&gt;"",COUNTIF($C$2:C781,C781),"")</f>
        <v/>
      </c>
      <c r="V781" s="28" t="str">
        <f t="shared" si="36"/>
        <v/>
      </c>
      <c r="W781" s="28" t="str">
        <f>IF(U781=1,COUNTIF($U$2:U781,1),"")</f>
        <v/>
      </c>
    </row>
    <row r="782" spans="6:23" ht="47.25" customHeight="1" x14ac:dyDescent="0.25">
      <c r="F782" s="65" t="s">
        <v>3295</v>
      </c>
      <c r="U782" s="28" t="str">
        <f>IF($C782&lt;&gt;"",COUNTIF($C$2:C782,C782),"")</f>
        <v/>
      </c>
      <c r="V782" s="28" t="str">
        <f t="shared" si="36"/>
        <v/>
      </c>
      <c r="W782" s="28" t="str">
        <f>IF(U782=1,COUNTIF($U$2:U782,1),"")</f>
        <v/>
      </c>
    </row>
    <row r="783" spans="6:23" ht="31.5" customHeight="1" x14ac:dyDescent="0.25">
      <c r="F783" s="65" t="s">
        <v>3296</v>
      </c>
      <c r="U783" s="28" t="str">
        <f>IF($C783&lt;&gt;"",COUNTIF($C$2:C783,C783),"")</f>
        <v/>
      </c>
      <c r="V783" s="28" t="str">
        <f t="shared" si="36"/>
        <v/>
      </c>
      <c r="W783" s="28" t="str">
        <f>IF(U783=1,COUNTIF($U$2:U783,1),"")</f>
        <v/>
      </c>
    </row>
    <row r="784" spans="6:23" ht="31.5" customHeight="1" x14ac:dyDescent="0.25">
      <c r="F784" s="65" t="s">
        <v>3297</v>
      </c>
      <c r="U784" s="28" t="str">
        <f>IF($C784&lt;&gt;"",COUNTIF($C$2:C784,C784),"")</f>
        <v/>
      </c>
      <c r="V784" s="28" t="str">
        <f t="shared" si="36"/>
        <v/>
      </c>
      <c r="W784" s="28" t="str">
        <f>IF(U784=1,COUNTIF($U$2:U784,1),"")</f>
        <v/>
      </c>
    </row>
    <row r="785" spans="6:23" ht="63" customHeight="1" x14ac:dyDescent="0.25">
      <c r="F785" s="65" t="s">
        <v>3298</v>
      </c>
      <c r="U785" s="28" t="str">
        <f>IF($C785&lt;&gt;"",COUNTIF($C$2:C785,C785),"")</f>
        <v/>
      </c>
      <c r="V785" s="28" t="str">
        <f t="shared" si="36"/>
        <v/>
      </c>
      <c r="W785" s="28" t="str">
        <f>IF(U785=1,COUNTIF($U$2:U785,1),"")</f>
        <v/>
      </c>
    </row>
    <row r="786" spans="6:23" ht="47.25" customHeight="1" x14ac:dyDescent="0.25">
      <c r="F786" s="65" t="s">
        <v>3299</v>
      </c>
      <c r="U786" s="28" t="str">
        <f>IF($C786&lt;&gt;"",COUNTIF($C$2:C786,C786),"")</f>
        <v/>
      </c>
      <c r="V786" s="28" t="str">
        <f t="shared" si="36"/>
        <v/>
      </c>
      <c r="W786" s="28" t="str">
        <f>IF(U786=1,COUNTIF($U$2:U786,1),"")</f>
        <v/>
      </c>
    </row>
    <row r="787" spans="6:23" ht="31.5" customHeight="1" x14ac:dyDescent="0.25">
      <c r="F787" s="65" t="s">
        <v>3300</v>
      </c>
      <c r="U787" s="28" t="str">
        <f>IF($C787&lt;&gt;"",COUNTIF($C$2:C787,C787),"")</f>
        <v/>
      </c>
      <c r="V787" s="28" t="str">
        <f t="shared" si="36"/>
        <v/>
      </c>
      <c r="W787" s="28" t="str">
        <f>IF(U787=1,COUNTIF($U$2:U787,1),"")</f>
        <v/>
      </c>
    </row>
    <row r="788" spans="6:23" ht="31.5" customHeight="1" x14ac:dyDescent="0.25">
      <c r="F788" s="65" t="s">
        <v>3301</v>
      </c>
      <c r="U788" s="28" t="str">
        <f>IF($C788&lt;&gt;"",COUNTIF($C$2:C788,C788),"")</f>
        <v/>
      </c>
      <c r="V788" s="28" t="str">
        <f t="shared" si="36"/>
        <v/>
      </c>
      <c r="W788" s="28" t="str">
        <f>IF(U788=1,COUNTIF($U$2:U788,1),"")</f>
        <v/>
      </c>
    </row>
    <row r="789" spans="6:23" ht="31.5" customHeight="1" x14ac:dyDescent="0.25">
      <c r="F789" s="65" t="s">
        <v>3302</v>
      </c>
      <c r="U789" s="28" t="str">
        <f>IF($C789&lt;&gt;"",COUNTIF($C$2:C789,C789),"")</f>
        <v/>
      </c>
      <c r="V789" s="28" t="str">
        <f t="shared" si="36"/>
        <v/>
      </c>
      <c r="W789" s="28" t="str">
        <f>IF(U789=1,COUNTIF($U$2:U789,1),"")</f>
        <v/>
      </c>
    </row>
    <row r="790" spans="6:23" ht="31.5" customHeight="1" x14ac:dyDescent="0.25">
      <c r="F790" s="44" t="s">
        <v>3303</v>
      </c>
      <c r="U790" s="28" t="str">
        <f>IF($C790&lt;&gt;"",COUNTIF($C$2:C790,C790),"")</f>
        <v/>
      </c>
      <c r="V790" s="28" t="str">
        <f t="shared" si="36"/>
        <v/>
      </c>
      <c r="W790" s="28" t="str">
        <f>IF(U790=1,COUNTIF($U$2:U790,1),"")</f>
        <v/>
      </c>
    </row>
    <row r="791" spans="6:23" ht="63" customHeight="1" x14ac:dyDescent="0.25">
      <c r="F791" s="44" t="s">
        <v>3304</v>
      </c>
      <c r="U791" s="28" t="str">
        <f>IF($C791&lt;&gt;"",COUNTIF($C$2:C791,C791),"")</f>
        <v/>
      </c>
      <c r="V791" s="28" t="str">
        <f t="shared" si="36"/>
        <v/>
      </c>
      <c r="W791" s="28" t="str">
        <f>IF(U791=1,COUNTIF($U$2:U791,1),"")</f>
        <v/>
      </c>
    </row>
    <row r="792" spans="6:23" ht="63" customHeight="1" x14ac:dyDescent="0.25">
      <c r="F792" s="44" t="s">
        <v>3305</v>
      </c>
      <c r="U792" s="28" t="str">
        <f>IF($C792&lt;&gt;"",COUNTIF($C$2:C792,C792),"")</f>
        <v/>
      </c>
      <c r="V792" s="28" t="str">
        <f t="shared" si="36"/>
        <v/>
      </c>
      <c r="W792" s="28" t="str">
        <f>IF(U792=1,COUNTIF($U$2:U792,1),"")</f>
        <v/>
      </c>
    </row>
    <row r="793" spans="6:23" ht="31.5" customHeight="1" x14ac:dyDescent="0.25">
      <c r="F793" s="44" t="s">
        <v>3306</v>
      </c>
      <c r="U793" s="28" t="str">
        <f>IF($C793&lt;&gt;"",COUNTIF($C$2:C793,C793),"")</f>
        <v/>
      </c>
      <c r="V793" s="28" t="str">
        <f t="shared" si="36"/>
        <v/>
      </c>
      <c r="W793" s="28" t="str">
        <f>IF(U793=1,COUNTIF($U$2:U793,1),"")</f>
        <v/>
      </c>
    </row>
    <row r="794" spans="6:23" ht="47.25" customHeight="1" x14ac:dyDescent="0.25">
      <c r="F794" s="44" t="s">
        <v>3307</v>
      </c>
      <c r="U794" s="28" t="str">
        <f>IF($C794&lt;&gt;"",COUNTIF($C$2:C794,C794),"")</f>
        <v/>
      </c>
      <c r="V794" s="28" t="str">
        <f t="shared" si="36"/>
        <v/>
      </c>
      <c r="W794" s="28" t="str">
        <f>IF(U794=1,COUNTIF($U$2:U794,1),"")</f>
        <v/>
      </c>
    </row>
    <row r="795" spans="6:23" ht="31.5" customHeight="1" x14ac:dyDescent="0.25">
      <c r="F795" s="44" t="s">
        <v>3308</v>
      </c>
      <c r="U795" s="28" t="str">
        <f>IF($C795&lt;&gt;"",COUNTIF($C$2:C795,C795),"")</f>
        <v/>
      </c>
      <c r="V795" s="28" t="str">
        <f t="shared" si="36"/>
        <v/>
      </c>
      <c r="W795" s="28" t="str">
        <f>IF(U795=1,COUNTIF($U$2:U795,1),"")</f>
        <v/>
      </c>
    </row>
    <row r="796" spans="6:23" ht="31.5" customHeight="1" x14ac:dyDescent="0.25">
      <c r="F796" s="44" t="s">
        <v>3309</v>
      </c>
      <c r="U796" s="28" t="str">
        <f>IF($C796&lt;&gt;"",COUNTIF($C$2:C796,C796),"")</f>
        <v/>
      </c>
      <c r="V796" s="28" t="str">
        <f t="shared" si="36"/>
        <v/>
      </c>
      <c r="W796" s="28" t="str">
        <f>IF(U796=1,COUNTIF($U$2:U796,1),"")</f>
        <v/>
      </c>
    </row>
    <row r="797" spans="6:23" ht="63" customHeight="1" x14ac:dyDescent="0.25">
      <c r="F797" s="44" t="s">
        <v>3310</v>
      </c>
      <c r="U797" s="28" t="str">
        <f>IF($C797&lt;&gt;"",COUNTIF($C$2:C797,C797),"")</f>
        <v/>
      </c>
      <c r="V797" s="28" t="str">
        <f t="shared" si="36"/>
        <v/>
      </c>
      <c r="W797" s="28" t="str">
        <f>IF(U797=1,COUNTIF($U$2:U797,1),"")</f>
        <v/>
      </c>
    </row>
    <row r="798" spans="6:23" ht="31.5" customHeight="1" x14ac:dyDescent="0.25">
      <c r="F798" s="44" t="s">
        <v>3311</v>
      </c>
      <c r="U798" s="28" t="str">
        <f>IF($C798&lt;&gt;"",COUNTIF($C$2:C798,C798),"")</f>
        <v/>
      </c>
      <c r="V798" s="28" t="str">
        <f t="shared" si="36"/>
        <v/>
      </c>
      <c r="W798" s="28" t="str">
        <f>IF(U798=1,COUNTIF($U$2:U798,1),"")</f>
        <v/>
      </c>
    </row>
    <row r="799" spans="6:23" ht="47.25" customHeight="1" x14ac:dyDescent="0.25">
      <c r="F799" s="44" t="s">
        <v>3312</v>
      </c>
      <c r="U799" s="28" t="str">
        <f>IF($C799&lt;&gt;"",COUNTIF($C$2:C799,C799),"")</f>
        <v/>
      </c>
      <c r="V799" s="28" t="str">
        <f t="shared" si="36"/>
        <v/>
      </c>
      <c r="W799" s="28" t="str">
        <f>IF(U799=1,COUNTIF($U$2:U799,1),"")</f>
        <v/>
      </c>
    </row>
    <row r="800" spans="6:23" ht="47.25" customHeight="1" x14ac:dyDescent="0.25">
      <c r="F800" s="44" t="s">
        <v>3313</v>
      </c>
      <c r="U800" s="28" t="str">
        <f>IF($C800&lt;&gt;"",COUNTIF($C$2:C800,C800),"")</f>
        <v/>
      </c>
      <c r="V800" s="28" t="str">
        <f t="shared" si="36"/>
        <v/>
      </c>
      <c r="W800" s="28" t="str">
        <f>IF(U800=1,COUNTIF($U$2:U800,1),"")</f>
        <v/>
      </c>
    </row>
    <row r="801" spans="6:23" ht="47.25" customHeight="1" x14ac:dyDescent="0.25">
      <c r="F801" s="44" t="s">
        <v>3314</v>
      </c>
      <c r="U801" s="28" t="str">
        <f>IF($C801&lt;&gt;"",COUNTIF($C$2:C801,C801),"")</f>
        <v/>
      </c>
      <c r="V801" s="28" t="str">
        <f t="shared" si="36"/>
        <v/>
      </c>
      <c r="W801" s="28" t="str">
        <f>IF(U801=1,COUNTIF($U$2:U801,1),"")</f>
        <v/>
      </c>
    </row>
    <row r="802" spans="6:23" ht="47.25" customHeight="1" x14ac:dyDescent="0.25">
      <c r="F802" s="44" t="s">
        <v>3315</v>
      </c>
      <c r="U802" s="28" t="str">
        <f>IF($C802&lt;&gt;"",COUNTIF($C$2:C802,C802),"")</f>
        <v/>
      </c>
      <c r="V802" s="28" t="str">
        <f t="shared" si="36"/>
        <v/>
      </c>
      <c r="W802" s="28" t="str">
        <f>IF(U802=1,COUNTIF($U$2:U802,1),"")</f>
        <v/>
      </c>
    </row>
    <row r="803" spans="6:23" ht="31.5" customHeight="1" x14ac:dyDescent="0.25">
      <c r="F803" s="44" t="s">
        <v>3316</v>
      </c>
      <c r="U803" s="28" t="str">
        <f>IF($C803&lt;&gt;"",COUNTIF($C$2:C803,C803),"")</f>
        <v/>
      </c>
      <c r="V803" s="28" t="str">
        <f t="shared" si="36"/>
        <v/>
      </c>
      <c r="W803" s="28" t="str">
        <f>IF(U803=1,COUNTIF($U$2:U803,1),"")</f>
        <v/>
      </c>
    </row>
    <row r="804" spans="6:23" ht="47.25" customHeight="1" x14ac:dyDescent="0.25">
      <c r="F804" s="44" t="s">
        <v>3317</v>
      </c>
      <c r="U804" s="28" t="str">
        <f>IF($C804&lt;&gt;"",COUNTIF($C$2:C804,C804),"")</f>
        <v/>
      </c>
      <c r="V804" s="28" t="str">
        <f t="shared" si="36"/>
        <v/>
      </c>
      <c r="W804" s="28" t="str">
        <f>IF(U804=1,COUNTIF($U$2:U804,1),"")</f>
        <v/>
      </c>
    </row>
    <row r="805" spans="6:23" ht="31.5" customHeight="1" x14ac:dyDescent="0.25">
      <c r="F805" s="44" t="s">
        <v>3318</v>
      </c>
      <c r="U805" s="28" t="str">
        <f>IF($C805&lt;&gt;"",COUNTIF($C$2:C805,C805),"")</f>
        <v/>
      </c>
      <c r="V805" s="28" t="str">
        <f t="shared" si="36"/>
        <v/>
      </c>
      <c r="W805" s="28" t="str">
        <f>IF(U805=1,COUNTIF($U$2:U805,1),"")</f>
        <v/>
      </c>
    </row>
    <row r="806" spans="6:23" ht="47.25" customHeight="1" x14ac:dyDescent="0.25">
      <c r="F806" s="44" t="s">
        <v>3319</v>
      </c>
      <c r="U806" s="28" t="str">
        <f>IF($C806&lt;&gt;"",COUNTIF($C$2:C806,C806),"")</f>
        <v/>
      </c>
      <c r="V806" s="28" t="str">
        <f t="shared" si="36"/>
        <v/>
      </c>
      <c r="W806" s="28" t="str">
        <f>IF(U806=1,COUNTIF($U$2:U806,1),"")</f>
        <v/>
      </c>
    </row>
    <row r="807" spans="6:23" ht="47.25" customHeight="1" x14ac:dyDescent="0.25">
      <c r="F807" s="44" t="s">
        <v>3320</v>
      </c>
      <c r="U807" s="28" t="str">
        <f>IF($C807&lt;&gt;"",COUNTIF($C$2:C807,C807),"")</f>
        <v/>
      </c>
      <c r="V807" s="28" t="str">
        <f t="shared" si="36"/>
        <v/>
      </c>
      <c r="W807" s="28" t="str">
        <f>IF(U807=1,COUNTIF($U$2:U807,1),"")</f>
        <v/>
      </c>
    </row>
    <row r="808" spans="6:23" ht="47.25" customHeight="1" x14ac:dyDescent="0.25">
      <c r="F808" s="44" t="s">
        <v>3321</v>
      </c>
      <c r="U808" s="28" t="str">
        <f>IF($C808&lt;&gt;"",COUNTIF($C$2:C808,C808),"")</f>
        <v/>
      </c>
      <c r="V808" s="28" t="str">
        <f t="shared" si="36"/>
        <v/>
      </c>
      <c r="W808" s="28" t="str">
        <f>IF(U808=1,COUNTIF($U$2:U808,1),"")</f>
        <v/>
      </c>
    </row>
    <row r="809" spans="6:23" ht="47.25" customHeight="1" x14ac:dyDescent="0.25">
      <c r="F809" s="44" t="s">
        <v>3322</v>
      </c>
      <c r="U809" s="28" t="str">
        <f>IF($C809&lt;&gt;"",COUNTIF($C$2:C809,C809),"")</f>
        <v/>
      </c>
      <c r="V809" s="28" t="str">
        <f t="shared" si="36"/>
        <v/>
      </c>
      <c r="W809" s="28" t="str">
        <f>IF(U809=1,COUNTIF($U$2:U809,1),"")</f>
        <v/>
      </c>
    </row>
    <row r="810" spans="6:23" ht="47.25" customHeight="1" x14ac:dyDescent="0.25">
      <c r="F810" s="44" t="s">
        <v>3323</v>
      </c>
      <c r="U810" s="28" t="str">
        <f>IF($C810&lt;&gt;"",COUNTIF($C$2:C810,C810),"")</f>
        <v/>
      </c>
      <c r="V810" s="28" t="str">
        <f t="shared" si="36"/>
        <v/>
      </c>
      <c r="W810" s="28" t="str">
        <f>IF(U810=1,COUNTIF($U$2:U810,1),"")</f>
        <v/>
      </c>
    </row>
    <row r="811" spans="6:23" ht="78.75" customHeight="1" x14ac:dyDescent="0.25">
      <c r="F811" s="44" t="s">
        <v>3324</v>
      </c>
      <c r="U811" s="28" t="str">
        <f>IF($C811&lt;&gt;"",COUNTIF($C$2:C811,C811),"")</f>
        <v/>
      </c>
      <c r="V811" s="28" t="str">
        <f t="shared" si="36"/>
        <v/>
      </c>
      <c r="W811" s="28" t="str">
        <f>IF(U811=1,COUNTIF($U$2:U811,1),"")</f>
        <v/>
      </c>
    </row>
    <row r="812" spans="6:23" ht="78.75" customHeight="1" x14ac:dyDescent="0.25">
      <c r="F812" s="44" t="s">
        <v>3325</v>
      </c>
      <c r="U812" s="28" t="str">
        <f>IF($C812&lt;&gt;"",COUNTIF($C$2:C812,C812),"")</f>
        <v/>
      </c>
      <c r="V812" s="28" t="str">
        <f t="shared" si="36"/>
        <v/>
      </c>
      <c r="W812" s="28" t="str">
        <f>IF(U812=1,COUNTIF($U$2:U812,1),"")</f>
        <v/>
      </c>
    </row>
    <row r="813" spans="6:23" ht="31.5" customHeight="1" x14ac:dyDescent="0.25">
      <c r="F813" s="44" t="s">
        <v>3326</v>
      </c>
      <c r="U813" s="28" t="str">
        <f>IF($C813&lt;&gt;"",COUNTIF($C$2:C813,C813),"")</f>
        <v/>
      </c>
      <c r="V813" s="28" t="str">
        <f t="shared" si="36"/>
        <v/>
      </c>
      <c r="W813" s="28" t="str">
        <f>IF(U813=1,COUNTIF($U$2:U813,1),"")</f>
        <v/>
      </c>
    </row>
    <row r="814" spans="6:23" ht="31.5" customHeight="1" x14ac:dyDescent="0.25">
      <c r="F814" s="44" t="s">
        <v>3327</v>
      </c>
      <c r="U814" s="28" t="str">
        <f>IF($C814&lt;&gt;"",COUNTIF($C$2:C814,C814),"")</f>
        <v/>
      </c>
      <c r="V814" s="28" t="str">
        <f t="shared" si="36"/>
        <v/>
      </c>
      <c r="W814" s="28" t="str">
        <f>IF(U814=1,COUNTIF($U$2:U814,1),"")</f>
        <v/>
      </c>
    </row>
    <row r="815" spans="6:23" ht="63" customHeight="1" x14ac:dyDescent="0.25">
      <c r="F815" s="44" t="s">
        <v>3328</v>
      </c>
      <c r="U815" s="28" t="str">
        <f>IF($C815&lt;&gt;"",COUNTIF($C$2:C815,C815),"")</f>
        <v/>
      </c>
      <c r="V815" s="28" t="str">
        <f t="shared" si="36"/>
        <v/>
      </c>
      <c r="W815" s="28" t="str">
        <f>IF(U815=1,COUNTIF($U$2:U815,1),"")</f>
        <v/>
      </c>
    </row>
    <row r="816" spans="6:23" ht="31.5" customHeight="1" x14ac:dyDescent="0.25">
      <c r="F816" s="44" t="s">
        <v>3329</v>
      </c>
      <c r="U816" s="28" t="str">
        <f>IF($C816&lt;&gt;"",COUNTIF($C$2:C816,C816),"")</f>
        <v/>
      </c>
      <c r="V816" s="28" t="str">
        <f t="shared" si="36"/>
        <v/>
      </c>
      <c r="W816" s="28" t="str">
        <f>IF(U816=1,COUNTIF($U$2:U816,1),"")</f>
        <v/>
      </c>
    </row>
    <row r="817" spans="6:23" ht="47.25" customHeight="1" x14ac:dyDescent="0.25">
      <c r="F817" s="44" t="s">
        <v>3330</v>
      </c>
      <c r="U817" s="28" t="str">
        <f>IF($C817&lt;&gt;"",COUNTIF($C$2:C817,C817),"")</f>
        <v/>
      </c>
      <c r="V817" s="28" t="str">
        <f t="shared" si="36"/>
        <v/>
      </c>
      <c r="W817" s="28" t="str">
        <f>IF(U817=1,COUNTIF($U$2:U817,1),"")</f>
        <v/>
      </c>
    </row>
    <row r="818" spans="6:23" ht="47.25" customHeight="1" x14ac:dyDescent="0.25">
      <c r="F818" s="44" t="s">
        <v>3331</v>
      </c>
      <c r="U818" s="28" t="str">
        <f>IF($C818&lt;&gt;"",COUNTIF($C$2:C818,C818),"")</f>
        <v/>
      </c>
      <c r="V818" s="28" t="str">
        <f t="shared" si="36"/>
        <v/>
      </c>
      <c r="W818" s="28" t="str">
        <f>IF(U818=1,COUNTIF($U$2:U818,1),"")</f>
        <v/>
      </c>
    </row>
    <row r="819" spans="6:23" ht="63" customHeight="1" x14ac:dyDescent="0.25">
      <c r="F819" s="44" t="s">
        <v>3332</v>
      </c>
      <c r="U819" s="28" t="str">
        <f>IF($C819&lt;&gt;"",COUNTIF($C$2:C819,C819),"")</f>
        <v/>
      </c>
      <c r="V819" s="28" t="str">
        <f t="shared" si="36"/>
        <v/>
      </c>
      <c r="W819" s="28" t="str">
        <f>IF(U819=1,COUNTIF($U$2:U819,1),"")</f>
        <v/>
      </c>
    </row>
    <row r="820" spans="6:23" ht="31.5" customHeight="1" x14ac:dyDescent="0.25">
      <c r="F820" s="44" t="s">
        <v>3333</v>
      </c>
      <c r="U820" s="28" t="str">
        <f>IF($C820&lt;&gt;"",COUNTIF($C$2:C820,C820),"")</f>
        <v/>
      </c>
      <c r="V820" s="28" t="str">
        <f t="shared" si="36"/>
        <v/>
      </c>
      <c r="W820" s="28" t="str">
        <f>IF(U820=1,COUNTIF($U$2:U820,1),"")</f>
        <v/>
      </c>
    </row>
    <row r="821" spans="6:23" ht="47.25" customHeight="1" x14ac:dyDescent="0.25">
      <c r="F821" s="44" t="s">
        <v>3334</v>
      </c>
      <c r="U821" s="28" t="str">
        <f>IF($C821&lt;&gt;"",COUNTIF($C$2:C821,C821),"")</f>
        <v/>
      </c>
      <c r="V821" s="28" t="str">
        <f t="shared" si="36"/>
        <v/>
      </c>
      <c r="W821" s="28" t="str">
        <f>IF(U821=1,COUNTIF($U$2:U821,1),"")</f>
        <v/>
      </c>
    </row>
    <row r="822" spans="6:23" ht="63" customHeight="1" x14ac:dyDescent="0.25">
      <c r="F822" s="44" t="s">
        <v>3335</v>
      </c>
      <c r="U822" s="28" t="str">
        <f>IF($C822&lt;&gt;"",COUNTIF($C$2:C822,C822),"")</f>
        <v/>
      </c>
      <c r="V822" s="28" t="str">
        <f t="shared" si="36"/>
        <v/>
      </c>
      <c r="W822" s="28" t="str">
        <f>IF(U822=1,COUNTIF($U$2:U822,1),"")</f>
        <v/>
      </c>
    </row>
    <row r="823" spans="6:23" ht="47.25" customHeight="1" x14ac:dyDescent="0.25">
      <c r="F823" s="44" t="s">
        <v>3336</v>
      </c>
      <c r="U823" s="28" t="str">
        <f>IF($C823&lt;&gt;"",COUNTIF($C$2:C823,C823),"")</f>
        <v/>
      </c>
      <c r="V823" s="28" t="str">
        <f t="shared" si="36"/>
        <v/>
      </c>
      <c r="W823" s="28" t="str">
        <f>IF(U823=1,COUNTIF($U$2:U823,1),"")</f>
        <v/>
      </c>
    </row>
    <row r="824" spans="6:23" ht="47.25" customHeight="1" x14ac:dyDescent="0.25">
      <c r="F824" s="44" t="s">
        <v>3337</v>
      </c>
      <c r="U824" s="28" t="str">
        <f>IF($C824&lt;&gt;"",COUNTIF($C$2:C824,C824),"")</f>
        <v/>
      </c>
      <c r="V824" s="28" t="str">
        <f t="shared" si="36"/>
        <v/>
      </c>
      <c r="W824" s="28" t="str">
        <f>IF(U824=1,COUNTIF($U$2:U824,1),"")</f>
        <v/>
      </c>
    </row>
    <row r="825" spans="6:23" ht="47.25" customHeight="1" x14ac:dyDescent="0.25">
      <c r="F825" s="44" t="s">
        <v>3338</v>
      </c>
      <c r="U825" s="28" t="str">
        <f>IF($C825&lt;&gt;"",COUNTIF($C$2:C825,C825),"")</f>
        <v/>
      </c>
      <c r="V825" s="28" t="str">
        <f t="shared" si="36"/>
        <v/>
      </c>
      <c r="W825" s="28" t="str">
        <f>IF(U825=1,COUNTIF($U$2:U825,1),"")</f>
        <v/>
      </c>
    </row>
    <row r="826" spans="6:23" ht="47.25" customHeight="1" x14ac:dyDescent="0.25">
      <c r="F826" s="44" t="s">
        <v>3339</v>
      </c>
      <c r="U826" s="28" t="str">
        <f>IF($C826&lt;&gt;"",COUNTIF($C$2:C826,C826),"")</f>
        <v/>
      </c>
      <c r="V826" s="28" t="str">
        <f t="shared" si="36"/>
        <v/>
      </c>
      <c r="W826" s="28" t="str">
        <f>IF(U826=1,COUNTIF($U$2:U826,1),"")</f>
        <v/>
      </c>
    </row>
    <row r="827" spans="6:23" ht="47.25" customHeight="1" x14ac:dyDescent="0.25">
      <c r="F827" s="44" t="s">
        <v>3340</v>
      </c>
      <c r="U827" s="28" t="str">
        <f>IF($C827&lt;&gt;"",COUNTIF($C$2:C827,C827),"")</f>
        <v/>
      </c>
      <c r="V827" s="28" t="str">
        <f t="shared" si="36"/>
        <v/>
      </c>
      <c r="W827" s="28" t="str">
        <f>IF(U827=1,COUNTIF($U$2:U827,1),"")</f>
        <v/>
      </c>
    </row>
    <row r="828" spans="6:23" ht="31.5" customHeight="1" x14ac:dyDescent="0.25">
      <c r="F828" s="44" t="s">
        <v>3341</v>
      </c>
      <c r="U828" s="28" t="str">
        <f>IF($C828&lt;&gt;"",COUNTIF($C$2:C828,C828),"")</f>
        <v/>
      </c>
      <c r="V828" s="28" t="str">
        <f t="shared" si="36"/>
        <v/>
      </c>
      <c r="W828" s="28" t="str">
        <f>IF(U828=1,COUNTIF($U$2:U828,1),"")</f>
        <v/>
      </c>
    </row>
    <row r="829" spans="6:23" ht="31.5" customHeight="1" x14ac:dyDescent="0.25">
      <c r="F829" s="44" t="s">
        <v>3342</v>
      </c>
      <c r="U829" s="28" t="str">
        <f>IF($C829&lt;&gt;"",COUNTIF($C$2:C829,C829),"")</f>
        <v/>
      </c>
      <c r="V829" s="28" t="str">
        <f t="shared" si="36"/>
        <v/>
      </c>
      <c r="W829" s="28" t="str">
        <f>IF(U829=1,COUNTIF($U$2:U829,1),"")</f>
        <v/>
      </c>
    </row>
    <row r="830" spans="6:23" ht="63" customHeight="1" x14ac:dyDescent="0.25">
      <c r="F830" s="44" t="s">
        <v>3343</v>
      </c>
      <c r="U830" s="28" t="str">
        <f>IF($C830&lt;&gt;"",COUNTIF($C$2:C830,C830),"")</f>
        <v/>
      </c>
      <c r="V830" s="28" t="str">
        <f t="shared" si="36"/>
        <v/>
      </c>
      <c r="W830" s="28" t="str">
        <f>IF(U830=1,COUNTIF($U$2:U830,1),"")</f>
        <v/>
      </c>
    </row>
    <row r="831" spans="6:23" ht="47.25" customHeight="1" x14ac:dyDescent="0.25">
      <c r="F831" s="44" t="s">
        <v>3344</v>
      </c>
      <c r="U831" s="28" t="str">
        <f>IF($C831&lt;&gt;"",COUNTIF($C$2:C831,C831),"")</f>
        <v/>
      </c>
      <c r="V831" s="28" t="str">
        <f t="shared" si="36"/>
        <v/>
      </c>
      <c r="W831" s="28" t="str">
        <f>IF(U831=1,COUNTIF($U$2:U831,1),"")</f>
        <v/>
      </c>
    </row>
    <row r="832" spans="6:23" ht="47.25" customHeight="1" x14ac:dyDescent="0.25">
      <c r="F832" s="44" t="s">
        <v>3345</v>
      </c>
      <c r="U832" s="28" t="str">
        <f>IF($C832&lt;&gt;"",COUNTIF($C$2:C832,C832),"")</f>
        <v/>
      </c>
      <c r="V832" s="28" t="str">
        <f t="shared" si="36"/>
        <v/>
      </c>
      <c r="W832" s="28" t="str">
        <f>IF(U832=1,COUNTIF($U$2:U832,1),"")</f>
        <v/>
      </c>
    </row>
    <row r="833" spans="6:23" ht="47.25" customHeight="1" x14ac:dyDescent="0.25">
      <c r="F833" s="44" t="s">
        <v>3346</v>
      </c>
      <c r="U833" s="28" t="str">
        <f>IF($C833&lt;&gt;"",COUNTIF($C$2:C833,C833),"")</f>
        <v/>
      </c>
      <c r="V833" s="28" t="str">
        <f t="shared" si="36"/>
        <v/>
      </c>
      <c r="W833" s="28" t="str">
        <f>IF(U833=1,COUNTIF($U$2:U833,1),"")</f>
        <v/>
      </c>
    </row>
    <row r="834" spans="6:23" ht="63" customHeight="1" x14ac:dyDescent="0.25">
      <c r="F834" s="44" t="s">
        <v>3347</v>
      </c>
      <c r="U834" s="28" t="str">
        <f>IF($C834&lt;&gt;"",COUNTIF($C$2:C834,C834),"")</f>
        <v/>
      </c>
      <c r="V834" s="28" t="str">
        <f t="shared" ref="V834:V897" si="37">IF($C834&lt;&gt;"",C834&amp;"§"&amp;U834,"")</f>
        <v/>
      </c>
      <c r="W834" s="28" t="str">
        <f>IF(U834=1,COUNTIF($U$2:U834,1),"")</f>
        <v/>
      </c>
    </row>
    <row r="835" spans="6:23" ht="31.5" customHeight="1" x14ac:dyDescent="0.25">
      <c r="F835" s="44" t="s">
        <v>3348</v>
      </c>
      <c r="U835" s="28" t="str">
        <f>IF($C835&lt;&gt;"",COUNTIF($C$2:C835,C835),"")</f>
        <v/>
      </c>
      <c r="V835" s="28" t="str">
        <f t="shared" si="37"/>
        <v/>
      </c>
      <c r="W835" s="28" t="str">
        <f>IF(U835=1,COUNTIF($U$2:U835,1),"")</f>
        <v/>
      </c>
    </row>
    <row r="836" spans="6:23" ht="31.5" customHeight="1" x14ac:dyDescent="0.25">
      <c r="F836" s="44" t="s">
        <v>3349</v>
      </c>
      <c r="U836" s="28" t="str">
        <f>IF($C836&lt;&gt;"",COUNTIF($C$2:C836,C836),"")</f>
        <v/>
      </c>
      <c r="V836" s="28" t="str">
        <f t="shared" si="37"/>
        <v/>
      </c>
      <c r="W836" s="28" t="str">
        <f>IF(U836=1,COUNTIF($U$2:U836,1),"")</f>
        <v/>
      </c>
    </row>
    <row r="837" spans="6:23" ht="63" customHeight="1" x14ac:dyDescent="0.25">
      <c r="F837" s="44" t="s">
        <v>3350</v>
      </c>
      <c r="U837" s="28" t="str">
        <f>IF($C837&lt;&gt;"",COUNTIF($C$2:C837,C837),"")</f>
        <v/>
      </c>
      <c r="V837" s="28" t="str">
        <f t="shared" si="37"/>
        <v/>
      </c>
      <c r="W837" s="28" t="str">
        <f>IF(U837=1,COUNTIF($U$2:U837,1),"")</f>
        <v/>
      </c>
    </row>
    <row r="838" spans="6:23" ht="47.25" customHeight="1" x14ac:dyDescent="0.25">
      <c r="F838" s="44" t="s">
        <v>3351</v>
      </c>
      <c r="U838" s="28" t="str">
        <f>IF($C838&lt;&gt;"",COUNTIF($C$2:C838,C838),"")</f>
        <v/>
      </c>
      <c r="V838" s="28" t="str">
        <f t="shared" si="37"/>
        <v/>
      </c>
      <c r="W838" s="28" t="str">
        <f>IF(U838=1,COUNTIF($U$2:U838,1),"")</f>
        <v/>
      </c>
    </row>
    <row r="839" spans="6:23" ht="47.25" customHeight="1" x14ac:dyDescent="0.25">
      <c r="F839" s="44" t="s">
        <v>3352</v>
      </c>
      <c r="U839" s="28" t="str">
        <f>IF($C839&lt;&gt;"",COUNTIF($C$2:C839,C839),"")</f>
        <v/>
      </c>
      <c r="V839" s="28" t="str">
        <f t="shared" si="37"/>
        <v/>
      </c>
      <c r="W839" s="28" t="str">
        <f>IF(U839=1,COUNTIF($U$2:U839,1),"")</f>
        <v/>
      </c>
    </row>
    <row r="840" spans="6:23" ht="31.5" customHeight="1" x14ac:dyDescent="0.25">
      <c r="F840" s="44" t="s">
        <v>3353</v>
      </c>
      <c r="U840" s="28" t="str">
        <f>IF($C840&lt;&gt;"",COUNTIF($C$2:C840,C840),"")</f>
        <v/>
      </c>
      <c r="V840" s="28" t="str">
        <f t="shared" si="37"/>
        <v/>
      </c>
      <c r="W840" s="28" t="str">
        <f>IF(U840=1,COUNTIF($U$2:U840,1),"")</f>
        <v/>
      </c>
    </row>
    <row r="841" spans="6:23" ht="63" customHeight="1" x14ac:dyDescent="0.25">
      <c r="F841" s="44" t="s">
        <v>3354</v>
      </c>
      <c r="U841" s="28" t="str">
        <f>IF($C841&lt;&gt;"",COUNTIF($C$2:C841,C841),"")</f>
        <v/>
      </c>
      <c r="V841" s="28" t="str">
        <f t="shared" si="37"/>
        <v/>
      </c>
      <c r="W841" s="28" t="str">
        <f>IF(U841=1,COUNTIF($U$2:U841,1),"")</f>
        <v/>
      </c>
    </row>
    <row r="842" spans="6:23" ht="78.75" customHeight="1" x14ac:dyDescent="0.25">
      <c r="F842" s="44" t="s">
        <v>3355</v>
      </c>
      <c r="U842" s="28" t="str">
        <f>IF($C842&lt;&gt;"",COUNTIF($C$2:C842,C842),"")</f>
        <v/>
      </c>
      <c r="V842" s="28" t="str">
        <f t="shared" si="37"/>
        <v/>
      </c>
      <c r="W842" s="28" t="str">
        <f>IF(U842=1,COUNTIF($U$2:U842,1),"")</f>
        <v/>
      </c>
    </row>
    <row r="843" spans="6:23" ht="31.5" customHeight="1" x14ac:dyDescent="0.25">
      <c r="F843" s="44" t="s">
        <v>3356</v>
      </c>
      <c r="U843" s="28" t="str">
        <f>IF($C843&lt;&gt;"",COUNTIF($C$2:C843,C843),"")</f>
        <v/>
      </c>
      <c r="V843" s="28" t="str">
        <f t="shared" si="37"/>
        <v/>
      </c>
      <c r="W843" s="28" t="str">
        <f>IF(U843=1,COUNTIF($U$2:U843,1),"")</f>
        <v/>
      </c>
    </row>
    <row r="844" spans="6:23" ht="31.5" customHeight="1" x14ac:dyDescent="0.25">
      <c r="F844" s="44" t="s">
        <v>3357</v>
      </c>
      <c r="U844" s="28" t="str">
        <f>IF($C844&lt;&gt;"",COUNTIF($C$2:C844,C844),"")</f>
        <v/>
      </c>
      <c r="V844" s="28" t="str">
        <f t="shared" si="37"/>
        <v/>
      </c>
      <c r="W844" s="28" t="str">
        <f>IF(U844=1,COUNTIF($U$2:U844,1),"")</f>
        <v/>
      </c>
    </row>
    <row r="845" spans="6:23" ht="31.5" customHeight="1" x14ac:dyDescent="0.25">
      <c r="F845" s="44" t="s">
        <v>3358</v>
      </c>
      <c r="U845" s="28" t="str">
        <f>IF($C845&lt;&gt;"",COUNTIF($C$2:C845,C845),"")</f>
        <v/>
      </c>
      <c r="V845" s="28" t="str">
        <f t="shared" si="37"/>
        <v/>
      </c>
      <c r="W845" s="28" t="str">
        <f>IF(U845=1,COUNTIF($U$2:U845,1),"")</f>
        <v/>
      </c>
    </row>
    <row r="846" spans="6:23" ht="31.5" customHeight="1" x14ac:dyDescent="0.25">
      <c r="F846" s="44" t="s">
        <v>3359</v>
      </c>
      <c r="U846" s="28" t="str">
        <f>IF($C846&lt;&gt;"",COUNTIF($C$2:C846,C846),"")</f>
        <v/>
      </c>
      <c r="V846" s="28" t="str">
        <f t="shared" si="37"/>
        <v/>
      </c>
      <c r="W846" s="28" t="str">
        <f>IF(U846=1,COUNTIF($U$2:U846,1),"")</f>
        <v/>
      </c>
    </row>
    <row r="847" spans="6:23" ht="31.5" customHeight="1" x14ac:dyDescent="0.25">
      <c r="F847" s="44" t="s">
        <v>3360</v>
      </c>
      <c r="U847" s="28" t="str">
        <f>IF($C847&lt;&gt;"",COUNTIF($C$2:C847,C847),"")</f>
        <v/>
      </c>
      <c r="V847" s="28" t="str">
        <f t="shared" si="37"/>
        <v/>
      </c>
      <c r="W847" s="28" t="str">
        <f>IF(U847=1,COUNTIF($U$2:U847,1),"")</f>
        <v/>
      </c>
    </row>
    <row r="848" spans="6:23" ht="31.5" customHeight="1" x14ac:dyDescent="0.25">
      <c r="F848" s="44" t="s">
        <v>3361</v>
      </c>
      <c r="U848" s="28" t="str">
        <f>IF($C848&lt;&gt;"",COUNTIF($C$2:C848,C848),"")</f>
        <v/>
      </c>
      <c r="V848" s="28" t="str">
        <f t="shared" si="37"/>
        <v/>
      </c>
      <c r="W848" s="28" t="str">
        <f>IF(U848=1,COUNTIF($U$2:U848,1),"")</f>
        <v/>
      </c>
    </row>
    <row r="849" spans="6:23" ht="47.25" customHeight="1" x14ac:dyDescent="0.25">
      <c r="F849" s="44" t="s">
        <v>3362</v>
      </c>
      <c r="U849" s="28" t="str">
        <f>IF($C849&lt;&gt;"",COUNTIF($C$2:C849,C849),"")</f>
        <v/>
      </c>
      <c r="V849" s="28" t="str">
        <f t="shared" si="37"/>
        <v/>
      </c>
      <c r="W849" s="28" t="str">
        <f>IF(U849=1,COUNTIF($U$2:U849,1),"")</f>
        <v/>
      </c>
    </row>
    <row r="850" spans="6:23" ht="47.25" customHeight="1" x14ac:dyDescent="0.25">
      <c r="F850" s="44" t="s">
        <v>3363</v>
      </c>
      <c r="U850" s="28" t="str">
        <f>IF($C850&lt;&gt;"",COUNTIF($C$2:C850,C850),"")</f>
        <v/>
      </c>
      <c r="V850" s="28" t="str">
        <f t="shared" si="37"/>
        <v/>
      </c>
      <c r="W850" s="28" t="str">
        <f>IF(U850=1,COUNTIF($U$2:U850,1),"")</f>
        <v/>
      </c>
    </row>
    <row r="851" spans="6:23" ht="47.25" customHeight="1" x14ac:dyDescent="0.25">
      <c r="F851" s="44" t="s">
        <v>3364</v>
      </c>
      <c r="U851" s="28" t="str">
        <f>IF($C851&lt;&gt;"",COUNTIF($C$2:C851,C851),"")</f>
        <v/>
      </c>
      <c r="V851" s="28" t="str">
        <f t="shared" si="37"/>
        <v/>
      </c>
      <c r="W851" s="28" t="str">
        <f>IF(U851=1,COUNTIF($U$2:U851,1),"")</f>
        <v/>
      </c>
    </row>
    <row r="852" spans="6:23" ht="78.75" customHeight="1" x14ac:dyDescent="0.25">
      <c r="F852" s="44" t="s">
        <v>3365</v>
      </c>
      <c r="U852" s="28" t="str">
        <f>IF($C852&lt;&gt;"",COUNTIF($C$2:C852,C852),"")</f>
        <v/>
      </c>
      <c r="V852" s="28" t="str">
        <f t="shared" si="37"/>
        <v/>
      </c>
      <c r="W852" s="28" t="str">
        <f>IF(U852=1,COUNTIF($U$2:U852,1),"")</f>
        <v/>
      </c>
    </row>
    <row r="853" spans="6:23" ht="47.25" customHeight="1" x14ac:dyDescent="0.25">
      <c r="F853" s="44" t="s">
        <v>3366</v>
      </c>
      <c r="U853" s="28" t="str">
        <f>IF($C853&lt;&gt;"",COUNTIF($C$2:C853,C853),"")</f>
        <v/>
      </c>
      <c r="V853" s="28" t="str">
        <f t="shared" si="37"/>
        <v/>
      </c>
      <c r="W853" s="28" t="str">
        <f>IF(U853=1,COUNTIF($U$2:U853,1),"")</f>
        <v/>
      </c>
    </row>
    <row r="854" spans="6:23" ht="47.25" customHeight="1" x14ac:dyDescent="0.25">
      <c r="F854" s="44" t="s">
        <v>3367</v>
      </c>
      <c r="U854" s="28" t="str">
        <f>IF($C854&lt;&gt;"",COUNTIF($C$2:C854,C854),"")</f>
        <v/>
      </c>
      <c r="V854" s="28" t="str">
        <f t="shared" si="37"/>
        <v/>
      </c>
      <c r="W854" s="28" t="str">
        <f>IF(U854=1,COUNTIF($U$2:U854,1),"")</f>
        <v/>
      </c>
    </row>
    <row r="855" spans="6:23" ht="47.25" customHeight="1" x14ac:dyDescent="0.25">
      <c r="F855" s="44" t="s">
        <v>3368</v>
      </c>
      <c r="U855" s="28" t="str">
        <f>IF($C855&lt;&gt;"",COUNTIF($C$2:C855,C855),"")</f>
        <v/>
      </c>
      <c r="V855" s="28" t="str">
        <f t="shared" si="37"/>
        <v/>
      </c>
      <c r="W855" s="28" t="str">
        <f>IF(U855=1,COUNTIF($U$2:U855,1),"")</f>
        <v/>
      </c>
    </row>
    <row r="856" spans="6:23" ht="47.25" customHeight="1" x14ac:dyDescent="0.25">
      <c r="F856" s="44" t="s">
        <v>3369</v>
      </c>
      <c r="U856" s="28" t="str">
        <f>IF($C856&lt;&gt;"",COUNTIF($C$2:C856,C856),"")</f>
        <v/>
      </c>
      <c r="V856" s="28" t="str">
        <f t="shared" si="37"/>
        <v/>
      </c>
      <c r="W856" s="28" t="str">
        <f>IF(U856=1,COUNTIF($U$2:U856,1),"")</f>
        <v/>
      </c>
    </row>
    <row r="857" spans="6:23" ht="31.5" customHeight="1" x14ac:dyDescent="0.25">
      <c r="F857" s="44" t="s">
        <v>3370</v>
      </c>
      <c r="U857" s="28" t="str">
        <f>IF($C857&lt;&gt;"",COUNTIF($C$2:C857,C857),"")</f>
        <v/>
      </c>
      <c r="V857" s="28" t="str">
        <f t="shared" si="37"/>
        <v/>
      </c>
      <c r="W857" s="28" t="str">
        <f>IF(U857=1,COUNTIF($U$2:U857,1),"")</f>
        <v/>
      </c>
    </row>
    <row r="858" spans="6:23" ht="47.25" customHeight="1" x14ac:dyDescent="0.25">
      <c r="F858" s="44" t="s">
        <v>3371</v>
      </c>
      <c r="U858" s="28" t="str">
        <f>IF($C858&lt;&gt;"",COUNTIF($C$2:C858,C858),"")</f>
        <v/>
      </c>
      <c r="V858" s="28" t="str">
        <f t="shared" si="37"/>
        <v/>
      </c>
      <c r="W858" s="28" t="str">
        <f>IF(U858=1,COUNTIF($U$2:U858,1),"")</f>
        <v/>
      </c>
    </row>
    <row r="859" spans="6:23" ht="31.5" customHeight="1" x14ac:dyDescent="0.25">
      <c r="F859" s="44" t="s">
        <v>3372</v>
      </c>
      <c r="U859" s="28" t="str">
        <f>IF($C859&lt;&gt;"",COUNTIF($C$2:C859,C859),"")</f>
        <v/>
      </c>
      <c r="V859" s="28" t="str">
        <f t="shared" si="37"/>
        <v/>
      </c>
      <c r="W859" s="28" t="str">
        <f>IF(U859=1,COUNTIF($U$2:U859,1),"")</f>
        <v/>
      </c>
    </row>
    <row r="860" spans="6:23" ht="110.25" customHeight="1" x14ac:dyDescent="0.25">
      <c r="F860" s="44" t="s">
        <v>3373</v>
      </c>
      <c r="U860" s="28" t="str">
        <f>IF($C860&lt;&gt;"",COUNTIF($C$2:C860,C860),"")</f>
        <v/>
      </c>
      <c r="V860" s="28" t="str">
        <f t="shared" si="37"/>
        <v/>
      </c>
      <c r="W860" s="28" t="str">
        <f>IF(U860=1,COUNTIF($U$2:U860,1),"")</f>
        <v/>
      </c>
    </row>
    <row r="861" spans="6:23" ht="31.5" customHeight="1" x14ac:dyDescent="0.25">
      <c r="F861" s="44" t="s">
        <v>3374</v>
      </c>
      <c r="U861" s="28" t="str">
        <f>IF($C861&lt;&gt;"",COUNTIF($C$2:C861,C861),"")</f>
        <v/>
      </c>
      <c r="V861" s="28" t="str">
        <f t="shared" si="37"/>
        <v/>
      </c>
      <c r="W861" s="28" t="str">
        <f>IF(U861=1,COUNTIF($U$2:U861,1),"")</f>
        <v/>
      </c>
    </row>
    <row r="862" spans="6:23" ht="47.25" customHeight="1" x14ac:dyDescent="0.25">
      <c r="F862" s="44" t="s">
        <v>3375</v>
      </c>
      <c r="U862" s="28" t="str">
        <f>IF($C862&lt;&gt;"",COUNTIF($C$2:C862,C862),"")</f>
        <v/>
      </c>
      <c r="V862" s="28" t="str">
        <f t="shared" si="37"/>
        <v/>
      </c>
      <c r="W862" s="28" t="str">
        <f>IF(U862=1,COUNTIF($U$2:U862,1),"")</f>
        <v/>
      </c>
    </row>
    <row r="863" spans="6:23" ht="31.5" customHeight="1" x14ac:dyDescent="0.25">
      <c r="F863" s="44" t="s">
        <v>3376</v>
      </c>
      <c r="U863" s="28" t="str">
        <f>IF($C863&lt;&gt;"",COUNTIF($C$2:C863,C863),"")</f>
        <v/>
      </c>
      <c r="V863" s="28" t="str">
        <f t="shared" si="37"/>
        <v/>
      </c>
      <c r="W863" s="28" t="str">
        <f>IF(U863=1,COUNTIF($U$2:U863,1),"")</f>
        <v/>
      </c>
    </row>
    <row r="864" spans="6:23" ht="47.25" customHeight="1" x14ac:dyDescent="0.25">
      <c r="F864" s="44" t="s">
        <v>3377</v>
      </c>
      <c r="U864" s="28" t="str">
        <f>IF($C864&lt;&gt;"",COUNTIF($C$2:C864,C864),"")</f>
        <v/>
      </c>
      <c r="V864" s="28" t="str">
        <f t="shared" si="37"/>
        <v/>
      </c>
      <c r="W864" s="28" t="str">
        <f>IF(U864=1,COUNTIF($U$2:U864,1),"")</f>
        <v/>
      </c>
    </row>
    <row r="865" spans="6:23" ht="63" customHeight="1" x14ac:dyDescent="0.25">
      <c r="F865" s="44" t="s">
        <v>3378</v>
      </c>
      <c r="U865" s="28" t="str">
        <f>IF($C865&lt;&gt;"",COUNTIF($C$2:C865,C865),"")</f>
        <v/>
      </c>
      <c r="V865" s="28" t="str">
        <f t="shared" si="37"/>
        <v/>
      </c>
      <c r="W865" s="28" t="str">
        <f>IF(U865=1,COUNTIF($U$2:U865,1),"")</f>
        <v/>
      </c>
    </row>
    <row r="866" spans="6:23" ht="63" customHeight="1" x14ac:dyDescent="0.25">
      <c r="F866" s="44" t="s">
        <v>3379</v>
      </c>
      <c r="U866" s="28" t="str">
        <f>IF($C866&lt;&gt;"",COUNTIF($C$2:C866,C866),"")</f>
        <v/>
      </c>
      <c r="V866" s="28" t="str">
        <f t="shared" si="37"/>
        <v/>
      </c>
      <c r="W866" s="28" t="str">
        <f>IF(U866=1,COUNTIF($U$2:U866,1),"")</f>
        <v/>
      </c>
    </row>
    <row r="867" spans="6:23" ht="31.5" customHeight="1" x14ac:dyDescent="0.25">
      <c r="F867" s="44" t="s">
        <v>3380</v>
      </c>
      <c r="U867" s="28" t="str">
        <f>IF($C867&lt;&gt;"",COUNTIF($C$2:C867,C867),"")</f>
        <v/>
      </c>
      <c r="V867" s="28" t="str">
        <f t="shared" si="37"/>
        <v/>
      </c>
      <c r="W867" s="28" t="str">
        <f>IF(U867=1,COUNTIF($U$2:U867,1),"")</f>
        <v/>
      </c>
    </row>
    <row r="868" spans="6:23" ht="47.25" customHeight="1" x14ac:dyDescent="0.25">
      <c r="F868" s="44" t="s">
        <v>3381</v>
      </c>
      <c r="U868" s="28" t="str">
        <f>IF($C868&lt;&gt;"",COUNTIF($C$2:C868,C868),"")</f>
        <v/>
      </c>
      <c r="V868" s="28" t="str">
        <f t="shared" si="37"/>
        <v/>
      </c>
      <c r="W868" s="28" t="str">
        <f>IF(U868=1,COUNTIF($U$2:U868,1),"")</f>
        <v/>
      </c>
    </row>
    <row r="869" spans="6:23" ht="47.25" customHeight="1" x14ac:dyDescent="0.25">
      <c r="F869" s="44" t="s">
        <v>3382</v>
      </c>
      <c r="U869" s="28" t="str">
        <f>IF($C869&lt;&gt;"",COUNTIF($C$2:C869,C869),"")</f>
        <v/>
      </c>
      <c r="V869" s="28" t="str">
        <f t="shared" si="37"/>
        <v/>
      </c>
      <c r="W869" s="28" t="str">
        <f>IF(U869=1,COUNTIF($U$2:U869,1),"")</f>
        <v/>
      </c>
    </row>
    <row r="870" spans="6:23" ht="47.25" customHeight="1" x14ac:dyDescent="0.25">
      <c r="F870" s="44" t="s">
        <v>3383</v>
      </c>
      <c r="U870" s="28" t="str">
        <f>IF($C870&lt;&gt;"",COUNTIF($C$2:C870,C870),"")</f>
        <v/>
      </c>
      <c r="V870" s="28" t="str">
        <f t="shared" si="37"/>
        <v/>
      </c>
      <c r="W870" s="28" t="str">
        <f>IF(U870=1,COUNTIF($U$2:U870,1),"")</f>
        <v/>
      </c>
    </row>
    <row r="871" spans="6:23" ht="47.25" customHeight="1" x14ac:dyDescent="0.25">
      <c r="F871" s="44" t="s">
        <v>3384</v>
      </c>
      <c r="U871" s="28" t="str">
        <f>IF($C871&lt;&gt;"",COUNTIF($C$2:C871,C871),"")</f>
        <v/>
      </c>
      <c r="V871" s="28" t="str">
        <f t="shared" si="37"/>
        <v/>
      </c>
      <c r="W871" s="28" t="str">
        <f>IF(U871=1,COUNTIF($U$2:U871,1),"")</f>
        <v/>
      </c>
    </row>
    <row r="872" spans="6:23" ht="47.25" customHeight="1" x14ac:dyDescent="0.25">
      <c r="F872" s="44" t="s">
        <v>3385</v>
      </c>
      <c r="U872" s="28" t="str">
        <f>IF($C872&lt;&gt;"",COUNTIF($C$2:C872,C872),"")</f>
        <v/>
      </c>
      <c r="V872" s="28" t="str">
        <f t="shared" si="37"/>
        <v/>
      </c>
      <c r="W872" s="28" t="str">
        <f>IF(U872=1,COUNTIF($U$2:U872,1),"")</f>
        <v/>
      </c>
    </row>
    <row r="873" spans="6:23" ht="47.25" customHeight="1" x14ac:dyDescent="0.25">
      <c r="F873" s="44" t="s">
        <v>3386</v>
      </c>
      <c r="U873" s="28" t="str">
        <f>IF($C873&lt;&gt;"",COUNTIF($C$2:C873,C873),"")</f>
        <v/>
      </c>
      <c r="V873" s="28" t="str">
        <f t="shared" si="37"/>
        <v/>
      </c>
      <c r="W873" s="28" t="str">
        <f>IF(U873=1,COUNTIF($U$2:U873,1),"")</f>
        <v/>
      </c>
    </row>
    <row r="874" spans="6:23" ht="63" customHeight="1" x14ac:dyDescent="0.25">
      <c r="F874" s="44" t="s">
        <v>3387</v>
      </c>
      <c r="U874" s="28" t="str">
        <f>IF($C874&lt;&gt;"",COUNTIF($C$2:C874,C874),"")</f>
        <v/>
      </c>
      <c r="V874" s="28" t="str">
        <f t="shared" si="37"/>
        <v/>
      </c>
      <c r="W874" s="28" t="str">
        <f>IF(U874=1,COUNTIF($U$2:U874,1),"")</f>
        <v/>
      </c>
    </row>
    <row r="875" spans="6:23" ht="63" customHeight="1" x14ac:dyDescent="0.25">
      <c r="F875" s="44" t="s">
        <v>3388</v>
      </c>
      <c r="U875" s="28" t="str">
        <f>IF($C875&lt;&gt;"",COUNTIF($C$2:C875,C875),"")</f>
        <v/>
      </c>
      <c r="V875" s="28" t="str">
        <f t="shared" si="37"/>
        <v/>
      </c>
      <c r="W875" s="28" t="str">
        <f>IF(U875=1,COUNTIF($U$2:U875,1),"")</f>
        <v/>
      </c>
    </row>
    <row r="876" spans="6:23" ht="78.75" customHeight="1" x14ac:dyDescent="0.25">
      <c r="F876" s="44" t="s">
        <v>3389</v>
      </c>
      <c r="U876" s="28" t="str">
        <f>IF($C876&lt;&gt;"",COUNTIF($C$2:C876,C876),"")</f>
        <v/>
      </c>
      <c r="V876" s="28" t="str">
        <f t="shared" si="37"/>
        <v/>
      </c>
      <c r="W876" s="28" t="str">
        <f>IF(U876=1,COUNTIF($U$2:U876,1),"")</f>
        <v/>
      </c>
    </row>
    <row r="877" spans="6:23" ht="47.25" customHeight="1" x14ac:dyDescent="0.25">
      <c r="F877" s="44" t="s">
        <v>3390</v>
      </c>
      <c r="U877" s="28" t="str">
        <f>IF($C877&lt;&gt;"",COUNTIF($C$2:C877,C877),"")</f>
        <v/>
      </c>
      <c r="V877" s="28" t="str">
        <f t="shared" si="37"/>
        <v/>
      </c>
      <c r="W877" s="28" t="str">
        <f>IF(U877=1,COUNTIF($U$2:U877,1),"")</f>
        <v/>
      </c>
    </row>
    <row r="878" spans="6:23" ht="31.5" customHeight="1" x14ac:dyDescent="0.25">
      <c r="F878" s="44" t="s">
        <v>3391</v>
      </c>
      <c r="U878" s="28" t="str">
        <f>IF($C878&lt;&gt;"",COUNTIF($C$2:C878,C878),"")</f>
        <v/>
      </c>
      <c r="V878" s="28" t="str">
        <f t="shared" si="37"/>
        <v/>
      </c>
      <c r="W878" s="28" t="str">
        <f>IF(U878=1,COUNTIF($U$2:U878,1),"")</f>
        <v/>
      </c>
    </row>
    <row r="879" spans="6:23" ht="31.5" customHeight="1" x14ac:dyDescent="0.25">
      <c r="F879" s="44" t="s">
        <v>3392</v>
      </c>
      <c r="U879" s="28" t="str">
        <f>IF($C879&lt;&gt;"",COUNTIF($C$2:C879,C879),"")</f>
        <v/>
      </c>
      <c r="V879" s="28" t="str">
        <f t="shared" si="37"/>
        <v/>
      </c>
      <c r="W879" s="28" t="str">
        <f>IF(U879=1,COUNTIF($U$2:U879,1),"")</f>
        <v/>
      </c>
    </row>
    <row r="880" spans="6:23" ht="20.25" customHeight="1" x14ac:dyDescent="0.25">
      <c r="F880" s="44" t="s">
        <v>3393</v>
      </c>
      <c r="U880" s="28" t="str">
        <f>IF($C880&lt;&gt;"",COUNTIF($C$2:C880,C880),"")</f>
        <v/>
      </c>
      <c r="V880" s="28" t="str">
        <f t="shared" si="37"/>
        <v/>
      </c>
      <c r="W880" s="28" t="str">
        <f>IF(U880=1,COUNTIF($U$2:U880,1),"")</f>
        <v/>
      </c>
    </row>
    <row r="881" spans="6:23" ht="31.5" customHeight="1" x14ac:dyDescent="0.25">
      <c r="F881" s="44" t="s">
        <v>3394</v>
      </c>
      <c r="U881" s="28" t="str">
        <f>IF($C881&lt;&gt;"",COUNTIF($C$2:C881,C881),"")</f>
        <v/>
      </c>
      <c r="V881" s="28" t="str">
        <f t="shared" si="37"/>
        <v/>
      </c>
      <c r="W881" s="28" t="str">
        <f>IF(U881=1,COUNTIF($U$2:U881,1),"")</f>
        <v/>
      </c>
    </row>
    <row r="882" spans="6:23" ht="47.25" customHeight="1" x14ac:dyDescent="0.25">
      <c r="F882" s="44" t="s">
        <v>3395</v>
      </c>
      <c r="U882" s="28" t="str">
        <f>IF($C882&lt;&gt;"",COUNTIF($C$2:C882,C882),"")</f>
        <v/>
      </c>
      <c r="V882" s="28" t="str">
        <f t="shared" si="37"/>
        <v/>
      </c>
      <c r="W882" s="28" t="str">
        <f>IF(U882=1,COUNTIF($U$2:U882,1),"")</f>
        <v/>
      </c>
    </row>
    <row r="883" spans="6:23" ht="47.25" customHeight="1" x14ac:dyDescent="0.25">
      <c r="F883" s="44" t="s">
        <v>3396</v>
      </c>
      <c r="U883" s="28" t="str">
        <f>IF($C883&lt;&gt;"",COUNTIF($C$2:C883,C883),"")</f>
        <v/>
      </c>
      <c r="V883" s="28" t="str">
        <f t="shared" si="37"/>
        <v/>
      </c>
      <c r="W883" s="28" t="str">
        <f>IF(U883=1,COUNTIF($U$2:U883,1),"")</f>
        <v/>
      </c>
    </row>
    <row r="884" spans="6:23" ht="47.25" customHeight="1" x14ac:dyDescent="0.25">
      <c r="F884" s="44" t="s">
        <v>3397</v>
      </c>
      <c r="U884" s="28" t="str">
        <f>IF($C884&lt;&gt;"",COUNTIF($C$2:C884,C884),"")</f>
        <v/>
      </c>
      <c r="V884" s="28" t="str">
        <f t="shared" si="37"/>
        <v/>
      </c>
      <c r="W884" s="28" t="str">
        <f>IF(U884=1,COUNTIF($U$2:U884,1),"")</f>
        <v/>
      </c>
    </row>
    <row r="885" spans="6:23" ht="47.25" customHeight="1" x14ac:dyDescent="0.25">
      <c r="F885" s="44" t="s">
        <v>3398</v>
      </c>
      <c r="U885" s="28" t="str">
        <f>IF($C885&lt;&gt;"",COUNTIF($C$2:C885,C885),"")</f>
        <v/>
      </c>
      <c r="V885" s="28" t="str">
        <f t="shared" si="37"/>
        <v/>
      </c>
      <c r="W885" s="28" t="str">
        <f>IF(U885=1,COUNTIF($U$2:U885,1),"")</f>
        <v/>
      </c>
    </row>
    <row r="886" spans="6:23" ht="47.25" customHeight="1" x14ac:dyDescent="0.25">
      <c r="F886" s="44" t="s">
        <v>3399</v>
      </c>
      <c r="U886" s="28" t="str">
        <f>IF($C886&lt;&gt;"",COUNTIF($C$2:C886,C886),"")</f>
        <v/>
      </c>
      <c r="V886" s="28" t="str">
        <f t="shared" si="37"/>
        <v/>
      </c>
      <c r="W886" s="28" t="str">
        <f>IF(U886=1,COUNTIF($U$2:U886,1),"")</f>
        <v/>
      </c>
    </row>
    <row r="887" spans="6:23" ht="47.25" customHeight="1" x14ac:dyDescent="0.25">
      <c r="F887" s="44" t="s">
        <v>3400</v>
      </c>
      <c r="U887" s="28" t="str">
        <f>IF($C887&lt;&gt;"",COUNTIF($C$2:C887,C887),"")</f>
        <v/>
      </c>
      <c r="V887" s="28" t="str">
        <f t="shared" si="37"/>
        <v/>
      </c>
      <c r="W887" s="28" t="str">
        <f>IF(U887=1,COUNTIF($U$2:U887,1),"")</f>
        <v/>
      </c>
    </row>
    <row r="888" spans="6:23" ht="31.5" customHeight="1" x14ac:dyDescent="0.25">
      <c r="F888" s="44" t="s">
        <v>3401</v>
      </c>
      <c r="U888" s="28" t="str">
        <f>IF($C888&lt;&gt;"",COUNTIF($C$2:C888,C888),"")</f>
        <v/>
      </c>
      <c r="V888" s="28" t="str">
        <f t="shared" si="37"/>
        <v/>
      </c>
      <c r="W888" s="28" t="str">
        <f>IF(U888=1,COUNTIF($U$2:U888,1),"")</f>
        <v/>
      </c>
    </row>
    <row r="889" spans="6:23" ht="47.25" customHeight="1" x14ac:dyDescent="0.25">
      <c r="F889" s="44" t="s">
        <v>3402</v>
      </c>
      <c r="U889" s="28" t="str">
        <f>IF($C889&lt;&gt;"",COUNTIF($C$2:C889,C889),"")</f>
        <v/>
      </c>
      <c r="V889" s="28" t="str">
        <f t="shared" si="37"/>
        <v/>
      </c>
      <c r="W889" s="28" t="str">
        <f>IF(U889=1,COUNTIF($U$2:U889,1),"")</f>
        <v/>
      </c>
    </row>
    <row r="890" spans="6:23" ht="47.25" customHeight="1" x14ac:dyDescent="0.25">
      <c r="F890" s="44" t="s">
        <v>3403</v>
      </c>
      <c r="U890" s="28" t="str">
        <f>IF($C890&lt;&gt;"",COUNTIF($C$2:C890,C890),"")</f>
        <v/>
      </c>
      <c r="V890" s="28" t="str">
        <f t="shared" si="37"/>
        <v/>
      </c>
      <c r="W890" s="28" t="str">
        <f>IF(U890=1,COUNTIF($U$2:U890,1),"")</f>
        <v/>
      </c>
    </row>
    <row r="891" spans="6:23" ht="47.25" customHeight="1" x14ac:dyDescent="0.25">
      <c r="F891" s="44" t="s">
        <v>3404</v>
      </c>
      <c r="U891" s="28" t="str">
        <f>IF($C891&lt;&gt;"",COUNTIF($C$2:C891,C891),"")</f>
        <v/>
      </c>
      <c r="V891" s="28" t="str">
        <f t="shared" si="37"/>
        <v/>
      </c>
      <c r="W891" s="28" t="str">
        <f>IF(U891=1,COUNTIF($U$2:U891,1),"")</f>
        <v/>
      </c>
    </row>
    <row r="892" spans="6:23" ht="47.25" customHeight="1" x14ac:dyDescent="0.25">
      <c r="F892" s="44" t="s">
        <v>3405</v>
      </c>
      <c r="U892" s="28" t="str">
        <f>IF($C892&lt;&gt;"",COUNTIF($C$2:C892,C892),"")</f>
        <v/>
      </c>
      <c r="V892" s="28" t="str">
        <f t="shared" si="37"/>
        <v/>
      </c>
      <c r="W892" s="28" t="str">
        <f>IF(U892=1,COUNTIF($U$2:U892,1),"")</f>
        <v/>
      </c>
    </row>
    <row r="893" spans="6:23" ht="31.5" customHeight="1" x14ac:dyDescent="0.25">
      <c r="F893" s="44" t="s">
        <v>3406</v>
      </c>
      <c r="U893" s="28" t="str">
        <f>IF($C893&lt;&gt;"",COUNTIF($C$2:C893,C893),"")</f>
        <v/>
      </c>
      <c r="V893" s="28" t="str">
        <f t="shared" si="37"/>
        <v/>
      </c>
      <c r="W893" s="28" t="str">
        <f>IF(U893=1,COUNTIF($U$2:U893,1),"")</f>
        <v/>
      </c>
    </row>
    <row r="894" spans="6:23" ht="31.5" customHeight="1" x14ac:dyDescent="0.25">
      <c r="F894" s="44" t="s">
        <v>3407</v>
      </c>
      <c r="U894" s="28" t="str">
        <f>IF($C894&lt;&gt;"",COUNTIF($C$2:C894,C894),"")</f>
        <v/>
      </c>
      <c r="V894" s="28" t="str">
        <f t="shared" si="37"/>
        <v/>
      </c>
      <c r="W894" s="28" t="str">
        <f>IF(U894=1,COUNTIF($U$2:U894,1),"")</f>
        <v/>
      </c>
    </row>
    <row r="895" spans="6:23" ht="47.25" customHeight="1" x14ac:dyDescent="0.25">
      <c r="F895" s="44" t="s">
        <v>3408</v>
      </c>
      <c r="U895" s="28" t="str">
        <f>IF($C895&lt;&gt;"",COUNTIF($C$2:C895,C895),"")</f>
        <v/>
      </c>
      <c r="V895" s="28" t="str">
        <f t="shared" si="37"/>
        <v/>
      </c>
      <c r="W895" s="28" t="str">
        <f>IF(U895=1,COUNTIF($U$2:U895,1),"")</f>
        <v/>
      </c>
    </row>
    <row r="896" spans="6:23" ht="63" customHeight="1" x14ac:dyDescent="0.25">
      <c r="F896" s="44" t="s">
        <v>3409</v>
      </c>
      <c r="U896" s="28" t="str">
        <f>IF($C896&lt;&gt;"",COUNTIF($C$2:C896,C896),"")</f>
        <v/>
      </c>
      <c r="V896" s="28" t="str">
        <f t="shared" si="37"/>
        <v/>
      </c>
      <c r="W896" s="28" t="str">
        <f>IF(U896=1,COUNTIF($U$2:U896,1),"")</f>
        <v/>
      </c>
    </row>
    <row r="897" spans="6:23" ht="31.5" customHeight="1" x14ac:dyDescent="0.25">
      <c r="F897" s="44" t="s">
        <v>3410</v>
      </c>
      <c r="U897" s="28" t="str">
        <f>IF($C897&lt;&gt;"",COUNTIF($C$2:C897,C897),"")</f>
        <v/>
      </c>
      <c r="V897" s="28" t="str">
        <f t="shared" si="37"/>
        <v/>
      </c>
      <c r="W897" s="28" t="str">
        <f>IF(U897=1,COUNTIF($U$2:U897,1),"")</f>
        <v/>
      </c>
    </row>
    <row r="898" spans="6:23" ht="31.5" customHeight="1" x14ac:dyDescent="0.25">
      <c r="F898" s="44" t="s">
        <v>3411</v>
      </c>
      <c r="U898" s="28" t="str">
        <f>IF($C898&lt;&gt;"",COUNTIF($C$2:C898,C898),"")</f>
        <v/>
      </c>
      <c r="V898" s="28" t="str">
        <f t="shared" ref="V898:V961" si="38">IF($C898&lt;&gt;"",C898&amp;"§"&amp;U898,"")</f>
        <v/>
      </c>
      <c r="W898" s="28" t="str">
        <f>IF(U898=1,COUNTIF($U$2:U898,1),"")</f>
        <v/>
      </c>
    </row>
    <row r="899" spans="6:23" ht="63" customHeight="1" x14ac:dyDescent="0.25">
      <c r="F899" s="44" t="s">
        <v>3412</v>
      </c>
      <c r="U899" s="28" t="str">
        <f>IF($C899&lt;&gt;"",COUNTIF($C$2:C899,C899),"")</f>
        <v/>
      </c>
      <c r="V899" s="28" t="str">
        <f t="shared" si="38"/>
        <v/>
      </c>
      <c r="W899" s="28" t="str">
        <f>IF(U899=1,COUNTIF($U$2:U899,1),"")</f>
        <v/>
      </c>
    </row>
    <row r="900" spans="6:23" ht="47.25" customHeight="1" x14ac:dyDescent="0.25">
      <c r="F900" s="44" t="s">
        <v>3413</v>
      </c>
      <c r="U900" s="28" t="str">
        <f>IF($C900&lt;&gt;"",COUNTIF($C$2:C900,C900),"")</f>
        <v/>
      </c>
      <c r="V900" s="28" t="str">
        <f t="shared" si="38"/>
        <v/>
      </c>
      <c r="W900" s="28" t="str">
        <f>IF(U900=1,COUNTIF($U$2:U900,1),"")</f>
        <v/>
      </c>
    </row>
    <row r="901" spans="6:23" ht="31.5" customHeight="1" x14ac:dyDescent="0.25">
      <c r="F901" s="44" t="s">
        <v>3414</v>
      </c>
      <c r="U901" s="28" t="str">
        <f>IF($C901&lt;&gt;"",COUNTIF($C$2:C901,C901),"")</f>
        <v/>
      </c>
      <c r="V901" s="28" t="str">
        <f t="shared" si="38"/>
        <v/>
      </c>
      <c r="W901" s="28" t="str">
        <f>IF(U901=1,COUNTIF($U$2:U901,1),"")</f>
        <v/>
      </c>
    </row>
    <row r="902" spans="6:23" ht="47.25" customHeight="1" x14ac:dyDescent="0.25">
      <c r="F902" s="44" t="s">
        <v>3415</v>
      </c>
      <c r="U902" s="28" t="str">
        <f>IF($C902&lt;&gt;"",COUNTIF($C$2:C902,C902),"")</f>
        <v/>
      </c>
      <c r="V902" s="28" t="str">
        <f t="shared" si="38"/>
        <v/>
      </c>
      <c r="W902" s="28" t="str">
        <f>IF(U902=1,COUNTIF($U$2:U902,1),"")</f>
        <v/>
      </c>
    </row>
    <row r="903" spans="6:23" ht="47.25" customHeight="1" x14ac:dyDescent="0.25">
      <c r="F903" s="44" t="s">
        <v>3416</v>
      </c>
      <c r="U903" s="28" t="str">
        <f>IF($C903&lt;&gt;"",COUNTIF($C$2:C903,C903),"")</f>
        <v/>
      </c>
      <c r="V903" s="28" t="str">
        <f t="shared" si="38"/>
        <v/>
      </c>
      <c r="W903" s="28" t="str">
        <f>IF(U903=1,COUNTIF($U$2:U903,1),"")</f>
        <v/>
      </c>
    </row>
    <row r="904" spans="6:23" ht="31.5" customHeight="1" x14ac:dyDescent="0.25">
      <c r="F904" s="44" t="s">
        <v>3417</v>
      </c>
      <c r="U904" s="28" t="str">
        <f>IF($C904&lt;&gt;"",COUNTIF($C$2:C904,C904),"")</f>
        <v/>
      </c>
      <c r="V904" s="28" t="str">
        <f t="shared" si="38"/>
        <v/>
      </c>
      <c r="W904" s="28" t="str">
        <f>IF(U904=1,COUNTIF($U$2:U904,1),"")</f>
        <v/>
      </c>
    </row>
    <row r="905" spans="6:23" ht="31.5" customHeight="1" x14ac:dyDescent="0.25">
      <c r="F905" s="44" t="s">
        <v>3418</v>
      </c>
      <c r="U905" s="28" t="str">
        <f>IF($C905&lt;&gt;"",COUNTIF($C$2:C905,C905),"")</f>
        <v/>
      </c>
      <c r="V905" s="28" t="str">
        <f t="shared" si="38"/>
        <v/>
      </c>
      <c r="W905" s="28" t="str">
        <f>IF(U905=1,COUNTIF($U$2:U905,1),"")</f>
        <v/>
      </c>
    </row>
    <row r="906" spans="6:23" ht="63" customHeight="1" x14ac:dyDescent="0.25">
      <c r="F906" s="44" t="s">
        <v>3419</v>
      </c>
      <c r="U906" s="28" t="str">
        <f>IF($C906&lt;&gt;"",COUNTIF($C$2:C906,C906),"")</f>
        <v/>
      </c>
      <c r="V906" s="28" t="str">
        <f t="shared" si="38"/>
        <v/>
      </c>
      <c r="W906" s="28" t="str">
        <f>IF(U906=1,COUNTIF($U$2:U906,1),"")</f>
        <v/>
      </c>
    </row>
    <row r="907" spans="6:23" ht="31.5" customHeight="1" x14ac:dyDescent="0.25">
      <c r="F907" s="44" t="s">
        <v>3420</v>
      </c>
      <c r="U907" s="28" t="str">
        <f>IF($C907&lt;&gt;"",COUNTIF($C$2:C907,C907),"")</f>
        <v/>
      </c>
      <c r="V907" s="28" t="str">
        <f t="shared" si="38"/>
        <v/>
      </c>
      <c r="W907" s="28" t="str">
        <f>IF(U907=1,COUNTIF($U$2:U907,1),"")</f>
        <v/>
      </c>
    </row>
    <row r="908" spans="6:23" ht="47.25" customHeight="1" x14ac:dyDescent="0.25">
      <c r="F908" s="44" t="s">
        <v>3421</v>
      </c>
      <c r="U908" s="28" t="str">
        <f>IF($C908&lt;&gt;"",COUNTIF($C$2:C908,C908),"")</f>
        <v/>
      </c>
      <c r="V908" s="28" t="str">
        <f t="shared" si="38"/>
        <v/>
      </c>
      <c r="W908" s="28" t="str">
        <f>IF(U908=1,COUNTIF($U$2:U908,1),"")</f>
        <v/>
      </c>
    </row>
    <row r="909" spans="6:23" ht="31.5" customHeight="1" x14ac:dyDescent="0.25">
      <c r="F909" s="44" t="s">
        <v>3422</v>
      </c>
      <c r="U909" s="28" t="str">
        <f>IF($C909&lt;&gt;"",COUNTIF($C$2:C909,C909),"")</f>
        <v/>
      </c>
      <c r="V909" s="28" t="str">
        <f t="shared" si="38"/>
        <v/>
      </c>
      <c r="W909" s="28" t="str">
        <f>IF(U909=1,COUNTIF($U$2:U909,1),"")</f>
        <v/>
      </c>
    </row>
    <row r="910" spans="6:23" ht="63" customHeight="1" x14ac:dyDescent="0.25">
      <c r="F910" s="44" t="s">
        <v>3423</v>
      </c>
      <c r="U910" s="28" t="str">
        <f>IF($C910&lt;&gt;"",COUNTIF($C$2:C910,C910),"")</f>
        <v/>
      </c>
      <c r="V910" s="28" t="str">
        <f t="shared" si="38"/>
        <v/>
      </c>
      <c r="W910" s="28" t="str">
        <f>IF(U910=1,COUNTIF($U$2:U910,1),"")</f>
        <v/>
      </c>
    </row>
    <row r="911" spans="6:23" ht="78.75" customHeight="1" x14ac:dyDescent="0.25">
      <c r="F911" s="44" t="s">
        <v>3424</v>
      </c>
      <c r="U911" s="28" t="str">
        <f>IF($C911&lt;&gt;"",COUNTIF($C$2:C911,C911),"")</f>
        <v/>
      </c>
      <c r="V911" s="28" t="str">
        <f t="shared" si="38"/>
        <v/>
      </c>
      <c r="W911" s="28" t="str">
        <f>IF(U911=1,COUNTIF($U$2:U911,1),"")</f>
        <v/>
      </c>
    </row>
    <row r="912" spans="6:23" ht="31.5" customHeight="1" x14ac:dyDescent="0.25">
      <c r="F912" s="44" t="s">
        <v>3425</v>
      </c>
      <c r="U912" s="28" t="str">
        <f>IF($C912&lt;&gt;"",COUNTIF($C$2:C912,C912),"")</f>
        <v/>
      </c>
      <c r="V912" s="28" t="str">
        <f t="shared" si="38"/>
        <v/>
      </c>
      <c r="W912" s="28" t="str">
        <f>IF(U912=1,COUNTIF($U$2:U912,1),"")</f>
        <v/>
      </c>
    </row>
    <row r="913" spans="6:23" ht="63" customHeight="1" x14ac:dyDescent="0.25">
      <c r="F913" s="44" t="s">
        <v>3426</v>
      </c>
      <c r="U913" s="28" t="str">
        <f>IF($C913&lt;&gt;"",COUNTIF($C$2:C913,C913),"")</f>
        <v/>
      </c>
      <c r="V913" s="28" t="str">
        <f t="shared" si="38"/>
        <v/>
      </c>
      <c r="W913" s="28" t="str">
        <f>IF(U913=1,COUNTIF($U$2:U913,1),"")</f>
        <v/>
      </c>
    </row>
    <row r="914" spans="6:23" ht="47.25" customHeight="1" x14ac:dyDescent="0.25">
      <c r="F914" s="44" t="s">
        <v>3427</v>
      </c>
      <c r="U914" s="28" t="str">
        <f>IF($C914&lt;&gt;"",COUNTIF($C$2:C914,C914),"")</f>
        <v/>
      </c>
      <c r="V914" s="28" t="str">
        <f t="shared" si="38"/>
        <v/>
      </c>
      <c r="W914" s="28" t="str">
        <f>IF(U914=1,COUNTIF($U$2:U914,1),"")</f>
        <v/>
      </c>
    </row>
    <row r="915" spans="6:23" ht="47.25" customHeight="1" x14ac:dyDescent="0.25">
      <c r="F915" s="44" t="s">
        <v>3428</v>
      </c>
      <c r="U915" s="28" t="str">
        <f>IF($C915&lt;&gt;"",COUNTIF($C$2:C915,C915),"")</f>
        <v/>
      </c>
      <c r="V915" s="28" t="str">
        <f t="shared" si="38"/>
        <v/>
      </c>
      <c r="W915" s="28" t="str">
        <f>IF(U915=1,COUNTIF($U$2:U915,1),"")</f>
        <v/>
      </c>
    </row>
    <row r="916" spans="6:23" ht="31.5" customHeight="1" x14ac:dyDescent="0.25">
      <c r="F916" s="44" t="s">
        <v>3429</v>
      </c>
      <c r="U916" s="28" t="str">
        <f>IF($C916&lt;&gt;"",COUNTIF($C$2:C916,C916),"")</f>
        <v/>
      </c>
      <c r="V916" s="28" t="str">
        <f t="shared" si="38"/>
        <v/>
      </c>
      <c r="W916" s="28" t="str">
        <f>IF(U916=1,COUNTIF($U$2:U916,1),"")</f>
        <v/>
      </c>
    </row>
    <row r="917" spans="6:23" ht="31.5" customHeight="1" x14ac:dyDescent="0.25">
      <c r="F917" s="44" t="s">
        <v>3430</v>
      </c>
      <c r="U917" s="28" t="str">
        <f>IF($C917&lt;&gt;"",COUNTIF($C$2:C917,C917),"")</f>
        <v/>
      </c>
      <c r="V917" s="28" t="str">
        <f t="shared" si="38"/>
        <v/>
      </c>
      <c r="W917" s="28" t="str">
        <f>IF(U917=1,COUNTIF($U$2:U917,1),"")</f>
        <v/>
      </c>
    </row>
    <row r="918" spans="6:23" ht="31.5" customHeight="1" x14ac:dyDescent="0.25">
      <c r="F918" s="44" t="s">
        <v>3431</v>
      </c>
      <c r="U918" s="28" t="str">
        <f>IF($C918&lt;&gt;"",COUNTIF($C$2:C918,C918),"")</f>
        <v/>
      </c>
      <c r="V918" s="28" t="str">
        <f t="shared" si="38"/>
        <v/>
      </c>
      <c r="W918" s="28" t="str">
        <f>IF(U918=1,COUNTIF($U$2:U918,1),"")</f>
        <v/>
      </c>
    </row>
    <row r="919" spans="6:23" ht="31.5" customHeight="1" x14ac:dyDescent="0.25">
      <c r="F919" s="44" t="s">
        <v>3432</v>
      </c>
      <c r="U919" s="28" t="str">
        <f>IF($C919&lt;&gt;"",COUNTIF($C$2:C919,C919),"")</f>
        <v/>
      </c>
      <c r="V919" s="28" t="str">
        <f t="shared" si="38"/>
        <v/>
      </c>
      <c r="W919" s="28" t="str">
        <f>IF(U919=1,COUNTIF($U$2:U919,1),"")</f>
        <v/>
      </c>
    </row>
    <row r="920" spans="6:23" ht="47.25" customHeight="1" x14ac:dyDescent="0.25">
      <c r="F920" s="44" t="s">
        <v>3433</v>
      </c>
      <c r="U920" s="28" t="str">
        <f>IF($C920&lt;&gt;"",COUNTIF($C$2:C920,C920),"")</f>
        <v/>
      </c>
      <c r="V920" s="28" t="str">
        <f t="shared" si="38"/>
        <v/>
      </c>
      <c r="W920" s="28" t="str">
        <f>IF(U920=1,COUNTIF($U$2:U920,1),"")</f>
        <v/>
      </c>
    </row>
    <row r="921" spans="6:23" ht="47.25" customHeight="1" x14ac:dyDescent="0.25">
      <c r="F921" s="44" t="s">
        <v>3434</v>
      </c>
      <c r="U921" s="28" t="str">
        <f>IF($C921&lt;&gt;"",COUNTIF($C$2:C921,C921),"")</f>
        <v/>
      </c>
      <c r="V921" s="28" t="str">
        <f t="shared" si="38"/>
        <v/>
      </c>
      <c r="W921" s="28" t="str">
        <f>IF(U921=1,COUNTIF($U$2:U921,1),"")</f>
        <v/>
      </c>
    </row>
    <row r="922" spans="6:23" ht="63" customHeight="1" x14ac:dyDescent="0.25">
      <c r="F922" s="44" t="s">
        <v>3435</v>
      </c>
      <c r="U922" s="28" t="str">
        <f>IF($C922&lt;&gt;"",COUNTIF($C$2:C922,C922),"")</f>
        <v/>
      </c>
      <c r="V922" s="28" t="str">
        <f t="shared" si="38"/>
        <v/>
      </c>
      <c r="W922" s="28" t="str">
        <f>IF(U922=1,COUNTIF($U$2:U922,1),"")</f>
        <v/>
      </c>
    </row>
    <row r="923" spans="6:23" ht="63" customHeight="1" x14ac:dyDescent="0.25">
      <c r="F923" s="44" t="s">
        <v>3436</v>
      </c>
      <c r="U923" s="28" t="str">
        <f>IF($C923&lt;&gt;"",COUNTIF($C$2:C923,C923),"")</f>
        <v/>
      </c>
      <c r="V923" s="28" t="str">
        <f t="shared" si="38"/>
        <v/>
      </c>
      <c r="W923" s="28" t="str">
        <f>IF(U923=1,COUNTIF($U$2:U923,1),"")</f>
        <v/>
      </c>
    </row>
    <row r="924" spans="6:23" ht="31.5" customHeight="1" x14ac:dyDescent="0.25">
      <c r="F924" s="44" t="s">
        <v>3437</v>
      </c>
      <c r="U924" s="28" t="str">
        <f>IF($C924&lt;&gt;"",COUNTIF($C$2:C924,C924),"")</f>
        <v/>
      </c>
      <c r="V924" s="28" t="str">
        <f t="shared" si="38"/>
        <v/>
      </c>
      <c r="W924" s="28" t="str">
        <f>IF(U924=1,COUNTIF($U$2:U924,1),"")</f>
        <v/>
      </c>
    </row>
    <row r="925" spans="6:23" ht="31.5" customHeight="1" x14ac:dyDescent="0.25">
      <c r="F925" s="44" t="s">
        <v>3438</v>
      </c>
      <c r="U925" s="28" t="str">
        <f>IF($C925&lt;&gt;"",COUNTIF($C$2:C925,C925),"")</f>
        <v/>
      </c>
      <c r="V925" s="28" t="str">
        <f t="shared" si="38"/>
        <v/>
      </c>
      <c r="W925" s="28" t="str">
        <f>IF(U925=1,COUNTIF($U$2:U925,1),"")</f>
        <v/>
      </c>
    </row>
    <row r="926" spans="6:23" ht="47.25" customHeight="1" x14ac:dyDescent="0.25">
      <c r="F926" s="44" t="s">
        <v>3439</v>
      </c>
      <c r="U926" s="28" t="str">
        <f>IF($C926&lt;&gt;"",COUNTIF($C$2:C926,C926),"")</f>
        <v/>
      </c>
      <c r="V926" s="28" t="str">
        <f t="shared" si="38"/>
        <v/>
      </c>
      <c r="W926" s="28" t="str">
        <f>IF(U926=1,COUNTIF($U$2:U926,1),"")</f>
        <v/>
      </c>
    </row>
    <row r="927" spans="6:23" ht="31.5" customHeight="1" x14ac:dyDescent="0.25">
      <c r="F927" s="44" t="s">
        <v>3440</v>
      </c>
      <c r="U927" s="28" t="str">
        <f>IF($C927&lt;&gt;"",COUNTIF($C$2:C927,C927),"")</f>
        <v/>
      </c>
      <c r="V927" s="28" t="str">
        <f t="shared" si="38"/>
        <v/>
      </c>
      <c r="W927" s="28" t="str">
        <f>IF(U927=1,COUNTIF($U$2:U927,1),"")</f>
        <v/>
      </c>
    </row>
    <row r="928" spans="6:23" ht="31.5" customHeight="1" x14ac:dyDescent="0.25">
      <c r="F928" s="44" t="s">
        <v>3441</v>
      </c>
      <c r="U928" s="28" t="str">
        <f>IF($C928&lt;&gt;"",COUNTIF($C$2:C928,C928),"")</f>
        <v/>
      </c>
      <c r="V928" s="28" t="str">
        <f t="shared" si="38"/>
        <v/>
      </c>
      <c r="W928" s="28" t="str">
        <f>IF(U928=1,COUNTIF($U$2:U928,1),"")</f>
        <v/>
      </c>
    </row>
    <row r="929" spans="6:23" ht="63" customHeight="1" x14ac:dyDescent="0.25">
      <c r="F929" s="44" t="s">
        <v>3442</v>
      </c>
      <c r="U929" s="28" t="str">
        <f>IF($C929&lt;&gt;"",COUNTIF($C$2:C929,C929),"")</f>
        <v/>
      </c>
      <c r="V929" s="28" t="str">
        <f t="shared" si="38"/>
        <v/>
      </c>
      <c r="W929" s="28" t="str">
        <f>IF(U929=1,COUNTIF($U$2:U929,1),"")</f>
        <v/>
      </c>
    </row>
    <row r="930" spans="6:23" ht="31.5" customHeight="1" x14ac:dyDescent="0.25">
      <c r="F930" s="44" t="s">
        <v>3443</v>
      </c>
      <c r="U930" s="28" t="str">
        <f>IF($C930&lt;&gt;"",COUNTIF($C$2:C930,C930),"")</f>
        <v/>
      </c>
      <c r="V930" s="28" t="str">
        <f t="shared" si="38"/>
        <v/>
      </c>
      <c r="W930" s="28" t="str">
        <f>IF(U930=1,COUNTIF($U$2:U930,1),"")</f>
        <v/>
      </c>
    </row>
    <row r="931" spans="6:23" ht="47.25" customHeight="1" x14ac:dyDescent="0.25">
      <c r="F931" s="44" t="s">
        <v>3444</v>
      </c>
      <c r="U931" s="28" t="str">
        <f>IF($C931&lt;&gt;"",COUNTIF($C$2:C931,C931),"")</f>
        <v/>
      </c>
      <c r="V931" s="28" t="str">
        <f t="shared" si="38"/>
        <v/>
      </c>
      <c r="W931" s="28" t="str">
        <f>IF(U931=1,COUNTIF($U$2:U931,1),"")</f>
        <v/>
      </c>
    </row>
    <row r="932" spans="6:23" ht="47.25" customHeight="1" x14ac:dyDescent="0.25">
      <c r="F932" s="44" t="s">
        <v>3445</v>
      </c>
      <c r="U932" s="28" t="str">
        <f>IF($C932&lt;&gt;"",COUNTIF($C$2:C932,C932),"")</f>
        <v/>
      </c>
      <c r="V932" s="28" t="str">
        <f t="shared" si="38"/>
        <v/>
      </c>
      <c r="W932" s="28" t="str">
        <f>IF(U932=1,COUNTIF($U$2:U932,1),"")</f>
        <v/>
      </c>
    </row>
    <row r="933" spans="6:23" ht="47.25" customHeight="1" x14ac:dyDescent="0.25">
      <c r="F933" s="44" t="s">
        <v>3446</v>
      </c>
      <c r="U933" s="28" t="str">
        <f>IF($C933&lt;&gt;"",COUNTIF($C$2:C933,C933),"")</f>
        <v/>
      </c>
      <c r="V933" s="28" t="str">
        <f t="shared" si="38"/>
        <v/>
      </c>
      <c r="W933" s="28" t="str">
        <f>IF(U933=1,COUNTIF($U$2:U933,1),"")</f>
        <v/>
      </c>
    </row>
    <row r="934" spans="6:23" ht="47.25" customHeight="1" x14ac:dyDescent="0.25">
      <c r="F934" s="44" t="s">
        <v>3447</v>
      </c>
      <c r="U934" s="28" t="str">
        <f>IF($C934&lt;&gt;"",COUNTIF($C$2:C934,C934),"")</f>
        <v/>
      </c>
      <c r="V934" s="28" t="str">
        <f t="shared" si="38"/>
        <v/>
      </c>
      <c r="W934" s="28" t="str">
        <f>IF(U934=1,COUNTIF($U$2:U934,1),"")</f>
        <v/>
      </c>
    </row>
    <row r="935" spans="6:23" ht="47.25" customHeight="1" x14ac:dyDescent="0.25">
      <c r="F935" s="44" t="s">
        <v>3448</v>
      </c>
      <c r="U935" s="28" t="str">
        <f>IF($C935&lt;&gt;"",COUNTIF($C$2:C935,C935),"")</f>
        <v/>
      </c>
      <c r="V935" s="28" t="str">
        <f t="shared" si="38"/>
        <v/>
      </c>
      <c r="W935" s="28" t="str">
        <f>IF(U935=1,COUNTIF($U$2:U935,1),"")</f>
        <v/>
      </c>
    </row>
    <row r="936" spans="6:23" ht="47.25" customHeight="1" x14ac:dyDescent="0.25">
      <c r="F936" s="44" t="s">
        <v>3449</v>
      </c>
      <c r="U936" s="28" t="str">
        <f>IF($C936&lt;&gt;"",COUNTIF($C$2:C936,C936),"")</f>
        <v/>
      </c>
      <c r="V936" s="28" t="str">
        <f t="shared" si="38"/>
        <v/>
      </c>
      <c r="W936" s="28" t="str">
        <f>IF(U936=1,COUNTIF($U$2:U936,1),"")</f>
        <v/>
      </c>
    </row>
    <row r="937" spans="6:23" ht="47.25" customHeight="1" x14ac:dyDescent="0.25">
      <c r="F937" s="44" t="s">
        <v>3450</v>
      </c>
      <c r="U937" s="28" t="str">
        <f>IF($C937&lt;&gt;"",COUNTIF($C$2:C937,C937),"")</f>
        <v/>
      </c>
      <c r="V937" s="28" t="str">
        <f t="shared" si="38"/>
        <v/>
      </c>
      <c r="W937" s="28" t="str">
        <f>IF(U937=1,COUNTIF($U$2:U937,1),"")</f>
        <v/>
      </c>
    </row>
    <row r="938" spans="6:23" ht="63" customHeight="1" x14ac:dyDescent="0.25">
      <c r="F938" s="44" t="s">
        <v>3451</v>
      </c>
      <c r="U938" s="28" t="str">
        <f>IF($C938&lt;&gt;"",COUNTIF($C$2:C938,C938),"")</f>
        <v/>
      </c>
      <c r="V938" s="28" t="str">
        <f t="shared" si="38"/>
        <v/>
      </c>
      <c r="W938" s="28" t="str">
        <f>IF(U938=1,COUNTIF($U$2:U938,1),"")</f>
        <v/>
      </c>
    </row>
    <row r="939" spans="6:23" ht="47.25" customHeight="1" x14ac:dyDescent="0.25">
      <c r="F939" s="44" t="s">
        <v>3452</v>
      </c>
      <c r="U939" s="28" t="str">
        <f>IF($C939&lt;&gt;"",COUNTIF($C$2:C939,C939),"")</f>
        <v/>
      </c>
      <c r="V939" s="28" t="str">
        <f t="shared" si="38"/>
        <v/>
      </c>
      <c r="W939" s="28" t="str">
        <f>IF(U939=1,COUNTIF($U$2:U939,1),"")</f>
        <v/>
      </c>
    </row>
    <row r="940" spans="6:23" ht="47.25" customHeight="1" x14ac:dyDescent="0.25">
      <c r="F940" s="44" t="s">
        <v>3453</v>
      </c>
      <c r="U940" s="28" t="str">
        <f>IF($C940&lt;&gt;"",COUNTIF($C$2:C940,C940),"")</f>
        <v/>
      </c>
      <c r="V940" s="28" t="str">
        <f t="shared" si="38"/>
        <v/>
      </c>
      <c r="W940" s="28" t="str">
        <f>IF(U940=1,COUNTIF($U$2:U940,1),"")</f>
        <v/>
      </c>
    </row>
    <row r="941" spans="6:23" ht="31.5" customHeight="1" x14ac:dyDescent="0.25">
      <c r="F941" s="44" t="s">
        <v>3454</v>
      </c>
      <c r="U941" s="28" t="str">
        <f>IF($C941&lt;&gt;"",COUNTIF($C$2:C941,C941),"")</f>
        <v/>
      </c>
      <c r="V941" s="28" t="str">
        <f t="shared" si="38"/>
        <v/>
      </c>
      <c r="W941" s="28" t="str">
        <f>IF(U941=1,COUNTIF($U$2:U941,1),"")</f>
        <v/>
      </c>
    </row>
    <row r="942" spans="6:23" ht="31.5" customHeight="1" x14ac:dyDescent="0.25">
      <c r="F942" s="44" t="s">
        <v>3455</v>
      </c>
      <c r="U942" s="28" t="str">
        <f>IF($C942&lt;&gt;"",COUNTIF($C$2:C942,C942),"")</f>
        <v/>
      </c>
      <c r="V942" s="28" t="str">
        <f t="shared" si="38"/>
        <v/>
      </c>
      <c r="W942" s="28" t="str">
        <f>IF(U942=1,COUNTIF($U$2:U942,1),"")</f>
        <v/>
      </c>
    </row>
    <row r="943" spans="6:23" ht="47.25" customHeight="1" x14ac:dyDescent="0.25">
      <c r="F943" s="44" t="s">
        <v>3456</v>
      </c>
      <c r="U943" s="28" t="str">
        <f>IF($C943&lt;&gt;"",COUNTIF($C$2:C943,C943),"")</f>
        <v/>
      </c>
      <c r="V943" s="28" t="str">
        <f t="shared" si="38"/>
        <v/>
      </c>
      <c r="W943" s="28" t="str">
        <f>IF(U943=1,COUNTIF($U$2:U943,1),"")</f>
        <v/>
      </c>
    </row>
    <row r="944" spans="6:23" ht="47.25" customHeight="1" x14ac:dyDescent="0.25">
      <c r="F944" s="44" t="s">
        <v>3457</v>
      </c>
      <c r="U944" s="28" t="str">
        <f>IF($C944&lt;&gt;"",COUNTIF($C$2:C944,C944),"")</f>
        <v/>
      </c>
      <c r="V944" s="28" t="str">
        <f t="shared" si="38"/>
        <v/>
      </c>
      <c r="W944" s="28" t="str">
        <f>IF(U944=1,COUNTIF($U$2:U944,1),"")</f>
        <v/>
      </c>
    </row>
    <row r="945" spans="6:23" ht="31.5" customHeight="1" x14ac:dyDescent="0.25">
      <c r="F945" s="44" t="s">
        <v>3458</v>
      </c>
      <c r="U945" s="28" t="str">
        <f>IF($C945&lt;&gt;"",COUNTIF($C$2:C945,C945),"")</f>
        <v/>
      </c>
      <c r="V945" s="28" t="str">
        <f t="shared" si="38"/>
        <v/>
      </c>
      <c r="W945" s="28" t="str">
        <f>IF(U945=1,COUNTIF($U$2:U945,1),"")</f>
        <v/>
      </c>
    </row>
    <row r="946" spans="6:23" ht="31.5" customHeight="1" x14ac:dyDescent="0.25">
      <c r="F946" s="44" t="s">
        <v>3459</v>
      </c>
      <c r="U946" s="28" t="str">
        <f>IF($C946&lt;&gt;"",COUNTIF($C$2:C946,C946),"")</f>
        <v/>
      </c>
      <c r="V946" s="28" t="str">
        <f t="shared" si="38"/>
        <v/>
      </c>
      <c r="W946" s="28" t="str">
        <f>IF(U946=1,COUNTIF($U$2:U946,1),"")</f>
        <v/>
      </c>
    </row>
    <row r="947" spans="6:23" ht="31.5" customHeight="1" x14ac:dyDescent="0.25">
      <c r="F947" s="44" t="s">
        <v>3460</v>
      </c>
      <c r="U947" s="28" t="str">
        <f>IF($C947&lt;&gt;"",COUNTIF($C$2:C947,C947),"")</f>
        <v/>
      </c>
      <c r="V947" s="28" t="str">
        <f t="shared" si="38"/>
        <v/>
      </c>
      <c r="W947" s="28" t="str">
        <f>IF(U947=1,COUNTIF($U$2:U947,1),"")</f>
        <v/>
      </c>
    </row>
    <row r="948" spans="6:23" ht="31.5" customHeight="1" x14ac:dyDescent="0.25">
      <c r="F948" s="44" t="s">
        <v>3461</v>
      </c>
      <c r="U948" s="28" t="str">
        <f>IF($C948&lt;&gt;"",COUNTIF($C$2:C948,C948),"")</f>
        <v/>
      </c>
      <c r="V948" s="28" t="str">
        <f t="shared" si="38"/>
        <v/>
      </c>
      <c r="W948" s="28" t="str">
        <f>IF(U948=1,COUNTIF($U$2:U948,1),"")</f>
        <v/>
      </c>
    </row>
    <row r="949" spans="6:23" ht="31.5" customHeight="1" x14ac:dyDescent="0.25">
      <c r="F949" s="44" t="s">
        <v>3462</v>
      </c>
      <c r="U949" s="28" t="str">
        <f>IF($C949&lt;&gt;"",COUNTIF($C$2:C949,C949),"")</f>
        <v/>
      </c>
      <c r="V949" s="28" t="str">
        <f t="shared" si="38"/>
        <v/>
      </c>
      <c r="W949" s="28" t="str">
        <f>IF(U949=1,COUNTIF($U$2:U949,1),"")</f>
        <v/>
      </c>
    </row>
    <row r="950" spans="6:23" ht="63" customHeight="1" x14ac:dyDescent="0.25">
      <c r="F950" s="44" t="s">
        <v>3463</v>
      </c>
      <c r="U950" s="28" t="str">
        <f>IF($C950&lt;&gt;"",COUNTIF($C$2:C950,C950),"")</f>
        <v/>
      </c>
      <c r="V950" s="28" t="str">
        <f t="shared" si="38"/>
        <v/>
      </c>
      <c r="W950" s="28" t="str">
        <f>IF(U950=1,COUNTIF($U$2:U950,1),"")</f>
        <v/>
      </c>
    </row>
    <row r="951" spans="6:23" ht="31.5" customHeight="1" x14ac:dyDescent="0.25">
      <c r="F951" s="44" t="s">
        <v>3464</v>
      </c>
      <c r="U951" s="28" t="str">
        <f>IF($C951&lt;&gt;"",COUNTIF($C$2:C951,C951),"")</f>
        <v/>
      </c>
      <c r="V951" s="28" t="str">
        <f t="shared" si="38"/>
        <v/>
      </c>
      <c r="W951" s="28" t="str">
        <f>IF(U951=1,COUNTIF($U$2:U951,1),"")</f>
        <v/>
      </c>
    </row>
    <row r="952" spans="6:23" ht="47.25" customHeight="1" x14ac:dyDescent="0.25">
      <c r="F952" s="44" t="s">
        <v>3465</v>
      </c>
      <c r="U952" s="28" t="str">
        <f>IF($C952&lt;&gt;"",COUNTIF($C$2:C952,C952),"")</f>
        <v/>
      </c>
      <c r="V952" s="28" t="str">
        <f t="shared" si="38"/>
        <v/>
      </c>
      <c r="W952" s="28" t="str">
        <f>IF(U952=1,COUNTIF($U$2:U952,1),"")</f>
        <v/>
      </c>
    </row>
    <row r="953" spans="6:23" ht="47.25" customHeight="1" x14ac:dyDescent="0.25">
      <c r="F953" s="44" t="s">
        <v>3466</v>
      </c>
      <c r="U953" s="28" t="str">
        <f>IF($C953&lt;&gt;"",COUNTIF($C$2:C953,C953),"")</f>
        <v/>
      </c>
      <c r="V953" s="28" t="str">
        <f t="shared" si="38"/>
        <v/>
      </c>
      <c r="W953" s="28" t="str">
        <f>IF(U953=1,COUNTIF($U$2:U953,1),"")</f>
        <v/>
      </c>
    </row>
    <row r="954" spans="6:23" ht="47.25" customHeight="1" x14ac:dyDescent="0.25">
      <c r="F954" s="44" t="s">
        <v>3467</v>
      </c>
      <c r="U954" s="28" t="str">
        <f>IF($C954&lt;&gt;"",COUNTIF($C$2:C954,C954),"")</f>
        <v/>
      </c>
      <c r="V954" s="28" t="str">
        <f t="shared" si="38"/>
        <v/>
      </c>
      <c r="W954" s="28" t="str">
        <f>IF(U954=1,COUNTIF($U$2:U954,1),"")</f>
        <v/>
      </c>
    </row>
    <row r="955" spans="6:23" ht="47.25" customHeight="1" x14ac:dyDescent="0.25">
      <c r="F955" s="44" t="s">
        <v>3468</v>
      </c>
      <c r="U955" s="28" t="str">
        <f>IF($C955&lt;&gt;"",COUNTIF($C$2:C955,C955),"")</f>
        <v/>
      </c>
      <c r="V955" s="28" t="str">
        <f t="shared" si="38"/>
        <v/>
      </c>
      <c r="W955" s="28" t="str">
        <f>IF(U955=1,COUNTIF($U$2:U955,1),"")</f>
        <v/>
      </c>
    </row>
    <row r="956" spans="6:23" ht="47.25" customHeight="1" x14ac:dyDescent="0.25">
      <c r="F956" s="44" t="s">
        <v>3469</v>
      </c>
      <c r="U956" s="28" t="str">
        <f>IF($C956&lt;&gt;"",COUNTIF($C$2:C956,C956),"")</f>
        <v/>
      </c>
      <c r="V956" s="28" t="str">
        <f t="shared" si="38"/>
        <v/>
      </c>
      <c r="W956" s="28" t="str">
        <f>IF(U956=1,COUNTIF($U$2:U956,1),"")</f>
        <v/>
      </c>
    </row>
    <row r="957" spans="6:23" ht="47.25" customHeight="1" x14ac:dyDescent="0.25">
      <c r="F957" s="44" t="s">
        <v>3470</v>
      </c>
      <c r="U957" s="28" t="str">
        <f>IF($C957&lt;&gt;"",COUNTIF($C$2:C957,C957),"")</f>
        <v/>
      </c>
      <c r="V957" s="28" t="str">
        <f t="shared" si="38"/>
        <v/>
      </c>
      <c r="W957" s="28" t="str">
        <f>IF(U957=1,COUNTIF($U$2:U957,1),"")</f>
        <v/>
      </c>
    </row>
    <row r="958" spans="6:23" ht="47.25" customHeight="1" x14ac:dyDescent="0.25">
      <c r="F958" s="44" t="s">
        <v>3471</v>
      </c>
      <c r="U958" s="28" t="str">
        <f>IF($C958&lt;&gt;"",COUNTIF($C$2:C958,C958),"")</f>
        <v/>
      </c>
      <c r="V958" s="28" t="str">
        <f t="shared" si="38"/>
        <v/>
      </c>
      <c r="W958" s="28" t="str">
        <f>IF(U958=1,COUNTIF($U$2:U958,1),"")</f>
        <v/>
      </c>
    </row>
    <row r="959" spans="6:23" ht="31.5" customHeight="1" x14ac:dyDescent="0.25">
      <c r="F959" s="44" t="s">
        <v>3472</v>
      </c>
      <c r="U959" s="28" t="str">
        <f>IF($C959&lt;&gt;"",COUNTIF($C$2:C959,C959),"")</f>
        <v/>
      </c>
      <c r="V959" s="28" t="str">
        <f t="shared" si="38"/>
        <v/>
      </c>
      <c r="W959" s="28" t="str">
        <f>IF(U959=1,COUNTIF($U$2:U959,1),"")</f>
        <v/>
      </c>
    </row>
    <row r="960" spans="6:23" ht="31.5" customHeight="1" x14ac:dyDescent="0.25">
      <c r="F960" s="44" t="s">
        <v>3473</v>
      </c>
      <c r="U960" s="28" t="str">
        <f>IF($C960&lt;&gt;"",COUNTIF($C$2:C960,C960),"")</f>
        <v/>
      </c>
      <c r="V960" s="28" t="str">
        <f t="shared" si="38"/>
        <v/>
      </c>
      <c r="W960" s="28" t="str">
        <f>IF(U960=1,COUNTIF($U$2:U960,1),"")</f>
        <v/>
      </c>
    </row>
    <row r="961" spans="6:23" ht="47.25" customHeight="1" x14ac:dyDescent="0.25">
      <c r="F961" s="44" t="s">
        <v>3474</v>
      </c>
      <c r="U961" s="28" t="str">
        <f>IF($C961&lt;&gt;"",COUNTIF($C$2:C961,C961),"")</f>
        <v/>
      </c>
      <c r="V961" s="28" t="str">
        <f t="shared" si="38"/>
        <v/>
      </c>
      <c r="W961" s="28" t="str">
        <f>IF(U961=1,COUNTIF($U$2:U961,1),"")</f>
        <v/>
      </c>
    </row>
    <row r="962" spans="6:23" ht="31.5" customHeight="1" x14ac:dyDescent="0.25">
      <c r="F962" s="44" t="s">
        <v>3475</v>
      </c>
      <c r="U962" s="28" t="str">
        <f>IF($C962&lt;&gt;"",COUNTIF($C$2:C962,C962),"")</f>
        <v/>
      </c>
      <c r="V962" s="28" t="str">
        <f t="shared" ref="V962:V1025" si="39">IF($C962&lt;&gt;"",C962&amp;"§"&amp;U962,"")</f>
        <v/>
      </c>
      <c r="W962" s="28" t="str">
        <f>IF(U962=1,COUNTIF($U$2:U962,1),"")</f>
        <v/>
      </c>
    </row>
    <row r="963" spans="6:23" ht="47.25" customHeight="1" x14ac:dyDescent="0.25">
      <c r="F963" s="44" t="s">
        <v>3476</v>
      </c>
      <c r="U963" s="28" t="str">
        <f>IF($C963&lt;&gt;"",COUNTIF($C$2:C963,C963),"")</f>
        <v/>
      </c>
      <c r="V963" s="28" t="str">
        <f t="shared" si="39"/>
        <v/>
      </c>
      <c r="W963" s="28" t="str">
        <f>IF(U963=1,COUNTIF($U$2:U963,1),"")</f>
        <v/>
      </c>
    </row>
    <row r="964" spans="6:23" ht="47.25" customHeight="1" x14ac:dyDescent="0.25">
      <c r="F964" s="44" t="s">
        <v>3477</v>
      </c>
      <c r="U964" s="28" t="str">
        <f>IF($C964&lt;&gt;"",COUNTIF($C$2:C964,C964),"")</f>
        <v/>
      </c>
      <c r="V964" s="28" t="str">
        <f t="shared" si="39"/>
        <v/>
      </c>
      <c r="W964" s="28" t="str">
        <f>IF(U964=1,COUNTIF($U$2:U964,1),"")</f>
        <v/>
      </c>
    </row>
    <row r="965" spans="6:23" ht="31.5" customHeight="1" x14ac:dyDescent="0.25">
      <c r="F965" s="44" t="s">
        <v>3478</v>
      </c>
      <c r="U965" s="28" t="str">
        <f>IF($C965&lt;&gt;"",COUNTIF($C$2:C965,C965),"")</f>
        <v/>
      </c>
      <c r="V965" s="28" t="str">
        <f t="shared" si="39"/>
        <v/>
      </c>
      <c r="W965" s="28" t="str">
        <f>IF(U965=1,COUNTIF($U$2:U965,1),"")</f>
        <v/>
      </c>
    </row>
    <row r="966" spans="6:23" ht="47.25" customHeight="1" x14ac:dyDescent="0.25">
      <c r="F966" s="44" t="s">
        <v>3479</v>
      </c>
      <c r="U966" s="28" t="str">
        <f>IF($C966&lt;&gt;"",COUNTIF($C$2:C966,C966),"")</f>
        <v/>
      </c>
      <c r="V966" s="28" t="str">
        <f t="shared" si="39"/>
        <v/>
      </c>
      <c r="W966" s="28" t="str">
        <f>IF(U966=1,COUNTIF($U$2:U966,1),"")</f>
        <v/>
      </c>
    </row>
    <row r="967" spans="6:23" ht="31.5" customHeight="1" x14ac:dyDescent="0.25">
      <c r="F967" s="44" t="s">
        <v>3480</v>
      </c>
      <c r="U967" s="28" t="str">
        <f>IF($C967&lt;&gt;"",COUNTIF($C$2:C967,C967),"")</f>
        <v/>
      </c>
      <c r="V967" s="28" t="str">
        <f t="shared" si="39"/>
        <v/>
      </c>
      <c r="W967" s="28" t="str">
        <f>IF(U967=1,COUNTIF($U$2:U967,1),"")</f>
        <v/>
      </c>
    </row>
    <row r="968" spans="6:23" ht="47.25" customHeight="1" x14ac:dyDescent="0.25">
      <c r="F968" s="44" t="s">
        <v>3481</v>
      </c>
      <c r="U968" s="28" t="str">
        <f>IF($C968&lt;&gt;"",COUNTIF($C$2:C968,C968),"")</f>
        <v/>
      </c>
      <c r="V968" s="28" t="str">
        <f t="shared" si="39"/>
        <v/>
      </c>
      <c r="W968" s="28" t="str">
        <f>IF(U968=1,COUNTIF($U$2:U968,1),"")</f>
        <v/>
      </c>
    </row>
    <row r="969" spans="6:23" ht="31.5" customHeight="1" x14ac:dyDescent="0.25">
      <c r="F969" s="44" t="s">
        <v>3482</v>
      </c>
      <c r="U969" s="28" t="str">
        <f>IF($C969&lt;&gt;"",COUNTIF($C$2:C969,C969),"")</f>
        <v/>
      </c>
      <c r="V969" s="28" t="str">
        <f t="shared" si="39"/>
        <v/>
      </c>
      <c r="W969" s="28" t="str">
        <f>IF(U969=1,COUNTIF($U$2:U969,1),"")</f>
        <v/>
      </c>
    </row>
    <row r="970" spans="6:23" ht="31.5" customHeight="1" x14ac:dyDescent="0.25">
      <c r="F970" s="44" t="s">
        <v>3483</v>
      </c>
      <c r="U970" s="28" t="str">
        <f>IF($C970&lt;&gt;"",COUNTIF($C$2:C970,C970),"")</f>
        <v/>
      </c>
      <c r="V970" s="28" t="str">
        <f t="shared" si="39"/>
        <v/>
      </c>
      <c r="W970" s="28" t="str">
        <f>IF(U970=1,COUNTIF($U$2:U970,1),"")</f>
        <v/>
      </c>
    </row>
    <row r="971" spans="6:23" ht="31.5" customHeight="1" x14ac:dyDescent="0.25">
      <c r="F971" s="44" t="s">
        <v>3484</v>
      </c>
      <c r="U971" s="28" t="str">
        <f>IF($C971&lt;&gt;"",COUNTIF($C$2:C971,C971),"")</f>
        <v/>
      </c>
      <c r="V971" s="28" t="str">
        <f t="shared" si="39"/>
        <v/>
      </c>
      <c r="W971" s="28" t="str">
        <f>IF(U971=1,COUNTIF($U$2:U971,1),"")</f>
        <v/>
      </c>
    </row>
    <row r="972" spans="6:23" ht="63" customHeight="1" x14ac:dyDescent="0.25">
      <c r="F972" s="44" t="s">
        <v>3485</v>
      </c>
      <c r="U972" s="28" t="str">
        <f>IF($C972&lt;&gt;"",COUNTIF($C$2:C972,C972),"")</f>
        <v/>
      </c>
      <c r="V972" s="28" t="str">
        <f t="shared" si="39"/>
        <v/>
      </c>
      <c r="W972" s="28" t="str">
        <f>IF(U972=1,COUNTIF($U$2:U972,1),"")</f>
        <v/>
      </c>
    </row>
    <row r="973" spans="6:23" ht="31.5" customHeight="1" x14ac:dyDescent="0.25">
      <c r="F973" s="44" t="s">
        <v>3486</v>
      </c>
      <c r="U973" s="28" t="str">
        <f>IF($C973&lt;&gt;"",COUNTIF($C$2:C973,C973),"")</f>
        <v/>
      </c>
      <c r="V973" s="28" t="str">
        <f t="shared" si="39"/>
        <v/>
      </c>
      <c r="W973" s="28" t="str">
        <f>IF(U973=1,COUNTIF($U$2:U973,1),"")</f>
        <v/>
      </c>
    </row>
    <row r="974" spans="6:23" ht="31.5" customHeight="1" x14ac:dyDescent="0.25">
      <c r="F974" s="44" t="s">
        <v>3487</v>
      </c>
      <c r="U974" s="28" t="str">
        <f>IF($C974&lt;&gt;"",COUNTIF($C$2:C974,C974),"")</f>
        <v/>
      </c>
      <c r="V974" s="28" t="str">
        <f t="shared" si="39"/>
        <v/>
      </c>
      <c r="W974" s="28" t="str">
        <f>IF(U974=1,COUNTIF($U$2:U974,1),"")</f>
        <v/>
      </c>
    </row>
    <row r="975" spans="6:23" ht="47.25" customHeight="1" x14ac:dyDescent="0.25">
      <c r="F975" s="44" t="s">
        <v>3488</v>
      </c>
      <c r="U975" s="28" t="str">
        <f>IF($C975&lt;&gt;"",COUNTIF($C$2:C975,C975),"")</f>
        <v/>
      </c>
      <c r="V975" s="28" t="str">
        <f t="shared" si="39"/>
        <v/>
      </c>
      <c r="W975" s="28" t="str">
        <f>IF(U975=1,COUNTIF($U$2:U975,1),"")</f>
        <v/>
      </c>
    </row>
    <row r="976" spans="6:23" ht="31.5" customHeight="1" x14ac:dyDescent="0.25">
      <c r="F976" s="44" t="s">
        <v>3489</v>
      </c>
      <c r="U976" s="28" t="str">
        <f>IF($C976&lt;&gt;"",COUNTIF($C$2:C976,C976),"")</f>
        <v/>
      </c>
      <c r="V976" s="28" t="str">
        <f t="shared" si="39"/>
        <v/>
      </c>
      <c r="W976" s="28" t="str">
        <f>IF(U976=1,COUNTIF($U$2:U976,1),"")</f>
        <v/>
      </c>
    </row>
    <row r="977" spans="6:23" ht="31.5" customHeight="1" x14ac:dyDescent="0.25">
      <c r="F977" s="44" t="s">
        <v>3490</v>
      </c>
      <c r="U977" s="28" t="str">
        <f>IF($C977&lt;&gt;"",COUNTIF($C$2:C977,C977),"")</f>
        <v/>
      </c>
      <c r="V977" s="28" t="str">
        <f t="shared" si="39"/>
        <v/>
      </c>
      <c r="W977" s="28" t="str">
        <f>IF(U977=1,COUNTIF($U$2:U977,1),"")</f>
        <v/>
      </c>
    </row>
    <row r="978" spans="6:23" ht="31.5" customHeight="1" x14ac:dyDescent="0.25">
      <c r="F978" s="44" t="s">
        <v>3491</v>
      </c>
      <c r="U978" s="28" t="str">
        <f>IF($C978&lt;&gt;"",COUNTIF($C$2:C978,C978),"")</f>
        <v/>
      </c>
      <c r="V978" s="28" t="str">
        <f t="shared" si="39"/>
        <v/>
      </c>
      <c r="W978" s="28" t="str">
        <f>IF(U978=1,COUNTIF($U$2:U978,1),"")</f>
        <v/>
      </c>
    </row>
    <row r="979" spans="6:23" ht="47.25" customHeight="1" x14ac:dyDescent="0.25">
      <c r="F979" s="44" t="s">
        <v>3492</v>
      </c>
      <c r="U979" s="28" t="str">
        <f>IF($C979&lt;&gt;"",COUNTIF($C$2:C979,C979),"")</f>
        <v/>
      </c>
      <c r="V979" s="28" t="str">
        <f t="shared" si="39"/>
        <v/>
      </c>
      <c r="W979" s="28" t="str">
        <f>IF(U979=1,COUNTIF($U$2:U979,1),"")</f>
        <v/>
      </c>
    </row>
    <row r="980" spans="6:23" ht="47.25" customHeight="1" x14ac:dyDescent="0.25">
      <c r="F980" s="44" t="s">
        <v>3493</v>
      </c>
      <c r="U980" s="28" t="str">
        <f>IF($C980&lt;&gt;"",COUNTIF($C$2:C980,C980),"")</f>
        <v/>
      </c>
      <c r="V980" s="28" t="str">
        <f t="shared" si="39"/>
        <v/>
      </c>
      <c r="W980" s="28" t="str">
        <f>IF(U980=1,COUNTIF($U$2:U980,1),"")</f>
        <v/>
      </c>
    </row>
    <row r="981" spans="6:23" ht="47.25" customHeight="1" x14ac:dyDescent="0.25">
      <c r="F981" s="44" t="s">
        <v>3494</v>
      </c>
      <c r="U981" s="28" t="str">
        <f>IF($C981&lt;&gt;"",COUNTIF($C$2:C981,C981),"")</f>
        <v/>
      </c>
      <c r="V981" s="28" t="str">
        <f t="shared" si="39"/>
        <v/>
      </c>
      <c r="W981" s="28" t="str">
        <f>IF(U981=1,COUNTIF($U$2:U981,1),"")</f>
        <v/>
      </c>
    </row>
    <row r="982" spans="6:23" ht="78.75" customHeight="1" x14ac:dyDescent="0.25">
      <c r="F982" s="44" t="s">
        <v>3495</v>
      </c>
      <c r="U982" s="28" t="str">
        <f>IF($C982&lt;&gt;"",COUNTIF($C$2:C982,C982),"")</f>
        <v/>
      </c>
      <c r="V982" s="28" t="str">
        <f t="shared" si="39"/>
        <v/>
      </c>
      <c r="W982" s="28" t="str">
        <f>IF(U982=1,COUNTIF($U$2:U982,1),"")</f>
        <v/>
      </c>
    </row>
    <row r="983" spans="6:23" ht="31.5" customHeight="1" x14ac:dyDescent="0.25">
      <c r="F983" s="44" t="s">
        <v>3496</v>
      </c>
      <c r="U983" s="28" t="str">
        <f>IF($C983&lt;&gt;"",COUNTIF($C$2:C983,C983),"")</f>
        <v/>
      </c>
      <c r="V983" s="28" t="str">
        <f t="shared" si="39"/>
        <v/>
      </c>
      <c r="W983" s="28" t="str">
        <f>IF(U983=1,COUNTIF($U$2:U983,1),"")</f>
        <v/>
      </c>
    </row>
    <row r="984" spans="6:23" ht="47.25" customHeight="1" x14ac:dyDescent="0.25">
      <c r="F984" s="44" t="s">
        <v>3497</v>
      </c>
      <c r="U984" s="28" t="str">
        <f>IF($C984&lt;&gt;"",COUNTIF($C$2:C984,C984),"")</f>
        <v/>
      </c>
      <c r="V984" s="28" t="str">
        <f t="shared" si="39"/>
        <v/>
      </c>
      <c r="W984" s="28" t="str">
        <f>IF(U984=1,COUNTIF($U$2:U984,1),"")</f>
        <v/>
      </c>
    </row>
    <row r="985" spans="6:23" ht="63" customHeight="1" x14ac:dyDescent="0.25">
      <c r="F985" s="44" t="s">
        <v>3498</v>
      </c>
      <c r="U985" s="28" t="str">
        <f>IF($C985&lt;&gt;"",COUNTIF($C$2:C985,C985),"")</f>
        <v/>
      </c>
      <c r="V985" s="28" t="str">
        <f t="shared" si="39"/>
        <v/>
      </c>
      <c r="W985" s="28" t="str">
        <f>IF(U985=1,COUNTIF($U$2:U985,1),"")</f>
        <v/>
      </c>
    </row>
    <row r="986" spans="6:23" ht="47.25" customHeight="1" x14ac:dyDescent="0.25">
      <c r="F986" s="44" t="s">
        <v>3499</v>
      </c>
      <c r="U986" s="28" t="str">
        <f>IF($C986&lt;&gt;"",COUNTIF($C$2:C986,C986),"")</f>
        <v/>
      </c>
      <c r="V986" s="28" t="str">
        <f t="shared" si="39"/>
        <v/>
      </c>
      <c r="W986" s="28" t="str">
        <f>IF(U986=1,COUNTIF($U$2:U986,1),"")</f>
        <v/>
      </c>
    </row>
    <row r="987" spans="6:23" ht="47.25" customHeight="1" x14ac:dyDescent="0.25">
      <c r="F987" s="44" t="s">
        <v>3500</v>
      </c>
      <c r="U987" s="28" t="str">
        <f>IF($C987&lt;&gt;"",COUNTIF($C$2:C987,C987),"")</f>
        <v/>
      </c>
      <c r="V987" s="28" t="str">
        <f t="shared" si="39"/>
        <v/>
      </c>
      <c r="W987" s="28" t="str">
        <f>IF(U987=1,COUNTIF($U$2:U987,1),"")</f>
        <v/>
      </c>
    </row>
    <row r="988" spans="6:23" ht="63" customHeight="1" x14ac:dyDescent="0.25">
      <c r="F988" s="44" t="s">
        <v>3501</v>
      </c>
      <c r="U988" s="28" t="str">
        <f>IF($C988&lt;&gt;"",COUNTIF($C$2:C988,C988),"")</f>
        <v/>
      </c>
      <c r="V988" s="28" t="str">
        <f t="shared" si="39"/>
        <v/>
      </c>
      <c r="W988" s="28" t="str">
        <f>IF(U988=1,COUNTIF($U$2:U988,1),"")</f>
        <v/>
      </c>
    </row>
    <row r="989" spans="6:23" ht="47.25" customHeight="1" x14ac:dyDescent="0.25">
      <c r="F989" s="44" t="s">
        <v>3502</v>
      </c>
      <c r="U989" s="28" t="str">
        <f>IF($C989&lt;&gt;"",COUNTIF($C$2:C989,C989),"")</f>
        <v/>
      </c>
      <c r="V989" s="28" t="str">
        <f t="shared" si="39"/>
        <v/>
      </c>
      <c r="W989" s="28" t="str">
        <f>IF(U989=1,COUNTIF($U$2:U989,1),"")</f>
        <v/>
      </c>
    </row>
    <row r="990" spans="6:23" ht="31.5" customHeight="1" x14ac:dyDescent="0.25">
      <c r="F990" s="44" t="s">
        <v>3503</v>
      </c>
      <c r="U990" s="28" t="str">
        <f>IF($C990&lt;&gt;"",COUNTIF($C$2:C990,C990),"")</f>
        <v/>
      </c>
      <c r="V990" s="28" t="str">
        <f t="shared" si="39"/>
        <v/>
      </c>
      <c r="W990" s="28" t="str">
        <f>IF(U990=1,COUNTIF($U$2:U990,1),"")</f>
        <v/>
      </c>
    </row>
    <row r="991" spans="6:23" ht="47.25" customHeight="1" x14ac:dyDescent="0.25">
      <c r="F991" s="44" t="s">
        <v>3504</v>
      </c>
      <c r="U991" s="28" t="str">
        <f>IF($C991&lt;&gt;"",COUNTIF($C$2:C991,C991),"")</f>
        <v/>
      </c>
      <c r="V991" s="28" t="str">
        <f t="shared" si="39"/>
        <v/>
      </c>
      <c r="W991" s="28" t="str">
        <f>IF(U991=1,COUNTIF($U$2:U991,1),"")</f>
        <v/>
      </c>
    </row>
    <row r="992" spans="6:23" ht="78.75" customHeight="1" x14ac:dyDescent="0.25">
      <c r="F992" s="44" t="s">
        <v>3505</v>
      </c>
      <c r="U992" s="28" t="str">
        <f>IF($C992&lt;&gt;"",COUNTIF($C$2:C992,C992),"")</f>
        <v/>
      </c>
      <c r="V992" s="28" t="str">
        <f t="shared" si="39"/>
        <v/>
      </c>
      <c r="W992" s="28" t="str">
        <f>IF(U992=1,COUNTIF($U$2:U992,1),"")</f>
        <v/>
      </c>
    </row>
    <row r="993" spans="6:23" ht="47.25" customHeight="1" x14ac:dyDescent="0.25">
      <c r="F993" s="44" t="s">
        <v>3506</v>
      </c>
      <c r="U993" s="28" t="str">
        <f>IF($C993&lt;&gt;"",COUNTIF($C$2:C993,C993),"")</f>
        <v/>
      </c>
      <c r="V993" s="28" t="str">
        <f t="shared" si="39"/>
        <v/>
      </c>
      <c r="W993" s="28" t="str">
        <f>IF(U993=1,COUNTIF($U$2:U993,1),"")</f>
        <v/>
      </c>
    </row>
    <row r="994" spans="6:23" ht="47.25" customHeight="1" x14ac:dyDescent="0.25">
      <c r="F994" s="44" t="s">
        <v>3507</v>
      </c>
      <c r="U994" s="28" t="str">
        <f>IF($C994&lt;&gt;"",COUNTIF($C$2:C994,C994),"")</f>
        <v/>
      </c>
      <c r="V994" s="28" t="str">
        <f t="shared" si="39"/>
        <v/>
      </c>
      <c r="W994" s="28" t="str">
        <f>IF(U994=1,COUNTIF($U$2:U994,1),"")</f>
        <v/>
      </c>
    </row>
    <row r="995" spans="6:23" ht="47.25" customHeight="1" x14ac:dyDescent="0.25">
      <c r="F995" s="44" t="s">
        <v>3508</v>
      </c>
      <c r="U995" s="28" t="str">
        <f>IF($C995&lt;&gt;"",COUNTIF($C$2:C995,C995),"")</f>
        <v/>
      </c>
      <c r="V995" s="28" t="str">
        <f t="shared" si="39"/>
        <v/>
      </c>
      <c r="W995" s="28" t="str">
        <f>IF(U995=1,COUNTIF($U$2:U995,1),"")</f>
        <v/>
      </c>
    </row>
    <row r="996" spans="6:23" ht="31.5" customHeight="1" x14ac:dyDescent="0.25">
      <c r="F996" s="44" t="s">
        <v>3509</v>
      </c>
      <c r="U996" s="28" t="str">
        <f>IF($C996&lt;&gt;"",COUNTIF($C$2:C996,C996),"")</f>
        <v/>
      </c>
      <c r="V996" s="28" t="str">
        <f t="shared" si="39"/>
        <v/>
      </c>
      <c r="W996" s="28" t="str">
        <f>IF(U996=1,COUNTIF($U$2:U996,1),"")</f>
        <v/>
      </c>
    </row>
    <row r="997" spans="6:23" ht="63" customHeight="1" x14ac:dyDescent="0.25">
      <c r="F997" s="44" t="s">
        <v>3510</v>
      </c>
      <c r="U997" s="28" t="str">
        <f>IF($C997&lt;&gt;"",COUNTIF($C$2:C997,C997),"")</f>
        <v/>
      </c>
      <c r="V997" s="28" t="str">
        <f t="shared" si="39"/>
        <v/>
      </c>
      <c r="W997" s="28" t="str">
        <f>IF(U997=1,COUNTIF($U$2:U997,1),"")</f>
        <v/>
      </c>
    </row>
    <row r="998" spans="6:23" ht="47.25" customHeight="1" x14ac:dyDescent="0.25">
      <c r="F998" s="44" t="s">
        <v>3511</v>
      </c>
      <c r="U998" s="28" t="str">
        <f>IF($C998&lt;&gt;"",COUNTIF($C$2:C998,C998),"")</f>
        <v/>
      </c>
      <c r="V998" s="28" t="str">
        <f t="shared" si="39"/>
        <v/>
      </c>
      <c r="W998" s="28" t="str">
        <f>IF(U998=1,COUNTIF($U$2:U998,1),"")</f>
        <v/>
      </c>
    </row>
    <row r="999" spans="6:23" ht="47.25" customHeight="1" x14ac:dyDescent="0.25">
      <c r="F999" s="44" t="s">
        <v>3512</v>
      </c>
      <c r="U999" s="28" t="str">
        <f>IF($C999&lt;&gt;"",COUNTIF($C$2:C999,C999),"")</f>
        <v/>
      </c>
      <c r="V999" s="28" t="str">
        <f t="shared" si="39"/>
        <v/>
      </c>
      <c r="W999" s="28" t="str">
        <f>IF(U999=1,COUNTIF($U$2:U999,1),"")</f>
        <v/>
      </c>
    </row>
    <row r="1000" spans="6:23" ht="47.25" customHeight="1" x14ac:dyDescent="0.25">
      <c r="F1000" s="44" t="s">
        <v>3513</v>
      </c>
      <c r="U1000" s="28" t="str">
        <f>IF($C1000&lt;&gt;"",COUNTIF($C$2:C1000,C1000),"")</f>
        <v/>
      </c>
      <c r="V1000" s="28" t="str">
        <f t="shared" si="39"/>
        <v/>
      </c>
      <c r="W1000" s="28" t="str">
        <f>IF(U1000=1,COUNTIF($U$2:U1000,1),"")</f>
        <v/>
      </c>
    </row>
    <row r="1001" spans="6:23" ht="47.25" customHeight="1" x14ac:dyDescent="0.25">
      <c r="F1001" s="44" t="s">
        <v>3514</v>
      </c>
      <c r="U1001" s="28" t="str">
        <f>IF($C1001&lt;&gt;"",COUNTIF($C$2:C1001,C1001),"")</f>
        <v/>
      </c>
      <c r="V1001" s="28" t="str">
        <f t="shared" si="39"/>
        <v/>
      </c>
      <c r="W1001" s="28" t="str">
        <f>IF(U1001=1,COUNTIF($U$2:U1001,1),"")</f>
        <v/>
      </c>
    </row>
    <row r="1002" spans="6:23" ht="31.5" customHeight="1" x14ac:dyDescent="0.25">
      <c r="F1002" s="44" t="s">
        <v>3515</v>
      </c>
      <c r="U1002" s="28" t="str">
        <f>IF($C1002&lt;&gt;"",COUNTIF($C$2:C1002,C1002),"")</f>
        <v/>
      </c>
      <c r="V1002" s="28" t="str">
        <f t="shared" si="39"/>
        <v/>
      </c>
      <c r="W1002" s="28" t="str">
        <f>IF(U1002=1,COUNTIF($U$2:U1002,1),"")</f>
        <v/>
      </c>
    </row>
    <row r="1003" spans="6:23" ht="31.5" customHeight="1" x14ac:dyDescent="0.25">
      <c r="F1003" s="44" t="s">
        <v>3516</v>
      </c>
      <c r="U1003" s="28" t="str">
        <f>IF($C1003&lt;&gt;"",COUNTIF($C$2:C1003,C1003),"")</f>
        <v/>
      </c>
      <c r="V1003" s="28" t="str">
        <f t="shared" si="39"/>
        <v/>
      </c>
      <c r="W1003" s="28" t="str">
        <f>IF(U1003=1,COUNTIF($U$2:U1003,1),"")</f>
        <v/>
      </c>
    </row>
    <row r="1004" spans="6:23" ht="31.5" customHeight="1" x14ac:dyDescent="0.25">
      <c r="F1004" s="44" t="s">
        <v>3517</v>
      </c>
      <c r="U1004" s="28" t="str">
        <f>IF($C1004&lt;&gt;"",COUNTIF($C$2:C1004,C1004),"")</f>
        <v/>
      </c>
      <c r="V1004" s="28" t="str">
        <f t="shared" si="39"/>
        <v/>
      </c>
      <c r="W1004" s="28" t="str">
        <f>IF(U1004=1,COUNTIF($U$2:U1004,1),"")</f>
        <v/>
      </c>
    </row>
    <row r="1005" spans="6:23" ht="31.5" customHeight="1" x14ac:dyDescent="0.25">
      <c r="F1005" s="44" t="s">
        <v>3518</v>
      </c>
      <c r="U1005" s="28" t="str">
        <f>IF($C1005&lt;&gt;"",COUNTIF($C$2:C1005,C1005),"")</f>
        <v/>
      </c>
      <c r="V1005" s="28" t="str">
        <f t="shared" si="39"/>
        <v/>
      </c>
      <c r="W1005" s="28" t="str">
        <f>IF(U1005=1,COUNTIF($U$2:U1005,1),"")</f>
        <v/>
      </c>
    </row>
    <row r="1006" spans="6:23" ht="31.5" customHeight="1" x14ac:dyDescent="0.25">
      <c r="F1006" s="44" t="s">
        <v>3519</v>
      </c>
      <c r="U1006" s="28" t="str">
        <f>IF($C1006&lt;&gt;"",COUNTIF($C$2:C1006,C1006),"")</f>
        <v/>
      </c>
      <c r="V1006" s="28" t="str">
        <f t="shared" si="39"/>
        <v/>
      </c>
      <c r="W1006" s="28" t="str">
        <f>IF(U1006=1,COUNTIF($U$2:U1006,1),"")</f>
        <v/>
      </c>
    </row>
    <row r="1007" spans="6:23" ht="31.5" customHeight="1" x14ac:dyDescent="0.25">
      <c r="F1007" s="44" t="s">
        <v>3520</v>
      </c>
      <c r="U1007" s="28" t="str">
        <f>IF($C1007&lt;&gt;"",COUNTIF($C$2:C1007,C1007),"")</f>
        <v/>
      </c>
      <c r="V1007" s="28" t="str">
        <f t="shared" si="39"/>
        <v/>
      </c>
      <c r="W1007" s="28" t="str">
        <f>IF(U1007=1,COUNTIF($U$2:U1007,1),"")</f>
        <v/>
      </c>
    </row>
    <row r="1008" spans="6:23" ht="47.25" customHeight="1" x14ac:dyDescent="0.25">
      <c r="F1008" s="44" t="s">
        <v>3521</v>
      </c>
      <c r="U1008" s="28" t="str">
        <f>IF($C1008&lt;&gt;"",COUNTIF($C$2:C1008,C1008),"")</f>
        <v/>
      </c>
      <c r="V1008" s="28" t="str">
        <f t="shared" si="39"/>
        <v/>
      </c>
      <c r="W1008" s="28" t="str">
        <f>IF(U1008=1,COUNTIF($U$2:U1008,1),"")</f>
        <v/>
      </c>
    </row>
    <row r="1009" spans="6:23" ht="31.5" customHeight="1" x14ac:dyDescent="0.25">
      <c r="F1009" s="44" t="s">
        <v>3522</v>
      </c>
      <c r="U1009" s="28" t="str">
        <f>IF($C1009&lt;&gt;"",COUNTIF($C$2:C1009,C1009),"")</f>
        <v/>
      </c>
      <c r="V1009" s="28" t="str">
        <f t="shared" si="39"/>
        <v/>
      </c>
      <c r="W1009" s="28" t="str">
        <f>IF(U1009=1,COUNTIF($U$2:U1009,1),"")</f>
        <v/>
      </c>
    </row>
    <row r="1010" spans="6:23" ht="31.5" customHeight="1" x14ac:dyDescent="0.25">
      <c r="F1010" s="44" t="s">
        <v>3523</v>
      </c>
      <c r="U1010" s="28" t="str">
        <f>IF($C1010&lt;&gt;"",COUNTIF($C$2:C1010,C1010),"")</f>
        <v/>
      </c>
      <c r="V1010" s="28" t="str">
        <f t="shared" si="39"/>
        <v/>
      </c>
      <c r="W1010" s="28" t="str">
        <f>IF(U1010=1,COUNTIF($U$2:U1010,1),"")</f>
        <v/>
      </c>
    </row>
    <row r="1011" spans="6:23" ht="31.5" customHeight="1" x14ac:dyDescent="0.25">
      <c r="F1011" s="44" t="s">
        <v>3524</v>
      </c>
      <c r="U1011" s="28" t="str">
        <f>IF($C1011&lt;&gt;"",COUNTIF($C$2:C1011,C1011),"")</f>
        <v/>
      </c>
      <c r="V1011" s="28" t="str">
        <f t="shared" si="39"/>
        <v/>
      </c>
      <c r="W1011" s="28" t="str">
        <f>IF(U1011=1,COUNTIF($U$2:U1011,1),"")</f>
        <v/>
      </c>
    </row>
    <row r="1012" spans="6:23" ht="63" customHeight="1" x14ac:dyDescent="0.25">
      <c r="F1012" s="44" t="s">
        <v>3525</v>
      </c>
      <c r="U1012" s="28" t="str">
        <f>IF($C1012&lt;&gt;"",COUNTIF($C$2:C1012,C1012),"")</f>
        <v/>
      </c>
      <c r="V1012" s="28" t="str">
        <f t="shared" si="39"/>
        <v/>
      </c>
      <c r="W1012" s="28" t="str">
        <f>IF(U1012=1,COUNTIF($U$2:U1012,1),"")</f>
        <v/>
      </c>
    </row>
    <row r="1013" spans="6:23" ht="31.5" customHeight="1" x14ac:dyDescent="0.25">
      <c r="F1013" s="44" t="s">
        <v>3526</v>
      </c>
      <c r="U1013" s="28" t="str">
        <f>IF($C1013&lt;&gt;"",COUNTIF($C$2:C1013,C1013),"")</f>
        <v/>
      </c>
      <c r="V1013" s="28" t="str">
        <f t="shared" si="39"/>
        <v/>
      </c>
      <c r="W1013" s="28" t="str">
        <f>IF(U1013=1,COUNTIF($U$2:U1013,1),"")</f>
        <v/>
      </c>
    </row>
    <row r="1014" spans="6:23" ht="63" customHeight="1" x14ac:dyDescent="0.25">
      <c r="F1014" s="44" t="s">
        <v>3527</v>
      </c>
      <c r="U1014" s="28" t="str">
        <f>IF($C1014&lt;&gt;"",COUNTIF($C$2:C1014,C1014),"")</f>
        <v/>
      </c>
      <c r="V1014" s="28" t="str">
        <f t="shared" si="39"/>
        <v/>
      </c>
      <c r="W1014" s="28" t="str">
        <f>IF(U1014=1,COUNTIF($U$2:U1014,1),"")</f>
        <v/>
      </c>
    </row>
    <row r="1015" spans="6:23" ht="47.25" customHeight="1" x14ac:dyDescent="0.25">
      <c r="F1015" s="44" t="s">
        <v>3528</v>
      </c>
      <c r="U1015" s="28" t="str">
        <f>IF($C1015&lt;&gt;"",COUNTIF($C$2:C1015,C1015),"")</f>
        <v/>
      </c>
      <c r="V1015" s="28" t="str">
        <f t="shared" si="39"/>
        <v/>
      </c>
      <c r="W1015" s="28" t="str">
        <f>IF(U1015=1,COUNTIF($U$2:U1015,1),"")</f>
        <v/>
      </c>
    </row>
    <row r="1016" spans="6:23" ht="63" customHeight="1" x14ac:dyDescent="0.25">
      <c r="F1016" s="44" t="s">
        <v>3529</v>
      </c>
      <c r="U1016" s="28" t="str">
        <f>IF($C1016&lt;&gt;"",COUNTIF($C$2:C1016,C1016),"")</f>
        <v/>
      </c>
      <c r="V1016" s="28" t="str">
        <f t="shared" si="39"/>
        <v/>
      </c>
      <c r="W1016" s="28" t="str">
        <f>IF(U1016=1,COUNTIF($U$2:U1016,1),"")</f>
        <v/>
      </c>
    </row>
    <row r="1017" spans="6:23" ht="31.5" customHeight="1" x14ac:dyDescent="0.25">
      <c r="F1017" s="44" t="s">
        <v>3530</v>
      </c>
      <c r="U1017" s="28" t="str">
        <f>IF($C1017&lt;&gt;"",COUNTIF($C$2:C1017,C1017),"")</f>
        <v/>
      </c>
      <c r="V1017" s="28" t="str">
        <f t="shared" si="39"/>
        <v/>
      </c>
      <c r="W1017" s="28" t="str">
        <f>IF(U1017=1,COUNTIF($U$2:U1017,1),"")</f>
        <v/>
      </c>
    </row>
    <row r="1018" spans="6:23" ht="63" customHeight="1" x14ac:dyDescent="0.25">
      <c r="F1018" s="44" t="s">
        <v>3531</v>
      </c>
      <c r="U1018" s="28" t="str">
        <f>IF($C1018&lt;&gt;"",COUNTIF($C$2:C1018,C1018),"")</f>
        <v/>
      </c>
      <c r="V1018" s="28" t="str">
        <f t="shared" si="39"/>
        <v/>
      </c>
      <c r="W1018" s="28" t="str">
        <f>IF(U1018=1,COUNTIF($U$2:U1018,1),"")</f>
        <v/>
      </c>
    </row>
    <row r="1019" spans="6:23" ht="63" customHeight="1" x14ac:dyDescent="0.25">
      <c r="F1019" s="44" t="s">
        <v>3532</v>
      </c>
      <c r="U1019" s="28" t="str">
        <f>IF($C1019&lt;&gt;"",COUNTIF($C$2:C1019,C1019),"")</f>
        <v/>
      </c>
      <c r="V1019" s="28" t="str">
        <f t="shared" si="39"/>
        <v/>
      </c>
      <c r="W1019" s="28" t="str">
        <f>IF(U1019=1,COUNTIF($U$2:U1019,1),"")</f>
        <v/>
      </c>
    </row>
    <row r="1020" spans="6:23" ht="31.5" customHeight="1" x14ac:dyDescent="0.25">
      <c r="F1020" s="44" t="s">
        <v>3533</v>
      </c>
      <c r="U1020" s="28" t="str">
        <f>IF($C1020&lt;&gt;"",COUNTIF($C$2:C1020,C1020),"")</f>
        <v/>
      </c>
      <c r="V1020" s="28" t="str">
        <f t="shared" si="39"/>
        <v/>
      </c>
      <c r="W1020" s="28" t="str">
        <f>IF(U1020=1,COUNTIF($U$2:U1020,1),"")</f>
        <v/>
      </c>
    </row>
    <row r="1021" spans="6:23" ht="31.5" customHeight="1" x14ac:dyDescent="0.25">
      <c r="F1021" s="44" t="s">
        <v>3534</v>
      </c>
      <c r="U1021" s="28" t="str">
        <f>IF($C1021&lt;&gt;"",COUNTIF($C$2:C1021,C1021),"")</f>
        <v/>
      </c>
      <c r="V1021" s="28" t="str">
        <f t="shared" si="39"/>
        <v/>
      </c>
      <c r="W1021" s="28" t="str">
        <f>IF(U1021=1,COUNTIF($U$2:U1021,1),"")</f>
        <v/>
      </c>
    </row>
    <row r="1022" spans="6:23" ht="31.5" customHeight="1" x14ac:dyDescent="0.25">
      <c r="F1022" s="44" t="s">
        <v>3535</v>
      </c>
      <c r="U1022" s="28" t="str">
        <f>IF($C1022&lt;&gt;"",COUNTIF($C$2:C1022,C1022),"")</f>
        <v/>
      </c>
      <c r="V1022" s="28" t="str">
        <f t="shared" si="39"/>
        <v/>
      </c>
      <c r="W1022" s="28" t="str">
        <f>IF(U1022=1,COUNTIF($U$2:U1022,1),"")</f>
        <v/>
      </c>
    </row>
    <row r="1023" spans="6:23" ht="47.25" customHeight="1" x14ac:dyDescent="0.25">
      <c r="F1023" s="44" t="s">
        <v>3536</v>
      </c>
      <c r="U1023" s="28" t="str">
        <f>IF($C1023&lt;&gt;"",COUNTIF($C$2:C1023,C1023),"")</f>
        <v/>
      </c>
      <c r="V1023" s="28" t="str">
        <f t="shared" si="39"/>
        <v/>
      </c>
      <c r="W1023" s="28" t="str">
        <f>IF(U1023=1,COUNTIF($U$2:U1023,1),"")</f>
        <v/>
      </c>
    </row>
    <row r="1024" spans="6:23" ht="31.5" customHeight="1" x14ac:dyDescent="0.25">
      <c r="F1024" s="44" t="s">
        <v>3537</v>
      </c>
      <c r="U1024" s="28" t="str">
        <f>IF($C1024&lt;&gt;"",COUNTIF($C$2:C1024,C1024),"")</f>
        <v/>
      </c>
      <c r="V1024" s="28" t="str">
        <f t="shared" si="39"/>
        <v/>
      </c>
      <c r="W1024" s="28" t="str">
        <f>IF(U1024=1,COUNTIF($U$2:U1024,1),"")</f>
        <v/>
      </c>
    </row>
    <row r="1025" spans="6:23" ht="31.5" customHeight="1" x14ac:dyDescent="0.25">
      <c r="F1025" s="44" t="s">
        <v>3538</v>
      </c>
      <c r="U1025" s="28" t="str">
        <f>IF($C1025&lt;&gt;"",COUNTIF($C$2:C1025,C1025),"")</f>
        <v/>
      </c>
      <c r="V1025" s="28" t="str">
        <f t="shared" si="39"/>
        <v/>
      </c>
      <c r="W1025" s="28" t="str">
        <f>IF(U1025=1,COUNTIF($U$2:U1025,1),"")</f>
        <v/>
      </c>
    </row>
    <row r="1026" spans="6:23" ht="31.5" customHeight="1" x14ac:dyDescent="0.25">
      <c r="F1026" s="44" t="s">
        <v>3539</v>
      </c>
      <c r="U1026" s="28" t="str">
        <f>IF($C1026&lt;&gt;"",COUNTIF($C$2:C1026,C1026),"")</f>
        <v/>
      </c>
      <c r="V1026" s="28" t="str">
        <f t="shared" ref="V1026:V1089" si="40">IF($C1026&lt;&gt;"",C1026&amp;"§"&amp;U1026,"")</f>
        <v/>
      </c>
      <c r="W1026" s="28" t="str">
        <f>IF(U1026=1,COUNTIF($U$2:U1026,1),"")</f>
        <v/>
      </c>
    </row>
    <row r="1027" spans="6:23" ht="31.5" customHeight="1" x14ac:dyDescent="0.25">
      <c r="F1027" s="44" t="s">
        <v>3540</v>
      </c>
      <c r="U1027" s="28" t="str">
        <f>IF($C1027&lt;&gt;"",COUNTIF($C$2:C1027,C1027),"")</f>
        <v/>
      </c>
      <c r="V1027" s="28" t="str">
        <f t="shared" si="40"/>
        <v/>
      </c>
      <c r="W1027" s="28" t="str">
        <f>IF(U1027=1,COUNTIF($U$2:U1027,1),"")</f>
        <v/>
      </c>
    </row>
    <row r="1028" spans="6:23" ht="47.25" customHeight="1" x14ac:dyDescent="0.25">
      <c r="F1028" s="44" t="s">
        <v>3541</v>
      </c>
      <c r="U1028" s="28" t="str">
        <f>IF($C1028&lt;&gt;"",COUNTIF($C$2:C1028,C1028),"")</f>
        <v/>
      </c>
      <c r="V1028" s="28" t="str">
        <f t="shared" si="40"/>
        <v/>
      </c>
      <c r="W1028" s="28" t="str">
        <f>IF(U1028=1,COUNTIF($U$2:U1028,1),"")</f>
        <v/>
      </c>
    </row>
    <row r="1029" spans="6:23" ht="63" customHeight="1" x14ac:dyDescent="0.25">
      <c r="F1029" s="44" t="s">
        <v>3542</v>
      </c>
      <c r="U1029" s="28" t="str">
        <f>IF($C1029&lt;&gt;"",COUNTIF($C$2:C1029,C1029),"")</f>
        <v/>
      </c>
      <c r="V1029" s="28" t="str">
        <f t="shared" si="40"/>
        <v/>
      </c>
      <c r="W1029" s="28" t="str">
        <f>IF(U1029=1,COUNTIF($U$2:U1029,1),"")</f>
        <v/>
      </c>
    </row>
    <row r="1030" spans="6:23" ht="63" customHeight="1" x14ac:dyDescent="0.25">
      <c r="F1030" s="44" t="s">
        <v>3543</v>
      </c>
      <c r="U1030" s="28" t="str">
        <f>IF($C1030&lt;&gt;"",COUNTIF($C$2:C1030,C1030),"")</f>
        <v/>
      </c>
      <c r="V1030" s="28" t="str">
        <f t="shared" si="40"/>
        <v/>
      </c>
      <c r="W1030" s="28" t="str">
        <f>IF(U1030=1,COUNTIF($U$2:U1030,1),"")</f>
        <v/>
      </c>
    </row>
    <row r="1031" spans="6:23" ht="47.25" customHeight="1" x14ac:dyDescent="0.25">
      <c r="F1031" s="44" t="s">
        <v>3544</v>
      </c>
      <c r="U1031" s="28" t="str">
        <f>IF($C1031&lt;&gt;"",COUNTIF($C$2:C1031,C1031),"")</f>
        <v/>
      </c>
      <c r="V1031" s="28" t="str">
        <f t="shared" si="40"/>
        <v/>
      </c>
      <c r="W1031" s="28" t="str">
        <f>IF(U1031=1,COUNTIF($U$2:U1031,1),"")</f>
        <v/>
      </c>
    </row>
    <row r="1032" spans="6:23" ht="47.25" customHeight="1" x14ac:dyDescent="0.25">
      <c r="F1032" s="44" t="s">
        <v>3545</v>
      </c>
      <c r="U1032" s="28" t="str">
        <f>IF($C1032&lt;&gt;"",COUNTIF($C$2:C1032,C1032),"")</f>
        <v/>
      </c>
      <c r="V1032" s="28" t="str">
        <f t="shared" si="40"/>
        <v/>
      </c>
      <c r="W1032" s="28" t="str">
        <f>IF(U1032=1,COUNTIF($U$2:U1032,1),"")</f>
        <v/>
      </c>
    </row>
    <row r="1033" spans="6:23" ht="47.25" customHeight="1" x14ac:dyDescent="0.25">
      <c r="F1033" s="44" t="s">
        <v>3546</v>
      </c>
      <c r="U1033" s="28" t="str">
        <f>IF($C1033&lt;&gt;"",COUNTIF($C$2:C1033,C1033),"")</f>
        <v/>
      </c>
      <c r="V1033" s="28" t="str">
        <f t="shared" si="40"/>
        <v/>
      </c>
      <c r="W1033" s="28" t="str">
        <f>IF(U1033=1,COUNTIF($U$2:U1033,1),"")</f>
        <v/>
      </c>
    </row>
    <row r="1034" spans="6:23" ht="31.5" customHeight="1" x14ac:dyDescent="0.25">
      <c r="F1034" s="44" t="s">
        <v>3547</v>
      </c>
      <c r="U1034" s="28" t="str">
        <f>IF($C1034&lt;&gt;"",COUNTIF($C$2:C1034,C1034),"")</f>
        <v/>
      </c>
      <c r="V1034" s="28" t="str">
        <f t="shared" si="40"/>
        <v/>
      </c>
      <c r="W1034" s="28" t="str">
        <f>IF(U1034=1,COUNTIF($U$2:U1034,1),"")</f>
        <v/>
      </c>
    </row>
    <row r="1035" spans="6:23" ht="47.25" customHeight="1" x14ac:dyDescent="0.25">
      <c r="F1035" s="44" t="s">
        <v>3548</v>
      </c>
      <c r="U1035" s="28" t="str">
        <f>IF($C1035&lt;&gt;"",COUNTIF($C$2:C1035,C1035),"")</f>
        <v/>
      </c>
      <c r="V1035" s="28" t="str">
        <f t="shared" si="40"/>
        <v/>
      </c>
      <c r="W1035" s="28" t="str">
        <f>IF(U1035=1,COUNTIF($U$2:U1035,1),"")</f>
        <v/>
      </c>
    </row>
    <row r="1036" spans="6:23" ht="31.5" customHeight="1" x14ac:dyDescent="0.25">
      <c r="F1036" s="44" t="s">
        <v>3549</v>
      </c>
      <c r="U1036" s="28" t="str">
        <f>IF($C1036&lt;&gt;"",COUNTIF($C$2:C1036,C1036),"")</f>
        <v/>
      </c>
      <c r="V1036" s="28" t="str">
        <f t="shared" si="40"/>
        <v/>
      </c>
      <c r="W1036" s="28" t="str">
        <f>IF(U1036=1,COUNTIF($U$2:U1036,1),"")</f>
        <v/>
      </c>
    </row>
    <row r="1037" spans="6:23" ht="47.25" customHeight="1" x14ac:dyDescent="0.25">
      <c r="F1037" s="44" t="s">
        <v>3550</v>
      </c>
      <c r="U1037" s="28" t="str">
        <f>IF($C1037&lt;&gt;"",COUNTIF($C$2:C1037,C1037),"")</f>
        <v/>
      </c>
      <c r="V1037" s="28" t="str">
        <f t="shared" si="40"/>
        <v/>
      </c>
      <c r="W1037" s="28" t="str">
        <f>IF(U1037=1,COUNTIF($U$2:U1037,1),"")</f>
        <v/>
      </c>
    </row>
    <row r="1038" spans="6:23" ht="31.5" customHeight="1" x14ac:dyDescent="0.25">
      <c r="F1038" s="44" t="s">
        <v>3551</v>
      </c>
      <c r="U1038" s="28" t="str">
        <f>IF($C1038&lt;&gt;"",COUNTIF($C$2:C1038,C1038),"")</f>
        <v/>
      </c>
      <c r="V1038" s="28" t="str">
        <f t="shared" si="40"/>
        <v/>
      </c>
      <c r="W1038" s="28" t="str">
        <f>IF(U1038=1,COUNTIF($U$2:U1038,1),"")</f>
        <v/>
      </c>
    </row>
    <row r="1039" spans="6:23" ht="31.5" customHeight="1" x14ac:dyDescent="0.25">
      <c r="F1039" s="44" t="s">
        <v>3552</v>
      </c>
      <c r="U1039" s="28" t="str">
        <f>IF($C1039&lt;&gt;"",COUNTIF($C$2:C1039,C1039),"")</f>
        <v/>
      </c>
      <c r="V1039" s="28" t="str">
        <f t="shared" si="40"/>
        <v/>
      </c>
      <c r="W1039" s="28" t="str">
        <f>IF(U1039=1,COUNTIF($U$2:U1039,1),"")</f>
        <v/>
      </c>
    </row>
    <row r="1040" spans="6:23" ht="94.5" customHeight="1" x14ac:dyDescent="0.25">
      <c r="F1040" s="44" t="s">
        <v>3553</v>
      </c>
      <c r="U1040" s="28" t="str">
        <f>IF($C1040&lt;&gt;"",COUNTIF($C$2:C1040,C1040),"")</f>
        <v/>
      </c>
      <c r="V1040" s="28" t="str">
        <f t="shared" si="40"/>
        <v/>
      </c>
      <c r="W1040" s="28" t="str">
        <f>IF(U1040=1,COUNTIF($U$2:U1040,1),"")</f>
        <v/>
      </c>
    </row>
    <row r="1041" spans="6:23" ht="31.5" customHeight="1" x14ac:dyDescent="0.25">
      <c r="F1041" s="44" t="s">
        <v>3554</v>
      </c>
      <c r="U1041" s="28" t="str">
        <f>IF($C1041&lt;&gt;"",COUNTIF($C$2:C1041,C1041),"")</f>
        <v/>
      </c>
      <c r="V1041" s="28" t="str">
        <f t="shared" si="40"/>
        <v/>
      </c>
      <c r="W1041" s="28" t="str">
        <f>IF(U1041=1,COUNTIF($U$2:U1041,1),"")</f>
        <v/>
      </c>
    </row>
    <row r="1042" spans="6:23" ht="47.25" customHeight="1" x14ac:dyDescent="0.25">
      <c r="F1042" s="44" t="s">
        <v>3555</v>
      </c>
      <c r="U1042" s="28" t="str">
        <f>IF($C1042&lt;&gt;"",COUNTIF($C$2:C1042,C1042),"")</f>
        <v/>
      </c>
      <c r="V1042" s="28" t="str">
        <f t="shared" si="40"/>
        <v/>
      </c>
      <c r="W1042" s="28" t="str">
        <f>IF(U1042=1,COUNTIF($U$2:U1042,1),"")</f>
        <v/>
      </c>
    </row>
    <row r="1043" spans="6:23" ht="47.25" customHeight="1" x14ac:dyDescent="0.25">
      <c r="F1043" s="44" t="s">
        <v>3556</v>
      </c>
      <c r="U1043" s="28" t="str">
        <f>IF($C1043&lt;&gt;"",COUNTIF($C$2:C1043,C1043),"")</f>
        <v/>
      </c>
      <c r="V1043" s="28" t="str">
        <f t="shared" si="40"/>
        <v/>
      </c>
      <c r="W1043" s="28" t="str">
        <f>IF(U1043=1,COUNTIF($U$2:U1043,1),"")</f>
        <v/>
      </c>
    </row>
    <row r="1044" spans="6:23" ht="31.5" customHeight="1" x14ac:dyDescent="0.25">
      <c r="F1044" s="44" t="s">
        <v>3557</v>
      </c>
      <c r="U1044" s="28" t="str">
        <f>IF($C1044&lt;&gt;"",COUNTIF($C$2:C1044,C1044),"")</f>
        <v/>
      </c>
      <c r="V1044" s="28" t="str">
        <f t="shared" si="40"/>
        <v/>
      </c>
      <c r="W1044" s="28" t="str">
        <f>IF(U1044=1,COUNTIF($U$2:U1044,1),"")</f>
        <v/>
      </c>
    </row>
    <row r="1045" spans="6:23" ht="63" customHeight="1" x14ac:dyDescent="0.25">
      <c r="F1045" s="44" t="s">
        <v>3558</v>
      </c>
      <c r="U1045" s="28" t="str">
        <f>IF($C1045&lt;&gt;"",COUNTIF($C$2:C1045,C1045),"")</f>
        <v/>
      </c>
      <c r="V1045" s="28" t="str">
        <f t="shared" si="40"/>
        <v/>
      </c>
      <c r="W1045" s="28" t="str">
        <f>IF(U1045=1,COUNTIF($U$2:U1045,1),"")</f>
        <v/>
      </c>
    </row>
    <row r="1046" spans="6:23" ht="31.5" customHeight="1" x14ac:dyDescent="0.25">
      <c r="F1046" s="44" t="s">
        <v>3559</v>
      </c>
      <c r="U1046" s="28" t="str">
        <f>IF($C1046&lt;&gt;"",COUNTIF($C$2:C1046,C1046),"")</f>
        <v/>
      </c>
      <c r="V1046" s="28" t="str">
        <f t="shared" si="40"/>
        <v/>
      </c>
      <c r="W1046" s="28" t="str">
        <f>IF(U1046=1,COUNTIF($U$2:U1046,1),"")</f>
        <v/>
      </c>
    </row>
    <row r="1047" spans="6:23" ht="47.25" customHeight="1" x14ac:dyDescent="0.25">
      <c r="F1047" s="44" t="s">
        <v>3560</v>
      </c>
      <c r="U1047" s="28" t="str">
        <f>IF($C1047&lt;&gt;"",COUNTIF($C$2:C1047,C1047),"")</f>
        <v/>
      </c>
      <c r="V1047" s="28" t="str">
        <f t="shared" si="40"/>
        <v/>
      </c>
      <c r="W1047" s="28" t="str">
        <f>IF(U1047=1,COUNTIF($U$2:U1047,1),"")</f>
        <v/>
      </c>
    </row>
    <row r="1048" spans="6:23" ht="31.5" customHeight="1" x14ac:dyDescent="0.25">
      <c r="F1048" s="44" t="s">
        <v>3561</v>
      </c>
      <c r="U1048" s="28" t="str">
        <f>IF($C1048&lt;&gt;"",COUNTIF($C$2:C1048,C1048),"")</f>
        <v/>
      </c>
      <c r="V1048" s="28" t="str">
        <f t="shared" si="40"/>
        <v/>
      </c>
      <c r="W1048" s="28" t="str">
        <f>IF(U1048=1,COUNTIF($U$2:U1048,1),"")</f>
        <v/>
      </c>
    </row>
    <row r="1049" spans="6:23" ht="31.5" customHeight="1" x14ac:dyDescent="0.25">
      <c r="F1049" s="44" t="s">
        <v>3562</v>
      </c>
      <c r="U1049" s="28" t="str">
        <f>IF($C1049&lt;&gt;"",COUNTIF($C$2:C1049,C1049),"")</f>
        <v/>
      </c>
      <c r="V1049" s="28" t="str">
        <f t="shared" si="40"/>
        <v/>
      </c>
      <c r="W1049" s="28" t="str">
        <f>IF(U1049=1,COUNTIF($U$2:U1049,1),"")</f>
        <v/>
      </c>
    </row>
    <row r="1050" spans="6:23" ht="47.25" customHeight="1" x14ac:dyDescent="0.25">
      <c r="F1050" s="44" t="s">
        <v>3563</v>
      </c>
      <c r="U1050" s="28" t="str">
        <f>IF($C1050&lt;&gt;"",COUNTIF($C$2:C1050,C1050),"")</f>
        <v/>
      </c>
      <c r="V1050" s="28" t="str">
        <f t="shared" si="40"/>
        <v/>
      </c>
      <c r="W1050" s="28" t="str">
        <f>IF(U1050=1,COUNTIF($U$2:U1050,1),"")</f>
        <v/>
      </c>
    </row>
    <row r="1051" spans="6:23" ht="47.25" customHeight="1" x14ac:dyDescent="0.25">
      <c r="F1051" s="44" t="s">
        <v>3564</v>
      </c>
      <c r="U1051" s="28" t="str">
        <f>IF($C1051&lt;&gt;"",COUNTIF($C$2:C1051,C1051),"")</f>
        <v/>
      </c>
      <c r="V1051" s="28" t="str">
        <f t="shared" si="40"/>
        <v/>
      </c>
      <c r="W1051" s="28" t="str">
        <f>IF(U1051=1,COUNTIF($U$2:U1051,1),"")</f>
        <v/>
      </c>
    </row>
    <row r="1052" spans="6:23" ht="47.25" customHeight="1" x14ac:dyDescent="0.25">
      <c r="F1052" s="44" t="s">
        <v>3565</v>
      </c>
      <c r="U1052" s="28" t="str">
        <f>IF($C1052&lt;&gt;"",COUNTIF($C$2:C1052,C1052),"")</f>
        <v/>
      </c>
      <c r="V1052" s="28" t="str">
        <f t="shared" si="40"/>
        <v/>
      </c>
      <c r="W1052" s="28" t="str">
        <f>IF(U1052=1,COUNTIF($U$2:U1052,1),"")</f>
        <v/>
      </c>
    </row>
    <row r="1053" spans="6:23" ht="47.25" customHeight="1" x14ac:dyDescent="0.25">
      <c r="F1053" s="44" t="s">
        <v>3566</v>
      </c>
      <c r="U1053" s="28" t="str">
        <f>IF($C1053&lt;&gt;"",COUNTIF($C$2:C1053,C1053),"")</f>
        <v/>
      </c>
      <c r="V1053" s="28" t="str">
        <f t="shared" si="40"/>
        <v/>
      </c>
      <c r="W1053" s="28" t="str">
        <f>IF(U1053=1,COUNTIF($U$2:U1053,1),"")</f>
        <v/>
      </c>
    </row>
    <row r="1054" spans="6:23" ht="47.25" customHeight="1" x14ac:dyDescent="0.25">
      <c r="F1054" s="44" t="s">
        <v>3567</v>
      </c>
      <c r="U1054" s="28" t="str">
        <f>IF($C1054&lt;&gt;"",COUNTIF($C$2:C1054,C1054),"")</f>
        <v/>
      </c>
      <c r="V1054" s="28" t="str">
        <f t="shared" si="40"/>
        <v/>
      </c>
      <c r="W1054" s="28" t="str">
        <f>IF(U1054=1,COUNTIF($U$2:U1054,1),"")</f>
        <v/>
      </c>
    </row>
    <row r="1055" spans="6:23" ht="31.5" customHeight="1" x14ac:dyDescent="0.25">
      <c r="F1055" s="44" t="s">
        <v>3568</v>
      </c>
      <c r="U1055" s="28" t="str">
        <f>IF($C1055&lt;&gt;"",COUNTIF($C$2:C1055,C1055),"")</f>
        <v/>
      </c>
      <c r="V1055" s="28" t="str">
        <f t="shared" si="40"/>
        <v/>
      </c>
      <c r="W1055" s="28" t="str">
        <f>IF(U1055=1,COUNTIF($U$2:U1055,1),"")</f>
        <v/>
      </c>
    </row>
    <row r="1056" spans="6:23" ht="47.25" customHeight="1" x14ac:dyDescent="0.25">
      <c r="F1056" s="44" t="s">
        <v>3569</v>
      </c>
      <c r="U1056" s="28" t="str">
        <f>IF($C1056&lt;&gt;"",COUNTIF($C$2:C1056,C1056),"")</f>
        <v/>
      </c>
      <c r="V1056" s="28" t="str">
        <f t="shared" si="40"/>
        <v/>
      </c>
      <c r="W1056" s="28" t="str">
        <f>IF(U1056=1,COUNTIF($U$2:U1056,1),"")</f>
        <v/>
      </c>
    </row>
    <row r="1057" spans="6:23" ht="47.25" customHeight="1" x14ac:dyDescent="0.25">
      <c r="F1057" s="44" t="s">
        <v>3570</v>
      </c>
      <c r="U1057" s="28" t="str">
        <f>IF($C1057&lt;&gt;"",COUNTIF($C$2:C1057,C1057),"")</f>
        <v/>
      </c>
      <c r="V1057" s="28" t="str">
        <f t="shared" si="40"/>
        <v/>
      </c>
      <c r="W1057" s="28" t="str">
        <f>IF(U1057=1,COUNTIF($U$2:U1057,1),"")</f>
        <v/>
      </c>
    </row>
    <row r="1058" spans="6:23" ht="31.5" customHeight="1" x14ac:dyDescent="0.25">
      <c r="F1058" s="44" t="s">
        <v>3571</v>
      </c>
      <c r="U1058" s="28" t="str">
        <f>IF($C1058&lt;&gt;"",COUNTIF($C$2:C1058,C1058),"")</f>
        <v/>
      </c>
      <c r="V1058" s="28" t="str">
        <f t="shared" si="40"/>
        <v/>
      </c>
      <c r="W1058" s="28" t="str">
        <f>IF(U1058=1,COUNTIF($U$2:U1058,1),"")</f>
        <v/>
      </c>
    </row>
    <row r="1059" spans="6:23" ht="31.5" customHeight="1" x14ac:dyDescent="0.25">
      <c r="F1059" s="44" t="s">
        <v>3572</v>
      </c>
      <c r="U1059" s="28" t="str">
        <f>IF($C1059&lt;&gt;"",COUNTIF($C$2:C1059,C1059),"")</f>
        <v/>
      </c>
      <c r="V1059" s="28" t="str">
        <f t="shared" si="40"/>
        <v/>
      </c>
      <c r="W1059" s="28" t="str">
        <f>IF(U1059=1,COUNTIF($U$2:U1059,1),"")</f>
        <v/>
      </c>
    </row>
    <row r="1060" spans="6:23" ht="31.5" customHeight="1" x14ac:dyDescent="0.25">
      <c r="F1060" s="44" t="s">
        <v>3573</v>
      </c>
      <c r="U1060" s="28" t="str">
        <f>IF($C1060&lt;&gt;"",COUNTIF($C$2:C1060,C1060),"")</f>
        <v/>
      </c>
      <c r="V1060" s="28" t="str">
        <f t="shared" si="40"/>
        <v/>
      </c>
      <c r="W1060" s="28" t="str">
        <f>IF(U1060=1,COUNTIF($U$2:U1060,1),"")</f>
        <v/>
      </c>
    </row>
    <row r="1061" spans="6:23" ht="47.25" customHeight="1" x14ac:dyDescent="0.25">
      <c r="F1061" s="44" t="s">
        <v>3574</v>
      </c>
      <c r="U1061" s="28" t="str">
        <f>IF($C1061&lt;&gt;"",COUNTIF($C$2:C1061,C1061),"")</f>
        <v/>
      </c>
      <c r="V1061" s="28" t="str">
        <f t="shared" si="40"/>
        <v/>
      </c>
      <c r="W1061" s="28" t="str">
        <f>IF(U1061=1,COUNTIF($U$2:U1061,1),"")</f>
        <v/>
      </c>
    </row>
    <row r="1062" spans="6:23" ht="31.5" customHeight="1" x14ac:dyDescent="0.25">
      <c r="F1062" s="44" t="s">
        <v>3575</v>
      </c>
      <c r="U1062" s="28" t="str">
        <f>IF($C1062&lt;&gt;"",COUNTIF($C$2:C1062,C1062),"")</f>
        <v/>
      </c>
      <c r="V1062" s="28" t="str">
        <f t="shared" si="40"/>
        <v/>
      </c>
      <c r="W1062" s="28" t="str">
        <f>IF(U1062=1,COUNTIF($U$2:U1062,1),"")</f>
        <v/>
      </c>
    </row>
    <row r="1063" spans="6:23" ht="31.5" customHeight="1" x14ac:dyDescent="0.25">
      <c r="F1063" s="44" t="s">
        <v>3576</v>
      </c>
      <c r="U1063" s="28" t="str">
        <f>IF($C1063&lt;&gt;"",COUNTIF($C$2:C1063,C1063),"")</f>
        <v/>
      </c>
      <c r="V1063" s="28" t="str">
        <f t="shared" si="40"/>
        <v/>
      </c>
      <c r="W1063" s="28" t="str">
        <f>IF(U1063=1,COUNTIF($U$2:U1063,1),"")</f>
        <v/>
      </c>
    </row>
    <row r="1064" spans="6:23" ht="63" customHeight="1" x14ac:dyDescent="0.25">
      <c r="F1064" s="44" t="s">
        <v>3577</v>
      </c>
      <c r="U1064" s="28" t="str">
        <f>IF($C1064&lt;&gt;"",COUNTIF($C$2:C1064,C1064),"")</f>
        <v/>
      </c>
      <c r="V1064" s="28" t="str">
        <f t="shared" si="40"/>
        <v/>
      </c>
      <c r="W1064" s="28" t="str">
        <f>IF(U1064=1,COUNTIF($U$2:U1064,1),"")</f>
        <v/>
      </c>
    </row>
    <row r="1065" spans="6:23" ht="47.25" customHeight="1" x14ac:dyDescent="0.25">
      <c r="F1065" s="44" t="s">
        <v>3578</v>
      </c>
      <c r="U1065" s="28" t="str">
        <f>IF($C1065&lt;&gt;"",COUNTIF($C$2:C1065,C1065),"")</f>
        <v/>
      </c>
      <c r="V1065" s="28" t="str">
        <f t="shared" si="40"/>
        <v/>
      </c>
      <c r="W1065" s="28" t="str">
        <f>IF(U1065=1,COUNTIF($U$2:U1065,1),"")</f>
        <v/>
      </c>
    </row>
    <row r="1066" spans="6:23" ht="47.25" customHeight="1" x14ac:dyDescent="0.25">
      <c r="F1066" s="44" t="s">
        <v>3579</v>
      </c>
      <c r="U1066" s="28" t="str">
        <f>IF($C1066&lt;&gt;"",COUNTIF($C$2:C1066,C1066),"")</f>
        <v/>
      </c>
      <c r="V1066" s="28" t="str">
        <f t="shared" si="40"/>
        <v/>
      </c>
      <c r="W1066" s="28" t="str">
        <f>IF(U1066=1,COUNTIF($U$2:U1066,1),"")</f>
        <v/>
      </c>
    </row>
    <row r="1067" spans="6:23" ht="47.25" customHeight="1" x14ac:dyDescent="0.25">
      <c r="F1067" s="44" t="s">
        <v>3580</v>
      </c>
      <c r="U1067" s="28" t="str">
        <f>IF($C1067&lt;&gt;"",COUNTIF($C$2:C1067,C1067),"")</f>
        <v/>
      </c>
      <c r="V1067" s="28" t="str">
        <f t="shared" si="40"/>
        <v/>
      </c>
      <c r="W1067" s="28" t="str">
        <f>IF(U1067=1,COUNTIF($U$2:U1067,1),"")</f>
        <v/>
      </c>
    </row>
    <row r="1068" spans="6:23" ht="47.25" customHeight="1" x14ac:dyDescent="0.25">
      <c r="F1068" s="44" t="s">
        <v>3581</v>
      </c>
      <c r="U1068" s="28" t="str">
        <f>IF($C1068&lt;&gt;"",COUNTIF($C$2:C1068,C1068),"")</f>
        <v/>
      </c>
      <c r="V1068" s="28" t="str">
        <f t="shared" si="40"/>
        <v/>
      </c>
      <c r="W1068" s="28" t="str">
        <f>IF(U1068=1,COUNTIF($U$2:U1068,1),"")</f>
        <v/>
      </c>
    </row>
    <row r="1069" spans="6:23" ht="63" customHeight="1" x14ac:dyDescent="0.25">
      <c r="F1069" s="44" t="s">
        <v>3582</v>
      </c>
      <c r="U1069" s="28" t="str">
        <f>IF($C1069&lt;&gt;"",COUNTIF($C$2:C1069,C1069),"")</f>
        <v/>
      </c>
      <c r="V1069" s="28" t="str">
        <f t="shared" si="40"/>
        <v/>
      </c>
      <c r="W1069" s="28" t="str">
        <f>IF(U1069=1,COUNTIF($U$2:U1069,1),"")</f>
        <v/>
      </c>
    </row>
    <row r="1070" spans="6:23" ht="63" customHeight="1" x14ac:dyDescent="0.25">
      <c r="F1070" s="44" t="s">
        <v>3583</v>
      </c>
      <c r="U1070" s="28" t="str">
        <f>IF($C1070&lt;&gt;"",COUNTIF($C$2:C1070,C1070),"")</f>
        <v/>
      </c>
      <c r="V1070" s="28" t="str">
        <f t="shared" si="40"/>
        <v/>
      </c>
      <c r="W1070" s="28" t="str">
        <f>IF(U1070=1,COUNTIF($U$2:U1070,1),"")</f>
        <v/>
      </c>
    </row>
    <row r="1071" spans="6:23" ht="47.25" customHeight="1" x14ac:dyDescent="0.25">
      <c r="F1071" s="44" t="s">
        <v>3584</v>
      </c>
      <c r="U1071" s="28" t="str">
        <f>IF($C1071&lt;&gt;"",COUNTIF($C$2:C1071,C1071),"")</f>
        <v/>
      </c>
      <c r="V1071" s="28" t="str">
        <f t="shared" si="40"/>
        <v/>
      </c>
      <c r="W1071" s="28" t="str">
        <f>IF(U1071=1,COUNTIF($U$2:U1071,1),"")</f>
        <v/>
      </c>
    </row>
    <row r="1072" spans="6:23" ht="63" customHeight="1" x14ac:dyDescent="0.25">
      <c r="F1072" s="44" t="s">
        <v>3585</v>
      </c>
      <c r="U1072" s="28" t="str">
        <f>IF($C1072&lt;&gt;"",COUNTIF($C$2:C1072,C1072),"")</f>
        <v/>
      </c>
      <c r="V1072" s="28" t="str">
        <f t="shared" si="40"/>
        <v/>
      </c>
      <c r="W1072" s="28" t="str">
        <f>IF(U1072=1,COUNTIF($U$2:U1072,1),"")</f>
        <v/>
      </c>
    </row>
    <row r="1073" spans="6:23" ht="78.75" customHeight="1" x14ac:dyDescent="0.25">
      <c r="F1073" s="44" t="s">
        <v>3586</v>
      </c>
      <c r="U1073" s="28" t="str">
        <f>IF($C1073&lt;&gt;"",COUNTIF($C$2:C1073,C1073),"")</f>
        <v/>
      </c>
      <c r="V1073" s="28" t="str">
        <f t="shared" si="40"/>
        <v/>
      </c>
      <c r="W1073" s="28" t="str">
        <f>IF(U1073=1,COUNTIF($U$2:U1073,1),"")</f>
        <v/>
      </c>
    </row>
    <row r="1074" spans="6:23" ht="31.5" customHeight="1" x14ac:dyDescent="0.25">
      <c r="F1074" s="44" t="s">
        <v>3587</v>
      </c>
      <c r="U1074" s="28" t="str">
        <f>IF($C1074&lt;&gt;"",COUNTIF($C$2:C1074,C1074),"")</f>
        <v/>
      </c>
      <c r="V1074" s="28" t="str">
        <f t="shared" si="40"/>
        <v/>
      </c>
      <c r="W1074" s="28" t="str">
        <f>IF(U1074=1,COUNTIF($U$2:U1074,1),"")</f>
        <v/>
      </c>
    </row>
    <row r="1075" spans="6:23" ht="78.75" customHeight="1" x14ac:dyDescent="0.25">
      <c r="F1075" s="44" t="s">
        <v>3588</v>
      </c>
      <c r="U1075" s="28" t="str">
        <f>IF($C1075&lt;&gt;"",COUNTIF($C$2:C1075,C1075),"")</f>
        <v/>
      </c>
      <c r="V1075" s="28" t="str">
        <f t="shared" si="40"/>
        <v/>
      </c>
      <c r="W1075" s="28" t="str">
        <f>IF(U1075=1,COUNTIF($U$2:U1075,1),"")</f>
        <v/>
      </c>
    </row>
    <row r="1076" spans="6:23" ht="47.25" customHeight="1" x14ac:dyDescent="0.25">
      <c r="F1076" s="44" t="s">
        <v>3589</v>
      </c>
      <c r="U1076" s="28" t="str">
        <f>IF($C1076&lt;&gt;"",COUNTIF($C$2:C1076,C1076),"")</f>
        <v/>
      </c>
      <c r="V1076" s="28" t="str">
        <f t="shared" si="40"/>
        <v/>
      </c>
      <c r="W1076" s="28" t="str">
        <f>IF(U1076=1,COUNTIF($U$2:U1076,1),"")</f>
        <v/>
      </c>
    </row>
    <row r="1077" spans="6:23" ht="31.5" customHeight="1" x14ac:dyDescent="0.25">
      <c r="F1077" s="44" t="s">
        <v>3590</v>
      </c>
      <c r="U1077" s="28" t="str">
        <f>IF($C1077&lt;&gt;"",COUNTIF($C$2:C1077,C1077),"")</f>
        <v/>
      </c>
      <c r="V1077" s="28" t="str">
        <f t="shared" si="40"/>
        <v/>
      </c>
      <c r="W1077" s="28" t="str">
        <f>IF(U1077=1,COUNTIF($U$2:U1077,1),"")</f>
        <v/>
      </c>
    </row>
    <row r="1078" spans="6:23" ht="78.75" customHeight="1" x14ac:dyDescent="0.25">
      <c r="F1078" s="44" t="s">
        <v>3591</v>
      </c>
      <c r="U1078" s="28" t="str">
        <f>IF($C1078&lt;&gt;"",COUNTIF($C$2:C1078,C1078),"")</f>
        <v/>
      </c>
      <c r="V1078" s="28" t="str">
        <f t="shared" si="40"/>
        <v/>
      </c>
      <c r="W1078" s="28" t="str">
        <f>IF(U1078=1,COUNTIF($U$2:U1078,1),"")</f>
        <v/>
      </c>
    </row>
    <row r="1079" spans="6:23" ht="31.5" customHeight="1" x14ac:dyDescent="0.25">
      <c r="F1079" s="44" t="s">
        <v>3592</v>
      </c>
      <c r="U1079" s="28" t="str">
        <f>IF($C1079&lt;&gt;"",COUNTIF($C$2:C1079,C1079),"")</f>
        <v/>
      </c>
      <c r="V1079" s="28" t="str">
        <f t="shared" si="40"/>
        <v/>
      </c>
      <c r="W1079" s="28" t="str">
        <f>IF(U1079=1,COUNTIF($U$2:U1079,1),"")</f>
        <v/>
      </c>
    </row>
    <row r="1080" spans="6:23" ht="47.25" customHeight="1" x14ac:dyDescent="0.25">
      <c r="F1080" s="44" t="s">
        <v>3593</v>
      </c>
      <c r="U1080" s="28" t="str">
        <f>IF($C1080&lt;&gt;"",COUNTIF($C$2:C1080,C1080),"")</f>
        <v/>
      </c>
      <c r="V1080" s="28" t="str">
        <f t="shared" si="40"/>
        <v/>
      </c>
      <c r="W1080" s="28" t="str">
        <f>IF(U1080=1,COUNTIF($U$2:U1080,1),"")</f>
        <v/>
      </c>
    </row>
    <row r="1081" spans="6:23" ht="31.5" customHeight="1" x14ac:dyDescent="0.25">
      <c r="F1081" s="44" t="s">
        <v>3594</v>
      </c>
      <c r="U1081" s="28" t="str">
        <f>IF($C1081&lt;&gt;"",COUNTIF($C$2:C1081,C1081),"")</f>
        <v/>
      </c>
      <c r="V1081" s="28" t="str">
        <f t="shared" si="40"/>
        <v/>
      </c>
      <c r="W1081" s="28" t="str">
        <f>IF(U1081=1,COUNTIF($U$2:U1081,1),"")</f>
        <v/>
      </c>
    </row>
    <row r="1082" spans="6:23" ht="63" customHeight="1" x14ac:dyDescent="0.25">
      <c r="F1082" s="44" t="s">
        <v>3595</v>
      </c>
      <c r="U1082" s="28" t="str">
        <f>IF($C1082&lt;&gt;"",COUNTIF($C$2:C1082,C1082),"")</f>
        <v/>
      </c>
      <c r="V1082" s="28" t="str">
        <f t="shared" si="40"/>
        <v/>
      </c>
      <c r="W1082" s="28" t="str">
        <f>IF(U1082=1,COUNTIF($U$2:U1082,1),"")</f>
        <v/>
      </c>
    </row>
    <row r="1083" spans="6:23" ht="78.75" customHeight="1" x14ac:dyDescent="0.25">
      <c r="F1083" s="44" t="s">
        <v>3596</v>
      </c>
      <c r="U1083" s="28" t="str">
        <f>IF($C1083&lt;&gt;"",COUNTIF($C$2:C1083,C1083),"")</f>
        <v/>
      </c>
      <c r="V1083" s="28" t="str">
        <f t="shared" si="40"/>
        <v/>
      </c>
      <c r="W1083" s="28" t="str">
        <f>IF(U1083=1,COUNTIF($U$2:U1083,1),"")</f>
        <v/>
      </c>
    </row>
    <row r="1084" spans="6:23" ht="63" customHeight="1" x14ac:dyDescent="0.25">
      <c r="F1084" s="44" t="s">
        <v>3597</v>
      </c>
      <c r="U1084" s="28" t="str">
        <f>IF($C1084&lt;&gt;"",COUNTIF($C$2:C1084,C1084),"")</f>
        <v/>
      </c>
      <c r="V1084" s="28" t="str">
        <f t="shared" si="40"/>
        <v/>
      </c>
      <c r="W1084" s="28" t="str">
        <f>IF(U1084=1,COUNTIF($U$2:U1084,1),"")</f>
        <v/>
      </c>
    </row>
    <row r="1085" spans="6:23" ht="31.5" customHeight="1" x14ac:dyDescent="0.25">
      <c r="F1085" s="44" t="s">
        <v>3598</v>
      </c>
      <c r="U1085" s="28" t="str">
        <f>IF($C1085&lt;&gt;"",COUNTIF($C$2:C1085,C1085),"")</f>
        <v/>
      </c>
      <c r="V1085" s="28" t="str">
        <f t="shared" si="40"/>
        <v/>
      </c>
      <c r="W1085" s="28" t="str">
        <f>IF(U1085=1,COUNTIF($U$2:U1085,1),"")</f>
        <v/>
      </c>
    </row>
    <row r="1086" spans="6:23" ht="31.5" customHeight="1" x14ac:dyDescent="0.25">
      <c r="F1086" s="44" t="s">
        <v>3599</v>
      </c>
      <c r="U1086" s="28" t="str">
        <f>IF($C1086&lt;&gt;"",COUNTIF($C$2:C1086,C1086),"")</f>
        <v/>
      </c>
      <c r="V1086" s="28" t="str">
        <f t="shared" si="40"/>
        <v/>
      </c>
      <c r="W1086" s="28" t="str">
        <f>IF(U1086=1,COUNTIF($U$2:U1086,1),"")</f>
        <v/>
      </c>
    </row>
    <row r="1087" spans="6:23" ht="31.5" customHeight="1" x14ac:dyDescent="0.25">
      <c r="F1087" s="44" t="s">
        <v>3600</v>
      </c>
      <c r="U1087" s="28" t="str">
        <f>IF($C1087&lt;&gt;"",COUNTIF($C$2:C1087,C1087),"")</f>
        <v/>
      </c>
      <c r="V1087" s="28" t="str">
        <f t="shared" si="40"/>
        <v/>
      </c>
      <c r="W1087" s="28" t="str">
        <f>IF(U1087=1,COUNTIF($U$2:U1087,1),"")</f>
        <v/>
      </c>
    </row>
    <row r="1088" spans="6:23" ht="47.25" customHeight="1" x14ac:dyDescent="0.25">
      <c r="F1088" s="44" t="s">
        <v>3601</v>
      </c>
      <c r="U1088" s="28" t="str">
        <f>IF($C1088&lt;&gt;"",COUNTIF($C$2:C1088,C1088),"")</f>
        <v/>
      </c>
      <c r="V1088" s="28" t="str">
        <f t="shared" si="40"/>
        <v/>
      </c>
      <c r="W1088" s="28" t="str">
        <f>IF(U1088=1,COUNTIF($U$2:U1088,1),"")</f>
        <v/>
      </c>
    </row>
    <row r="1089" spans="6:23" ht="47.25" customHeight="1" x14ac:dyDescent="0.25">
      <c r="F1089" s="44" t="s">
        <v>3602</v>
      </c>
      <c r="U1089" s="28" t="str">
        <f>IF($C1089&lt;&gt;"",COUNTIF($C$2:C1089,C1089),"")</f>
        <v/>
      </c>
      <c r="V1089" s="28" t="str">
        <f t="shared" si="40"/>
        <v/>
      </c>
      <c r="W1089" s="28" t="str">
        <f>IF(U1089=1,COUNTIF($U$2:U1089,1),"")</f>
        <v/>
      </c>
    </row>
    <row r="1090" spans="6:23" ht="31.5" customHeight="1" x14ac:dyDescent="0.25">
      <c r="F1090" s="44" t="s">
        <v>3603</v>
      </c>
      <c r="U1090" s="28" t="str">
        <f>IF($C1090&lt;&gt;"",COUNTIF($C$2:C1090,C1090),"")</f>
        <v/>
      </c>
      <c r="V1090" s="28" t="str">
        <f t="shared" ref="V1090:V1153" si="41">IF($C1090&lt;&gt;"",C1090&amp;"§"&amp;U1090,"")</f>
        <v/>
      </c>
      <c r="W1090" s="28" t="str">
        <f>IF(U1090=1,COUNTIF($U$2:U1090,1),"")</f>
        <v/>
      </c>
    </row>
    <row r="1091" spans="6:23" ht="31.5" customHeight="1" x14ac:dyDescent="0.25">
      <c r="F1091" s="44" t="s">
        <v>3604</v>
      </c>
      <c r="U1091" s="28" t="str">
        <f>IF($C1091&lt;&gt;"",COUNTIF($C$2:C1091,C1091),"")</f>
        <v/>
      </c>
      <c r="V1091" s="28" t="str">
        <f t="shared" si="41"/>
        <v/>
      </c>
      <c r="W1091" s="28" t="str">
        <f>IF(U1091=1,COUNTIF($U$2:U1091,1),"")</f>
        <v/>
      </c>
    </row>
    <row r="1092" spans="6:23" ht="30.75" customHeight="1" x14ac:dyDescent="0.25">
      <c r="F1092" s="44" t="s">
        <v>3605</v>
      </c>
      <c r="U1092" s="28" t="str">
        <f>IF($C1092&lt;&gt;"",COUNTIF($C$2:C1092,C1092),"")</f>
        <v/>
      </c>
      <c r="V1092" s="28" t="str">
        <f t="shared" si="41"/>
        <v/>
      </c>
      <c r="W1092" s="28" t="str">
        <f>IF(U1092=1,COUNTIF($U$2:U1092,1),"")</f>
        <v/>
      </c>
    </row>
    <row r="1093" spans="6:23" ht="31.5" customHeight="1" x14ac:dyDescent="0.25">
      <c r="F1093" s="44" t="s">
        <v>3606</v>
      </c>
      <c r="U1093" s="28" t="str">
        <f>IF($C1093&lt;&gt;"",COUNTIF($C$2:C1093,C1093),"")</f>
        <v/>
      </c>
      <c r="V1093" s="28" t="str">
        <f t="shared" si="41"/>
        <v/>
      </c>
      <c r="W1093" s="28" t="str">
        <f>IF(U1093=1,COUNTIF($U$2:U1093,1),"")</f>
        <v/>
      </c>
    </row>
    <row r="1094" spans="6:23" ht="31.5" customHeight="1" x14ac:dyDescent="0.25">
      <c r="F1094" s="44" t="s">
        <v>3607</v>
      </c>
      <c r="U1094" s="28" t="str">
        <f>IF($C1094&lt;&gt;"",COUNTIF($C$2:C1094,C1094),"")</f>
        <v/>
      </c>
      <c r="V1094" s="28" t="str">
        <f t="shared" si="41"/>
        <v/>
      </c>
      <c r="W1094" s="28" t="str">
        <f>IF(U1094=1,COUNTIF($U$2:U1094,1),"")</f>
        <v/>
      </c>
    </row>
    <row r="1095" spans="6:23" ht="31.5" customHeight="1" x14ac:dyDescent="0.25">
      <c r="F1095" s="44" t="s">
        <v>3608</v>
      </c>
      <c r="U1095" s="28" t="str">
        <f>IF($C1095&lt;&gt;"",COUNTIF($C$2:C1095,C1095),"")</f>
        <v/>
      </c>
      <c r="V1095" s="28" t="str">
        <f t="shared" si="41"/>
        <v/>
      </c>
      <c r="W1095" s="28" t="str">
        <f>IF(U1095=1,COUNTIF($U$2:U1095,1),"")</f>
        <v/>
      </c>
    </row>
    <row r="1096" spans="6:23" ht="63" customHeight="1" x14ac:dyDescent="0.25">
      <c r="F1096" s="44" t="s">
        <v>3609</v>
      </c>
      <c r="U1096" s="28" t="str">
        <f>IF($C1096&lt;&gt;"",COUNTIF($C$2:C1096,C1096),"")</f>
        <v/>
      </c>
      <c r="V1096" s="28" t="str">
        <f t="shared" si="41"/>
        <v/>
      </c>
      <c r="W1096" s="28" t="str">
        <f>IF(U1096=1,COUNTIF($U$2:U1096,1),"")</f>
        <v/>
      </c>
    </row>
    <row r="1097" spans="6:23" ht="47.25" customHeight="1" x14ac:dyDescent="0.25">
      <c r="F1097" s="44" t="s">
        <v>3610</v>
      </c>
      <c r="U1097" s="28" t="str">
        <f>IF($C1097&lt;&gt;"",COUNTIF($C$2:C1097,C1097),"")</f>
        <v/>
      </c>
      <c r="V1097" s="28" t="str">
        <f t="shared" si="41"/>
        <v/>
      </c>
      <c r="W1097" s="28" t="str">
        <f>IF(U1097=1,COUNTIF($U$2:U1097,1),"")</f>
        <v/>
      </c>
    </row>
    <row r="1098" spans="6:23" ht="47.25" customHeight="1" x14ac:dyDescent="0.25">
      <c r="F1098" s="44" t="s">
        <v>3611</v>
      </c>
      <c r="U1098" s="28" t="str">
        <f>IF($C1098&lt;&gt;"",COUNTIF($C$2:C1098,C1098),"")</f>
        <v/>
      </c>
      <c r="V1098" s="28" t="str">
        <f t="shared" si="41"/>
        <v/>
      </c>
      <c r="W1098" s="28" t="str">
        <f>IF(U1098=1,COUNTIF($U$2:U1098,1),"")</f>
        <v/>
      </c>
    </row>
    <row r="1099" spans="6:23" ht="31.5" customHeight="1" x14ac:dyDescent="0.25">
      <c r="F1099" s="44" t="s">
        <v>3612</v>
      </c>
      <c r="U1099" s="28" t="str">
        <f>IF($C1099&lt;&gt;"",COUNTIF($C$2:C1099,C1099),"")</f>
        <v/>
      </c>
      <c r="V1099" s="28" t="str">
        <f t="shared" si="41"/>
        <v/>
      </c>
      <c r="W1099" s="28" t="str">
        <f>IF(U1099=1,COUNTIF($U$2:U1099,1),"")</f>
        <v/>
      </c>
    </row>
    <row r="1100" spans="6:23" ht="31.5" customHeight="1" x14ac:dyDescent="0.25">
      <c r="F1100" s="44" t="s">
        <v>3613</v>
      </c>
      <c r="U1100" s="28" t="str">
        <f>IF($C1100&lt;&gt;"",COUNTIF($C$2:C1100,C1100),"")</f>
        <v/>
      </c>
      <c r="V1100" s="28" t="str">
        <f t="shared" si="41"/>
        <v/>
      </c>
      <c r="W1100" s="28" t="str">
        <f>IF(U1100=1,COUNTIF($U$2:U1100,1),"")</f>
        <v/>
      </c>
    </row>
    <row r="1101" spans="6:23" ht="31.5" customHeight="1" x14ac:dyDescent="0.25">
      <c r="F1101" s="44" t="s">
        <v>3614</v>
      </c>
      <c r="U1101" s="28" t="str">
        <f>IF($C1101&lt;&gt;"",COUNTIF($C$2:C1101,C1101),"")</f>
        <v/>
      </c>
      <c r="V1101" s="28" t="str">
        <f t="shared" si="41"/>
        <v/>
      </c>
      <c r="W1101" s="28" t="str">
        <f>IF(U1101=1,COUNTIF($U$2:U1101,1),"")</f>
        <v/>
      </c>
    </row>
    <row r="1102" spans="6:23" ht="47.25" customHeight="1" x14ac:dyDescent="0.25">
      <c r="F1102" s="44" t="s">
        <v>3615</v>
      </c>
      <c r="U1102" s="28" t="str">
        <f>IF($C1102&lt;&gt;"",COUNTIF($C$2:C1102,C1102),"")</f>
        <v/>
      </c>
      <c r="V1102" s="28" t="str">
        <f t="shared" si="41"/>
        <v/>
      </c>
      <c r="W1102" s="28" t="str">
        <f>IF(U1102=1,COUNTIF($U$2:U1102,1),"")</f>
        <v/>
      </c>
    </row>
    <row r="1103" spans="6:23" ht="47.25" customHeight="1" x14ac:dyDescent="0.25">
      <c r="F1103" s="44" t="s">
        <v>3616</v>
      </c>
      <c r="U1103" s="28" t="str">
        <f>IF($C1103&lt;&gt;"",COUNTIF($C$2:C1103,C1103),"")</f>
        <v/>
      </c>
      <c r="V1103" s="28" t="str">
        <f t="shared" si="41"/>
        <v/>
      </c>
      <c r="W1103" s="28" t="str">
        <f>IF(U1103=1,COUNTIF($U$2:U1103,1),"")</f>
        <v/>
      </c>
    </row>
    <row r="1104" spans="6:23" ht="31.5" customHeight="1" x14ac:dyDescent="0.25">
      <c r="F1104" s="44" t="s">
        <v>3617</v>
      </c>
      <c r="U1104" s="28" t="str">
        <f>IF($C1104&lt;&gt;"",COUNTIF($C$2:C1104,C1104),"")</f>
        <v/>
      </c>
      <c r="V1104" s="28" t="str">
        <f t="shared" si="41"/>
        <v/>
      </c>
      <c r="W1104" s="28" t="str">
        <f>IF(U1104=1,COUNTIF($U$2:U1104,1),"")</f>
        <v/>
      </c>
    </row>
    <row r="1105" spans="6:23" ht="47.25" customHeight="1" x14ac:dyDescent="0.25">
      <c r="F1105" s="44" t="s">
        <v>3618</v>
      </c>
      <c r="U1105" s="28" t="str">
        <f>IF($C1105&lt;&gt;"",COUNTIF($C$2:C1105,C1105),"")</f>
        <v/>
      </c>
      <c r="V1105" s="28" t="str">
        <f t="shared" si="41"/>
        <v/>
      </c>
      <c r="W1105" s="28" t="str">
        <f>IF(U1105=1,COUNTIF($U$2:U1105,1),"")</f>
        <v/>
      </c>
    </row>
    <row r="1106" spans="6:23" ht="31.5" customHeight="1" x14ac:dyDescent="0.25">
      <c r="F1106" s="44" t="s">
        <v>3619</v>
      </c>
      <c r="U1106" s="28" t="str">
        <f>IF($C1106&lt;&gt;"",COUNTIF($C$2:C1106,C1106),"")</f>
        <v/>
      </c>
      <c r="V1106" s="28" t="str">
        <f t="shared" si="41"/>
        <v/>
      </c>
      <c r="W1106" s="28" t="str">
        <f>IF(U1106=1,COUNTIF($U$2:U1106,1),"")</f>
        <v/>
      </c>
    </row>
    <row r="1107" spans="6:23" ht="47.25" customHeight="1" x14ac:dyDescent="0.25">
      <c r="F1107" s="44" t="s">
        <v>3620</v>
      </c>
      <c r="U1107" s="28" t="str">
        <f>IF($C1107&lt;&gt;"",COUNTIF($C$2:C1107,C1107),"")</f>
        <v/>
      </c>
      <c r="V1107" s="28" t="str">
        <f t="shared" si="41"/>
        <v/>
      </c>
      <c r="W1107" s="28" t="str">
        <f>IF(U1107=1,COUNTIF($U$2:U1107,1),"")</f>
        <v/>
      </c>
    </row>
    <row r="1108" spans="6:23" ht="31.5" customHeight="1" x14ac:dyDescent="0.25">
      <c r="F1108" s="44" t="s">
        <v>3621</v>
      </c>
      <c r="U1108" s="28" t="str">
        <f>IF($C1108&lt;&gt;"",COUNTIF($C$2:C1108,C1108),"")</f>
        <v/>
      </c>
      <c r="V1108" s="28" t="str">
        <f t="shared" si="41"/>
        <v/>
      </c>
      <c r="W1108" s="28" t="str">
        <f>IF(U1108=1,COUNTIF($U$2:U1108,1),"")</f>
        <v/>
      </c>
    </row>
    <row r="1109" spans="6:23" ht="63" customHeight="1" x14ac:dyDescent="0.25">
      <c r="F1109" s="44" t="s">
        <v>3622</v>
      </c>
      <c r="U1109" s="28" t="str">
        <f>IF($C1109&lt;&gt;"",COUNTIF($C$2:C1109,C1109),"")</f>
        <v/>
      </c>
      <c r="V1109" s="28" t="str">
        <f t="shared" si="41"/>
        <v/>
      </c>
      <c r="W1109" s="28" t="str">
        <f>IF(U1109=1,COUNTIF($U$2:U1109,1),"")</f>
        <v/>
      </c>
    </row>
    <row r="1110" spans="6:23" ht="47.25" customHeight="1" x14ac:dyDescent="0.25">
      <c r="F1110" s="44" t="s">
        <v>3623</v>
      </c>
      <c r="U1110" s="28" t="str">
        <f>IF($C1110&lt;&gt;"",COUNTIF($C$2:C1110,C1110),"")</f>
        <v/>
      </c>
      <c r="V1110" s="28" t="str">
        <f t="shared" si="41"/>
        <v/>
      </c>
      <c r="W1110" s="28" t="str">
        <f>IF(U1110=1,COUNTIF($U$2:U1110,1),"")</f>
        <v/>
      </c>
    </row>
    <row r="1111" spans="6:23" ht="47.25" customHeight="1" x14ac:dyDescent="0.25">
      <c r="F1111" s="44" t="s">
        <v>3624</v>
      </c>
      <c r="U1111" s="28" t="str">
        <f>IF($C1111&lt;&gt;"",COUNTIF($C$2:C1111,C1111),"")</f>
        <v/>
      </c>
      <c r="V1111" s="28" t="str">
        <f t="shared" si="41"/>
        <v/>
      </c>
      <c r="W1111" s="28" t="str">
        <f>IF(U1111=1,COUNTIF($U$2:U1111,1),"")</f>
        <v/>
      </c>
    </row>
    <row r="1112" spans="6:23" ht="31.5" customHeight="1" x14ac:dyDescent="0.25">
      <c r="F1112" s="44" t="s">
        <v>3625</v>
      </c>
      <c r="U1112" s="28" t="str">
        <f>IF($C1112&lt;&gt;"",COUNTIF($C$2:C1112,C1112),"")</f>
        <v/>
      </c>
      <c r="V1112" s="28" t="str">
        <f t="shared" si="41"/>
        <v/>
      </c>
      <c r="W1112" s="28" t="str">
        <f>IF(U1112=1,COUNTIF($U$2:U1112,1),"")</f>
        <v/>
      </c>
    </row>
    <row r="1113" spans="6:23" ht="47.25" customHeight="1" x14ac:dyDescent="0.25">
      <c r="F1113" s="44" t="s">
        <v>3626</v>
      </c>
      <c r="U1113" s="28" t="str">
        <f>IF($C1113&lt;&gt;"",COUNTIF($C$2:C1113,C1113),"")</f>
        <v/>
      </c>
      <c r="V1113" s="28" t="str">
        <f t="shared" si="41"/>
        <v/>
      </c>
      <c r="W1113" s="28" t="str">
        <f>IF(U1113=1,COUNTIF($U$2:U1113,1),"")</f>
        <v/>
      </c>
    </row>
    <row r="1114" spans="6:23" ht="31.5" customHeight="1" x14ac:dyDescent="0.25">
      <c r="F1114" s="44" t="s">
        <v>3627</v>
      </c>
      <c r="U1114" s="28" t="str">
        <f>IF($C1114&lt;&gt;"",COUNTIF($C$2:C1114,C1114),"")</f>
        <v/>
      </c>
      <c r="V1114" s="28" t="str">
        <f t="shared" si="41"/>
        <v/>
      </c>
      <c r="W1114" s="28" t="str">
        <f>IF(U1114=1,COUNTIF($U$2:U1114,1),"")</f>
        <v/>
      </c>
    </row>
    <row r="1115" spans="6:23" ht="63" customHeight="1" x14ac:dyDescent="0.25">
      <c r="F1115" s="44" t="s">
        <v>3628</v>
      </c>
      <c r="U1115" s="28" t="str">
        <f>IF($C1115&lt;&gt;"",COUNTIF($C$2:C1115,C1115),"")</f>
        <v/>
      </c>
      <c r="V1115" s="28" t="str">
        <f t="shared" si="41"/>
        <v/>
      </c>
      <c r="W1115" s="28" t="str">
        <f>IF(U1115=1,COUNTIF($U$2:U1115,1),"")</f>
        <v/>
      </c>
    </row>
    <row r="1116" spans="6:23" ht="63" customHeight="1" x14ac:dyDescent="0.25">
      <c r="F1116" s="44" t="s">
        <v>3629</v>
      </c>
      <c r="U1116" s="28" t="str">
        <f>IF($C1116&lt;&gt;"",COUNTIF($C$2:C1116,C1116),"")</f>
        <v/>
      </c>
      <c r="V1116" s="28" t="str">
        <f t="shared" si="41"/>
        <v/>
      </c>
      <c r="W1116" s="28" t="str">
        <f>IF(U1116=1,COUNTIF($U$2:U1116,1),"")</f>
        <v/>
      </c>
    </row>
    <row r="1117" spans="6:23" ht="47.25" customHeight="1" x14ac:dyDescent="0.25">
      <c r="F1117" s="44" t="s">
        <v>3630</v>
      </c>
      <c r="U1117" s="28" t="str">
        <f>IF($C1117&lt;&gt;"",COUNTIF($C$2:C1117,C1117),"")</f>
        <v/>
      </c>
      <c r="V1117" s="28" t="str">
        <f t="shared" si="41"/>
        <v/>
      </c>
      <c r="W1117" s="28" t="str">
        <f>IF(U1117=1,COUNTIF($U$2:U1117,1),"")</f>
        <v/>
      </c>
    </row>
    <row r="1118" spans="6:23" ht="31.5" customHeight="1" x14ac:dyDescent="0.25">
      <c r="F1118" s="44" t="s">
        <v>3631</v>
      </c>
      <c r="U1118" s="28" t="str">
        <f>IF($C1118&lt;&gt;"",COUNTIF($C$2:C1118,C1118),"")</f>
        <v/>
      </c>
      <c r="V1118" s="28" t="str">
        <f t="shared" si="41"/>
        <v/>
      </c>
      <c r="W1118" s="28" t="str">
        <f>IF(U1118=1,COUNTIF($U$2:U1118,1),"")</f>
        <v/>
      </c>
    </row>
    <row r="1119" spans="6:23" ht="47.25" customHeight="1" x14ac:dyDescent="0.25">
      <c r="F1119" s="44" t="s">
        <v>3632</v>
      </c>
      <c r="U1119" s="28" t="str">
        <f>IF($C1119&lt;&gt;"",COUNTIF($C$2:C1119,C1119),"")</f>
        <v/>
      </c>
      <c r="V1119" s="28" t="str">
        <f t="shared" si="41"/>
        <v/>
      </c>
      <c r="W1119" s="28" t="str">
        <f>IF(U1119=1,COUNTIF($U$2:U1119,1),"")</f>
        <v/>
      </c>
    </row>
    <row r="1120" spans="6:23" ht="47.25" customHeight="1" x14ac:dyDescent="0.25">
      <c r="F1120" s="44" t="s">
        <v>3633</v>
      </c>
      <c r="U1120" s="28" t="str">
        <f>IF($C1120&lt;&gt;"",COUNTIF($C$2:C1120,C1120),"")</f>
        <v/>
      </c>
      <c r="V1120" s="28" t="str">
        <f t="shared" si="41"/>
        <v/>
      </c>
      <c r="W1120" s="28" t="str">
        <f>IF(U1120=1,COUNTIF($U$2:U1120,1),"")</f>
        <v/>
      </c>
    </row>
    <row r="1121" spans="6:23" ht="63" customHeight="1" x14ac:dyDescent="0.25">
      <c r="F1121" s="44" t="s">
        <v>3634</v>
      </c>
      <c r="U1121" s="28" t="str">
        <f>IF($C1121&lt;&gt;"",COUNTIF($C$2:C1121,C1121),"")</f>
        <v/>
      </c>
      <c r="V1121" s="28" t="str">
        <f t="shared" si="41"/>
        <v/>
      </c>
      <c r="W1121" s="28" t="str">
        <f>IF(U1121=1,COUNTIF($U$2:U1121,1),"")</f>
        <v/>
      </c>
    </row>
    <row r="1122" spans="6:23" ht="47.25" customHeight="1" x14ac:dyDescent="0.25">
      <c r="F1122" s="44" t="s">
        <v>3635</v>
      </c>
      <c r="U1122" s="28" t="str">
        <f>IF($C1122&lt;&gt;"",COUNTIF($C$2:C1122,C1122),"")</f>
        <v/>
      </c>
      <c r="V1122" s="28" t="str">
        <f t="shared" si="41"/>
        <v/>
      </c>
      <c r="W1122" s="28" t="str">
        <f>IF(U1122=1,COUNTIF($U$2:U1122,1),"")</f>
        <v/>
      </c>
    </row>
    <row r="1123" spans="6:23" ht="31.5" customHeight="1" x14ac:dyDescent="0.25">
      <c r="F1123" s="44" t="s">
        <v>3636</v>
      </c>
      <c r="U1123" s="28" t="str">
        <f>IF($C1123&lt;&gt;"",COUNTIF($C$2:C1123,C1123),"")</f>
        <v/>
      </c>
      <c r="V1123" s="28" t="str">
        <f t="shared" si="41"/>
        <v/>
      </c>
      <c r="W1123" s="28" t="str">
        <f>IF(U1123=1,COUNTIF($U$2:U1123,1),"")</f>
        <v/>
      </c>
    </row>
    <row r="1124" spans="6:23" ht="47.25" customHeight="1" x14ac:dyDescent="0.25">
      <c r="F1124" s="44" t="s">
        <v>3637</v>
      </c>
      <c r="U1124" s="28" t="str">
        <f>IF($C1124&lt;&gt;"",COUNTIF($C$2:C1124,C1124),"")</f>
        <v/>
      </c>
      <c r="V1124" s="28" t="str">
        <f t="shared" si="41"/>
        <v/>
      </c>
      <c r="W1124" s="28" t="str">
        <f>IF(U1124=1,COUNTIF($U$2:U1124,1),"")</f>
        <v/>
      </c>
    </row>
    <row r="1125" spans="6:23" ht="47.25" customHeight="1" x14ac:dyDescent="0.25">
      <c r="F1125" s="44" t="s">
        <v>3638</v>
      </c>
      <c r="U1125" s="28" t="str">
        <f>IF($C1125&lt;&gt;"",COUNTIF($C$2:C1125,C1125),"")</f>
        <v/>
      </c>
      <c r="V1125" s="28" t="str">
        <f t="shared" si="41"/>
        <v/>
      </c>
      <c r="W1125" s="28" t="str">
        <f>IF(U1125=1,COUNTIF($U$2:U1125,1),"")</f>
        <v/>
      </c>
    </row>
    <row r="1126" spans="6:23" ht="31.5" customHeight="1" x14ac:dyDescent="0.25">
      <c r="F1126" s="44" t="s">
        <v>3639</v>
      </c>
      <c r="U1126" s="28" t="str">
        <f>IF($C1126&lt;&gt;"",COUNTIF($C$2:C1126,C1126),"")</f>
        <v/>
      </c>
      <c r="V1126" s="28" t="str">
        <f t="shared" si="41"/>
        <v/>
      </c>
      <c r="W1126" s="28" t="str">
        <f>IF(U1126=1,COUNTIF($U$2:U1126,1),"")</f>
        <v/>
      </c>
    </row>
    <row r="1127" spans="6:23" ht="63" customHeight="1" x14ac:dyDescent="0.25">
      <c r="F1127" s="44" t="s">
        <v>3640</v>
      </c>
      <c r="U1127" s="28" t="str">
        <f>IF($C1127&lt;&gt;"",COUNTIF($C$2:C1127,C1127),"")</f>
        <v/>
      </c>
      <c r="V1127" s="28" t="str">
        <f t="shared" si="41"/>
        <v/>
      </c>
      <c r="W1127" s="28" t="str">
        <f>IF(U1127=1,COUNTIF($U$2:U1127,1),"")</f>
        <v/>
      </c>
    </row>
    <row r="1128" spans="6:23" ht="47.25" customHeight="1" x14ac:dyDescent="0.25">
      <c r="F1128" s="44" t="s">
        <v>3641</v>
      </c>
      <c r="U1128" s="28" t="str">
        <f>IF($C1128&lt;&gt;"",COUNTIF($C$2:C1128,C1128),"")</f>
        <v/>
      </c>
      <c r="V1128" s="28" t="str">
        <f t="shared" si="41"/>
        <v/>
      </c>
      <c r="W1128" s="28" t="str">
        <f>IF(U1128=1,COUNTIF($U$2:U1128,1),"")</f>
        <v/>
      </c>
    </row>
    <row r="1129" spans="6:23" ht="47.25" customHeight="1" x14ac:dyDescent="0.25">
      <c r="F1129" s="44" t="s">
        <v>3642</v>
      </c>
      <c r="U1129" s="28" t="str">
        <f>IF($C1129&lt;&gt;"",COUNTIF($C$2:C1129,C1129),"")</f>
        <v/>
      </c>
      <c r="V1129" s="28" t="str">
        <f t="shared" si="41"/>
        <v/>
      </c>
      <c r="W1129" s="28" t="str">
        <f>IF(U1129=1,COUNTIF($U$2:U1129,1),"")</f>
        <v/>
      </c>
    </row>
    <row r="1130" spans="6:23" ht="47.25" customHeight="1" x14ac:dyDescent="0.25">
      <c r="F1130" s="44" t="s">
        <v>3643</v>
      </c>
      <c r="U1130" s="28" t="str">
        <f>IF($C1130&lt;&gt;"",COUNTIF($C$2:C1130,C1130),"")</f>
        <v/>
      </c>
      <c r="V1130" s="28" t="str">
        <f t="shared" si="41"/>
        <v/>
      </c>
      <c r="W1130" s="28" t="str">
        <f>IF(U1130=1,COUNTIF($U$2:U1130,1),"")</f>
        <v/>
      </c>
    </row>
    <row r="1131" spans="6:23" ht="31.5" customHeight="1" x14ac:dyDescent="0.25">
      <c r="F1131" s="44" t="s">
        <v>3644</v>
      </c>
      <c r="U1131" s="28" t="str">
        <f>IF($C1131&lt;&gt;"",COUNTIF($C$2:C1131,C1131),"")</f>
        <v/>
      </c>
      <c r="V1131" s="28" t="str">
        <f t="shared" si="41"/>
        <v/>
      </c>
      <c r="W1131" s="28" t="str">
        <f>IF(U1131=1,COUNTIF($U$2:U1131,1),"")</f>
        <v/>
      </c>
    </row>
    <row r="1132" spans="6:23" ht="47.25" customHeight="1" x14ac:dyDescent="0.25">
      <c r="F1132" s="44" t="s">
        <v>3645</v>
      </c>
      <c r="U1132" s="28" t="str">
        <f>IF($C1132&lt;&gt;"",COUNTIF($C$2:C1132,C1132),"")</f>
        <v/>
      </c>
      <c r="V1132" s="28" t="str">
        <f t="shared" si="41"/>
        <v/>
      </c>
      <c r="W1132" s="28" t="str">
        <f>IF(U1132=1,COUNTIF($U$2:U1132,1),"")</f>
        <v/>
      </c>
    </row>
    <row r="1133" spans="6:23" ht="31.5" customHeight="1" x14ac:dyDescent="0.25">
      <c r="F1133" s="44" t="s">
        <v>3646</v>
      </c>
      <c r="U1133" s="28" t="str">
        <f>IF($C1133&lt;&gt;"",COUNTIF($C$2:C1133,C1133),"")</f>
        <v/>
      </c>
      <c r="V1133" s="28" t="str">
        <f t="shared" si="41"/>
        <v/>
      </c>
      <c r="W1133" s="28" t="str">
        <f>IF(U1133=1,COUNTIF($U$2:U1133,1),"")</f>
        <v/>
      </c>
    </row>
    <row r="1134" spans="6:23" ht="31.5" customHeight="1" x14ac:dyDescent="0.25">
      <c r="F1134" s="44" t="s">
        <v>3647</v>
      </c>
      <c r="U1134" s="28" t="str">
        <f>IF($C1134&lt;&gt;"",COUNTIF($C$2:C1134,C1134),"")</f>
        <v/>
      </c>
      <c r="V1134" s="28" t="str">
        <f t="shared" si="41"/>
        <v/>
      </c>
      <c r="W1134" s="28" t="str">
        <f>IF(U1134=1,COUNTIF($U$2:U1134,1),"")</f>
        <v/>
      </c>
    </row>
    <row r="1135" spans="6:23" ht="47.25" customHeight="1" x14ac:dyDescent="0.25">
      <c r="F1135" s="44" t="s">
        <v>3648</v>
      </c>
      <c r="U1135" s="28" t="str">
        <f>IF($C1135&lt;&gt;"",COUNTIF($C$2:C1135,C1135),"")</f>
        <v/>
      </c>
      <c r="V1135" s="28" t="str">
        <f t="shared" si="41"/>
        <v/>
      </c>
      <c r="W1135" s="28" t="str">
        <f>IF(U1135=1,COUNTIF($U$2:U1135,1),"")</f>
        <v/>
      </c>
    </row>
    <row r="1136" spans="6:23" ht="63" customHeight="1" x14ac:dyDescent="0.25">
      <c r="F1136" s="44" t="s">
        <v>3649</v>
      </c>
      <c r="U1136" s="28" t="str">
        <f>IF($C1136&lt;&gt;"",COUNTIF($C$2:C1136,C1136),"")</f>
        <v/>
      </c>
      <c r="V1136" s="28" t="str">
        <f t="shared" si="41"/>
        <v/>
      </c>
      <c r="W1136" s="28" t="str">
        <f>IF(U1136=1,COUNTIF($U$2:U1136,1),"")</f>
        <v/>
      </c>
    </row>
    <row r="1137" spans="6:23" ht="47.25" customHeight="1" x14ac:dyDescent="0.25">
      <c r="F1137" s="44" t="s">
        <v>3650</v>
      </c>
      <c r="U1137" s="28" t="str">
        <f>IF($C1137&lt;&gt;"",COUNTIF($C$2:C1137,C1137),"")</f>
        <v/>
      </c>
      <c r="V1137" s="28" t="str">
        <f t="shared" si="41"/>
        <v/>
      </c>
      <c r="W1137" s="28" t="str">
        <f>IF(U1137=1,COUNTIF($U$2:U1137,1),"")</f>
        <v/>
      </c>
    </row>
    <row r="1138" spans="6:23" ht="63" customHeight="1" x14ac:dyDescent="0.25">
      <c r="F1138" s="44" t="s">
        <v>3651</v>
      </c>
      <c r="U1138" s="28" t="str">
        <f>IF($C1138&lt;&gt;"",COUNTIF($C$2:C1138,C1138),"")</f>
        <v/>
      </c>
      <c r="V1138" s="28" t="str">
        <f t="shared" si="41"/>
        <v/>
      </c>
      <c r="W1138" s="28" t="str">
        <f>IF(U1138=1,COUNTIF($U$2:U1138,1),"")</f>
        <v/>
      </c>
    </row>
    <row r="1139" spans="6:23" ht="47.25" customHeight="1" x14ac:dyDescent="0.25">
      <c r="F1139" s="44" t="s">
        <v>3652</v>
      </c>
      <c r="U1139" s="28" t="str">
        <f>IF($C1139&lt;&gt;"",COUNTIF($C$2:C1139,C1139),"")</f>
        <v/>
      </c>
      <c r="V1139" s="28" t="str">
        <f t="shared" si="41"/>
        <v/>
      </c>
      <c r="W1139" s="28" t="str">
        <f>IF(U1139=1,COUNTIF($U$2:U1139,1),"")</f>
        <v/>
      </c>
    </row>
    <row r="1140" spans="6:23" ht="47.25" customHeight="1" x14ac:dyDescent="0.25">
      <c r="F1140" s="44" t="s">
        <v>3653</v>
      </c>
      <c r="U1140" s="28" t="str">
        <f>IF($C1140&lt;&gt;"",COUNTIF($C$2:C1140,C1140),"")</f>
        <v/>
      </c>
      <c r="V1140" s="28" t="str">
        <f t="shared" si="41"/>
        <v/>
      </c>
      <c r="W1140" s="28" t="str">
        <f>IF(U1140=1,COUNTIF($U$2:U1140,1),"")</f>
        <v/>
      </c>
    </row>
    <row r="1141" spans="6:23" ht="31.5" customHeight="1" x14ac:dyDescent="0.25">
      <c r="F1141" s="44" t="s">
        <v>3654</v>
      </c>
      <c r="U1141" s="28" t="str">
        <f>IF($C1141&lt;&gt;"",COUNTIF($C$2:C1141,C1141),"")</f>
        <v/>
      </c>
      <c r="V1141" s="28" t="str">
        <f t="shared" si="41"/>
        <v/>
      </c>
      <c r="W1141" s="28" t="str">
        <f>IF(U1141=1,COUNTIF($U$2:U1141,1),"")</f>
        <v/>
      </c>
    </row>
    <row r="1142" spans="6:23" ht="63" customHeight="1" x14ac:dyDescent="0.25">
      <c r="F1142" s="44" t="s">
        <v>3655</v>
      </c>
      <c r="U1142" s="28" t="str">
        <f>IF($C1142&lt;&gt;"",COUNTIF($C$2:C1142,C1142),"")</f>
        <v/>
      </c>
      <c r="V1142" s="28" t="str">
        <f t="shared" si="41"/>
        <v/>
      </c>
      <c r="W1142" s="28" t="str">
        <f>IF(U1142=1,COUNTIF($U$2:U1142,1),"")</f>
        <v/>
      </c>
    </row>
    <row r="1143" spans="6:23" ht="31.5" customHeight="1" x14ac:dyDescent="0.25">
      <c r="F1143" s="44" t="s">
        <v>3656</v>
      </c>
      <c r="U1143" s="28" t="str">
        <f>IF($C1143&lt;&gt;"",COUNTIF($C$2:C1143,C1143),"")</f>
        <v/>
      </c>
      <c r="V1143" s="28" t="str">
        <f t="shared" si="41"/>
        <v/>
      </c>
      <c r="W1143" s="28" t="str">
        <f>IF(U1143=1,COUNTIF($U$2:U1143,1),"")</f>
        <v/>
      </c>
    </row>
    <row r="1144" spans="6:23" ht="63" customHeight="1" x14ac:dyDescent="0.25">
      <c r="F1144" s="44" t="s">
        <v>3657</v>
      </c>
      <c r="U1144" s="28" t="str">
        <f>IF($C1144&lt;&gt;"",COUNTIF($C$2:C1144,C1144),"")</f>
        <v/>
      </c>
      <c r="V1144" s="28" t="str">
        <f t="shared" si="41"/>
        <v/>
      </c>
      <c r="W1144" s="28" t="str">
        <f>IF(U1144=1,COUNTIF($U$2:U1144,1),"")</f>
        <v/>
      </c>
    </row>
    <row r="1145" spans="6:23" ht="47.25" customHeight="1" x14ac:dyDescent="0.25">
      <c r="F1145" s="44" t="s">
        <v>3658</v>
      </c>
      <c r="U1145" s="28" t="str">
        <f>IF($C1145&lt;&gt;"",COUNTIF($C$2:C1145,C1145),"")</f>
        <v/>
      </c>
      <c r="V1145" s="28" t="str">
        <f t="shared" si="41"/>
        <v/>
      </c>
      <c r="W1145" s="28" t="str">
        <f>IF(U1145=1,COUNTIF($U$2:U1145,1),"")</f>
        <v/>
      </c>
    </row>
    <row r="1146" spans="6:23" ht="47.25" customHeight="1" x14ac:dyDescent="0.25">
      <c r="F1146" s="44" t="s">
        <v>3659</v>
      </c>
      <c r="U1146" s="28" t="str">
        <f>IF($C1146&lt;&gt;"",COUNTIF($C$2:C1146,C1146),"")</f>
        <v/>
      </c>
      <c r="V1146" s="28" t="str">
        <f t="shared" si="41"/>
        <v/>
      </c>
      <c r="W1146" s="28" t="str">
        <f>IF(U1146=1,COUNTIF($U$2:U1146,1),"")</f>
        <v/>
      </c>
    </row>
    <row r="1147" spans="6:23" ht="47.25" customHeight="1" x14ac:dyDescent="0.25">
      <c r="F1147" s="44" t="s">
        <v>3660</v>
      </c>
      <c r="U1147" s="28" t="str">
        <f>IF($C1147&lt;&gt;"",COUNTIF($C$2:C1147,C1147),"")</f>
        <v/>
      </c>
      <c r="V1147" s="28" t="str">
        <f t="shared" si="41"/>
        <v/>
      </c>
      <c r="W1147" s="28" t="str">
        <f>IF(U1147=1,COUNTIF($U$2:U1147,1),"")</f>
        <v/>
      </c>
    </row>
    <row r="1148" spans="6:23" ht="47.25" customHeight="1" x14ac:dyDescent="0.25">
      <c r="F1148" s="44" t="s">
        <v>3661</v>
      </c>
      <c r="U1148" s="28" t="str">
        <f>IF($C1148&lt;&gt;"",COUNTIF($C$2:C1148,C1148),"")</f>
        <v/>
      </c>
      <c r="V1148" s="28" t="str">
        <f t="shared" si="41"/>
        <v/>
      </c>
      <c r="W1148" s="28" t="str">
        <f>IF(U1148=1,COUNTIF($U$2:U1148,1),"")</f>
        <v/>
      </c>
    </row>
    <row r="1149" spans="6:23" ht="47.25" customHeight="1" x14ac:dyDescent="0.25">
      <c r="F1149" s="44" t="s">
        <v>3662</v>
      </c>
      <c r="U1149" s="28" t="str">
        <f>IF($C1149&lt;&gt;"",COUNTIF($C$2:C1149,C1149),"")</f>
        <v/>
      </c>
      <c r="V1149" s="28" t="str">
        <f t="shared" si="41"/>
        <v/>
      </c>
      <c r="W1149" s="28" t="str">
        <f>IF(U1149=1,COUNTIF($U$2:U1149,1),"")</f>
        <v/>
      </c>
    </row>
    <row r="1150" spans="6:23" ht="47.25" customHeight="1" x14ac:dyDescent="0.25">
      <c r="F1150" s="44" t="s">
        <v>3663</v>
      </c>
      <c r="U1150" s="28" t="str">
        <f>IF($C1150&lt;&gt;"",COUNTIF($C$2:C1150,C1150),"")</f>
        <v/>
      </c>
      <c r="V1150" s="28" t="str">
        <f t="shared" si="41"/>
        <v/>
      </c>
      <c r="W1150" s="28" t="str">
        <f>IF(U1150=1,COUNTIF($U$2:U1150,1),"")</f>
        <v/>
      </c>
    </row>
    <row r="1151" spans="6:23" ht="47.25" customHeight="1" x14ac:dyDescent="0.25">
      <c r="F1151" s="44" t="s">
        <v>3664</v>
      </c>
      <c r="U1151" s="28" t="str">
        <f>IF($C1151&lt;&gt;"",COUNTIF($C$2:C1151,C1151),"")</f>
        <v/>
      </c>
      <c r="V1151" s="28" t="str">
        <f t="shared" si="41"/>
        <v/>
      </c>
      <c r="W1151" s="28" t="str">
        <f>IF(U1151=1,COUNTIF($U$2:U1151,1),"")</f>
        <v/>
      </c>
    </row>
    <row r="1152" spans="6:23" ht="31.5" customHeight="1" x14ac:dyDescent="0.25">
      <c r="F1152" s="44" t="s">
        <v>3665</v>
      </c>
      <c r="U1152" s="28" t="str">
        <f>IF($C1152&lt;&gt;"",COUNTIF($C$2:C1152,C1152),"")</f>
        <v/>
      </c>
      <c r="V1152" s="28" t="str">
        <f t="shared" si="41"/>
        <v/>
      </c>
      <c r="W1152" s="28" t="str">
        <f>IF(U1152=1,COUNTIF($U$2:U1152,1),"")</f>
        <v/>
      </c>
    </row>
    <row r="1153" spans="6:23" ht="63" customHeight="1" x14ac:dyDescent="0.25">
      <c r="F1153" s="44" t="s">
        <v>3666</v>
      </c>
      <c r="U1153" s="28" t="str">
        <f>IF($C1153&lt;&gt;"",COUNTIF($C$2:C1153,C1153),"")</f>
        <v/>
      </c>
      <c r="V1153" s="28" t="str">
        <f t="shared" si="41"/>
        <v/>
      </c>
      <c r="W1153" s="28" t="str">
        <f>IF(U1153=1,COUNTIF($U$2:U1153,1),"")</f>
        <v/>
      </c>
    </row>
    <row r="1154" spans="6:23" ht="63" customHeight="1" x14ac:dyDescent="0.25">
      <c r="F1154" s="44" t="s">
        <v>3667</v>
      </c>
      <c r="U1154" s="28" t="str">
        <f>IF($C1154&lt;&gt;"",COUNTIF($C$2:C1154,C1154),"")</f>
        <v/>
      </c>
      <c r="V1154" s="28" t="str">
        <f t="shared" ref="V1154:V1217" si="42">IF($C1154&lt;&gt;"",C1154&amp;"§"&amp;U1154,"")</f>
        <v/>
      </c>
      <c r="W1154" s="28" t="str">
        <f>IF(U1154=1,COUNTIF($U$2:U1154,1),"")</f>
        <v/>
      </c>
    </row>
    <row r="1155" spans="6:23" ht="63" customHeight="1" x14ac:dyDescent="0.25">
      <c r="F1155" s="44" t="s">
        <v>3668</v>
      </c>
      <c r="U1155" s="28" t="str">
        <f>IF($C1155&lt;&gt;"",COUNTIF($C$2:C1155,C1155),"")</f>
        <v/>
      </c>
      <c r="V1155" s="28" t="str">
        <f t="shared" si="42"/>
        <v/>
      </c>
      <c r="W1155" s="28" t="str">
        <f>IF(U1155=1,COUNTIF($U$2:U1155,1),"")</f>
        <v/>
      </c>
    </row>
    <row r="1156" spans="6:23" ht="47.25" customHeight="1" x14ac:dyDescent="0.25">
      <c r="F1156" s="44" t="s">
        <v>3669</v>
      </c>
      <c r="U1156" s="28" t="str">
        <f>IF($C1156&lt;&gt;"",COUNTIF($C$2:C1156,C1156),"")</f>
        <v/>
      </c>
      <c r="V1156" s="28" t="str">
        <f t="shared" si="42"/>
        <v/>
      </c>
      <c r="W1156" s="28" t="str">
        <f>IF(U1156=1,COUNTIF($U$2:U1156,1),"")</f>
        <v/>
      </c>
    </row>
    <row r="1157" spans="6:23" ht="31.5" customHeight="1" x14ac:dyDescent="0.25">
      <c r="F1157" s="44" t="s">
        <v>3670</v>
      </c>
      <c r="U1157" s="28" t="str">
        <f>IF($C1157&lt;&gt;"",COUNTIF($C$2:C1157,C1157),"")</f>
        <v/>
      </c>
      <c r="V1157" s="28" t="str">
        <f t="shared" si="42"/>
        <v/>
      </c>
      <c r="W1157" s="28" t="str">
        <f>IF(U1157=1,COUNTIF($U$2:U1157,1),"")</f>
        <v/>
      </c>
    </row>
    <row r="1158" spans="6:23" ht="47.25" customHeight="1" x14ac:dyDescent="0.25">
      <c r="F1158" s="44" t="s">
        <v>3671</v>
      </c>
      <c r="U1158" s="28" t="str">
        <f>IF($C1158&lt;&gt;"",COUNTIF($C$2:C1158,C1158),"")</f>
        <v/>
      </c>
      <c r="V1158" s="28" t="str">
        <f t="shared" si="42"/>
        <v/>
      </c>
      <c r="W1158" s="28" t="str">
        <f>IF(U1158=1,COUNTIF($U$2:U1158,1),"")</f>
        <v/>
      </c>
    </row>
    <row r="1159" spans="6:23" ht="47.25" customHeight="1" x14ac:dyDescent="0.25">
      <c r="F1159" s="44" t="s">
        <v>3672</v>
      </c>
      <c r="U1159" s="28" t="str">
        <f>IF($C1159&lt;&gt;"",COUNTIF($C$2:C1159,C1159),"")</f>
        <v/>
      </c>
      <c r="V1159" s="28" t="str">
        <f t="shared" si="42"/>
        <v/>
      </c>
      <c r="W1159" s="28" t="str">
        <f>IF(U1159=1,COUNTIF($U$2:U1159,1),"")</f>
        <v/>
      </c>
    </row>
    <row r="1160" spans="6:23" ht="31.5" customHeight="1" x14ac:dyDescent="0.25">
      <c r="F1160" s="44" t="s">
        <v>3673</v>
      </c>
      <c r="U1160" s="28" t="str">
        <f>IF($C1160&lt;&gt;"",COUNTIF($C$2:C1160,C1160),"")</f>
        <v/>
      </c>
      <c r="V1160" s="28" t="str">
        <f t="shared" si="42"/>
        <v/>
      </c>
      <c r="W1160" s="28" t="str">
        <f>IF(U1160=1,COUNTIF($U$2:U1160,1),"")</f>
        <v/>
      </c>
    </row>
    <row r="1161" spans="6:23" ht="94.5" customHeight="1" x14ac:dyDescent="0.25">
      <c r="F1161" s="44" t="s">
        <v>3674</v>
      </c>
      <c r="U1161" s="28" t="str">
        <f>IF($C1161&lt;&gt;"",COUNTIF($C$2:C1161,C1161),"")</f>
        <v/>
      </c>
      <c r="V1161" s="28" t="str">
        <f t="shared" si="42"/>
        <v/>
      </c>
      <c r="W1161" s="28" t="str">
        <f>IF(U1161=1,COUNTIF($U$2:U1161,1),"")</f>
        <v/>
      </c>
    </row>
    <row r="1162" spans="6:23" ht="31.5" customHeight="1" x14ac:dyDescent="0.25">
      <c r="F1162" s="44" t="s">
        <v>3675</v>
      </c>
      <c r="U1162" s="28" t="str">
        <f>IF($C1162&lt;&gt;"",COUNTIF($C$2:C1162,C1162),"")</f>
        <v/>
      </c>
      <c r="V1162" s="28" t="str">
        <f t="shared" si="42"/>
        <v/>
      </c>
      <c r="W1162" s="28" t="str">
        <f>IF(U1162=1,COUNTIF($U$2:U1162,1),"")</f>
        <v/>
      </c>
    </row>
    <row r="1163" spans="6:23" ht="31.5" customHeight="1" x14ac:dyDescent="0.25">
      <c r="F1163" s="44" t="s">
        <v>3676</v>
      </c>
      <c r="U1163" s="28" t="str">
        <f>IF($C1163&lt;&gt;"",COUNTIF($C$2:C1163,C1163),"")</f>
        <v/>
      </c>
      <c r="V1163" s="28" t="str">
        <f t="shared" si="42"/>
        <v/>
      </c>
      <c r="W1163" s="28" t="str">
        <f>IF(U1163=1,COUNTIF($U$2:U1163,1),"")</f>
        <v/>
      </c>
    </row>
    <row r="1164" spans="6:23" ht="20.25" customHeight="1" x14ac:dyDescent="0.25">
      <c r="F1164" s="44" t="s">
        <v>3677</v>
      </c>
      <c r="U1164" s="28" t="str">
        <f>IF($C1164&lt;&gt;"",COUNTIF($C$2:C1164,C1164),"")</f>
        <v/>
      </c>
      <c r="V1164" s="28" t="str">
        <f t="shared" si="42"/>
        <v/>
      </c>
      <c r="W1164" s="28" t="str">
        <f>IF(U1164=1,COUNTIF($U$2:U1164,1),"")</f>
        <v/>
      </c>
    </row>
    <row r="1165" spans="6:23" ht="47.25" customHeight="1" x14ac:dyDescent="0.25">
      <c r="F1165" s="44" t="s">
        <v>3678</v>
      </c>
      <c r="U1165" s="28" t="str">
        <f>IF($C1165&lt;&gt;"",COUNTIF($C$2:C1165,C1165),"")</f>
        <v/>
      </c>
      <c r="V1165" s="28" t="str">
        <f t="shared" si="42"/>
        <v/>
      </c>
      <c r="W1165" s="28" t="str">
        <f>IF(U1165=1,COUNTIF($U$2:U1165,1),"")</f>
        <v/>
      </c>
    </row>
    <row r="1166" spans="6:23" ht="31.5" customHeight="1" x14ac:dyDescent="0.25">
      <c r="F1166" s="44" t="s">
        <v>3679</v>
      </c>
      <c r="U1166" s="28" t="str">
        <f>IF($C1166&lt;&gt;"",COUNTIF($C$2:C1166,C1166),"")</f>
        <v/>
      </c>
      <c r="V1166" s="28" t="str">
        <f t="shared" si="42"/>
        <v/>
      </c>
      <c r="W1166" s="28" t="str">
        <f>IF(U1166=1,COUNTIF($U$2:U1166,1),"")</f>
        <v/>
      </c>
    </row>
    <row r="1167" spans="6:23" ht="47.25" customHeight="1" x14ac:dyDescent="0.25">
      <c r="F1167" s="44" t="s">
        <v>3680</v>
      </c>
      <c r="U1167" s="28" t="str">
        <f>IF($C1167&lt;&gt;"",COUNTIF($C$2:C1167,C1167),"")</f>
        <v/>
      </c>
      <c r="V1167" s="28" t="str">
        <f t="shared" si="42"/>
        <v/>
      </c>
      <c r="W1167" s="28" t="str">
        <f>IF(U1167=1,COUNTIF($U$2:U1167,1),"")</f>
        <v/>
      </c>
    </row>
    <row r="1168" spans="6:23" ht="47.25" customHeight="1" x14ac:dyDescent="0.25">
      <c r="F1168" s="44" t="s">
        <v>3681</v>
      </c>
      <c r="U1168" s="28" t="str">
        <f>IF($C1168&lt;&gt;"",COUNTIF($C$2:C1168,C1168),"")</f>
        <v/>
      </c>
      <c r="V1168" s="28" t="str">
        <f t="shared" si="42"/>
        <v/>
      </c>
      <c r="W1168" s="28" t="str">
        <f>IF(U1168=1,COUNTIF($U$2:U1168,1),"")</f>
        <v/>
      </c>
    </row>
    <row r="1169" spans="6:23" ht="47.25" customHeight="1" x14ac:dyDescent="0.25">
      <c r="F1169" s="44" t="s">
        <v>3682</v>
      </c>
      <c r="U1169" s="28" t="str">
        <f>IF($C1169&lt;&gt;"",COUNTIF($C$2:C1169,C1169),"")</f>
        <v/>
      </c>
      <c r="V1169" s="28" t="str">
        <f t="shared" si="42"/>
        <v/>
      </c>
      <c r="W1169" s="28" t="str">
        <f>IF(U1169=1,COUNTIF($U$2:U1169,1),"")</f>
        <v/>
      </c>
    </row>
    <row r="1170" spans="6:23" ht="47.25" customHeight="1" x14ac:dyDescent="0.25">
      <c r="F1170" s="44" t="s">
        <v>3683</v>
      </c>
      <c r="U1170" s="28" t="str">
        <f>IF($C1170&lt;&gt;"",COUNTIF($C$2:C1170,C1170),"")</f>
        <v/>
      </c>
      <c r="V1170" s="28" t="str">
        <f t="shared" si="42"/>
        <v/>
      </c>
      <c r="W1170" s="28" t="str">
        <f>IF(U1170=1,COUNTIF($U$2:U1170,1),"")</f>
        <v/>
      </c>
    </row>
    <row r="1171" spans="6:23" ht="47.25" customHeight="1" x14ac:dyDescent="0.25">
      <c r="F1171" s="44" t="s">
        <v>3684</v>
      </c>
      <c r="U1171" s="28" t="str">
        <f>IF($C1171&lt;&gt;"",COUNTIF($C$2:C1171,C1171),"")</f>
        <v/>
      </c>
      <c r="V1171" s="28" t="str">
        <f t="shared" si="42"/>
        <v/>
      </c>
      <c r="W1171" s="28" t="str">
        <f>IF(U1171=1,COUNTIF($U$2:U1171,1),"")</f>
        <v/>
      </c>
    </row>
    <row r="1172" spans="6:23" ht="47.25" customHeight="1" x14ac:dyDescent="0.25">
      <c r="F1172" s="44" t="s">
        <v>3685</v>
      </c>
      <c r="U1172" s="28" t="str">
        <f>IF($C1172&lt;&gt;"",COUNTIF($C$2:C1172,C1172),"")</f>
        <v/>
      </c>
      <c r="V1172" s="28" t="str">
        <f t="shared" si="42"/>
        <v/>
      </c>
      <c r="W1172" s="28" t="str">
        <f>IF(U1172=1,COUNTIF($U$2:U1172,1),"")</f>
        <v/>
      </c>
    </row>
    <row r="1173" spans="6:23" ht="63" customHeight="1" x14ac:dyDescent="0.25">
      <c r="F1173" s="44" t="s">
        <v>3686</v>
      </c>
      <c r="U1173" s="28" t="str">
        <f>IF($C1173&lt;&gt;"",COUNTIF($C$2:C1173,C1173),"")</f>
        <v/>
      </c>
      <c r="V1173" s="28" t="str">
        <f t="shared" si="42"/>
        <v/>
      </c>
      <c r="W1173" s="28" t="str">
        <f>IF(U1173=1,COUNTIF($U$2:U1173,1),"")</f>
        <v/>
      </c>
    </row>
    <row r="1174" spans="6:23" ht="47.25" customHeight="1" x14ac:dyDescent="0.25">
      <c r="F1174" s="44" t="s">
        <v>3687</v>
      </c>
      <c r="U1174" s="28" t="str">
        <f>IF($C1174&lt;&gt;"",COUNTIF($C$2:C1174,C1174),"")</f>
        <v/>
      </c>
      <c r="V1174" s="28" t="str">
        <f t="shared" si="42"/>
        <v/>
      </c>
      <c r="W1174" s="28" t="str">
        <f>IF(U1174=1,COUNTIF($U$2:U1174,1),"")</f>
        <v/>
      </c>
    </row>
    <row r="1175" spans="6:23" ht="47.25" customHeight="1" x14ac:dyDescent="0.25">
      <c r="F1175" s="44" t="s">
        <v>3688</v>
      </c>
      <c r="U1175" s="28" t="str">
        <f>IF($C1175&lt;&gt;"",COUNTIF($C$2:C1175,C1175),"")</f>
        <v/>
      </c>
      <c r="V1175" s="28" t="str">
        <f t="shared" si="42"/>
        <v/>
      </c>
      <c r="W1175" s="28" t="str">
        <f>IF(U1175=1,COUNTIF($U$2:U1175,1),"")</f>
        <v/>
      </c>
    </row>
    <row r="1176" spans="6:23" ht="31.5" customHeight="1" x14ac:dyDescent="0.25">
      <c r="F1176" s="44" t="s">
        <v>3689</v>
      </c>
      <c r="U1176" s="28" t="str">
        <f>IF($C1176&lt;&gt;"",COUNTIF($C$2:C1176,C1176),"")</f>
        <v/>
      </c>
      <c r="V1176" s="28" t="str">
        <f t="shared" si="42"/>
        <v/>
      </c>
      <c r="W1176" s="28" t="str">
        <f>IF(U1176=1,COUNTIF($U$2:U1176,1),"")</f>
        <v/>
      </c>
    </row>
    <row r="1177" spans="6:23" ht="63" customHeight="1" x14ac:dyDescent="0.25">
      <c r="F1177" s="44" t="s">
        <v>3690</v>
      </c>
      <c r="U1177" s="28" t="str">
        <f>IF($C1177&lt;&gt;"",COUNTIF($C$2:C1177,C1177),"")</f>
        <v/>
      </c>
      <c r="V1177" s="28" t="str">
        <f t="shared" si="42"/>
        <v/>
      </c>
      <c r="W1177" s="28" t="str">
        <f>IF(U1177=1,COUNTIF($U$2:U1177,1),"")</f>
        <v/>
      </c>
    </row>
    <row r="1178" spans="6:23" ht="47.25" customHeight="1" x14ac:dyDescent="0.25">
      <c r="F1178" s="44" t="s">
        <v>3691</v>
      </c>
      <c r="U1178" s="28" t="str">
        <f>IF($C1178&lt;&gt;"",COUNTIF($C$2:C1178,C1178),"")</f>
        <v/>
      </c>
      <c r="V1178" s="28" t="str">
        <f t="shared" si="42"/>
        <v/>
      </c>
      <c r="W1178" s="28" t="str">
        <f>IF(U1178=1,COUNTIF($U$2:U1178,1),"")</f>
        <v/>
      </c>
    </row>
    <row r="1179" spans="6:23" ht="47.25" customHeight="1" x14ac:dyDescent="0.25">
      <c r="F1179" s="44" t="s">
        <v>3692</v>
      </c>
      <c r="U1179" s="28" t="str">
        <f>IF($C1179&lt;&gt;"",COUNTIF($C$2:C1179,C1179),"")</f>
        <v/>
      </c>
      <c r="V1179" s="28" t="str">
        <f t="shared" si="42"/>
        <v/>
      </c>
      <c r="W1179" s="28" t="str">
        <f>IF(U1179=1,COUNTIF($U$2:U1179,1),"")</f>
        <v/>
      </c>
    </row>
    <row r="1180" spans="6:23" ht="47.25" customHeight="1" x14ac:dyDescent="0.25">
      <c r="F1180" s="44" t="s">
        <v>3693</v>
      </c>
      <c r="U1180" s="28" t="str">
        <f>IF($C1180&lt;&gt;"",COUNTIF($C$2:C1180,C1180),"")</f>
        <v/>
      </c>
      <c r="V1180" s="28" t="str">
        <f t="shared" si="42"/>
        <v/>
      </c>
      <c r="W1180" s="28" t="str">
        <f>IF(U1180=1,COUNTIF($U$2:U1180,1),"")</f>
        <v/>
      </c>
    </row>
    <row r="1181" spans="6:23" ht="31.5" customHeight="1" x14ac:dyDescent="0.25">
      <c r="F1181" s="44" t="s">
        <v>3694</v>
      </c>
      <c r="U1181" s="28" t="str">
        <f>IF($C1181&lt;&gt;"",COUNTIF($C$2:C1181,C1181),"")</f>
        <v/>
      </c>
      <c r="V1181" s="28" t="str">
        <f t="shared" si="42"/>
        <v/>
      </c>
      <c r="W1181" s="28" t="str">
        <f>IF(U1181=1,COUNTIF($U$2:U1181,1),"")</f>
        <v/>
      </c>
    </row>
    <row r="1182" spans="6:23" ht="47.25" customHeight="1" x14ac:dyDescent="0.25">
      <c r="F1182" s="44" t="s">
        <v>3695</v>
      </c>
      <c r="U1182" s="28" t="str">
        <f>IF($C1182&lt;&gt;"",COUNTIF($C$2:C1182,C1182),"")</f>
        <v/>
      </c>
      <c r="V1182" s="28" t="str">
        <f t="shared" si="42"/>
        <v/>
      </c>
      <c r="W1182" s="28" t="str">
        <f>IF(U1182=1,COUNTIF($U$2:U1182,1),"")</f>
        <v/>
      </c>
    </row>
    <row r="1183" spans="6:23" ht="31.5" customHeight="1" x14ac:dyDescent="0.25">
      <c r="F1183" s="44" t="s">
        <v>3696</v>
      </c>
      <c r="U1183" s="28" t="str">
        <f>IF($C1183&lt;&gt;"",COUNTIF($C$2:C1183,C1183),"")</f>
        <v/>
      </c>
      <c r="V1183" s="28" t="str">
        <f t="shared" si="42"/>
        <v/>
      </c>
      <c r="W1183" s="28" t="str">
        <f>IF(U1183=1,COUNTIF($U$2:U1183,1),"")</f>
        <v/>
      </c>
    </row>
    <row r="1184" spans="6:23" ht="31.5" customHeight="1" x14ac:dyDescent="0.25">
      <c r="F1184" s="44" t="s">
        <v>3697</v>
      </c>
      <c r="U1184" s="28" t="str">
        <f>IF($C1184&lt;&gt;"",COUNTIF($C$2:C1184,C1184),"")</f>
        <v/>
      </c>
      <c r="V1184" s="28" t="str">
        <f t="shared" si="42"/>
        <v/>
      </c>
      <c r="W1184" s="28" t="str">
        <f>IF(U1184=1,COUNTIF($U$2:U1184,1),"")</f>
        <v/>
      </c>
    </row>
    <row r="1185" spans="6:23" ht="31.5" customHeight="1" x14ac:dyDescent="0.25">
      <c r="F1185" s="44" t="s">
        <v>3698</v>
      </c>
      <c r="U1185" s="28" t="str">
        <f>IF($C1185&lt;&gt;"",COUNTIF($C$2:C1185,C1185),"")</f>
        <v/>
      </c>
      <c r="V1185" s="28" t="str">
        <f t="shared" si="42"/>
        <v/>
      </c>
      <c r="W1185" s="28" t="str">
        <f>IF(U1185=1,COUNTIF($U$2:U1185,1),"")</f>
        <v/>
      </c>
    </row>
    <row r="1186" spans="6:23" ht="31.5" customHeight="1" x14ac:dyDescent="0.25">
      <c r="F1186" s="44" t="s">
        <v>3699</v>
      </c>
      <c r="U1186" s="28" t="str">
        <f>IF($C1186&lt;&gt;"",COUNTIF($C$2:C1186,C1186),"")</f>
        <v/>
      </c>
      <c r="V1186" s="28" t="str">
        <f t="shared" si="42"/>
        <v/>
      </c>
      <c r="W1186" s="28" t="str">
        <f>IF(U1186=1,COUNTIF($U$2:U1186,1),"")</f>
        <v/>
      </c>
    </row>
    <row r="1187" spans="6:23" ht="47.25" customHeight="1" x14ac:dyDescent="0.25">
      <c r="F1187" s="44" t="s">
        <v>3700</v>
      </c>
      <c r="U1187" s="28" t="str">
        <f>IF($C1187&lt;&gt;"",COUNTIF($C$2:C1187,C1187),"")</f>
        <v/>
      </c>
      <c r="V1187" s="28" t="str">
        <f t="shared" si="42"/>
        <v/>
      </c>
      <c r="W1187" s="28" t="str">
        <f>IF(U1187=1,COUNTIF($U$2:U1187,1),"")</f>
        <v/>
      </c>
    </row>
    <row r="1188" spans="6:23" ht="47.25" customHeight="1" x14ac:dyDescent="0.25">
      <c r="F1188" s="44" t="s">
        <v>3701</v>
      </c>
      <c r="U1188" s="28" t="str">
        <f>IF($C1188&lt;&gt;"",COUNTIF($C$2:C1188,C1188),"")</f>
        <v/>
      </c>
      <c r="V1188" s="28" t="str">
        <f t="shared" si="42"/>
        <v/>
      </c>
      <c r="W1188" s="28" t="str">
        <f>IF(U1188=1,COUNTIF($U$2:U1188,1),"")</f>
        <v/>
      </c>
    </row>
    <row r="1189" spans="6:23" ht="63" customHeight="1" x14ac:dyDescent="0.25">
      <c r="F1189" s="44" t="s">
        <v>3702</v>
      </c>
      <c r="U1189" s="28" t="str">
        <f>IF($C1189&lt;&gt;"",COUNTIF($C$2:C1189,C1189),"")</f>
        <v/>
      </c>
      <c r="V1189" s="28" t="str">
        <f t="shared" si="42"/>
        <v/>
      </c>
      <c r="W1189" s="28" t="str">
        <f>IF(U1189=1,COUNTIF($U$2:U1189,1),"")</f>
        <v/>
      </c>
    </row>
    <row r="1190" spans="6:23" ht="63" customHeight="1" x14ac:dyDescent="0.25">
      <c r="F1190" s="44" t="s">
        <v>3703</v>
      </c>
      <c r="U1190" s="28" t="str">
        <f>IF($C1190&lt;&gt;"",COUNTIF($C$2:C1190,C1190),"")</f>
        <v/>
      </c>
      <c r="V1190" s="28" t="str">
        <f t="shared" si="42"/>
        <v/>
      </c>
      <c r="W1190" s="28" t="str">
        <f>IF(U1190=1,COUNTIF($U$2:U1190,1),"")</f>
        <v/>
      </c>
    </row>
    <row r="1191" spans="6:23" ht="31.5" customHeight="1" x14ac:dyDescent="0.25">
      <c r="F1191" s="44" t="s">
        <v>3704</v>
      </c>
      <c r="U1191" s="28" t="str">
        <f>IF($C1191&lt;&gt;"",COUNTIF($C$2:C1191,C1191),"")</f>
        <v/>
      </c>
      <c r="V1191" s="28" t="str">
        <f t="shared" si="42"/>
        <v/>
      </c>
      <c r="W1191" s="28" t="str">
        <f>IF(U1191=1,COUNTIF($U$2:U1191,1),"")</f>
        <v/>
      </c>
    </row>
    <row r="1192" spans="6:23" ht="31.5" customHeight="1" x14ac:dyDescent="0.25">
      <c r="F1192" s="44" t="s">
        <v>3705</v>
      </c>
      <c r="U1192" s="28" t="str">
        <f>IF($C1192&lt;&gt;"",COUNTIF($C$2:C1192,C1192),"")</f>
        <v/>
      </c>
      <c r="V1192" s="28" t="str">
        <f t="shared" si="42"/>
        <v/>
      </c>
      <c r="W1192" s="28" t="str">
        <f>IF(U1192=1,COUNTIF($U$2:U1192,1),"")</f>
        <v/>
      </c>
    </row>
    <row r="1193" spans="6:23" ht="31.5" customHeight="1" x14ac:dyDescent="0.25">
      <c r="F1193" s="44" t="s">
        <v>3706</v>
      </c>
      <c r="U1193" s="28" t="str">
        <f>IF($C1193&lt;&gt;"",COUNTIF($C$2:C1193,C1193),"")</f>
        <v/>
      </c>
      <c r="V1193" s="28" t="str">
        <f t="shared" si="42"/>
        <v/>
      </c>
      <c r="W1193" s="28" t="str">
        <f>IF(U1193=1,COUNTIF($U$2:U1193,1),"")</f>
        <v/>
      </c>
    </row>
    <row r="1194" spans="6:23" ht="31.5" customHeight="1" x14ac:dyDescent="0.25">
      <c r="F1194" s="44" t="s">
        <v>3707</v>
      </c>
      <c r="U1194" s="28" t="str">
        <f>IF($C1194&lt;&gt;"",COUNTIF($C$2:C1194,C1194),"")</f>
        <v/>
      </c>
      <c r="V1194" s="28" t="str">
        <f t="shared" si="42"/>
        <v/>
      </c>
      <c r="W1194" s="28" t="str">
        <f>IF(U1194=1,COUNTIF($U$2:U1194,1),"")</f>
        <v/>
      </c>
    </row>
    <row r="1195" spans="6:23" ht="63" customHeight="1" x14ac:dyDescent="0.25">
      <c r="F1195" s="44" t="s">
        <v>3708</v>
      </c>
      <c r="U1195" s="28" t="str">
        <f>IF($C1195&lt;&gt;"",COUNTIF($C$2:C1195,C1195),"")</f>
        <v/>
      </c>
      <c r="V1195" s="28" t="str">
        <f t="shared" si="42"/>
        <v/>
      </c>
      <c r="W1195" s="28" t="str">
        <f>IF(U1195=1,COUNTIF($U$2:U1195,1),"")</f>
        <v/>
      </c>
    </row>
    <row r="1196" spans="6:23" ht="31.5" customHeight="1" x14ac:dyDescent="0.25">
      <c r="F1196" s="44" t="s">
        <v>3709</v>
      </c>
      <c r="U1196" s="28" t="str">
        <f>IF($C1196&lt;&gt;"",COUNTIF($C$2:C1196,C1196),"")</f>
        <v/>
      </c>
      <c r="V1196" s="28" t="str">
        <f t="shared" si="42"/>
        <v/>
      </c>
      <c r="W1196" s="28" t="str">
        <f>IF(U1196=1,COUNTIF($U$2:U1196,1),"")</f>
        <v/>
      </c>
    </row>
    <row r="1197" spans="6:23" ht="31.5" customHeight="1" x14ac:dyDescent="0.25">
      <c r="F1197" s="44" t="s">
        <v>3710</v>
      </c>
      <c r="U1197" s="28" t="str">
        <f>IF($C1197&lt;&gt;"",COUNTIF($C$2:C1197,C1197),"")</f>
        <v/>
      </c>
      <c r="V1197" s="28" t="str">
        <f t="shared" si="42"/>
        <v/>
      </c>
      <c r="W1197" s="28" t="str">
        <f>IF(U1197=1,COUNTIF($U$2:U1197,1),"")</f>
        <v/>
      </c>
    </row>
    <row r="1198" spans="6:23" ht="47.25" customHeight="1" x14ac:dyDescent="0.25">
      <c r="F1198" s="44" t="s">
        <v>3711</v>
      </c>
      <c r="U1198" s="28" t="str">
        <f>IF($C1198&lt;&gt;"",COUNTIF($C$2:C1198,C1198),"")</f>
        <v/>
      </c>
      <c r="V1198" s="28" t="str">
        <f t="shared" si="42"/>
        <v/>
      </c>
      <c r="W1198" s="28" t="str">
        <f>IF(U1198=1,COUNTIF($U$2:U1198,1),"")</f>
        <v/>
      </c>
    </row>
    <row r="1199" spans="6:23" ht="47.25" customHeight="1" x14ac:dyDescent="0.25">
      <c r="F1199" s="44" t="s">
        <v>3712</v>
      </c>
      <c r="U1199" s="28" t="str">
        <f>IF($C1199&lt;&gt;"",COUNTIF($C$2:C1199,C1199),"")</f>
        <v/>
      </c>
      <c r="V1199" s="28" t="str">
        <f t="shared" si="42"/>
        <v/>
      </c>
      <c r="W1199" s="28" t="str">
        <f>IF(U1199=1,COUNTIF($U$2:U1199,1),"")</f>
        <v/>
      </c>
    </row>
    <row r="1200" spans="6:23" ht="47.25" customHeight="1" x14ac:dyDescent="0.25">
      <c r="F1200" s="44" t="s">
        <v>3713</v>
      </c>
      <c r="U1200" s="28" t="str">
        <f>IF($C1200&lt;&gt;"",COUNTIF($C$2:C1200,C1200),"")</f>
        <v/>
      </c>
      <c r="V1200" s="28" t="str">
        <f t="shared" si="42"/>
        <v/>
      </c>
      <c r="W1200" s="28" t="str">
        <f>IF(U1200=1,COUNTIF($U$2:U1200,1),"")</f>
        <v/>
      </c>
    </row>
    <row r="1201" spans="6:23" ht="31.5" customHeight="1" x14ac:dyDescent="0.25">
      <c r="F1201" s="44" t="s">
        <v>3714</v>
      </c>
      <c r="U1201" s="28" t="str">
        <f>IF($C1201&lt;&gt;"",COUNTIF($C$2:C1201,C1201),"")</f>
        <v/>
      </c>
      <c r="V1201" s="28" t="str">
        <f t="shared" si="42"/>
        <v/>
      </c>
      <c r="W1201" s="28" t="str">
        <f>IF(U1201=1,COUNTIF($U$2:U1201,1),"")</f>
        <v/>
      </c>
    </row>
    <row r="1202" spans="6:23" ht="63" customHeight="1" x14ac:dyDescent="0.25">
      <c r="F1202" s="44" t="s">
        <v>3715</v>
      </c>
      <c r="U1202" s="28" t="str">
        <f>IF($C1202&lt;&gt;"",COUNTIF($C$2:C1202,C1202),"")</f>
        <v/>
      </c>
      <c r="V1202" s="28" t="str">
        <f t="shared" si="42"/>
        <v/>
      </c>
      <c r="W1202" s="28" t="str">
        <f>IF(U1202=1,COUNTIF($U$2:U1202,1),"")</f>
        <v/>
      </c>
    </row>
    <row r="1203" spans="6:23" ht="31.5" customHeight="1" x14ac:dyDescent="0.25">
      <c r="F1203" s="44" t="s">
        <v>3716</v>
      </c>
      <c r="U1203" s="28" t="str">
        <f>IF($C1203&lt;&gt;"",COUNTIF($C$2:C1203,C1203),"")</f>
        <v/>
      </c>
      <c r="V1203" s="28" t="str">
        <f t="shared" si="42"/>
        <v/>
      </c>
      <c r="W1203" s="28" t="str">
        <f>IF(U1203=1,COUNTIF($U$2:U1203,1),"")</f>
        <v/>
      </c>
    </row>
    <row r="1204" spans="6:23" ht="63" customHeight="1" x14ac:dyDescent="0.25">
      <c r="F1204" s="44" t="s">
        <v>3717</v>
      </c>
      <c r="U1204" s="28" t="str">
        <f>IF($C1204&lt;&gt;"",COUNTIF($C$2:C1204,C1204),"")</f>
        <v/>
      </c>
      <c r="V1204" s="28" t="str">
        <f t="shared" si="42"/>
        <v/>
      </c>
      <c r="W1204" s="28" t="str">
        <f>IF(U1204=1,COUNTIF($U$2:U1204,1),"")</f>
        <v/>
      </c>
    </row>
    <row r="1205" spans="6:23" ht="47.25" customHeight="1" x14ac:dyDescent="0.25">
      <c r="F1205" s="44" t="s">
        <v>3718</v>
      </c>
      <c r="U1205" s="28" t="str">
        <f>IF($C1205&lt;&gt;"",COUNTIF($C$2:C1205,C1205),"")</f>
        <v/>
      </c>
      <c r="V1205" s="28" t="str">
        <f t="shared" si="42"/>
        <v/>
      </c>
      <c r="W1205" s="28" t="str">
        <f>IF(U1205=1,COUNTIF($U$2:U1205,1),"")</f>
        <v/>
      </c>
    </row>
    <row r="1206" spans="6:23" ht="63" customHeight="1" x14ac:dyDescent="0.25">
      <c r="F1206" s="44" t="s">
        <v>3719</v>
      </c>
      <c r="U1206" s="28" t="str">
        <f>IF($C1206&lt;&gt;"",COUNTIF($C$2:C1206,C1206),"")</f>
        <v/>
      </c>
      <c r="V1206" s="28" t="str">
        <f t="shared" si="42"/>
        <v/>
      </c>
      <c r="W1206" s="28" t="str">
        <f>IF(U1206=1,COUNTIF($U$2:U1206,1),"")</f>
        <v/>
      </c>
    </row>
    <row r="1207" spans="6:23" ht="31.5" customHeight="1" x14ac:dyDescent="0.25">
      <c r="F1207" s="44" t="s">
        <v>3720</v>
      </c>
      <c r="U1207" s="28" t="str">
        <f>IF($C1207&lt;&gt;"",COUNTIF($C$2:C1207,C1207),"")</f>
        <v/>
      </c>
      <c r="V1207" s="28" t="str">
        <f t="shared" si="42"/>
        <v/>
      </c>
      <c r="W1207" s="28" t="str">
        <f>IF(U1207=1,COUNTIF($U$2:U1207,1),"")</f>
        <v/>
      </c>
    </row>
    <row r="1208" spans="6:23" ht="47.25" customHeight="1" x14ac:dyDescent="0.25">
      <c r="F1208" s="44" t="s">
        <v>3721</v>
      </c>
      <c r="U1208" s="28" t="str">
        <f>IF($C1208&lt;&gt;"",COUNTIF($C$2:C1208,C1208),"")</f>
        <v/>
      </c>
      <c r="V1208" s="28" t="str">
        <f t="shared" si="42"/>
        <v/>
      </c>
      <c r="W1208" s="28" t="str">
        <f>IF(U1208=1,COUNTIF($U$2:U1208,1),"")</f>
        <v/>
      </c>
    </row>
    <row r="1209" spans="6:23" ht="47.25" customHeight="1" x14ac:dyDescent="0.25">
      <c r="F1209" s="44" t="s">
        <v>3722</v>
      </c>
      <c r="U1209" s="28" t="str">
        <f>IF($C1209&lt;&gt;"",COUNTIF($C$2:C1209,C1209),"")</f>
        <v/>
      </c>
      <c r="V1209" s="28" t="str">
        <f t="shared" si="42"/>
        <v/>
      </c>
      <c r="W1209" s="28" t="str">
        <f>IF(U1209=1,COUNTIF($U$2:U1209,1),"")</f>
        <v/>
      </c>
    </row>
    <row r="1210" spans="6:23" ht="47.25" customHeight="1" x14ac:dyDescent="0.25">
      <c r="F1210" s="44" t="s">
        <v>3723</v>
      </c>
      <c r="U1210" s="28" t="str">
        <f>IF($C1210&lt;&gt;"",COUNTIF($C$2:C1210,C1210),"")</f>
        <v/>
      </c>
      <c r="V1210" s="28" t="str">
        <f t="shared" si="42"/>
        <v/>
      </c>
      <c r="W1210" s="28" t="str">
        <f>IF(U1210=1,COUNTIF($U$2:U1210,1),"")</f>
        <v/>
      </c>
    </row>
    <row r="1211" spans="6:23" ht="31.5" customHeight="1" x14ac:dyDescent="0.25">
      <c r="F1211" s="44" t="s">
        <v>3724</v>
      </c>
      <c r="U1211" s="28" t="str">
        <f>IF($C1211&lt;&gt;"",COUNTIF($C$2:C1211,C1211),"")</f>
        <v/>
      </c>
      <c r="V1211" s="28" t="str">
        <f t="shared" si="42"/>
        <v/>
      </c>
      <c r="W1211" s="28" t="str">
        <f>IF(U1211=1,COUNTIF($U$2:U1211,1),"")</f>
        <v/>
      </c>
    </row>
    <row r="1212" spans="6:23" ht="31.5" customHeight="1" x14ac:dyDescent="0.25">
      <c r="F1212" s="44" t="s">
        <v>3725</v>
      </c>
      <c r="U1212" s="28" t="str">
        <f>IF($C1212&lt;&gt;"",COUNTIF($C$2:C1212,C1212),"")</f>
        <v/>
      </c>
      <c r="V1212" s="28" t="str">
        <f t="shared" si="42"/>
        <v/>
      </c>
      <c r="W1212" s="28" t="str">
        <f>IF(U1212=1,COUNTIF($U$2:U1212,1),"")</f>
        <v/>
      </c>
    </row>
    <row r="1213" spans="6:23" ht="47.25" customHeight="1" x14ac:dyDescent="0.25">
      <c r="F1213" s="44" t="s">
        <v>3726</v>
      </c>
      <c r="U1213" s="28" t="str">
        <f>IF($C1213&lt;&gt;"",COUNTIF($C$2:C1213,C1213),"")</f>
        <v/>
      </c>
      <c r="V1213" s="28" t="str">
        <f t="shared" si="42"/>
        <v/>
      </c>
      <c r="W1213" s="28" t="str">
        <f>IF(U1213=1,COUNTIF($U$2:U1213,1),"")</f>
        <v/>
      </c>
    </row>
    <row r="1214" spans="6:23" ht="47.25" customHeight="1" x14ac:dyDescent="0.25">
      <c r="F1214" s="44" t="s">
        <v>3727</v>
      </c>
      <c r="U1214" s="28" t="str">
        <f>IF($C1214&lt;&gt;"",COUNTIF($C$2:C1214,C1214),"")</f>
        <v/>
      </c>
      <c r="V1214" s="28" t="str">
        <f t="shared" si="42"/>
        <v/>
      </c>
      <c r="W1214" s="28" t="str">
        <f>IF(U1214=1,COUNTIF($U$2:U1214,1),"")</f>
        <v/>
      </c>
    </row>
    <row r="1215" spans="6:23" ht="47.25" customHeight="1" x14ac:dyDescent="0.25">
      <c r="F1215" s="44" t="s">
        <v>3728</v>
      </c>
      <c r="U1215" s="28" t="str">
        <f>IF($C1215&lt;&gt;"",COUNTIF($C$2:C1215,C1215),"")</f>
        <v/>
      </c>
      <c r="V1215" s="28" t="str">
        <f t="shared" si="42"/>
        <v/>
      </c>
      <c r="W1215" s="28" t="str">
        <f>IF(U1215=1,COUNTIF($U$2:U1215,1),"")</f>
        <v/>
      </c>
    </row>
    <row r="1216" spans="6:23" ht="47.25" customHeight="1" x14ac:dyDescent="0.25">
      <c r="F1216" s="44" t="s">
        <v>3729</v>
      </c>
      <c r="U1216" s="28" t="str">
        <f>IF($C1216&lt;&gt;"",COUNTIF($C$2:C1216,C1216),"")</f>
        <v/>
      </c>
      <c r="V1216" s="28" t="str">
        <f t="shared" si="42"/>
        <v/>
      </c>
      <c r="W1216" s="28" t="str">
        <f>IF(U1216=1,COUNTIF($U$2:U1216,1),"")</f>
        <v/>
      </c>
    </row>
    <row r="1217" spans="6:23" ht="31.5" customHeight="1" x14ac:dyDescent="0.25">
      <c r="F1217" s="44" t="s">
        <v>3730</v>
      </c>
      <c r="U1217" s="28" t="str">
        <f>IF($C1217&lt;&gt;"",COUNTIF($C$2:C1217,C1217),"")</f>
        <v/>
      </c>
      <c r="V1217" s="28" t="str">
        <f t="shared" si="42"/>
        <v/>
      </c>
      <c r="W1217" s="28" t="str">
        <f>IF(U1217=1,COUNTIF($U$2:U1217,1),"")</f>
        <v/>
      </c>
    </row>
    <row r="1218" spans="6:23" ht="63" customHeight="1" x14ac:dyDescent="0.25">
      <c r="F1218" s="44" t="s">
        <v>3731</v>
      </c>
      <c r="U1218" s="28" t="str">
        <f>IF($C1218&lt;&gt;"",COUNTIF($C$2:C1218,C1218),"")</f>
        <v/>
      </c>
      <c r="V1218" s="28" t="str">
        <f t="shared" ref="V1218:V1281" si="43">IF($C1218&lt;&gt;"",C1218&amp;"§"&amp;U1218,"")</f>
        <v/>
      </c>
      <c r="W1218" s="28" t="str">
        <f>IF(U1218=1,COUNTIF($U$2:U1218,1),"")</f>
        <v/>
      </c>
    </row>
    <row r="1219" spans="6:23" ht="31.5" customHeight="1" x14ac:dyDescent="0.25">
      <c r="F1219" s="44" t="s">
        <v>3732</v>
      </c>
      <c r="U1219" s="28" t="str">
        <f>IF($C1219&lt;&gt;"",COUNTIF($C$2:C1219,C1219),"")</f>
        <v/>
      </c>
      <c r="V1219" s="28" t="str">
        <f t="shared" si="43"/>
        <v/>
      </c>
      <c r="W1219" s="28" t="str">
        <f>IF(U1219=1,COUNTIF($U$2:U1219,1),"")</f>
        <v/>
      </c>
    </row>
    <row r="1220" spans="6:23" ht="78.75" customHeight="1" x14ac:dyDescent="0.25">
      <c r="F1220" s="44" t="s">
        <v>3733</v>
      </c>
      <c r="U1220" s="28" t="str">
        <f>IF($C1220&lt;&gt;"",COUNTIF($C$2:C1220,C1220),"")</f>
        <v/>
      </c>
      <c r="V1220" s="28" t="str">
        <f t="shared" si="43"/>
        <v/>
      </c>
      <c r="W1220" s="28" t="str">
        <f>IF(U1220=1,COUNTIF($U$2:U1220,1),"")</f>
        <v/>
      </c>
    </row>
    <row r="1221" spans="6:23" ht="31.5" customHeight="1" x14ac:dyDescent="0.25">
      <c r="F1221" s="44" t="s">
        <v>3734</v>
      </c>
      <c r="U1221" s="28" t="str">
        <f>IF($C1221&lt;&gt;"",COUNTIF($C$2:C1221,C1221),"")</f>
        <v/>
      </c>
      <c r="V1221" s="28" t="str">
        <f t="shared" si="43"/>
        <v/>
      </c>
      <c r="W1221" s="28" t="str">
        <f>IF(U1221=1,COUNTIF($U$2:U1221,1),"")</f>
        <v/>
      </c>
    </row>
    <row r="1222" spans="6:23" ht="47.25" customHeight="1" x14ac:dyDescent="0.25">
      <c r="F1222" s="44" t="s">
        <v>3735</v>
      </c>
      <c r="U1222" s="28" t="str">
        <f>IF($C1222&lt;&gt;"",COUNTIF($C$2:C1222,C1222),"")</f>
        <v/>
      </c>
      <c r="V1222" s="28" t="str">
        <f t="shared" si="43"/>
        <v/>
      </c>
      <c r="W1222" s="28" t="str">
        <f>IF(U1222=1,COUNTIF($U$2:U1222,1),"")</f>
        <v/>
      </c>
    </row>
    <row r="1223" spans="6:23" ht="31.5" customHeight="1" x14ac:dyDescent="0.25">
      <c r="F1223" s="44" t="s">
        <v>3736</v>
      </c>
      <c r="U1223" s="28" t="str">
        <f>IF($C1223&lt;&gt;"",COUNTIF($C$2:C1223,C1223),"")</f>
        <v/>
      </c>
      <c r="V1223" s="28" t="str">
        <f t="shared" si="43"/>
        <v/>
      </c>
      <c r="W1223" s="28" t="str">
        <f>IF(U1223=1,COUNTIF($U$2:U1223,1),"")</f>
        <v/>
      </c>
    </row>
    <row r="1224" spans="6:23" ht="63" customHeight="1" x14ac:dyDescent="0.25">
      <c r="F1224" s="44" t="s">
        <v>3737</v>
      </c>
      <c r="U1224" s="28" t="str">
        <f>IF($C1224&lt;&gt;"",COUNTIF($C$2:C1224,C1224),"")</f>
        <v/>
      </c>
      <c r="V1224" s="28" t="str">
        <f t="shared" si="43"/>
        <v/>
      </c>
      <c r="W1224" s="28" t="str">
        <f>IF(U1224=1,COUNTIF($U$2:U1224,1),"")</f>
        <v/>
      </c>
    </row>
    <row r="1225" spans="6:23" ht="31.5" customHeight="1" x14ac:dyDescent="0.25">
      <c r="F1225" s="44" t="s">
        <v>3738</v>
      </c>
      <c r="U1225" s="28" t="str">
        <f>IF($C1225&lt;&gt;"",COUNTIF($C$2:C1225,C1225),"")</f>
        <v/>
      </c>
      <c r="V1225" s="28" t="str">
        <f t="shared" si="43"/>
        <v/>
      </c>
      <c r="W1225" s="28" t="str">
        <f>IF(U1225=1,COUNTIF($U$2:U1225,1),"")</f>
        <v/>
      </c>
    </row>
    <row r="1226" spans="6:23" ht="47.25" customHeight="1" x14ac:dyDescent="0.25">
      <c r="F1226" s="44" t="s">
        <v>3739</v>
      </c>
      <c r="U1226" s="28" t="str">
        <f>IF($C1226&lt;&gt;"",COUNTIF($C$2:C1226,C1226),"")</f>
        <v/>
      </c>
      <c r="V1226" s="28" t="str">
        <f t="shared" si="43"/>
        <v/>
      </c>
      <c r="W1226" s="28" t="str">
        <f>IF(U1226=1,COUNTIF($U$2:U1226,1),"")</f>
        <v/>
      </c>
    </row>
    <row r="1227" spans="6:23" ht="63" customHeight="1" x14ac:dyDescent="0.25">
      <c r="F1227" s="44" t="s">
        <v>3740</v>
      </c>
      <c r="U1227" s="28" t="str">
        <f>IF($C1227&lt;&gt;"",COUNTIF($C$2:C1227,C1227),"")</f>
        <v/>
      </c>
      <c r="V1227" s="28" t="str">
        <f t="shared" si="43"/>
        <v/>
      </c>
      <c r="W1227" s="28" t="str">
        <f>IF(U1227=1,COUNTIF($U$2:U1227,1),"")</f>
        <v/>
      </c>
    </row>
    <row r="1228" spans="6:23" ht="47.25" customHeight="1" x14ac:dyDescent="0.25">
      <c r="F1228" s="44" t="s">
        <v>3741</v>
      </c>
      <c r="U1228" s="28" t="str">
        <f>IF($C1228&lt;&gt;"",COUNTIF($C$2:C1228,C1228),"")</f>
        <v/>
      </c>
      <c r="V1228" s="28" t="str">
        <f t="shared" si="43"/>
        <v/>
      </c>
      <c r="W1228" s="28" t="str">
        <f>IF(U1228=1,COUNTIF($U$2:U1228,1),"")</f>
        <v/>
      </c>
    </row>
    <row r="1229" spans="6:23" ht="78.75" customHeight="1" x14ac:dyDescent="0.25">
      <c r="F1229" s="44" t="s">
        <v>3742</v>
      </c>
      <c r="U1229" s="28" t="str">
        <f>IF($C1229&lt;&gt;"",COUNTIF($C$2:C1229,C1229),"")</f>
        <v/>
      </c>
      <c r="V1229" s="28" t="str">
        <f t="shared" si="43"/>
        <v/>
      </c>
      <c r="W1229" s="28" t="str">
        <f>IF(U1229=1,COUNTIF($U$2:U1229,1),"")</f>
        <v/>
      </c>
    </row>
    <row r="1230" spans="6:23" ht="63" customHeight="1" x14ac:dyDescent="0.25">
      <c r="F1230" s="44" t="s">
        <v>3743</v>
      </c>
      <c r="U1230" s="28" t="str">
        <f>IF($C1230&lt;&gt;"",COUNTIF($C$2:C1230,C1230),"")</f>
        <v/>
      </c>
      <c r="V1230" s="28" t="str">
        <f t="shared" si="43"/>
        <v/>
      </c>
      <c r="W1230" s="28" t="str">
        <f>IF(U1230=1,COUNTIF($U$2:U1230,1),"")</f>
        <v/>
      </c>
    </row>
    <row r="1231" spans="6:23" ht="63" customHeight="1" x14ac:dyDescent="0.25">
      <c r="F1231" s="44" t="s">
        <v>3744</v>
      </c>
      <c r="U1231" s="28" t="str">
        <f>IF($C1231&lt;&gt;"",COUNTIF($C$2:C1231,C1231),"")</f>
        <v/>
      </c>
      <c r="V1231" s="28" t="str">
        <f t="shared" si="43"/>
        <v/>
      </c>
      <c r="W1231" s="28" t="str">
        <f>IF(U1231=1,COUNTIF($U$2:U1231,1),"")</f>
        <v/>
      </c>
    </row>
    <row r="1232" spans="6:23" ht="31.5" customHeight="1" x14ac:dyDescent="0.25">
      <c r="F1232" s="44" t="s">
        <v>3745</v>
      </c>
      <c r="U1232" s="28" t="str">
        <f>IF($C1232&lt;&gt;"",COUNTIF($C$2:C1232,C1232),"")</f>
        <v/>
      </c>
      <c r="V1232" s="28" t="str">
        <f t="shared" si="43"/>
        <v/>
      </c>
      <c r="W1232" s="28" t="str">
        <f>IF(U1232=1,COUNTIF($U$2:U1232,1),"")</f>
        <v/>
      </c>
    </row>
    <row r="1233" spans="6:23" ht="31.5" customHeight="1" x14ac:dyDescent="0.25">
      <c r="F1233" s="44" t="s">
        <v>3746</v>
      </c>
      <c r="U1233" s="28" t="str">
        <f>IF($C1233&lt;&gt;"",COUNTIF($C$2:C1233,C1233),"")</f>
        <v/>
      </c>
      <c r="V1233" s="28" t="str">
        <f t="shared" si="43"/>
        <v/>
      </c>
      <c r="W1233" s="28" t="str">
        <f>IF(U1233=1,COUNTIF($U$2:U1233,1),"")</f>
        <v/>
      </c>
    </row>
    <row r="1234" spans="6:23" ht="31.5" customHeight="1" x14ac:dyDescent="0.25">
      <c r="F1234" s="44" t="s">
        <v>3747</v>
      </c>
      <c r="U1234" s="28" t="str">
        <f>IF($C1234&lt;&gt;"",COUNTIF($C$2:C1234,C1234),"")</f>
        <v/>
      </c>
      <c r="V1234" s="28" t="str">
        <f t="shared" si="43"/>
        <v/>
      </c>
      <c r="W1234" s="28" t="str">
        <f>IF(U1234=1,COUNTIF($U$2:U1234,1),"")</f>
        <v/>
      </c>
    </row>
    <row r="1235" spans="6:23" ht="31.5" customHeight="1" x14ac:dyDescent="0.25">
      <c r="F1235" s="44" t="s">
        <v>3748</v>
      </c>
      <c r="U1235" s="28" t="str">
        <f>IF($C1235&lt;&gt;"",COUNTIF($C$2:C1235,C1235),"")</f>
        <v/>
      </c>
      <c r="V1235" s="28" t="str">
        <f t="shared" si="43"/>
        <v/>
      </c>
      <c r="W1235" s="28" t="str">
        <f>IF(U1235=1,COUNTIF($U$2:U1235,1),"")</f>
        <v/>
      </c>
    </row>
    <row r="1236" spans="6:23" ht="47.25" customHeight="1" x14ac:dyDescent="0.25">
      <c r="F1236" s="44" t="s">
        <v>3749</v>
      </c>
      <c r="U1236" s="28" t="str">
        <f>IF($C1236&lt;&gt;"",COUNTIF($C$2:C1236,C1236),"")</f>
        <v/>
      </c>
      <c r="V1236" s="28" t="str">
        <f t="shared" si="43"/>
        <v/>
      </c>
      <c r="W1236" s="28" t="str">
        <f>IF(U1236=1,COUNTIF($U$2:U1236,1),"")</f>
        <v/>
      </c>
    </row>
    <row r="1237" spans="6:23" ht="31.5" customHeight="1" x14ac:dyDescent="0.25">
      <c r="F1237" s="44" t="s">
        <v>3750</v>
      </c>
      <c r="U1237" s="28" t="str">
        <f>IF($C1237&lt;&gt;"",COUNTIF($C$2:C1237,C1237),"")</f>
        <v/>
      </c>
      <c r="V1237" s="28" t="str">
        <f t="shared" si="43"/>
        <v/>
      </c>
      <c r="W1237" s="28" t="str">
        <f>IF(U1237=1,COUNTIF($U$2:U1237,1),"")</f>
        <v/>
      </c>
    </row>
    <row r="1238" spans="6:23" ht="47.25" customHeight="1" x14ac:dyDescent="0.25">
      <c r="F1238" s="44" t="s">
        <v>3751</v>
      </c>
      <c r="U1238" s="28" t="str">
        <f>IF($C1238&lt;&gt;"",COUNTIF($C$2:C1238,C1238),"")</f>
        <v/>
      </c>
      <c r="V1238" s="28" t="str">
        <f t="shared" si="43"/>
        <v/>
      </c>
      <c r="W1238" s="28" t="str">
        <f>IF(U1238=1,COUNTIF($U$2:U1238,1),"")</f>
        <v/>
      </c>
    </row>
    <row r="1239" spans="6:23" ht="31.5" customHeight="1" x14ac:dyDescent="0.25">
      <c r="F1239" s="44" t="s">
        <v>3752</v>
      </c>
      <c r="U1239" s="28" t="str">
        <f>IF($C1239&lt;&gt;"",COUNTIF($C$2:C1239,C1239),"")</f>
        <v/>
      </c>
      <c r="V1239" s="28" t="str">
        <f t="shared" si="43"/>
        <v/>
      </c>
      <c r="W1239" s="28" t="str">
        <f>IF(U1239=1,COUNTIF($U$2:U1239,1),"")</f>
        <v/>
      </c>
    </row>
    <row r="1240" spans="6:23" ht="47.25" customHeight="1" x14ac:dyDescent="0.25">
      <c r="F1240" s="44" t="s">
        <v>3753</v>
      </c>
      <c r="U1240" s="28" t="str">
        <f>IF($C1240&lt;&gt;"",COUNTIF($C$2:C1240,C1240),"")</f>
        <v/>
      </c>
      <c r="V1240" s="28" t="str">
        <f t="shared" si="43"/>
        <v/>
      </c>
      <c r="W1240" s="28" t="str">
        <f>IF(U1240=1,COUNTIF($U$2:U1240,1),"")</f>
        <v/>
      </c>
    </row>
    <row r="1241" spans="6:23" ht="31.5" customHeight="1" x14ac:dyDescent="0.25">
      <c r="F1241" s="44" t="s">
        <v>3754</v>
      </c>
      <c r="U1241" s="28" t="str">
        <f>IF($C1241&lt;&gt;"",COUNTIF($C$2:C1241,C1241),"")</f>
        <v/>
      </c>
      <c r="V1241" s="28" t="str">
        <f t="shared" si="43"/>
        <v/>
      </c>
      <c r="W1241" s="28" t="str">
        <f>IF(U1241=1,COUNTIF($U$2:U1241,1),"")</f>
        <v/>
      </c>
    </row>
    <row r="1242" spans="6:23" ht="47.25" customHeight="1" x14ac:dyDescent="0.25">
      <c r="F1242" s="44" t="s">
        <v>3755</v>
      </c>
      <c r="U1242" s="28" t="str">
        <f>IF($C1242&lt;&gt;"",COUNTIF($C$2:C1242,C1242),"")</f>
        <v/>
      </c>
      <c r="V1242" s="28" t="str">
        <f t="shared" si="43"/>
        <v/>
      </c>
      <c r="W1242" s="28" t="str">
        <f>IF(U1242=1,COUNTIF($U$2:U1242,1),"")</f>
        <v/>
      </c>
    </row>
    <row r="1243" spans="6:23" ht="31.5" customHeight="1" x14ac:dyDescent="0.25">
      <c r="F1243" s="44" t="s">
        <v>3756</v>
      </c>
      <c r="U1243" s="28" t="str">
        <f>IF($C1243&lt;&gt;"",COUNTIF($C$2:C1243,C1243),"")</f>
        <v/>
      </c>
      <c r="V1243" s="28" t="str">
        <f t="shared" si="43"/>
        <v/>
      </c>
      <c r="W1243" s="28" t="str">
        <f>IF(U1243=1,COUNTIF($U$2:U1243,1),"")</f>
        <v/>
      </c>
    </row>
    <row r="1244" spans="6:23" ht="47.25" customHeight="1" x14ac:dyDescent="0.25">
      <c r="F1244" s="44" t="s">
        <v>3757</v>
      </c>
      <c r="U1244" s="28" t="str">
        <f>IF($C1244&lt;&gt;"",COUNTIF($C$2:C1244,C1244),"")</f>
        <v/>
      </c>
      <c r="V1244" s="28" t="str">
        <f t="shared" si="43"/>
        <v/>
      </c>
      <c r="W1244" s="28" t="str">
        <f>IF(U1244=1,COUNTIF($U$2:U1244,1),"")</f>
        <v/>
      </c>
    </row>
    <row r="1245" spans="6:23" ht="47.25" customHeight="1" x14ac:dyDescent="0.25">
      <c r="F1245" s="44" t="s">
        <v>3758</v>
      </c>
      <c r="U1245" s="28" t="str">
        <f>IF($C1245&lt;&gt;"",COUNTIF($C$2:C1245,C1245),"")</f>
        <v/>
      </c>
      <c r="V1245" s="28" t="str">
        <f t="shared" si="43"/>
        <v/>
      </c>
      <c r="W1245" s="28" t="str">
        <f>IF(U1245=1,COUNTIF($U$2:U1245,1),"")</f>
        <v/>
      </c>
    </row>
    <row r="1246" spans="6:23" ht="47.25" customHeight="1" x14ac:dyDescent="0.25">
      <c r="F1246" s="44" t="s">
        <v>3759</v>
      </c>
      <c r="U1246" s="28" t="str">
        <f>IF($C1246&lt;&gt;"",COUNTIF($C$2:C1246,C1246),"")</f>
        <v/>
      </c>
      <c r="V1246" s="28" t="str">
        <f t="shared" si="43"/>
        <v/>
      </c>
      <c r="W1246" s="28" t="str">
        <f>IF(U1246=1,COUNTIF($U$2:U1246,1),"")</f>
        <v/>
      </c>
    </row>
    <row r="1247" spans="6:23" ht="47.25" customHeight="1" x14ac:dyDescent="0.25">
      <c r="F1247" s="44" t="s">
        <v>3760</v>
      </c>
      <c r="U1247" s="28" t="str">
        <f>IF($C1247&lt;&gt;"",COUNTIF($C$2:C1247,C1247),"")</f>
        <v/>
      </c>
      <c r="V1247" s="28" t="str">
        <f t="shared" si="43"/>
        <v/>
      </c>
      <c r="W1247" s="28" t="str">
        <f>IF(U1247=1,COUNTIF($U$2:U1247,1),"")</f>
        <v/>
      </c>
    </row>
    <row r="1248" spans="6:23" ht="47.25" customHeight="1" x14ac:dyDescent="0.25">
      <c r="F1248" s="44" t="s">
        <v>3761</v>
      </c>
      <c r="U1248" s="28" t="str">
        <f>IF($C1248&lt;&gt;"",COUNTIF($C$2:C1248,C1248),"")</f>
        <v/>
      </c>
      <c r="V1248" s="28" t="str">
        <f t="shared" si="43"/>
        <v/>
      </c>
      <c r="W1248" s="28" t="str">
        <f>IF(U1248=1,COUNTIF($U$2:U1248,1),"")</f>
        <v/>
      </c>
    </row>
    <row r="1249" spans="6:23" ht="63" customHeight="1" x14ac:dyDescent="0.25">
      <c r="F1249" s="44" t="s">
        <v>3762</v>
      </c>
      <c r="U1249" s="28" t="str">
        <f>IF($C1249&lt;&gt;"",COUNTIF($C$2:C1249,C1249),"")</f>
        <v/>
      </c>
      <c r="V1249" s="28" t="str">
        <f t="shared" si="43"/>
        <v/>
      </c>
      <c r="W1249" s="28" t="str">
        <f>IF(U1249=1,COUNTIF($U$2:U1249,1),"")</f>
        <v/>
      </c>
    </row>
    <row r="1250" spans="6:23" ht="47.25" customHeight="1" x14ac:dyDescent="0.25">
      <c r="F1250" s="44" t="s">
        <v>3763</v>
      </c>
      <c r="U1250" s="28" t="str">
        <f>IF($C1250&lt;&gt;"",COUNTIF($C$2:C1250,C1250),"")</f>
        <v/>
      </c>
      <c r="V1250" s="28" t="str">
        <f t="shared" si="43"/>
        <v/>
      </c>
      <c r="W1250" s="28" t="str">
        <f>IF(U1250=1,COUNTIF($U$2:U1250,1),"")</f>
        <v/>
      </c>
    </row>
    <row r="1251" spans="6:23" ht="47.25" customHeight="1" x14ac:dyDescent="0.25">
      <c r="F1251" s="44" t="s">
        <v>3764</v>
      </c>
      <c r="U1251" s="28" t="str">
        <f>IF($C1251&lt;&gt;"",COUNTIF($C$2:C1251,C1251),"")</f>
        <v/>
      </c>
      <c r="V1251" s="28" t="str">
        <f t="shared" si="43"/>
        <v/>
      </c>
      <c r="W1251" s="28" t="str">
        <f>IF(U1251=1,COUNTIF($U$2:U1251,1),"")</f>
        <v/>
      </c>
    </row>
    <row r="1252" spans="6:23" ht="31.5" customHeight="1" x14ac:dyDescent="0.25">
      <c r="F1252" s="44" t="s">
        <v>3765</v>
      </c>
      <c r="U1252" s="28" t="str">
        <f>IF($C1252&lt;&gt;"",COUNTIF($C$2:C1252,C1252),"")</f>
        <v/>
      </c>
      <c r="V1252" s="28" t="str">
        <f t="shared" si="43"/>
        <v/>
      </c>
      <c r="W1252" s="28" t="str">
        <f>IF(U1252=1,COUNTIF($U$2:U1252,1),"")</f>
        <v/>
      </c>
    </row>
    <row r="1253" spans="6:23" ht="31.5" customHeight="1" x14ac:dyDescent="0.25">
      <c r="F1253" s="44" t="s">
        <v>3766</v>
      </c>
      <c r="U1253" s="28" t="str">
        <f>IF($C1253&lt;&gt;"",COUNTIF($C$2:C1253,C1253),"")</f>
        <v/>
      </c>
      <c r="V1253" s="28" t="str">
        <f t="shared" si="43"/>
        <v/>
      </c>
      <c r="W1253" s="28" t="str">
        <f>IF(U1253=1,COUNTIF($U$2:U1253,1),"")</f>
        <v/>
      </c>
    </row>
    <row r="1254" spans="6:23" ht="31.5" customHeight="1" x14ac:dyDescent="0.25">
      <c r="F1254" s="44" t="s">
        <v>3767</v>
      </c>
      <c r="U1254" s="28" t="str">
        <f>IF($C1254&lt;&gt;"",COUNTIF($C$2:C1254,C1254),"")</f>
        <v/>
      </c>
      <c r="V1254" s="28" t="str">
        <f t="shared" si="43"/>
        <v/>
      </c>
      <c r="W1254" s="28" t="str">
        <f>IF(U1254=1,COUNTIF($U$2:U1254,1),"")</f>
        <v/>
      </c>
    </row>
    <row r="1255" spans="6:23" ht="47.25" customHeight="1" x14ac:dyDescent="0.25">
      <c r="F1255" s="44" t="s">
        <v>3768</v>
      </c>
      <c r="U1255" s="28" t="str">
        <f>IF($C1255&lt;&gt;"",COUNTIF($C$2:C1255,C1255),"")</f>
        <v/>
      </c>
      <c r="V1255" s="28" t="str">
        <f t="shared" si="43"/>
        <v/>
      </c>
      <c r="W1255" s="28" t="str">
        <f>IF(U1255=1,COUNTIF($U$2:U1255,1),"")</f>
        <v/>
      </c>
    </row>
    <row r="1256" spans="6:23" ht="47.25" customHeight="1" x14ac:dyDescent="0.25">
      <c r="F1256" s="44" t="s">
        <v>3769</v>
      </c>
      <c r="U1256" s="28" t="str">
        <f>IF($C1256&lt;&gt;"",COUNTIF($C$2:C1256,C1256),"")</f>
        <v/>
      </c>
      <c r="V1256" s="28" t="str">
        <f t="shared" si="43"/>
        <v/>
      </c>
      <c r="W1256" s="28" t="str">
        <f>IF(U1256=1,COUNTIF($U$2:U1256,1),"")</f>
        <v/>
      </c>
    </row>
    <row r="1257" spans="6:23" ht="47.25" customHeight="1" x14ac:dyDescent="0.25">
      <c r="F1257" s="44" t="s">
        <v>3770</v>
      </c>
      <c r="U1257" s="28" t="str">
        <f>IF($C1257&lt;&gt;"",COUNTIF($C$2:C1257,C1257),"")</f>
        <v/>
      </c>
      <c r="V1257" s="28" t="str">
        <f t="shared" si="43"/>
        <v/>
      </c>
      <c r="W1257" s="28" t="str">
        <f>IF(U1257=1,COUNTIF($U$2:U1257,1),"")</f>
        <v/>
      </c>
    </row>
    <row r="1258" spans="6:23" ht="63" customHeight="1" x14ac:dyDescent="0.25">
      <c r="F1258" s="44" t="s">
        <v>3771</v>
      </c>
      <c r="U1258" s="28" t="str">
        <f>IF($C1258&lt;&gt;"",COUNTIF($C$2:C1258,C1258),"")</f>
        <v/>
      </c>
      <c r="V1258" s="28" t="str">
        <f t="shared" si="43"/>
        <v/>
      </c>
      <c r="W1258" s="28" t="str">
        <f>IF(U1258=1,COUNTIF($U$2:U1258,1),"")</f>
        <v/>
      </c>
    </row>
    <row r="1259" spans="6:23" ht="47.25" customHeight="1" x14ac:dyDescent="0.25">
      <c r="F1259" s="44" t="s">
        <v>3772</v>
      </c>
      <c r="U1259" s="28" t="str">
        <f>IF($C1259&lt;&gt;"",COUNTIF($C$2:C1259,C1259),"")</f>
        <v/>
      </c>
      <c r="V1259" s="28" t="str">
        <f t="shared" si="43"/>
        <v/>
      </c>
      <c r="W1259" s="28" t="str">
        <f>IF(U1259=1,COUNTIF($U$2:U1259,1),"")</f>
        <v/>
      </c>
    </row>
    <row r="1260" spans="6:23" ht="31.5" customHeight="1" x14ac:dyDescent="0.25">
      <c r="F1260" s="44" t="s">
        <v>3773</v>
      </c>
      <c r="U1260" s="28" t="str">
        <f>IF($C1260&lt;&gt;"",COUNTIF($C$2:C1260,C1260),"")</f>
        <v/>
      </c>
      <c r="V1260" s="28" t="str">
        <f t="shared" si="43"/>
        <v/>
      </c>
      <c r="W1260" s="28" t="str">
        <f>IF(U1260=1,COUNTIF($U$2:U1260,1),"")</f>
        <v/>
      </c>
    </row>
    <row r="1261" spans="6:23" ht="63" customHeight="1" x14ac:dyDescent="0.25">
      <c r="F1261" s="44" t="s">
        <v>3774</v>
      </c>
      <c r="U1261" s="28" t="str">
        <f>IF($C1261&lt;&gt;"",COUNTIF($C$2:C1261,C1261),"")</f>
        <v/>
      </c>
      <c r="V1261" s="28" t="str">
        <f t="shared" si="43"/>
        <v/>
      </c>
      <c r="W1261" s="28" t="str">
        <f>IF(U1261=1,COUNTIF($U$2:U1261,1),"")</f>
        <v/>
      </c>
    </row>
    <row r="1262" spans="6:23" ht="31.5" customHeight="1" x14ac:dyDescent="0.25">
      <c r="F1262" s="44" t="s">
        <v>3775</v>
      </c>
      <c r="U1262" s="28" t="str">
        <f>IF($C1262&lt;&gt;"",COUNTIF($C$2:C1262,C1262),"")</f>
        <v/>
      </c>
      <c r="V1262" s="28" t="str">
        <f t="shared" si="43"/>
        <v/>
      </c>
      <c r="W1262" s="28" t="str">
        <f>IF(U1262=1,COUNTIF($U$2:U1262,1),"")</f>
        <v/>
      </c>
    </row>
    <row r="1263" spans="6:23" ht="47.25" customHeight="1" x14ac:dyDescent="0.25">
      <c r="F1263" s="44" t="s">
        <v>3776</v>
      </c>
      <c r="U1263" s="28" t="str">
        <f>IF($C1263&lt;&gt;"",COUNTIF($C$2:C1263,C1263),"")</f>
        <v/>
      </c>
      <c r="V1263" s="28" t="str">
        <f t="shared" si="43"/>
        <v/>
      </c>
      <c r="W1263" s="28" t="str">
        <f>IF(U1263=1,COUNTIF($U$2:U1263,1),"")</f>
        <v/>
      </c>
    </row>
    <row r="1264" spans="6:23" ht="47.25" customHeight="1" x14ac:dyDescent="0.25">
      <c r="F1264" s="44" t="s">
        <v>3777</v>
      </c>
      <c r="U1264" s="28" t="str">
        <f>IF($C1264&lt;&gt;"",COUNTIF($C$2:C1264,C1264),"")</f>
        <v/>
      </c>
      <c r="V1264" s="28" t="str">
        <f t="shared" si="43"/>
        <v/>
      </c>
      <c r="W1264" s="28" t="str">
        <f>IF(U1264=1,COUNTIF($U$2:U1264,1),"")</f>
        <v/>
      </c>
    </row>
    <row r="1265" spans="6:23" ht="47.25" customHeight="1" x14ac:dyDescent="0.25">
      <c r="F1265" s="44" t="s">
        <v>3778</v>
      </c>
      <c r="U1265" s="28" t="str">
        <f>IF($C1265&lt;&gt;"",COUNTIF($C$2:C1265,C1265),"")</f>
        <v/>
      </c>
      <c r="V1265" s="28" t="str">
        <f t="shared" si="43"/>
        <v/>
      </c>
      <c r="W1265" s="28" t="str">
        <f>IF(U1265=1,COUNTIF($U$2:U1265,1),"")</f>
        <v/>
      </c>
    </row>
    <row r="1266" spans="6:23" ht="47.25" customHeight="1" x14ac:dyDescent="0.25">
      <c r="F1266" s="44" t="s">
        <v>3779</v>
      </c>
      <c r="U1266" s="28" t="str">
        <f>IF($C1266&lt;&gt;"",COUNTIF($C$2:C1266,C1266),"")</f>
        <v/>
      </c>
      <c r="V1266" s="28" t="str">
        <f t="shared" si="43"/>
        <v/>
      </c>
      <c r="W1266" s="28" t="str">
        <f>IF(U1266=1,COUNTIF($U$2:U1266,1),"")</f>
        <v/>
      </c>
    </row>
    <row r="1267" spans="6:23" ht="47.25" customHeight="1" x14ac:dyDescent="0.25">
      <c r="F1267" s="44" t="s">
        <v>3780</v>
      </c>
      <c r="U1267" s="28" t="str">
        <f>IF($C1267&lt;&gt;"",COUNTIF($C$2:C1267,C1267),"")</f>
        <v/>
      </c>
      <c r="V1267" s="28" t="str">
        <f t="shared" si="43"/>
        <v/>
      </c>
      <c r="W1267" s="28" t="str">
        <f>IF(U1267=1,COUNTIF($U$2:U1267,1),"")</f>
        <v/>
      </c>
    </row>
    <row r="1268" spans="6:23" ht="63" customHeight="1" x14ac:dyDescent="0.25">
      <c r="F1268" s="44" t="s">
        <v>3781</v>
      </c>
      <c r="U1268" s="28" t="str">
        <f>IF($C1268&lt;&gt;"",COUNTIF($C$2:C1268,C1268),"")</f>
        <v/>
      </c>
      <c r="V1268" s="28" t="str">
        <f t="shared" si="43"/>
        <v/>
      </c>
      <c r="W1268" s="28" t="str">
        <f>IF(U1268=1,COUNTIF($U$2:U1268,1),"")</f>
        <v/>
      </c>
    </row>
    <row r="1269" spans="6:23" ht="78.75" customHeight="1" x14ac:dyDescent="0.25">
      <c r="F1269" s="44" t="s">
        <v>3782</v>
      </c>
      <c r="U1269" s="28" t="str">
        <f>IF($C1269&lt;&gt;"",COUNTIF($C$2:C1269,C1269),"")</f>
        <v/>
      </c>
      <c r="V1269" s="28" t="str">
        <f t="shared" si="43"/>
        <v/>
      </c>
      <c r="W1269" s="28" t="str">
        <f>IF(U1269=1,COUNTIF($U$2:U1269,1),"")</f>
        <v/>
      </c>
    </row>
    <row r="1270" spans="6:23" ht="63" customHeight="1" x14ac:dyDescent="0.25">
      <c r="F1270" s="44" t="s">
        <v>3783</v>
      </c>
      <c r="U1270" s="28" t="str">
        <f>IF($C1270&lt;&gt;"",COUNTIF($C$2:C1270,C1270),"")</f>
        <v/>
      </c>
      <c r="V1270" s="28" t="str">
        <f t="shared" si="43"/>
        <v/>
      </c>
      <c r="W1270" s="28" t="str">
        <f>IF(U1270=1,COUNTIF($U$2:U1270,1),"")</f>
        <v/>
      </c>
    </row>
    <row r="1271" spans="6:23" ht="47.25" customHeight="1" x14ac:dyDescent="0.25">
      <c r="F1271" s="44" t="s">
        <v>3680</v>
      </c>
      <c r="U1271" s="28" t="str">
        <f>IF($C1271&lt;&gt;"",COUNTIF($C$2:C1271,C1271),"")</f>
        <v/>
      </c>
      <c r="V1271" s="28" t="str">
        <f t="shared" si="43"/>
        <v/>
      </c>
      <c r="W1271" s="28" t="str">
        <f>IF(U1271=1,COUNTIF($U$2:U1271,1),"")</f>
        <v/>
      </c>
    </row>
    <row r="1272" spans="6:23" ht="47.25" customHeight="1" x14ac:dyDescent="0.25">
      <c r="F1272" s="44" t="s">
        <v>3784</v>
      </c>
      <c r="U1272" s="28" t="str">
        <f>IF($C1272&lt;&gt;"",COUNTIF($C$2:C1272,C1272),"")</f>
        <v/>
      </c>
      <c r="V1272" s="28" t="str">
        <f t="shared" si="43"/>
        <v/>
      </c>
      <c r="W1272" s="28" t="str">
        <f>IF(U1272=1,COUNTIF($U$2:U1272,1),"")</f>
        <v/>
      </c>
    </row>
    <row r="1273" spans="6:23" ht="63" customHeight="1" x14ac:dyDescent="0.25">
      <c r="F1273" s="44" t="s">
        <v>3785</v>
      </c>
      <c r="U1273" s="28" t="str">
        <f>IF($C1273&lt;&gt;"",COUNTIF($C$2:C1273,C1273),"")</f>
        <v/>
      </c>
      <c r="V1273" s="28" t="str">
        <f t="shared" si="43"/>
        <v/>
      </c>
      <c r="W1273" s="28" t="str">
        <f>IF(U1273=1,COUNTIF($U$2:U1273,1),"")</f>
        <v/>
      </c>
    </row>
    <row r="1274" spans="6:23" ht="63" customHeight="1" x14ac:dyDescent="0.25">
      <c r="F1274" s="44" t="s">
        <v>3786</v>
      </c>
      <c r="U1274" s="28" t="str">
        <f>IF($C1274&lt;&gt;"",COUNTIF($C$2:C1274,C1274),"")</f>
        <v/>
      </c>
      <c r="V1274" s="28" t="str">
        <f t="shared" si="43"/>
        <v/>
      </c>
      <c r="W1274" s="28" t="str">
        <f>IF(U1274=1,COUNTIF($U$2:U1274,1),"")</f>
        <v/>
      </c>
    </row>
    <row r="1275" spans="6:23" ht="63" customHeight="1" x14ac:dyDescent="0.25">
      <c r="F1275" s="44" t="s">
        <v>3787</v>
      </c>
      <c r="U1275" s="28" t="str">
        <f>IF($C1275&lt;&gt;"",COUNTIF($C$2:C1275,C1275),"")</f>
        <v/>
      </c>
      <c r="V1275" s="28" t="str">
        <f t="shared" si="43"/>
        <v/>
      </c>
      <c r="W1275" s="28" t="str">
        <f>IF(U1275=1,COUNTIF($U$2:U1275,1),"")</f>
        <v/>
      </c>
    </row>
    <row r="1276" spans="6:23" ht="78.75" customHeight="1" x14ac:dyDescent="0.25">
      <c r="F1276" s="44" t="s">
        <v>3788</v>
      </c>
      <c r="U1276" s="28" t="str">
        <f>IF($C1276&lt;&gt;"",COUNTIF($C$2:C1276,C1276),"")</f>
        <v/>
      </c>
      <c r="V1276" s="28" t="str">
        <f t="shared" si="43"/>
        <v/>
      </c>
      <c r="W1276" s="28" t="str">
        <f>IF(U1276=1,COUNTIF($U$2:U1276,1),"")</f>
        <v/>
      </c>
    </row>
    <row r="1277" spans="6:23" ht="31.5" customHeight="1" x14ac:dyDescent="0.25">
      <c r="F1277" s="44" t="s">
        <v>3789</v>
      </c>
      <c r="U1277" s="28" t="str">
        <f>IF($C1277&lt;&gt;"",COUNTIF($C$2:C1277,C1277),"")</f>
        <v/>
      </c>
      <c r="V1277" s="28" t="str">
        <f t="shared" si="43"/>
        <v/>
      </c>
      <c r="W1277" s="28" t="str">
        <f>IF(U1277=1,COUNTIF($U$2:U1277,1),"")</f>
        <v/>
      </c>
    </row>
    <row r="1278" spans="6:23" ht="47.25" customHeight="1" x14ac:dyDescent="0.25">
      <c r="F1278" s="44" t="s">
        <v>3790</v>
      </c>
      <c r="U1278" s="28" t="str">
        <f>IF($C1278&lt;&gt;"",COUNTIF($C$2:C1278,C1278),"")</f>
        <v/>
      </c>
      <c r="V1278" s="28" t="str">
        <f t="shared" si="43"/>
        <v/>
      </c>
      <c r="W1278" s="28" t="str">
        <f>IF(U1278=1,COUNTIF($U$2:U1278,1),"")</f>
        <v/>
      </c>
    </row>
    <row r="1279" spans="6:23" ht="31.5" customHeight="1" x14ac:dyDescent="0.25">
      <c r="F1279" s="44" t="s">
        <v>3791</v>
      </c>
      <c r="U1279" s="28" t="str">
        <f>IF($C1279&lt;&gt;"",COUNTIF($C$2:C1279,C1279),"")</f>
        <v/>
      </c>
      <c r="V1279" s="28" t="str">
        <f t="shared" si="43"/>
        <v/>
      </c>
      <c r="W1279" s="28" t="str">
        <f>IF(U1279=1,COUNTIF($U$2:U1279,1),"")</f>
        <v/>
      </c>
    </row>
    <row r="1280" spans="6:23" ht="47.25" customHeight="1" x14ac:dyDescent="0.25">
      <c r="F1280" s="44" t="s">
        <v>3792</v>
      </c>
      <c r="U1280" s="28" t="str">
        <f>IF($C1280&lt;&gt;"",COUNTIF($C$2:C1280,C1280),"")</f>
        <v/>
      </c>
      <c r="V1280" s="28" t="str">
        <f t="shared" si="43"/>
        <v/>
      </c>
      <c r="W1280" s="28" t="str">
        <f>IF(U1280=1,COUNTIF($U$2:U1280,1),"")</f>
        <v/>
      </c>
    </row>
    <row r="1281" spans="6:23" ht="31.5" customHeight="1" x14ac:dyDescent="0.25">
      <c r="F1281" s="44" t="s">
        <v>3793</v>
      </c>
      <c r="U1281" s="28" t="str">
        <f>IF($C1281&lt;&gt;"",COUNTIF($C$2:C1281,C1281),"")</f>
        <v/>
      </c>
      <c r="V1281" s="28" t="str">
        <f t="shared" si="43"/>
        <v/>
      </c>
      <c r="W1281" s="28" t="str">
        <f>IF(U1281=1,COUNTIF($U$2:U1281,1),"")</f>
        <v/>
      </c>
    </row>
    <row r="1282" spans="6:23" ht="31.5" customHeight="1" x14ac:dyDescent="0.25">
      <c r="F1282" s="44" t="s">
        <v>3794</v>
      </c>
      <c r="U1282" s="28" t="str">
        <f>IF($C1282&lt;&gt;"",COUNTIF($C$2:C1282,C1282),"")</f>
        <v/>
      </c>
      <c r="V1282" s="28" t="str">
        <f t="shared" ref="V1282:V1345" si="44">IF($C1282&lt;&gt;"",C1282&amp;"§"&amp;U1282,"")</f>
        <v/>
      </c>
      <c r="W1282" s="28" t="str">
        <f>IF(U1282=1,COUNTIF($U$2:U1282,1),"")</f>
        <v/>
      </c>
    </row>
    <row r="1283" spans="6:23" ht="31.5" customHeight="1" x14ac:dyDescent="0.25">
      <c r="F1283" s="44" t="s">
        <v>3795</v>
      </c>
      <c r="U1283" s="28" t="str">
        <f>IF($C1283&lt;&gt;"",COUNTIF($C$2:C1283,C1283),"")</f>
        <v/>
      </c>
      <c r="V1283" s="28" t="str">
        <f t="shared" si="44"/>
        <v/>
      </c>
      <c r="W1283" s="28" t="str">
        <f>IF(U1283=1,COUNTIF($U$2:U1283,1),"")</f>
        <v/>
      </c>
    </row>
    <row r="1284" spans="6:23" ht="31.5" customHeight="1" x14ac:dyDescent="0.25">
      <c r="F1284" s="44" t="s">
        <v>3796</v>
      </c>
      <c r="U1284" s="28" t="str">
        <f>IF($C1284&lt;&gt;"",COUNTIF($C$2:C1284,C1284),"")</f>
        <v/>
      </c>
      <c r="V1284" s="28" t="str">
        <f t="shared" si="44"/>
        <v/>
      </c>
      <c r="W1284" s="28" t="str">
        <f>IF(U1284=1,COUNTIF($U$2:U1284,1),"")</f>
        <v/>
      </c>
    </row>
    <row r="1285" spans="6:23" ht="47.25" customHeight="1" x14ac:dyDescent="0.25">
      <c r="F1285" s="44" t="s">
        <v>3797</v>
      </c>
      <c r="U1285" s="28" t="str">
        <f>IF($C1285&lt;&gt;"",COUNTIF($C$2:C1285,C1285),"")</f>
        <v/>
      </c>
      <c r="V1285" s="28" t="str">
        <f t="shared" si="44"/>
        <v/>
      </c>
      <c r="W1285" s="28" t="str">
        <f>IF(U1285=1,COUNTIF($U$2:U1285,1),"")</f>
        <v/>
      </c>
    </row>
    <row r="1286" spans="6:23" ht="31.5" customHeight="1" x14ac:dyDescent="0.25">
      <c r="F1286" s="44" t="s">
        <v>3798</v>
      </c>
      <c r="U1286" s="28" t="str">
        <f>IF($C1286&lt;&gt;"",COUNTIF($C$2:C1286,C1286),"")</f>
        <v/>
      </c>
      <c r="V1286" s="28" t="str">
        <f t="shared" si="44"/>
        <v/>
      </c>
      <c r="W1286" s="28" t="str">
        <f>IF(U1286=1,COUNTIF($U$2:U1286,1),"")</f>
        <v/>
      </c>
    </row>
    <row r="1287" spans="6:23" ht="31.5" customHeight="1" x14ac:dyDescent="0.25">
      <c r="F1287" s="44" t="s">
        <v>3799</v>
      </c>
      <c r="U1287" s="28" t="str">
        <f>IF($C1287&lt;&gt;"",COUNTIF($C$2:C1287,C1287),"")</f>
        <v/>
      </c>
      <c r="V1287" s="28" t="str">
        <f t="shared" si="44"/>
        <v/>
      </c>
      <c r="W1287" s="28" t="str">
        <f>IF(U1287=1,COUNTIF($U$2:U1287,1),"")</f>
        <v/>
      </c>
    </row>
    <row r="1288" spans="6:23" ht="47.25" customHeight="1" x14ac:dyDescent="0.25">
      <c r="F1288" s="44" t="s">
        <v>3800</v>
      </c>
      <c r="U1288" s="28" t="str">
        <f>IF($C1288&lt;&gt;"",COUNTIF($C$2:C1288,C1288),"")</f>
        <v/>
      </c>
      <c r="V1288" s="28" t="str">
        <f t="shared" si="44"/>
        <v/>
      </c>
      <c r="W1288" s="28" t="str">
        <f>IF(U1288=1,COUNTIF($U$2:U1288,1),"")</f>
        <v/>
      </c>
    </row>
    <row r="1289" spans="6:23" ht="47.25" customHeight="1" x14ac:dyDescent="0.25">
      <c r="F1289" s="44" t="s">
        <v>3801</v>
      </c>
      <c r="U1289" s="28" t="str">
        <f>IF($C1289&lt;&gt;"",COUNTIF($C$2:C1289,C1289),"")</f>
        <v/>
      </c>
      <c r="V1289" s="28" t="str">
        <f t="shared" si="44"/>
        <v/>
      </c>
      <c r="W1289" s="28" t="str">
        <f>IF(U1289=1,COUNTIF($U$2:U1289,1),"")</f>
        <v/>
      </c>
    </row>
    <row r="1290" spans="6:23" ht="31.5" customHeight="1" x14ac:dyDescent="0.25">
      <c r="F1290" s="44" t="s">
        <v>3802</v>
      </c>
      <c r="U1290" s="28" t="str">
        <f>IF($C1290&lt;&gt;"",COUNTIF($C$2:C1290,C1290),"")</f>
        <v/>
      </c>
      <c r="V1290" s="28" t="str">
        <f t="shared" si="44"/>
        <v/>
      </c>
      <c r="W1290" s="28" t="str">
        <f>IF(U1290=1,COUNTIF($U$2:U1290,1),"")</f>
        <v/>
      </c>
    </row>
    <row r="1291" spans="6:23" ht="63" customHeight="1" x14ac:dyDescent="0.25">
      <c r="F1291" s="44" t="s">
        <v>3803</v>
      </c>
      <c r="U1291" s="28" t="str">
        <f>IF($C1291&lt;&gt;"",COUNTIF($C$2:C1291,C1291),"")</f>
        <v/>
      </c>
      <c r="V1291" s="28" t="str">
        <f t="shared" si="44"/>
        <v/>
      </c>
      <c r="W1291" s="28" t="str">
        <f>IF(U1291=1,COUNTIF($U$2:U1291,1),"")</f>
        <v/>
      </c>
    </row>
    <row r="1292" spans="6:23" ht="47.25" customHeight="1" x14ac:dyDescent="0.25">
      <c r="F1292" s="44" t="s">
        <v>3804</v>
      </c>
      <c r="U1292" s="28" t="str">
        <f>IF($C1292&lt;&gt;"",COUNTIF($C$2:C1292,C1292),"")</f>
        <v/>
      </c>
      <c r="V1292" s="28" t="str">
        <f t="shared" si="44"/>
        <v/>
      </c>
      <c r="W1292" s="28" t="str">
        <f>IF(U1292=1,COUNTIF($U$2:U1292,1),"")</f>
        <v/>
      </c>
    </row>
    <row r="1293" spans="6:23" ht="47.25" customHeight="1" x14ac:dyDescent="0.25">
      <c r="F1293" s="44" t="s">
        <v>3805</v>
      </c>
      <c r="U1293" s="28" t="str">
        <f>IF($C1293&lt;&gt;"",COUNTIF($C$2:C1293,C1293),"")</f>
        <v/>
      </c>
      <c r="V1293" s="28" t="str">
        <f t="shared" si="44"/>
        <v/>
      </c>
      <c r="W1293" s="28" t="str">
        <f>IF(U1293=1,COUNTIF($U$2:U1293,1),"")</f>
        <v/>
      </c>
    </row>
    <row r="1294" spans="6:23" ht="63" customHeight="1" x14ac:dyDescent="0.25">
      <c r="F1294" s="44" t="s">
        <v>3806</v>
      </c>
      <c r="U1294" s="28" t="str">
        <f>IF($C1294&lt;&gt;"",COUNTIF($C$2:C1294,C1294),"")</f>
        <v/>
      </c>
      <c r="V1294" s="28" t="str">
        <f t="shared" si="44"/>
        <v/>
      </c>
      <c r="W1294" s="28" t="str">
        <f>IF(U1294=1,COUNTIF($U$2:U1294,1),"")</f>
        <v/>
      </c>
    </row>
    <row r="1295" spans="6:23" ht="94.5" customHeight="1" x14ac:dyDescent="0.25">
      <c r="F1295" s="44" t="s">
        <v>3807</v>
      </c>
      <c r="U1295" s="28" t="str">
        <f>IF($C1295&lt;&gt;"",COUNTIF($C$2:C1295,C1295),"")</f>
        <v/>
      </c>
      <c r="V1295" s="28" t="str">
        <f t="shared" si="44"/>
        <v/>
      </c>
      <c r="W1295" s="28" t="str">
        <f>IF(U1295=1,COUNTIF($U$2:U1295,1),"")</f>
        <v/>
      </c>
    </row>
    <row r="1296" spans="6:23" ht="110.25" customHeight="1" x14ac:dyDescent="0.25">
      <c r="F1296" s="44" t="s">
        <v>3808</v>
      </c>
      <c r="U1296" s="28" t="str">
        <f>IF($C1296&lt;&gt;"",COUNTIF($C$2:C1296,C1296),"")</f>
        <v/>
      </c>
      <c r="V1296" s="28" t="str">
        <f t="shared" si="44"/>
        <v/>
      </c>
      <c r="W1296" s="28" t="str">
        <f>IF(U1296=1,COUNTIF($U$2:U1296,1),"")</f>
        <v/>
      </c>
    </row>
    <row r="1297" spans="6:23" ht="47.25" customHeight="1" x14ac:dyDescent="0.25">
      <c r="F1297" s="44" t="s">
        <v>3809</v>
      </c>
      <c r="U1297" s="28" t="str">
        <f>IF($C1297&lt;&gt;"",COUNTIF($C$2:C1297,C1297),"")</f>
        <v/>
      </c>
      <c r="V1297" s="28" t="str">
        <f t="shared" si="44"/>
        <v/>
      </c>
      <c r="W1297" s="28" t="str">
        <f>IF(U1297=1,COUNTIF($U$2:U1297,1),"")</f>
        <v/>
      </c>
    </row>
    <row r="1298" spans="6:23" ht="63" customHeight="1" x14ac:dyDescent="0.25">
      <c r="F1298" s="44" t="s">
        <v>3810</v>
      </c>
      <c r="U1298" s="28" t="str">
        <f>IF($C1298&lt;&gt;"",COUNTIF($C$2:C1298,C1298),"")</f>
        <v/>
      </c>
      <c r="V1298" s="28" t="str">
        <f t="shared" si="44"/>
        <v/>
      </c>
      <c r="W1298" s="28" t="str">
        <f>IF(U1298=1,COUNTIF($U$2:U1298,1),"")</f>
        <v/>
      </c>
    </row>
    <row r="1299" spans="6:23" ht="31.5" customHeight="1" x14ac:dyDescent="0.25">
      <c r="F1299" s="44" t="s">
        <v>3811</v>
      </c>
      <c r="U1299" s="28" t="str">
        <f>IF($C1299&lt;&gt;"",COUNTIF($C$2:C1299,C1299),"")</f>
        <v/>
      </c>
      <c r="V1299" s="28" t="str">
        <f t="shared" si="44"/>
        <v/>
      </c>
      <c r="W1299" s="28" t="str">
        <f>IF(U1299=1,COUNTIF($U$2:U1299,1),"")</f>
        <v/>
      </c>
    </row>
    <row r="1300" spans="6:23" ht="47.25" customHeight="1" x14ac:dyDescent="0.25">
      <c r="F1300" s="44" t="s">
        <v>3812</v>
      </c>
      <c r="U1300" s="28" t="str">
        <f>IF($C1300&lt;&gt;"",COUNTIF($C$2:C1300,C1300),"")</f>
        <v/>
      </c>
      <c r="V1300" s="28" t="str">
        <f t="shared" si="44"/>
        <v/>
      </c>
      <c r="W1300" s="28" t="str">
        <f>IF(U1300=1,COUNTIF($U$2:U1300,1),"")</f>
        <v/>
      </c>
    </row>
    <row r="1301" spans="6:23" ht="47.25" customHeight="1" x14ac:dyDescent="0.25">
      <c r="F1301" s="44" t="s">
        <v>3813</v>
      </c>
      <c r="U1301" s="28" t="str">
        <f>IF($C1301&lt;&gt;"",COUNTIF($C$2:C1301,C1301),"")</f>
        <v/>
      </c>
      <c r="V1301" s="28" t="str">
        <f t="shared" si="44"/>
        <v/>
      </c>
      <c r="W1301" s="28" t="str">
        <f>IF(U1301=1,COUNTIF($U$2:U1301,1),"")</f>
        <v/>
      </c>
    </row>
    <row r="1302" spans="6:23" ht="47.25" customHeight="1" x14ac:dyDescent="0.25">
      <c r="F1302" s="44" t="s">
        <v>3814</v>
      </c>
      <c r="U1302" s="28" t="str">
        <f>IF($C1302&lt;&gt;"",COUNTIF($C$2:C1302,C1302),"")</f>
        <v/>
      </c>
      <c r="V1302" s="28" t="str">
        <f t="shared" si="44"/>
        <v/>
      </c>
      <c r="W1302" s="28" t="str">
        <f>IF(U1302=1,COUNTIF($U$2:U1302,1),"")</f>
        <v/>
      </c>
    </row>
    <row r="1303" spans="6:23" ht="63" customHeight="1" x14ac:dyDescent="0.25">
      <c r="F1303" s="44" t="s">
        <v>3815</v>
      </c>
      <c r="U1303" s="28" t="str">
        <f>IF($C1303&lt;&gt;"",COUNTIF($C$2:C1303,C1303),"")</f>
        <v/>
      </c>
      <c r="V1303" s="28" t="str">
        <f t="shared" si="44"/>
        <v/>
      </c>
      <c r="W1303" s="28" t="str">
        <f>IF(U1303=1,COUNTIF($U$2:U1303,1),"")</f>
        <v/>
      </c>
    </row>
    <row r="1304" spans="6:23" ht="63" customHeight="1" x14ac:dyDescent="0.25">
      <c r="F1304" s="44" t="s">
        <v>3816</v>
      </c>
      <c r="U1304" s="28" t="str">
        <f>IF($C1304&lt;&gt;"",COUNTIF($C$2:C1304,C1304),"")</f>
        <v/>
      </c>
      <c r="V1304" s="28" t="str">
        <f t="shared" si="44"/>
        <v/>
      </c>
      <c r="W1304" s="28" t="str">
        <f>IF(U1304=1,COUNTIF($U$2:U1304,1),"")</f>
        <v/>
      </c>
    </row>
    <row r="1305" spans="6:23" ht="31.5" customHeight="1" x14ac:dyDescent="0.25">
      <c r="F1305" s="44" t="s">
        <v>3817</v>
      </c>
      <c r="U1305" s="28" t="str">
        <f>IF($C1305&lt;&gt;"",COUNTIF($C$2:C1305,C1305),"")</f>
        <v/>
      </c>
      <c r="V1305" s="28" t="str">
        <f t="shared" si="44"/>
        <v/>
      </c>
      <c r="W1305" s="28" t="str">
        <f>IF(U1305=1,COUNTIF($U$2:U1305,1),"")</f>
        <v/>
      </c>
    </row>
    <row r="1306" spans="6:23" ht="63" customHeight="1" x14ac:dyDescent="0.25">
      <c r="F1306" s="44" t="s">
        <v>3818</v>
      </c>
      <c r="U1306" s="28" t="str">
        <f>IF($C1306&lt;&gt;"",COUNTIF($C$2:C1306,C1306),"")</f>
        <v/>
      </c>
      <c r="V1306" s="28" t="str">
        <f t="shared" si="44"/>
        <v/>
      </c>
      <c r="W1306" s="28" t="str">
        <f>IF(U1306=1,COUNTIF($U$2:U1306,1),"")</f>
        <v/>
      </c>
    </row>
    <row r="1307" spans="6:23" ht="47.25" customHeight="1" x14ac:dyDescent="0.25">
      <c r="F1307" s="44" t="s">
        <v>3819</v>
      </c>
      <c r="U1307" s="28" t="str">
        <f>IF($C1307&lt;&gt;"",COUNTIF($C$2:C1307,C1307),"")</f>
        <v/>
      </c>
      <c r="V1307" s="28" t="str">
        <f t="shared" si="44"/>
        <v/>
      </c>
      <c r="W1307" s="28" t="str">
        <f>IF(U1307=1,COUNTIF($U$2:U1307,1),"")</f>
        <v/>
      </c>
    </row>
    <row r="1308" spans="6:23" ht="31.5" customHeight="1" x14ac:dyDescent="0.25">
      <c r="F1308" s="44" t="s">
        <v>3820</v>
      </c>
      <c r="U1308" s="28" t="str">
        <f>IF($C1308&lt;&gt;"",COUNTIF($C$2:C1308,C1308),"")</f>
        <v/>
      </c>
      <c r="V1308" s="28" t="str">
        <f t="shared" si="44"/>
        <v/>
      </c>
      <c r="W1308" s="28" t="str">
        <f>IF(U1308=1,COUNTIF($U$2:U1308,1),"")</f>
        <v/>
      </c>
    </row>
    <row r="1309" spans="6:23" ht="47.25" customHeight="1" x14ac:dyDescent="0.25">
      <c r="F1309" s="44" t="s">
        <v>3821</v>
      </c>
      <c r="U1309" s="28" t="str">
        <f>IF($C1309&lt;&gt;"",COUNTIF($C$2:C1309,C1309),"")</f>
        <v/>
      </c>
      <c r="V1309" s="28" t="str">
        <f t="shared" si="44"/>
        <v/>
      </c>
      <c r="W1309" s="28" t="str">
        <f>IF(U1309=1,COUNTIF($U$2:U1309,1),"")</f>
        <v/>
      </c>
    </row>
    <row r="1310" spans="6:23" ht="47.25" customHeight="1" x14ac:dyDescent="0.25">
      <c r="F1310" s="44" t="s">
        <v>3822</v>
      </c>
      <c r="U1310" s="28" t="str">
        <f>IF($C1310&lt;&gt;"",COUNTIF($C$2:C1310,C1310),"")</f>
        <v/>
      </c>
      <c r="V1310" s="28" t="str">
        <f t="shared" si="44"/>
        <v/>
      </c>
      <c r="W1310" s="28" t="str">
        <f>IF(U1310=1,COUNTIF($U$2:U1310,1),"")</f>
        <v/>
      </c>
    </row>
    <row r="1311" spans="6:23" ht="47.25" customHeight="1" x14ac:dyDescent="0.25">
      <c r="F1311" s="44" t="s">
        <v>3823</v>
      </c>
      <c r="U1311" s="28" t="str">
        <f>IF($C1311&lt;&gt;"",COUNTIF($C$2:C1311,C1311),"")</f>
        <v/>
      </c>
      <c r="V1311" s="28" t="str">
        <f t="shared" si="44"/>
        <v/>
      </c>
      <c r="W1311" s="28" t="str">
        <f>IF(U1311=1,COUNTIF($U$2:U1311,1),"")</f>
        <v/>
      </c>
    </row>
    <row r="1312" spans="6:23" ht="47.25" customHeight="1" x14ac:dyDescent="0.25">
      <c r="F1312" s="44" t="s">
        <v>3824</v>
      </c>
      <c r="U1312" s="28" t="str">
        <f>IF($C1312&lt;&gt;"",COUNTIF($C$2:C1312,C1312),"")</f>
        <v/>
      </c>
      <c r="V1312" s="28" t="str">
        <f t="shared" si="44"/>
        <v/>
      </c>
      <c r="W1312" s="28" t="str">
        <f>IF(U1312=1,COUNTIF($U$2:U1312,1),"")</f>
        <v/>
      </c>
    </row>
    <row r="1313" spans="6:23" ht="31.5" customHeight="1" x14ac:dyDescent="0.25">
      <c r="F1313" s="44" t="s">
        <v>3825</v>
      </c>
      <c r="U1313" s="28" t="str">
        <f>IF($C1313&lt;&gt;"",COUNTIF($C$2:C1313,C1313),"")</f>
        <v/>
      </c>
      <c r="V1313" s="28" t="str">
        <f t="shared" si="44"/>
        <v/>
      </c>
      <c r="W1313" s="28" t="str">
        <f>IF(U1313=1,COUNTIF($U$2:U1313,1),"")</f>
        <v/>
      </c>
    </row>
    <row r="1314" spans="6:23" ht="63" customHeight="1" x14ac:dyDescent="0.25">
      <c r="F1314" s="44" t="s">
        <v>3826</v>
      </c>
      <c r="U1314" s="28" t="str">
        <f>IF($C1314&lt;&gt;"",COUNTIF($C$2:C1314,C1314),"")</f>
        <v/>
      </c>
      <c r="V1314" s="28" t="str">
        <f t="shared" si="44"/>
        <v/>
      </c>
      <c r="W1314" s="28" t="str">
        <f>IF(U1314=1,COUNTIF($U$2:U1314,1),"")</f>
        <v/>
      </c>
    </row>
    <row r="1315" spans="6:23" ht="31.5" customHeight="1" x14ac:dyDescent="0.25">
      <c r="F1315" s="44" t="s">
        <v>3827</v>
      </c>
      <c r="U1315" s="28" t="str">
        <f>IF($C1315&lt;&gt;"",COUNTIF($C$2:C1315,C1315),"")</f>
        <v/>
      </c>
      <c r="V1315" s="28" t="str">
        <f t="shared" si="44"/>
        <v/>
      </c>
      <c r="W1315" s="28" t="str">
        <f>IF(U1315=1,COUNTIF($U$2:U1315,1),"")</f>
        <v/>
      </c>
    </row>
    <row r="1316" spans="6:23" ht="63" customHeight="1" x14ac:dyDescent="0.25">
      <c r="F1316" s="44" t="s">
        <v>3828</v>
      </c>
      <c r="U1316" s="28" t="str">
        <f>IF($C1316&lt;&gt;"",COUNTIF($C$2:C1316,C1316),"")</f>
        <v/>
      </c>
      <c r="V1316" s="28" t="str">
        <f t="shared" si="44"/>
        <v/>
      </c>
      <c r="W1316" s="28" t="str">
        <f>IF(U1316=1,COUNTIF($U$2:U1316,1),"")</f>
        <v/>
      </c>
    </row>
    <row r="1317" spans="6:23" ht="31.5" customHeight="1" x14ac:dyDescent="0.25">
      <c r="F1317" s="44" t="s">
        <v>3829</v>
      </c>
      <c r="U1317" s="28" t="str">
        <f>IF($C1317&lt;&gt;"",COUNTIF($C$2:C1317,C1317),"")</f>
        <v/>
      </c>
      <c r="V1317" s="28" t="str">
        <f t="shared" si="44"/>
        <v/>
      </c>
      <c r="W1317" s="28" t="str">
        <f>IF(U1317=1,COUNTIF($U$2:U1317,1),"")</f>
        <v/>
      </c>
    </row>
    <row r="1318" spans="6:23" ht="31.5" customHeight="1" x14ac:dyDescent="0.25">
      <c r="F1318" s="44" t="s">
        <v>3830</v>
      </c>
      <c r="U1318" s="28" t="str">
        <f>IF($C1318&lt;&gt;"",COUNTIF($C$2:C1318,C1318),"")</f>
        <v/>
      </c>
      <c r="V1318" s="28" t="str">
        <f t="shared" si="44"/>
        <v/>
      </c>
      <c r="W1318" s="28" t="str">
        <f>IF(U1318=1,COUNTIF($U$2:U1318,1),"")</f>
        <v/>
      </c>
    </row>
    <row r="1319" spans="6:23" ht="47.25" customHeight="1" x14ac:dyDescent="0.25">
      <c r="F1319" s="44" t="s">
        <v>3831</v>
      </c>
      <c r="U1319" s="28" t="str">
        <f>IF($C1319&lt;&gt;"",COUNTIF($C$2:C1319,C1319),"")</f>
        <v/>
      </c>
      <c r="V1319" s="28" t="str">
        <f t="shared" si="44"/>
        <v/>
      </c>
      <c r="W1319" s="28" t="str">
        <f>IF(U1319=1,COUNTIF($U$2:U1319,1),"")</f>
        <v/>
      </c>
    </row>
    <row r="1320" spans="6:23" ht="31.5" customHeight="1" x14ac:dyDescent="0.25">
      <c r="F1320" s="44" t="s">
        <v>3832</v>
      </c>
      <c r="U1320" s="28" t="str">
        <f>IF($C1320&lt;&gt;"",COUNTIF($C$2:C1320,C1320),"")</f>
        <v/>
      </c>
      <c r="V1320" s="28" t="str">
        <f t="shared" si="44"/>
        <v/>
      </c>
      <c r="W1320" s="28" t="str">
        <f>IF(U1320=1,COUNTIF($U$2:U1320,1),"")</f>
        <v/>
      </c>
    </row>
    <row r="1321" spans="6:23" ht="31.5" customHeight="1" x14ac:dyDescent="0.25">
      <c r="F1321" s="44" t="s">
        <v>3833</v>
      </c>
      <c r="U1321" s="28" t="str">
        <f>IF($C1321&lt;&gt;"",COUNTIF($C$2:C1321,C1321),"")</f>
        <v/>
      </c>
      <c r="V1321" s="28" t="str">
        <f t="shared" si="44"/>
        <v/>
      </c>
      <c r="W1321" s="28" t="str">
        <f>IF(U1321=1,COUNTIF($U$2:U1321,1),"")</f>
        <v/>
      </c>
    </row>
    <row r="1322" spans="6:23" ht="31.5" customHeight="1" x14ac:dyDescent="0.25">
      <c r="F1322" s="44" t="s">
        <v>3834</v>
      </c>
      <c r="U1322" s="28" t="str">
        <f>IF($C1322&lt;&gt;"",COUNTIF($C$2:C1322,C1322),"")</f>
        <v/>
      </c>
      <c r="V1322" s="28" t="str">
        <f t="shared" si="44"/>
        <v/>
      </c>
      <c r="W1322" s="28" t="str">
        <f>IF(U1322=1,COUNTIF($U$2:U1322,1),"")</f>
        <v/>
      </c>
    </row>
    <row r="1323" spans="6:23" ht="31.5" customHeight="1" x14ac:dyDescent="0.25">
      <c r="F1323" s="44" t="s">
        <v>3835</v>
      </c>
      <c r="U1323" s="28" t="str">
        <f>IF($C1323&lt;&gt;"",COUNTIF($C$2:C1323,C1323),"")</f>
        <v/>
      </c>
      <c r="V1323" s="28" t="str">
        <f t="shared" si="44"/>
        <v/>
      </c>
      <c r="W1323" s="28" t="str">
        <f>IF(U1323=1,COUNTIF($U$2:U1323,1),"")</f>
        <v/>
      </c>
    </row>
    <row r="1324" spans="6:23" ht="31.5" customHeight="1" x14ac:dyDescent="0.25">
      <c r="F1324" s="44" t="s">
        <v>3836</v>
      </c>
      <c r="U1324" s="28" t="str">
        <f>IF($C1324&lt;&gt;"",COUNTIF($C$2:C1324,C1324),"")</f>
        <v/>
      </c>
      <c r="V1324" s="28" t="str">
        <f t="shared" si="44"/>
        <v/>
      </c>
      <c r="W1324" s="28" t="str">
        <f>IF(U1324=1,COUNTIF($U$2:U1324,1),"")</f>
        <v/>
      </c>
    </row>
    <row r="1325" spans="6:23" ht="47.25" customHeight="1" x14ac:dyDescent="0.25">
      <c r="F1325" s="44" t="s">
        <v>3837</v>
      </c>
      <c r="U1325" s="28" t="str">
        <f>IF($C1325&lt;&gt;"",COUNTIF($C$2:C1325,C1325),"")</f>
        <v/>
      </c>
      <c r="V1325" s="28" t="str">
        <f t="shared" si="44"/>
        <v/>
      </c>
      <c r="W1325" s="28" t="str">
        <f>IF(U1325=1,COUNTIF($U$2:U1325,1),"")</f>
        <v/>
      </c>
    </row>
    <row r="1326" spans="6:23" ht="31.5" customHeight="1" x14ac:dyDescent="0.25">
      <c r="F1326" s="44" t="s">
        <v>3838</v>
      </c>
      <c r="U1326" s="28" t="str">
        <f>IF($C1326&lt;&gt;"",COUNTIF($C$2:C1326,C1326),"")</f>
        <v/>
      </c>
      <c r="V1326" s="28" t="str">
        <f t="shared" si="44"/>
        <v/>
      </c>
      <c r="W1326" s="28" t="str">
        <f>IF(U1326=1,COUNTIF($U$2:U1326,1),"")</f>
        <v/>
      </c>
    </row>
    <row r="1327" spans="6:23" ht="47.25" customHeight="1" x14ac:dyDescent="0.25">
      <c r="F1327" s="44" t="s">
        <v>3839</v>
      </c>
      <c r="U1327" s="28" t="str">
        <f>IF($C1327&lt;&gt;"",COUNTIF($C$2:C1327,C1327),"")</f>
        <v/>
      </c>
      <c r="V1327" s="28" t="str">
        <f t="shared" si="44"/>
        <v/>
      </c>
      <c r="W1327" s="28" t="str">
        <f>IF(U1327=1,COUNTIF($U$2:U1327,1),"")</f>
        <v/>
      </c>
    </row>
    <row r="1328" spans="6:23" ht="31.5" customHeight="1" x14ac:dyDescent="0.25">
      <c r="F1328" s="44" t="s">
        <v>3840</v>
      </c>
      <c r="U1328" s="28" t="str">
        <f>IF($C1328&lt;&gt;"",COUNTIF($C$2:C1328,C1328),"")</f>
        <v/>
      </c>
      <c r="V1328" s="28" t="str">
        <f t="shared" si="44"/>
        <v/>
      </c>
      <c r="W1328" s="28" t="str">
        <f>IF(U1328=1,COUNTIF($U$2:U1328,1),"")</f>
        <v/>
      </c>
    </row>
    <row r="1329" spans="6:23" ht="47.25" customHeight="1" x14ac:dyDescent="0.25">
      <c r="F1329" s="44" t="s">
        <v>3841</v>
      </c>
      <c r="U1329" s="28" t="str">
        <f>IF($C1329&lt;&gt;"",COUNTIF($C$2:C1329,C1329),"")</f>
        <v/>
      </c>
      <c r="V1329" s="28" t="str">
        <f t="shared" si="44"/>
        <v/>
      </c>
      <c r="W1329" s="28" t="str">
        <f>IF(U1329=1,COUNTIF($U$2:U1329,1),"")</f>
        <v/>
      </c>
    </row>
    <row r="1330" spans="6:23" ht="47.25" customHeight="1" x14ac:dyDescent="0.25">
      <c r="F1330" s="44" t="s">
        <v>3842</v>
      </c>
      <c r="U1330" s="28" t="str">
        <f>IF($C1330&lt;&gt;"",COUNTIF($C$2:C1330,C1330),"")</f>
        <v/>
      </c>
      <c r="V1330" s="28" t="str">
        <f t="shared" si="44"/>
        <v/>
      </c>
      <c r="W1330" s="28" t="str">
        <f>IF(U1330=1,COUNTIF($U$2:U1330,1),"")</f>
        <v/>
      </c>
    </row>
    <row r="1331" spans="6:23" ht="47.25" customHeight="1" x14ac:dyDescent="0.25">
      <c r="F1331" s="44" t="s">
        <v>3843</v>
      </c>
      <c r="U1331" s="28" t="str">
        <f>IF($C1331&lt;&gt;"",COUNTIF($C$2:C1331,C1331),"")</f>
        <v/>
      </c>
      <c r="V1331" s="28" t="str">
        <f t="shared" si="44"/>
        <v/>
      </c>
      <c r="W1331" s="28" t="str">
        <f>IF(U1331=1,COUNTIF($U$2:U1331,1),"")</f>
        <v/>
      </c>
    </row>
    <row r="1332" spans="6:23" ht="31.5" customHeight="1" x14ac:dyDescent="0.25">
      <c r="F1332" s="44" t="s">
        <v>3844</v>
      </c>
      <c r="U1332" s="28" t="str">
        <f>IF($C1332&lt;&gt;"",COUNTIF($C$2:C1332,C1332),"")</f>
        <v/>
      </c>
      <c r="V1332" s="28" t="str">
        <f t="shared" si="44"/>
        <v/>
      </c>
      <c r="W1332" s="28" t="str">
        <f>IF(U1332=1,COUNTIF($U$2:U1332,1),"")</f>
        <v/>
      </c>
    </row>
    <row r="1333" spans="6:23" ht="31.5" customHeight="1" x14ac:dyDescent="0.25">
      <c r="F1333" s="44" t="s">
        <v>3845</v>
      </c>
      <c r="U1333" s="28" t="str">
        <f>IF($C1333&lt;&gt;"",COUNTIF($C$2:C1333,C1333),"")</f>
        <v/>
      </c>
      <c r="V1333" s="28" t="str">
        <f t="shared" si="44"/>
        <v/>
      </c>
      <c r="W1333" s="28" t="str">
        <f>IF(U1333=1,COUNTIF($U$2:U1333,1),"")</f>
        <v/>
      </c>
    </row>
    <row r="1334" spans="6:23" ht="47.25" customHeight="1" x14ac:dyDescent="0.25">
      <c r="F1334" s="44" t="s">
        <v>3846</v>
      </c>
      <c r="U1334" s="28" t="str">
        <f>IF($C1334&lt;&gt;"",COUNTIF($C$2:C1334,C1334),"")</f>
        <v/>
      </c>
      <c r="V1334" s="28" t="str">
        <f t="shared" si="44"/>
        <v/>
      </c>
      <c r="W1334" s="28" t="str">
        <f>IF(U1334=1,COUNTIF($U$2:U1334,1),"")</f>
        <v/>
      </c>
    </row>
    <row r="1335" spans="6:23" ht="31.5" customHeight="1" x14ac:dyDescent="0.25">
      <c r="F1335" s="44" t="s">
        <v>3847</v>
      </c>
      <c r="U1335" s="28" t="str">
        <f>IF($C1335&lt;&gt;"",COUNTIF($C$2:C1335,C1335),"")</f>
        <v/>
      </c>
      <c r="V1335" s="28" t="str">
        <f t="shared" si="44"/>
        <v/>
      </c>
      <c r="W1335" s="28" t="str">
        <f>IF(U1335=1,COUNTIF($U$2:U1335,1),"")</f>
        <v/>
      </c>
    </row>
    <row r="1336" spans="6:23" ht="31.5" customHeight="1" x14ac:dyDescent="0.25">
      <c r="F1336" s="44" t="s">
        <v>3848</v>
      </c>
      <c r="U1336" s="28" t="str">
        <f>IF($C1336&lt;&gt;"",COUNTIF($C$2:C1336,C1336),"")</f>
        <v/>
      </c>
      <c r="V1336" s="28" t="str">
        <f t="shared" si="44"/>
        <v/>
      </c>
      <c r="W1336" s="28" t="str">
        <f>IF(U1336=1,COUNTIF($U$2:U1336,1),"")</f>
        <v/>
      </c>
    </row>
    <row r="1337" spans="6:23" ht="78.75" customHeight="1" x14ac:dyDescent="0.25">
      <c r="F1337" s="44" t="s">
        <v>3849</v>
      </c>
      <c r="U1337" s="28" t="str">
        <f>IF($C1337&lt;&gt;"",COUNTIF($C$2:C1337,C1337),"")</f>
        <v/>
      </c>
      <c r="V1337" s="28" t="str">
        <f t="shared" si="44"/>
        <v/>
      </c>
      <c r="W1337" s="28" t="str">
        <f>IF(U1337=1,COUNTIF($U$2:U1337,1),"")</f>
        <v/>
      </c>
    </row>
    <row r="1338" spans="6:23" ht="47.25" customHeight="1" x14ac:dyDescent="0.25">
      <c r="F1338" s="44" t="s">
        <v>3850</v>
      </c>
      <c r="U1338" s="28" t="str">
        <f>IF($C1338&lt;&gt;"",COUNTIF($C$2:C1338,C1338),"")</f>
        <v/>
      </c>
      <c r="V1338" s="28" t="str">
        <f t="shared" si="44"/>
        <v/>
      </c>
      <c r="W1338" s="28" t="str">
        <f>IF(U1338=1,COUNTIF($U$2:U1338,1),"")</f>
        <v/>
      </c>
    </row>
    <row r="1339" spans="6:23" ht="47.25" customHeight="1" x14ac:dyDescent="0.25">
      <c r="F1339" s="44" t="s">
        <v>3851</v>
      </c>
      <c r="U1339" s="28" t="str">
        <f>IF($C1339&lt;&gt;"",COUNTIF($C$2:C1339,C1339),"")</f>
        <v/>
      </c>
      <c r="V1339" s="28" t="str">
        <f t="shared" si="44"/>
        <v/>
      </c>
      <c r="W1339" s="28" t="str">
        <f>IF(U1339=1,COUNTIF($U$2:U1339,1),"")</f>
        <v/>
      </c>
    </row>
    <row r="1340" spans="6:23" ht="31.5" customHeight="1" x14ac:dyDescent="0.25">
      <c r="F1340" s="44" t="s">
        <v>3852</v>
      </c>
      <c r="U1340" s="28" t="str">
        <f>IF($C1340&lt;&gt;"",COUNTIF($C$2:C1340,C1340),"")</f>
        <v/>
      </c>
      <c r="V1340" s="28" t="str">
        <f t="shared" si="44"/>
        <v/>
      </c>
      <c r="W1340" s="28" t="str">
        <f>IF(U1340=1,COUNTIF($U$2:U1340,1),"")</f>
        <v/>
      </c>
    </row>
    <row r="1341" spans="6:23" ht="63" customHeight="1" x14ac:dyDescent="0.25">
      <c r="F1341" s="44" t="s">
        <v>3853</v>
      </c>
      <c r="U1341" s="28" t="str">
        <f>IF($C1341&lt;&gt;"",COUNTIF($C$2:C1341,C1341),"")</f>
        <v/>
      </c>
      <c r="V1341" s="28" t="str">
        <f t="shared" si="44"/>
        <v/>
      </c>
      <c r="W1341" s="28" t="str">
        <f>IF(U1341=1,COUNTIF($U$2:U1341,1),"")</f>
        <v/>
      </c>
    </row>
    <row r="1342" spans="6:23" ht="47.25" customHeight="1" x14ac:dyDescent="0.25">
      <c r="F1342" s="44" t="s">
        <v>3854</v>
      </c>
      <c r="U1342" s="28" t="str">
        <f>IF($C1342&lt;&gt;"",COUNTIF($C$2:C1342,C1342),"")</f>
        <v/>
      </c>
      <c r="V1342" s="28" t="str">
        <f t="shared" si="44"/>
        <v/>
      </c>
      <c r="W1342" s="28" t="str">
        <f>IF(U1342=1,COUNTIF($U$2:U1342,1),"")</f>
        <v/>
      </c>
    </row>
    <row r="1343" spans="6:23" ht="47.25" customHeight="1" x14ac:dyDescent="0.25">
      <c r="F1343" s="44" t="s">
        <v>3855</v>
      </c>
      <c r="U1343" s="28" t="str">
        <f>IF($C1343&lt;&gt;"",COUNTIF($C$2:C1343,C1343),"")</f>
        <v/>
      </c>
      <c r="V1343" s="28" t="str">
        <f t="shared" si="44"/>
        <v/>
      </c>
      <c r="W1343" s="28" t="str">
        <f>IF(U1343=1,COUNTIF($U$2:U1343,1),"")</f>
        <v/>
      </c>
    </row>
    <row r="1344" spans="6:23" ht="47.25" customHeight="1" x14ac:dyDescent="0.25">
      <c r="F1344" s="44" t="s">
        <v>3856</v>
      </c>
      <c r="U1344" s="28" t="str">
        <f>IF($C1344&lt;&gt;"",COUNTIF($C$2:C1344,C1344),"")</f>
        <v/>
      </c>
      <c r="V1344" s="28" t="str">
        <f t="shared" si="44"/>
        <v/>
      </c>
      <c r="W1344" s="28" t="str">
        <f>IF(U1344=1,COUNTIF($U$2:U1344,1),"")</f>
        <v/>
      </c>
    </row>
    <row r="1345" spans="6:23" ht="31.5" customHeight="1" x14ac:dyDescent="0.25">
      <c r="F1345" s="44" t="s">
        <v>3857</v>
      </c>
      <c r="U1345" s="28" t="str">
        <f>IF($C1345&lt;&gt;"",COUNTIF($C$2:C1345,C1345),"")</f>
        <v/>
      </c>
      <c r="V1345" s="28" t="str">
        <f t="shared" si="44"/>
        <v/>
      </c>
      <c r="W1345" s="28" t="str">
        <f>IF(U1345=1,COUNTIF($U$2:U1345,1),"")</f>
        <v/>
      </c>
    </row>
    <row r="1346" spans="6:23" ht="31.5" customHeight="1" x14ac:dyDescent="0.25">
      <c r="F1346" s="44" t="s">
        <v>3858</v>
      </c>
      <c r="U1346" s="28" t="str">
        <f>IF($C1346&lt;&gt;"",COUNTIF($C$2:C1346,C1346),"")</f>
        <v/>
      </c>
      <c r="V1346" s="28" t="str">
        <f t="shared" ref="V1346:V1409" si="45">IF($C1346&lt;&gt;"",C1346&amp;"§"&amp;U1346,"")</f>
        <v/>
      </c>
      <c r="W1346" s="28" t="str">
        <f>IF(U1346=1,COUNTIF($U$2:U1346,1),"")</f>
        <v/>
      </c>
    </row>
    <row r="1347" spans="6:23" ht="47.25" customHeight="1" x14ac:dyDescent="0.25">
      <c r="F1347" s="44" t="s">
        <v>3859</v>
      </c>
      <c r="U1347" s="28" t="str">
        <f>IF($C1347&lt;&gt;"",COUNTIF($C$2:C1347,C1347),"")</f>
        <v/>
      </c>
      <c r="V1347" s="28" t="str">
        <f t="shared" si="45"/>
        <v/>
      </c>
      <c r="W1347" s="28" t="str">
        <f>IF(U1347=1,COUNTIF($U$2:U1347,1),"")</f>
        <v/>
      </c>
    </row>
    <row r="1348" spans="6:23" ht="47.25" customHeight="1" x14ac:dyDescent="0.25">
      <c r="F1348" s="44" t="s">
        <v>3860</v>
      </c>
      <c r="U1348" s="28" t="str">
        <f>IF($C1348&lt;&gt;"",COUNTIF($C$2:C1348,C1348),"")</f>
        <v/>
      </c>
      <c r="V1348" s="28" t="str">
        <f t="shared" si="45"/>
        <v/>
      </c>
      <c r="W1348" s="28" t="str">
        <f>IF(U1348=1,COUNTIF($U$2:U1348,1),"")</f>
        <v/>
      </c>
    </row>
    <row r="1349" spans="6:23" ht="63" customHeight="1" x14ac:dyDescent="0.25">
      <c r="F1349" s="44" t="s">
        <v>3861</v>
      </c>
      <c r="U1349" s="28" t="str">
        <f>IF($C1349&lt;&gt;"",COUNTIF($C$2:C1349,C1349),"")</f>
        <v/>
      </c>
      <c r="V1349" s="28" t="str">
        <f t="shared" si="45"/>
        <v/>
      </c>
      <c r="W1349" s="28" t="str">
        <f>IF(U1349=1,COUNTIF($U$2:U1349,1),"")</f>
        <v/>
      </c>
    </row>
    <row r="1350" spans="6:23" ht="47.25" customHeight="1" x14ac:dyDescent="0.25">
      <c r="F1350" s="44" t="s">
        <v>3862</v>
      </c>
      <c r="U1350" s="28" t="str">
        <f>IF($C1350&lt;&gt;"",COUNTIF($C$2:C1350,C1350),"")</f>
        <v/>
      </c>
      <c r="V1350" s="28" t="str">
        <f t="shared" si="45"/>
        <v/>
      </c>
      <c r="W1350" s="28" t="str">
        <f>IF(U1350=1,COUNTIF($U$2:U1350,1),"")</f>
        <v/>
      </c>
    </row>
    <row r="1351" spans="6:23" ht="63" customHeight="1" x14ac:dyDescent="0.25">
      <c r="F1351" s="44" t="s">
        <v>3863</v>
      </c>
      <c r="U1351" s="28" t="str">
        <f>IF($C1351&lt;&gt;"",COUNTIF($C$2:C1351,C1351),"")</f>
        <v/>
      </c>
      <c r="V1351" s="28" t="str">
        <f t="shared" si="45"/>
        <v/>
      </c>
      <c r="W1351" s="28" t="str">
        <f>IF(U1351=1,COUNTIF($U$2:U1351,1),"")</f>
        <v/>
      </c>
    </row>
    <row r="1352" spans="6:23" ht="31.5" customHeight="1" x14ac:dyDescent="0.25">
      <c r="F1352" s="44" t="s">
        <v>3864</v>
      </c>
      <c r="U1352" s="28" t="str">
        <f>IF($C1352&lt;&gt;"",COUNTIF($C$2:C1352,C1352),"")</f>
        <v/>
      </c>
      <c r="V1352" s="28" t="str">
        <f t="shared" si="45"/>
        <v/>
      </c>
      <c r="W1352" s="28" t="str">
        <f>IF(U1352=1,COUNTIF($U$2:U1352,1),"")</f>
        <v/>
      </c>
    </row>
    <row r="1353" spans="6:23" ht="31.5" customHeight="1" x14ac:dyDescent="0.25">
      <c r="F1353" s="44" t="s">
        <v>3865</v>
      </c>
      <c r="U1353" s="28" t="str">
        <f>IF($C1353&lt;&gt;"",COUNTIF($C$2:C1353,C1353),"")</f>
        <v/>
      </c>
      <c r="V1353" s="28" t="str">
        <f t="shared" si="45"/>
        <v/>
      </c>
      <c r="W1353" s="28" t="str">
        <f>IF(U1353=1,COUNTIF($U$2:U1353,1),"")</f>
        <v/>
      </c>
    </row>
    <row r="1354" spans="6:23" ht="31.5" customHeight="1" x14ac:dyDescent="0.25">
      <c r="F1354" s="44" t="s">
        <v>3866</v>
      </c>
      <c r="U1354" s="28" t="str">
        <f>IF($C1354&lt;&gt;"",COUNTIF($C$2:C1354,C1354),"")</f>
        <v/>
      </c>
      <c r="V1354" s="28" t="str">
        <f t="shared" si="45"/>
        <v/>
      </c>
      <c r="W1354" s="28" t="str">
        <f>IF(U1354=1,COUNTIF($U$2:U1354,1),"")</f>
        <v/>
      </c>
    </row>
    <row r="1355" spans="6:23" ht="63" customHeight="1" x14ac:dyDescent="0.25">
      <c r="F1355" s="44" t="s">
        <v>3867</v>
      </c>
      <c r="U1355" s="28" t="str">
        <f>IF($C1355&lt;&gt;"",COUNTIF($C$2:C1355,C1355),"")</f>
        <v/>
      </c>
      <c r="V1355" s="28" t="str">
        <f t="shared" si="45"/>
        <v/>
      </c>
      <c r="W1355" s="28" t="str">
        <f>IF(U1355=1,COUNTIF($U$2:U1355,1),"")</f>
        <v/>
      </c>
    </row>
    <row r="1356" spans="6:23" ht="31.5" customHeight="1" x14ac:dyDescent="0.25">
      <c r="F1356" s="44" t="s">
        <v>3868</v>
      </c>
      <c r="U1356" s="28" t="str">
        <f>IF($C1356&lt;&gt;"",COUNTIF($C$2:C1356,C1356),"")</f>
        <v/>
      </c>
      <c r="V1356" s="28" t="str">
        <f t="shared" si="45"/>
        <v/>
      </c>
      <c r="W1356" s="28" t="str">
        <f>IF(U1356=1,COUNTIF($U$2:U1356,1),"")</f>
        <v/>
      </c>
    </row>
    <row r="1357" spans="6:23" ht="63" customHeight="1" x14ac:dyDescent="0.25">
      <c r="F1357" s="44" t="s">
        <v>3869</v>
      </c>
      <c r="U1357" s="28" t="str">
        <f>IF($C1357&lt;&gt;"",COUNTIF($C$2:C1357,C1357),"")</f>
        <v/>
      </c>
      <c r="V1357" s="28" t="str">
        <f t="shared" si="45"/>
        <v/>
      </c>
      <c r="W1357" s="28" t="str">
        <f>IF(U1357=1,COUNTIF($U$2:U1357,1),"")</f>
        <v/>
      </c>
    </row>
    <row r="1358" spans="6:23" ht="47.25" customHeight="1" x14ac:dyDescent="0.25">
      <c r="F1358" s="44" t="s">
        <v>3870</v>
      </c>
      <c r="U1358" s="28" t="str">
        <f>IF($C1358&lt;&gt;"",COUNTIF($C$2:C1358,C1358),"")</f>
        <v/>
      </c>
      <c r="V1358" s="28" t="str">
        <f t="shared" si="45"/>
        <v/>
      </c>
      <c r="W1358" s="28" t="str">
        <f>IF(U1358=1,COUNTIF($U$2:U1358,1),"")</f>
        <v/>
      </c>
    </row>
    <row r="1359" spans="6:23" ht="47.25" customHeight="1" x14ac:dyDescent="0.25">
      <c r="F1359" s="44" t="s">
        <v>3871</v>
      </c>
      <c r="U1359" s="28" t="str">
        <f>IF($C1359&lt;&gt;"",COUNTIF($C$2:C1359,C1359),"")</f>
        <v/>
      </c>
      <c r="V1359" s="28" t="str">
        <f t="shared" si="45"/>
        <v/>
      </c>
      <c r="W1359" s="28" t="str">
        <f>IF(U1359=1,COUNTIF($U$2:U1359,1),"")</f>
        <v/>
      </c>
    </row>
    <row r="1360" spans="6:23" ht="47.25" customHeight="1" x14ac:dyDescent="0.25">
      <c r="F1360" s="44" t="s">
        <v>3872</v>
      </c>
      <c r="U1360" s="28" t="str">
        <f>IF($C1360&lt;&gt;"",COUNTIF($C$2:C1360,C1360),"")</f>
        <v/>
      </c>
      <c r="V1360" s="28" t="str">
        <f t="shared" si="45"/>
        <v/>
      </c>
      <c r="W1360" s="28" t="str">
        <f>IF(U1360=1,COUNTIF($U$2:U1360,1),"")</f>
        <v/>
      </c>
    </row>
    <row r="1361" spans="6:23" ht="47.25" customHeight="1" x14ac:dyDescent="0.25">
      <c r="F1361" s="44" t="s">
        <v>3873</v>
      </c>
      <c r="U1361" s="28" t="str">
        <f>IF($C1361&lt;&gt;"",COUNTIF($C$2:C1361,C1361),"")</f>
        <v/>
      </c>
      <c r="V1361" s="28" t="str">
        <f t="shared" si="45"/>
        <v/>
      </c>
      <c r="W1361" s="28" t="str">
        <f>IF(U1361=1,COUNTIF($U$2:U1361,1),"")</f>
        <v/>
      </c>
    </row>
    <row r="1362" spans="6:23" ht="63" customHeight="1" x14ac:dyDescent="0.25">
      <c r="F1362" s="44" t="s">
        <v>3874</v>
      </c>
      <c r="U1362" s="28" t="str">
        <f>IF($C1362&lt;&gt;"",COUNTIF($C$2:C1362,C1362),"")</f>
        <v/>
      </c>
      <c r="V1362" s="28" t="str">
        <f t="shared" si="45"/>
        <v/>
      </c>
      <c r="W1362" s="28" t="str">
        <f>IF(U1362=1,COUNTIF($U$2:U1362,1),"")</f>
        <v/>
      </c>
    </row>
    <row r="1363" spans="6:23" ht="94.5" customHeight="1" x14ac:dyDescent="0.25">
      <c r="F1363" s="44" t="s">
        <v>3875</v>
      </c>
      <c r="U1363" s="28" t="str">
        <f>IF($C1363&lt;&gt;"",COUNTIF($C$2:C1363,C1363),"")</f>
        <v/>
      </c>
      <c r="V1363" s="28" t="str">
        <f t="shared" si="45"/>
        <v/>
      </c>
      <c r="W1363" s="28" t="str">
        <f>IF(U1363=1,COUNTIF($U$2:U1363,1),"")</f>
        <v/>
      </c>
    </row>
    <row r="1364" spans="6:23" ht="47.25" customHeight="1" x14ac:dyDescent="0.25">
      <c r="F1364" s="44" t="s">
        <v>3876</v>
      </c>
      <c r="U1364" s="28" t="str">
        <f>IF($C1364&lt;&gt;"",COUNTIF($C$2:C1364,C1364),"")</f>
        <v/>
      </c>
      <c r="V1364" s="28" t="str">
        <f t="shared" si="45"/>
        <v/>
      </c>
      <c r="W1364" s="28" t="str">
        <f>IF(U1364=1,COUNTIF($U$2:U1364,1),"")</f>
        <v/>
      </c>
    </row>
    <row r="1365" spans="6:23" ht="63" customHeight="1" x14ac:dyDescent="0.25">
      <c r="F1365" s="44" t="s">
        <v>3877</v>
      </c>
      <c r="U1365" s="28" t="str">
        <f>IF($C1365&lt;&gt;"",COUNTIF($C$2:C1365,C1365),"")</f>
        <v/>
      </c>
      <c r="V1365" s="28" t="str">
        <f t="shared" si="45"/>
        <v/>
      </c>
      <c r="W1365" s="28" t="str">
        <f>IF(U1365=1,COUNTIF($U$2:U1365,1),"")</f>
        <v/>
      </c>
    </row>
    <row r="1366" spans="6:23" ht="20.25" customHeight="1" x14ac:dyDescent="0.25">
      <c r="F1366" s="44" t="s">
        <v>3878</v>
      </c>
      <c r="U1366" s="28" t="str">
        <f>IF($C1366&lt;&gt;"",COUNTIF($C$2:C1366,C1366),"")</f>
        <v/>
      </c>
      <c r="V1366" s="28" t="str">
        <f t="shared" si="45"/>
        <v/>
      </c>
      <c r="W1366" s="28" t="str">
        <f>IF(U1366=1,COUNTIF($U$2:U1366,1),"")</f>
        <v/>
      </c>
    </row>
    <row r="1367" spans="6:23" ht="47.25" customHeight="1" x14ac:dyDescent="0.25">
      <c r="F1367" s="44" t="s">
        <v>3879</v>
      </c>
      <c r="U1367" s="28" t="str">
        <f>IF($C1367&lt;&gt;"",COUNTIF($C$2:C1367,C1367),"")</f>
        <v/>
      </c>
      <c r="V1367" s="28" t="str">
        <f t="shared" si="45"/>
        <v/>
      </c>
      <c r="W1367" s="28" t="str">
        <f>IF(U1367=1,COUNTIF($U$2:U1367,1),"")</f>
        <v/>
      </c>
    </row>
    <row r="1368" spans="6:23" ht="47.25" customHeight="1" x14ac:dyDescent="0.25">
      <c r="F1368" s="44" t="s">
        <v>3880</v>
      </c>
      <c r="U1368" s="28" t="str">
        <f>IF($C1368&lt;&gt;"",COUNTIF($C$2:C1368,C1368),"")</f>
        <v/>
      </c>
      <c r="V1368" s="28" t="str">
        <f t="shared" si="45"/>
        <v/>
      </c>
      <c r="W1368" s="28" t="str">
        <f>IF(U1368=1,COUNTIF($U$2:U1368,1),"")</f>
        <v/>
      </c>
    </row>
    <row r="1369" spans="6:23" ht="47.25" customHeight="1" x14ac:dyDescent="0.25">
      <c r="F1369" s="44" t="s">
        <v>3881</v>
      </c>
      <c r="U1369" s="28" t="str">
        <f>IF($C1369&lt;&gt;"",COUNTIF($C$2:C1369,C1369),"")</f>
        <v/>
      </c>
      <c r="V1369" s="28" t="str">
        <f t="shared" si="45"/>
        <v/>
      </c>
      <c r="W1369" s="28" t="str">
        <f>IF(U1369=1,COUNTIF($U$2:U1369,1),"")</f>
        <v/>
      </c>
    </row>
    <row r="1370" spans="6:23" ht="63" customHeight="1" x14ac:dyDescent="0.25">
      <c r="F1370" s="44" t="s">
        <v>3882</v>
      </c>
      <c r="U1370" s="28" t="str">
        <f>IF($C1370&lt;&gt;"",COUNTIF($C$2:C1370,C1370),"")</f>
        <v/>
      </c>
      <c r="V1370" s="28" t="str">
        <f t="shared" si="45"/>
        <v/>
      </c>
      <c r="W1370" s="28" t="str">
        <f>IF(U1370=1,COUNTIF($U$2:U1370,1),"")</f>
        <v/>
      </c>
    </row>
    <row r="1371" spans="6:23" ht="63" customHeight="1" x14ac:dyDescent="0.25">
      <c r="F1371" s="44" t="s">
        <v>3883</v>
      </c>
      <c r="U1371" s="28" t="str">
        <f>IF($C1371&lt;&gt;"",COUNTIF($C$2:C1371,C1371),"")</f>
        <v/>
      </c>
      <c r="V1371" s="28" t="str">
        <f t="shared" si="45"/>
        <v/>
      </c>
      <c r="W1371" s="28" t="str">
        <f>IF(U1371=1,COUNTIF($U$2:U1371,1),"")</f>
        <v/>
      </c>
    </row>
    <row r="1372" spans="6:23" ht="47.25" customHeight="1" x14ac:dyDescent="0.25">
      <c r="F1372" s="44" t="s">
        <v>3884</v>
      </c>
      <c r="U1372" s="28" t="str">
        <f>IF($C1372&lt;&gt;"",COUNTIF($C$2:C1372,C1372),"")</f>
        <v/>
      </c>
      <c r="V1372" s="28" t="str">
        <f t="shared" si="45"/>
        <v/>
      </c>
      <c r="W1372" s="28" t="str">
        <f>IF(U1372=1,COUNTIF($U$2:U1372,1),"")</f>
        <v/>
      </c>
    </row>
    <row r="1373" spans="6:23" ht="47.25" customHeight="1" x14ac:dyDescent="0.25">
      <c r="F1373" s="44" t="s">
        <v>3885</v>
      </c>
      <c r="U1373" s="28" t="str">
        <f>IF($C1373&lt;&gt;"",COUNTIF($C$2:C1373,C1373),"")</f>
        <v/>
      </c>
      <c r="V1373" s="28" t="str">
        <f t="shared" si="45"/>
        <v/>
      </c>
      <c r="W1373" s="28" t="str">
        <f>IF(U1373=1,COUNTIF($U$2:U1373,1),"")</f>
        <v/>
      </c>
    </row>
    <row r="1374" spans="6:23" ht="31.5" customHeight="1" x14ac:dyDescent="0.25">
      <c r="F1374" s="44" t="s">
        <v>3886</v>
      </c>
      <c r="U1374" s="28" t="str">
        <f>IF($C1374&lt;&gt;"",COUNTIF($C$2:C1374,C1374),"")</f>
        <v/>
      </c>
      <c r="V1374" s="28" t="str">
        <f t="shared" si="45"/>
        <v/>
      </c>
      <c r="W1374" s="28" t="str">
        <f>IF(U1374=1,COUNTIF($U$2:U1374,1),"")</f>
        <v/>
      </c>
    </row>
    <row r="1375" spans="6:23" ht="47.25" customHeight="1" x14ac:dyDescent="0.25">
      <c r="F1375" s="44" t="s">
        <v>3887</v>
      </c>
      <c r="U1375" s="28" t="str">
        <f>IF($C1375&lt;&gt;"",COUNTIF($C$2:C1375,C1375),"")</f>
        <v/>
      </c>
      <c r="V1375" s="28" t="str">
        <f t="shared" si="45"/>
        <v/>
      </c>
      <c r="W1375" s="28" t="str">
        <f>IF(U1375=1,COUNTIF($U$2:U1375,1),"")</f>
        <v/>
      </c>
    </row>
    <row r="1376" spans="6:23" ht="63" customHeight="1" x14ac:dyDescent="0.25">
      <c r="F1376" s="44" t="s">
        <v>3888</v>
      </c>
      <c r="U1376" s="28" t="str">
        <f>IF($C1376&lt;&gt;"",COUNTIF($C$2:C1376,C1376),"")</f>
        <v/>
      </c>
      <c r="V1376" s="28" t="str">
        <f t="shared" si="45"/>
        <v/>
      </c>
      <c r="W1376" s="28" t="str">
        <f>IF(U1376=1,COUNTIF($U$2:U1376,1),"")</f>
        <v/>
      </c>
    </row>
    <row r="1377" spans="6:23" ht="47.25" customHeight="1" x14ac:dyDescent="0.25">
      <c r="F1377" s="44" t="s">
        <v>3889</v>
      </c>
      <c r="U1377" s="28" t="str">
        <f>IF($C1377&lt;&gt;"",COUNTIF($C$2:C1377,C1377),"")</f>
        <v/>
      </c>
      <c r="V1377" s="28" t="str">
        <f t="shared" si="45"/>
        <v/>
      </c>
      <c r="W1377" s="28" t="str">
        <f>IF(U1377=1,COUNTIF($U$2:U1377,1),"")</f>
        <v/>
      </c>
    </row>
    <row r="1378" spans="6:23" ht="31.5" customHeight="1" x14ac:dyDescent="0.25">
      <c r="F1378" s="44" t="s">
        <v>3890</v>
      </c>
      <c r="U1378" s="28" t="str">
        <f>IF($C1378&lt;&gt;"",COUNTIF($C$2:C1378,C1378),"")</f>
        <v/>
      </c>
      <c r="V1378" s="28" t="str">
        <f t="shared" si="45"/>
        <v/>
      </c>
      <c r="W1378" s="28" t="str">
        <f>IF(U1378=1,COUNTIF($U$2:U1378,1),"")</f>
        <v/>
      </c>
    </row>
    <row r="1379" spans="6:23" ht="47.25" customHeight="1" x14ac:dyDescent="0.25">
      <c r="F1379" s="44" t="s">
        <v>3891</v>
      </c>
      <c r="U1379" s="28" t="str">
        <f>IF($C1379&lt;&gt;"",COUNTIF($C$2:C1379,C1379),"")</f>
        <v/>
      </c>
      <c r="V1379" s="28" t="str">
        <f t="shared" si="45"/>
        <v/>
      </c>
      <c r="W1379" s="28" t="str">
        <f>IF(U1379=1,COUNTIF($U$2:U1379,1),"")</f>
        <v/>
      </c>
    </row>
    <row r="1380" spans="6:23" ht="31.5" customHeight="1" x14ac:dyDescent="0.25">
      <c r="F1380" s="44" t="s">
        <v>3892</v>
      </c>
      <c r="U1380" s="28" t="str">
        <f>IF($C1380&lt;&gt;"",COUNTIF($C$2:C1380,C1380),"")</f>
        <v/>
      </c>
      <c r="V1380" s="28" t="str">
        <f t="shared" si="45"/>
        <v/>
      </c>
      <c r="W1380" s="28" t="str">
        <f>IF(U1380=1,COUNTIF($U$2:U1380,1),"")</f>
        <v/>
      </c>
    </row>
    <row r="1381" spans="6:23" ht="31.5" customHeight="1" x14ac:dyDescent="0.25">
      <c r="F1381" s="44" t="s">
        <v>3893</v>
      </c>
      <c r="U1381" s="28" t="str">
        <f>IF($C1381&lt;&gt;"",COUNTIF($C$2:C1381,C1381),"")</f>
        <v/>
      </c>
      <c r="V1381" s="28" t="str">
        <f t="shared" si="45"/>
        <v/>
      </c>
      <c r="W1381" s="28" t="str">
        <f>IF(U1381=1,COUNTIF($U$2:U1381,1),"")</f>
        <v/>
      </c>
    </row>
    <row r="1382" spans="6:23" ht="47.25" customHeight="1" x14ac:dyDescent="0.25">
      <c r="F1382" s="44" t="s">
        <v>3894</v>
      </c>
      <c r="U1382" s="28" t="str">
        <f>IF($C1382&lt;&gt;"",COUNTIF($C$2:C1382,C1382),"")</f>
        <v/>
      </c>
      <c r="V1382" s="28" t="str">
        <f t="shared" si="45"/>
        <v/>
      </c>
      <c r="W1382" s="28" t="str">
        <f>IF(U1382=1,COUNTIF($U$2:U1382,1),"")</f>
        <v/>
      </c>
    </row>
    <row r="1383" spans="6:23" ht="31.5" customHeight="1" x14ac:dyDescent="0.25">
      <c r="F1383" s="44" t="s">
        <v>3895</v>
      </c>
      <c r="U1383" s="28" t="str">
        <f>IF($C1383&lt;&gt;"",COUNTIF($C$2:C1383,C1383),"")</f>
        <v/>
      </c>
      <c r="V1383" s="28" t="str">
        <f t="shared" si="45"/>
        <v/>
      </c>
      <c r="W1383" s="28" t="str">
        <f>IF(U1383=1,COUNTIF($U$2:U1383,1),"")</f>
        <v/>
      </c>
    </row>
    <row r="1384" spans="6:23" ht="47.25" customHeight="1" x14ac:dyDescent="0.25">
      <c r="F1384" s="44" t="s">
        <v>3896</v>
      </c>
      <c r="U1384" s="28" t="str">
        <f>IF($C1384&lt;&gt;"",COUNTIF($C$2:C1384,C1384),"")</f>
        <v/>
      </c>
      <c r="V1384" s="28" t="str">
        <f t="shared" si="45"/>
        <v/>
      </c>
      <c r="W1384" s="28" t="str">
        <f>IF(U1384=1,COUNTIF($U$2:U1384,1),"")</f>
        <v/>
      </c>
    </row>
    <row r="1385" spans="6:23" ht="47.25" customHeight="1" x14ac:dyDescent="0.25">
      <c r="F1385" s="44" t="s">
        <v>3897</v>
      </c>
      <c r="U1385" s="28" t="str">
        <f>IF($C1385&lt;&gt;"",COUNTIF($C$2:C1385,C1385),"")</f>
        <v/>
      </c>
      <c r="V1385" s="28" t="str">
        <f t="shared" si="45"/>
        <v/>
      </c>
      <c r="W1385" s="28" t="str">
        <f>IF(U1385=1,COUNTIF($U$2:U1385,1),"")</f>
        <v/>
      </c>
    </row>
    <row r="1386" spans="6:23" ht="63" customHeight="1" x14ac:dyDescent="0.25">
      <c r="F1386" s="44" t="s">
        <v>3898</v>
      </c>
      <c r="U1386" s="28" t="str">
        <f>IF($C1386&lt;&gt;"",COUNTIF($C$2:C1386,C1386),"")</f>
        <v/>
      </c>
      <c r="V1386" s="28" t="str">
        <f t="shared" si="45"/>
        <v/>
      </c>
      <c r="W1386" s="28" t="str">
        <f>IF(U1386=1,COUNTIF($U$2:U1386,1),"")</f>
        <v/>
      </c>
    </row>
    <row r="1387" spans="6:23" ht="31.5" customHeight="1" x14ac:dyDescent="0.25">
      <c r="F1387" s="44" t="s">
        <v>3899</v>
      </c>
      <c r="U1387" s="28" t="str">
        <f>IF($C1387&lt;&gt;"",COUNTIF($C$2:C1387,C1387),"")</f>
        <v/>
      </c>
      <c r="V1387" s="28" t="str">
        <f t="shared" si="45"/>
        <v/>
      </c>
      <c r="W1387" s="28" t="str">
        <f>IF(U1387=1,COUNTIF($U$2:U1387,1),"")</f>
        <v/>
      </c>
    </row>
    <row r="1388" spans="6:23" ht="31.5" customHeight="1" x14ac:dyDescent="0.25">
      <c r="F1388" s="44" t="s">
        <v>3900</v>
      </c>
      <c r="U1388" s="28" t="str">
        <f>IF($C1388&lt;&gt;"",COUNTIF($C$2:C1388,C1388),"")</f>
        <v/>
      </c>
      <c r="V1388" s="28" t="str">
        <f t="shared" si="45"/>
        <v/>
      </c>
      <c r="W1388" s="28" t="str">
        <f>IF(U1388=1,COUNTIF($U$2:U1388,1),"")</f>
        <v/>
      </c>
    </row>
    <row r="1389" spans="6:23" ht="31.5" customHeight="1" x14ac:dyDescent="0.25">
      <c r="F1389" s="44" t="s">
        <v>3901</v>
      </c>
      <c r="U1389" s="28" t="str">
        <f>IF($C1389&lt;&gt;"",COUNTIF($C$2:C1389,C1389),"")</f>
        <v/>
      </c>
      <c r="V1389" s="28" t="str">
        <f t="shared" si="45"/>
        <v/>
      </c>
      <c r="W1389" s="28" t="str">
        <f>IF(U1389=1,COUNTIF($U$2:U1389,1),"")</f>
        <v/>
      </c>
    </row>
    <row r="1390" spans="6:23" ht="63" customHeight="1" x14ac:dyDescent="0.25">
      <c r="F1390" s="44" t="s">
        <v>3902</v>
      </c>
      <c r="U1390" s="28" t="str">
        <f>IF($C1390&lt;&gt;"",COUNTIF($C$2:C1390,C1390),"")</f>
        <v/>
      </c>
      <c r="V1390" s="28" t="str">
        <f t="shared" si="45"/>
        <v/>
      </c>
      <c r="W1390" s="28" t="str">
        <f>IF(U1390=1,COUNTIF($U$2:U1390,1),"")</f>
        <v/>
      </c>
    </row>
    <row r="1391" spans="6:23" ht="47.25" customHeight="1" x14ac:dyDescent="0.25">
      <c r="F1391" s="44" t="s">
        <v>3903</v>
      </c>
      <c r="U1391" s="28" t="str">
        <f>IF($C1391&lt;&gt;"",COUNTIF($C$2:C1391,C1391),"")</f>
        <v/>
      </c>
      <c r="V1391" s="28" t="str">
        <f t="shared" si="45"/>
        <v/>
      </c>
      <c r="W1391" s="28" t="str">
        <f>IF(U1391=1,COUNTIF($U$2:U1391,1),"")</f>
        <v/>
      </c>
    </row>
    <row r="1392" spans="6:23" ht="63" customHeight="1" x14ac:dyDescent="0.25">
      <c r="F1392" s="44" t="s">
        <v>3904</v>
      </c>
      <c r="U1392" s="28" t="str">
        <f>IF($C1392&lt;&gt;"",COUNTIF($C$2:C1392,C1392),"")</f>
        <v/>
      </c>
      <c r="V1392" s="28" t="str">
        <f t="shared" si="45"/>
        <v/>
      </c>
      <c r="W1392" s="28" t="str">
        <f>IF(U1392=1,COUNTIF($U$2:U1392,1),"")</f>
        <v/>
      </c>
    </row>
    <row r="1393" spans="6:23" ht="63" customHeight="1" x14ac:dyDescent="0.25">
      <c r="F1393" s="44" t="s">
        <v>3905</v>
      </c>
      <c r="U1393" s="28" t="str">
        <f>IF($C1393&lt;&gt;"",COUNTIF($C$2:C1393,C1393),"")</f>
        <v/>
      </c>
      <c r="V1393" s="28" t="str">
        <f t="shared" si="45"/>
        <v/>
      </c>
      <c r="W1393" s="28" t="str">
        <f>IF(U1393=1,COUNTIF($U$2:U1393,1),"")</f>
        <v/>
      </c>
    </row>
    <row r="1394" spans="6:23" ht="47.25" customHeight="1" x14ac:dyDescent="0.25">
      <c r="F1394" s="44" t="s">
        <v>3906</v>
      </c>
      <c r="U1394" s="28" t="str">
        <f>IF($C1394&lt;&gt;"",COUNTIF($C$2:C1394,C1394),"")</f>
        <v/>
      </c>
      <c r="V1394" s="28" t="str">
        <f t="shared" si="45"/>
        <v/>
      </c>
      <c r="W1394" s="28" t="str">
        <f>IF(U1394=1,COUNTIF($U$2:U1394,1),"")</f>
        <v/>
      </c>
    </row>
    <row r="1395" spans="6:23" ht="31.5" customHeight="1" x14ac:dyDescent="0.25">
      <c r="F1395" s="44" t="s">
        <v>3907</v>
      </c>
      <c r="U1395" s="28" t="str">
        <f>IF($C1395&lt;&gt;"",COUNTIF($C$2:C1395,C1395),"")</f>
        <v/>
      </c>
      <c r="V1395" s="28" t="str">
        <f t="shared" si="45"/>
        <v/>
      </c>
      <c r="W1395" s="28" t="str">
        <f>IF(U1395=1,COUNTIF($U$2:U1395,1),"")</f>
        <v/>
      </c>
    </row>
    <row r="1396" spans="6:23" ht="31.5" customHeight="1" x14ac:dyDescent="0.25">
      <c r="F1396" s="44" t="s">
        <v>3908</v>
      </c>
      <c r="U1396" s="28" t="str">
        <f>IF($C1396&lt;&gt;"",COUNTIF($C$2:C1396,C1396),"")</f>
        <v/>
      </c>
      <c r="V1396" s="28" t="str">
        <f t="shared" si="45"/>
        <v/>
      </c>
      <c r="W1396" s="28" t="str">
        <f>IF(U1396=1,COUNTIF($U$2:U1396,1),"")</f>
        <v/>
      </c>
    </row>
    <row r="1397" spans="6:23" ht="47.25" customHeight="1" x14ac:dyDescent="0.25">
      <c r="F1397" s="44" t="s">
        <v>3909</v>
      </c>
      <c r="U1397" s="28" t="str">
        <f>IF($C1397&lt;&gt;"",COUNTIF($C$2:C1397,C1397),"")</f>
        <v/>
      </c>
      <c r="V1397" s="28" t="str">
        <f t="shared" si="45"/>
        <v/>
      </c>
      <c r="W1397" s="28" t="str">
        <f>IF(U1397=1,COUNTIF($U$2:U1397,1),"")</f>
        <v/>
      </c>
    </row>
    <row r="1398" spans="6:23" ht="31.5" customHeight="1" x14ac:dyDescent="0.25">
      <c r="F1398" s="44" t="s">
        <v>3910</v>
      </c>
      <c r="U1398" s="28" t="str">
        <f>IF($C1398&lt;&gt;"",COUNTIF($C$2:C1398,C1398),"")</f>
        <v/>
      </c>
      <c r="V1398" s="28" t="str">
        <f t="shared" si="45"/>
        <v/>
      </c>
      <c r="W1398" s="28" t="str">
        <f>IF(U1398=1,COUNTIF($U$2:U1398,1),"")</f>
        <v/>
      </c>
    </row>
    <row r="1399" spans="6:23" ht="47.25" customHeight="1" x14ac:dyDescent="0.25">
      <c r="F1399" s="44" t="s">
        <v>3911</v>
      </c>
      <c r="U1399" s="28" t="str">
        <f>IF($C1399&lt;&gt;"",COUNTIF($C$2:C1399,C1399),"")</f>
        <v/>
      </c>
      <c r="V1399" s="28" t="str">
        <f t="shared" si="45"/>
        <v/>
      </c>
      <c r="W1399" s="28" t="str">
        <f>IF(U1399=1,COUNTIF($U$2:U1399,1),"")</f>
        <v/>
      </c>
    </row>
    <row r="1400" spans="6:23" ht="31.5" customHeight="1" x14ac:dyDescent="0.25">
      <c r="F1400" s="44" t="s">
        <v>3912</v>
      </c>
      <c r="U1400" s="28" t="str">
        <f>IF($C1400&lt;&gt;"",COUNTIF($C$2:C1400,C1400),"")</f>
        <v/>
      </c>
      <c r="V1400" s="28" t="str">
        <f t="shared" si="45"/>
        <v/>
      </c>
      <c r="W1400" s="28" t="str">
        <f>IF(U1400=1,COUNTIF($U$2:U1400,1),"")</f>
        <v/>
      </c>
    </row>
    <row r="1401" spans="6:23" ht="31.5" customHeight="1" x14ac:dyDescent="0.25">
      <c r="F1401" s="44" t="s">
        <v>3913</v>
      </c>
      <c r="U1401" s="28" t="str">
        <f>IF($C1401&lt;&gt;"",COUNTIF($C$2:C1401,C1401),"")</f>
        <v/>
      </c>
      <c r="V1401" s="28" t="str">
        <f t="shared" si="45"/>
        <v/>
      </c>
      <c r="W1401" s="28" t="str">
        <f>IF(U1401=1,COUNTIF($U$2:U1401,1),"")</f>
        <v/>
      </c>
    </row>
    <row r="1402" spans="6:23" ht="31.5" customHeight="1" x14ac:dyDescent="0.25">
      <c r="F1402" s="44" t="s">
        <v>3914</v>
      </c>
      <c r="U1402" s="28" t="str">
        <f>IF($C1402&lt;&gt;"",COUNTIF($C$2:C1402,C1402),"")</f>
        <v/>
      </c>
      <c r="V1402" s="28" t="str">
        <f t="shared" si="45"/>
        <v/>
      </c>
      <c r="W1402" s="28" t="str">
        <f>IF(U1402=1,COUNTIF($U$2:U1402,1),"")</f>
        <v/>
      </c>
    </row>
    <row r="1403" spans="6:23" ht="31.5" customHeight="1" x14ac:dyDescent="0.25">
      <c r="F1403" s="44" t="s">
        <v>3915</v>
      </c>
      <c r="U1403" s="28" t="str">
        <f>IF($C1403&lt;&gt;"",COUNTIF($C$2:C1403,C1403),"")</f>
        <v/>
      </c>
      <c r="V1403" s="28" t="str">
        <f t="shared" si="45"/>
        <v/>
      </c>
      <c r="W1403" s="28" t="str">
        <f>IF(U1403=1,COUNTIF($U$2:U1403,1),"")</f>
        <v/>
      </c>
    </row>
    <row r="1404" spans="6:23" ht="31.5" customHeight="1" x14ac:dyDescent="0.25">
      <c r="F1404" s="44" t="s">
        <v>3916</v>
      </c>
      <c r="U1404" s="28" t="str">
        <f>IF($C1404&lt;&gt;"",COUNTIF($C$2:C1404,C1404),"")</f>
        <v/>
      </c>
      <c r="V1404" s="28" t="str">
        <f t="shared" si="45"/>
        <v/>
      </c>
      <c r="W1404" s="28" t="str">
        <f>IF(U1404=1,COUNTIF($U$2:U1404,1),"")</f>
        <v/>
      </c>
    </row>
    <row r="1405" spans="6:23" ht="47.25" customHeight="1" x14ac:dyDescent="0.25">
      <c r="F1405" s="44" t="s">
        <v>3917</v>
      </c>
      <c r="U1405" s="28" t="str">
        <f>IF($C1405&lt;&gt;"",COUNTIF($C$2:C1405,C1405),"")</f>
        <v/>
      </c>
      <c r="V1405" s="28" t="str">
        <f t="shared" si="45"/>
        <v/>
      </c>
      <c r="W1405" s="28" t="str">
        <f>IF(U1405=1,COUNTIF($U$2:U1405,1),"")</f>
        <v/>
      </c>
    </row>
    <row r="1406" spans="6:23" ht="47.25" customHeight="1" x14ac:dyDescent="0.25">
      <c r="F1406" s="44" t="s">
        <v>3918</v>
      </c>
      <c r="U1406" s="28" t="str">
        <f>IF($C1406&lt;&gt;"",COUNTIF($C$2:C1406,C1406),"")</f>
        <v/>
      </c>
      <c r="V1406" s="28" t="str">
        <f t="shared" si="45"/>
        <v/>
      </c>
      <c r="W1406" s="28" t="str">
        <f>IF(U1406=1,COUNTIF($U$2:U1406,1),"")</f>
        <v/>
      </c>
    </row>
    <row r="1407" spans="6:23" ht="47.25" customHeight="1" x14ac:dyDescent="0.25">
      <c r="F1407" s="44" t="s">
        <v>3919</v>
      </c>
      <c r="U1407" s="28" t="str">
        <f>IF($C1407&lt;&gt;"",COUNTIF($C$2:C1407,C1407),"")</f>
        <v/>
      </c>
      <c r="V1407" s="28" t="str">
        <f t="shared" si="45"/>
        <v/>
      </c>
      <c r="W1407" s="28" t="str">
        <f>IF(U1407=1,COUNTIF($U$2:U1407,1),"")</f>
        <v/>
      </c>
    </row>
    <row r="1408" spans="6:23" ht="63" customHeight="1" x14ac:dyDescent="0.25">
      <c r="F1408" s="44" t="s">
        <v>3920</v>
      </c>
      <c r="U1408" s="28" t="str">
        <f>IF($C1408&lt;&gt;"",COUNTIF($C$2:C1408,C1408),"")</f>
        <v/>
      </c>
      <c r="V1408" s="28" t="str">
        <f t="shared" si="45"/>
        <v/>
      </c>
      <c r="W1408" s="28" t="str">
        <f>IF(U1408=1,COUNTIF($U$2:U1408,1),"")</f>
        <v/>
      </c>
    </row>
    <row r="1409" spans="6:23" ht="47.25" customHeight="1" x14ac:dyDescent="0.25">
      <c r="F1409" s="44" t="s">
        <v>3921</v>
      </c>
      <c r="U1409" s="28" t="str">
        <f>IF($C1409&lt;&gt;"",COUNTIF($C$2:C1409,C1409),"")</f>
        <v/>
      </c>
      <c r="V1409" s="28" t="str">
        <f t="shared" si="45"/>
        <v/>
      </c>
      <c r="W1409" s="28" t="str">
        <f>IF(U1409=1,COUNTIF($U$2:U1409,1),"")</f>
        <v/>
      </c>
    </row>
    <row r="1410" spans="6:23" ht="47.25" customHeight="1" x14ac:dyDescent="0.25">
      <c r="F1410" s="44" t="s">
        <v>3922</v>
      </c>
      <c r="U1410" s="28" t="str">
        <f>IF($C1410&lt;&gt;"",COUNTIF($C$2:C1410,C1410),"")</f>
        <v/>
      </c>
      <c r="V1410" s="28" t="str">
        <f t="shared" ref="V1410:V1473" si="46">IF($C1410&lt;&gt;"",C1410&amp;"§"&amp;U1410,"")</f>
        <v/>
      </c>
      <c r="W1410" s="28" t="str">
        <f>IF(U1410=1,COUNTIF($U$2:U1410,1),"")</f>
        <v/>
      </c>
    </row>
    <row r="1411" spans="6:23" ht="63" customHeight="1" x14ac:dyDescent="0.25">
      <c r="F1411" s="44" t="s">
        <v>3923</v>
      </c>
      <c r="U1411" s="28" t="str">
        <f>IF($C1411&lt;&gt;"",COUNTIF($C$2:C1411,C1411),"")</f>
        <v/>
      </c>
      <c r="V1411" s="28" t="str">
        <f t="shared" si="46"/>
        <v/>
      </c>
      <c r="W1411" s="28" t="str">
        <f>IF(U1411=1,COUNTIF($U$2:U1411,1),"")</f>
        <v/>
      </c>
    </row>
    <row r="1412" spans="6:23" ht="47.25" customHeight="1" x14ac:dyDescent="0.25">
      <c r="F1412" s="44" t="s">
        <v>3924</v>
      </c>
      <c r="U1412" s="28" t="str">
        <f>IF($C1412&lt;&gt;"",COUNTIF($C$2:C1412,C1412),"")</f>
        <v/>
      </c>
      <c r="V1412" s="28" t="str">
        <f t="shared" si="46"/>
        <v/>
      </c>
      <c r="W1412" s="28" t="str">
        <f>IF(U1412=1,COUNTIF($U$2:U1412,1),"")</f>
        <v/>
      </c>
    </row>
    <row r="1413" spans="6:23" ht="47.25" customHeight="1" x14ac:dyDescent="0.25">
      <c r="F1413" s="44" t="s">
        <v>3925</v>
      </c>
      <c r="U1413" s="28" t="str">
        <f>IF($C1413&lt;&gt;"",COUNTIF($C$2:C1413,C1413),"")</f>
        <v/>
      </c>
      <c r="V1413" s="28" t="str">
        <f t="shared" si="46"/>
        <v/>
      </c>
      <c r="W1413" s="28" t="str">
        <f>IF(U1413=1,COUNTIF($U$2:U1413,1),"")</f>
        <v/>
      </c>
    </row>
    <row r="1414" spans="6:23" ht="63" customHeight="1" x14ac:dyDescent="0.25">
      <c r="F1414" s="44" t="s">
        <v>3926</v>
      </c>
      <c r="U1414" s="28" t="str">
        <f>IF($C1414&lt;&gt;"",COUNTIF($C$2:C1414,C1414),"")</f>
        <v/>
      </c>
      <c r="V1414" s="28" t="str">
        <f t="shared" si="46"/>
        <v/>
      </c>
      <c r="W1414" s="28" t="str">
        <f>IF(U1414=1,COUNTIF($U$2:U1414,1),"")</f>
        <v/>
      </c>
    </row>
    <row r="1415" spans="6:23" ht="63" customHeight="1" x14ac:dyDescent="0.25">
      <c r="F1415" s="44" t="s">
        <v>3927</v>
      </c>
      <c r="U1415" s="28" t="str">
        <f>IF($C1415&lt;&gt;"",COUNTIF($C$2:C1415,C1415),"")</f>
        <v/>
      </c>
      <c r="V1415" s="28" t="str">
        <f t="shared" si="46"/>
        <v/>
      </c>
      <c r="W1415" s="28" t="str">
        <f>IF(U1415=1,COUNTIF($U$2:U1415,1),"")</f>
        <v/>
      </c>
    </row>
    <row r="1416" spans="6:23" ht="47.25" customHeight="1" x14ac:dyDescent="0.25">
      <c r="F1416" s="44" t="s">
        <v>3928</v>
      </c>
      <c r="U1416" s="28" t="str">
        <f>IF($C1416&lt;&gt;"",COUNTIF($C$2:C1416,C1416),"")</f>
        <v/>
      </c>
      <c r="V1416" s="28" t="str">
        <f t="shared" si="46"/>
        <v/>
      </c>
      <c r="W1416" s="28" t="str">
        <f>IF(U1416=1,COUNTIF($U$2:U1416,1),"")</f>
        <v/>
      </c>
    </row>
    <row r="1417" spans="6:23" ht="47.25" customHeight="1" x14ac:dyDescent="0.25">
      <c r="F1417" s="44" t="s">
        <v>3929</v>
      </c>
      <c r="U1417" s="28" t="str">
        <f>IF($C1417&lt;&gt;"",COUNTIF($C$2:C1417,C1417),"")</f>
        <v/>
      </c>
      <c r="V1417" s="28" t="str">
        <f t="shared" si="46"/>
        <v/>
      </c>
      <c r="W1417" s="28" t="str">
        <f>IF(U1417=1,COUNTIF($U$2:U1417,1),"")</f>
        <v/>
      </c>
    </row>
    <row r="1418" spans="6:23" ht="31.5" customHeight="1" x14ac:dyDescent="0.25">
      <c r="F1418" s="44" t="s">
        <v>3930</v>
      </c>
      <c r="U1418" s="28" t="str">
        <f>IF($C1418&lt;&gt;"",COUNTIF($C$2:C1418,C1418),"")</f>
        <v/>
      </c>
      <c r="V1418" s="28" t="str">
        <f t="shared" si="46"/>
        <v/>
      </c>
      <c r="W1418" s="28" t="str">
        <f>IF(U1418=1,COUNTIF($U$2:U1418,1),"")</f>
        <v/>
      </c>
    </row>
    <row r="1419" spans="6:23" ht="47.25" customHeight="1" x14ac:dyDescent="0.25">
      <c r="F1419" s="44" t="s">
        <v>3931</v>
      </c>
      <c r="U1419" s="28" t="str">
        <f>IF($C1419&lt;&gt;"",COUNTIF($C$2:C1419,C1419),"")</f>
        <v/>
      </c>
      <c r="V1419" s="28" t="str">
        <f t="shared" si="46"/>
        <v/>
      </c>
      <c r="W1419" s="28" t="str">
        <f>IF(U1419=1,COUNTIF($U$2:U1419,1),"")</f>
        <v/>
      </c>
    </row>
    <row r="1420" spans="6:23" ht="63" customHeight="1" x14ac:dyDescent="0.25">
      <c r="F1420" s="44" t="s">
        <v>3932</v>
      </c>
      <c r="U1420" s="28" t="str">
        <f>IF($C1420&lt;&gt;"",COUNTIF($C$2:C1420,C1420),"")</f>
        <v/>
      </c>
      <c r="V1420" s="28" t="str">
        <f t="shared" si="46"/>
        <v/>
      </c>
      <c r="W1420" s="28" t="str">
        <f>IF(U1420=1,COUNTIF($U$2:U1420,1),"")</f>
        <v/>
      </c>
    </row>
    <row r="1421" spans="6:23" ht="31.5" customHeight="1" x14ac:dyDescent="0.25">
      <c r="F1421" s="44" t="s">
        <v>3933</v>
      </c>
      <c r="U1421" s="28" t="str">
        <f>IF($C1421&lt;&gt;"",COUNTIF($C$2:C1421,C1421),"")</f>
        <v/>
      </c>
      <c r="V1421" s="28" t="str">
        <f t="shared" si="46"/>
        <v/>
      </c>
      <c r="W1421" s="28" t="str">
        <f>IF(U1421=1,COUNTIF($U$2:U1421,1),"")</f>
        <v/>
      </c>
    </row>
    <row r="1422" spans="6:23" ht="31.5" customHeight="1" x14ac:dyDescent="0.25">
      <c r="F1422" s="44" t="s">
        <v>3934</v>
      </c>
      <c r="U1422" s="28" t="str">
        <f>IF($C1422&lt;&gt;"",COUNTIF($C$2:C1422,C1422),"")</f>
        <v/>
      </c>
      <c r="V1422" s="28" t="str">
        <f t="shared" si="46"/>
        <v/>
      </c>
      <c r="W1422" s="28" t="str">
        <f>IF(U1422=1,COUNTIF($U$2:U1422,1),"")</f>
        <v/>
      </c>
    </row>
    <row r="1423" spans="6:23" ht="63" customHeight="1" x14ac:dyDescent="0.25">
      <c r="F1423" s="44" t="s">
        <v>3935</v>
      </c>
      <c r="U1423" s="28" t="str">
        <f>IF($C1423&lt;&gt;"",COUNTIF($C$2:C1423,C1423),"")</f>
        <v/>
      </c>
      <c r="V1423" s="28" t="str">
        <f t="shared" si="46"/>
        <v/>
      </c>
      <c r="W1423" s="28" t="str">
        <f>IF(U1423=1,COUNTIF($U$2:U1423,1),"")</f>
        <v/>
      </c>
    </row>
    <row r="1424" spans="6:23" ht="31.5" customHeight="1" x14ac:dyDescent="0.25">
      <c r="F1424" s="44" t="s">
        <v>3936</v>
      </c>
      <c r="U1424" s="28" t="str">
        <f>IF($C1424&lt;&gt;"",COUNTIF($C$2:C1424,C1424),"")</f>
        <v/>
      </c>
      <c r="V1424" s="28" t="str">
        <f t="shared" si="46"/>
        <v/>
      </c>
      <c r="W1424" s="28" t="str">
        <f>IF(U1424=1,COUNTIF($U$2:U1424,1),"")</f>
        <v/>
      </c>
    </row>
    <row r="1425" spans="6:23" ht="63" customHeight="1" x14ac:dyDescent="0.25">
      <c r="F1425" s="44" t="s">
        <v>3937</v>
      </c>
      <c r="U1425" s="28" t="str">
        <f>IF($C1425&lt;&gt;"",COUNTIF($C$2:C1425,C1425),"")</f>
        <v/>
      </c>
      <c r="V1425" s="28" t="str">
        <f t="shared" si="46"/>
        <v/>
      </c>
      <c r="W1425" s="28" t="str">
        <f>IF(U1425=1,COUNTIF($U$2:U1425,1),"")</f>
        <v/>
      </c>
    </row>
    <row r="1426" spans="6:23" ht="47.25" customHeight="1" x14ac:dyDescent="0.25">
      <c r="F1426" s="44" t="s">
        <v>3938</v>
      </c>
      <c r="U1426" s="28" t="str">
        <f>IF($C1426&lt;&gt;"",COUNTIF($C$2:C1426,C1426),"")</f>
        <v/>
      </c>
      <c r="V1426" s="28" t="str">
        <f t="shared" si="46"/>
        <v/>
      </c>
      <c r="W1426" s="28" t="str">
        <f>IF(U1426=1,COUNTIF($U$2:U1426,1),"")</f>
        <v/>
      </c>
    </row>
    <row r="1427" spans="6:23" ht="31.5" customHeight="1" x14ac:dyDescent="0.25">
      <c r="F1427" s="44" t="s">
        <v>3939</v>
      </c>
      <c r="U1427" s="28" t="str">
        <f>IF($C1427&lt;&gt;"",COUNTIF($C$2:C1427,C1427),"")</f>
        <v/>
      </c>
      <c r="V1427" s="28" t="str">
        <f t="shared" si="46"/>
        <v/>
      </c>
      <c r="W1427" s="28" t="str">
        <f>IF(U1427=1,COUNTIF($U$2:U1427,1),"")</f>
        <v/>
      </c>
    </row>
    <row r="1428" spans="6:23" ht="63" customHeight="1" x14ac:dyDescent="0.25">
      <c r="F1428" s="44" t="s">
        <v>3940</v>
      </c>
      <c r="U1428" s="28" t="str">
        <f>IF($C1428&lt;&gt;"",COUNTIF($C$2:C1428,C1428),"")</f>
        <v/>
      </c>
      <c r="V1428" s="28" t="str">
        <f t="shared" si="46"/>
        <v/>
      </c>
      <c r="W1428" s="28" t="str">
        <f>IF(U1428=1,COUNTIF($U$2:U1428,1),"")</f>
        <v/>
      </c>
    </row>
    <row r="1429" spans="6:23" ht="47.25" customHeight="1" x14ac:dyDescent="0.25">
      <c r="F1429" s="44" t="s">
        <v>3941</v>
      </c>
      <c r="U1429" s="28" t="str">
        <f>IF($C1429&lt;&gt;"",COUNTIF($C$2:C1429,C1429),"")</f>
        <v/>
      </c>
      <c r="V1429" s="28" t="str">
        <f t="shared" si="46"/>
        <v/>
      </c>
      <c r="W1429" s="28" t="str">
        <f>IF(U1429=1,COUNTIF($U$2:U1429,1),"")</f>
        <v/>
      </c>
    </row>
    <row r="1430" spans="6:23" ht="31.5" customHeight="1" x14ac:dyDescent="0.25">
      <c r="F1430" s="44" t="s">
        <v>3942</v>
      </c>
      <c r="U1430" s="28" t="str">
        <f>IF($C1430&lt;&gt;"",COUNTIF($C$2:C1430,C1430),"")</f>
        <v/>
      </c>
      <c r="V1430" s="28" t="str">
        <f t="shared" si="46"/>
        <v/>
      </c>
      <c r="W1430" s="28" t="str">
        <f>IF(U1430=1,COUNTIF($U$2:U1430,1),"")</f>
        <v/>
      </c>
    </row>
    <row r="1431" spans="6:23" ht="47.25" customHeight="1" x14ac:dyDescent="0.25">
      <c r="F1431" s="44" t="s">
        <v>3943</v>
      </c>
      <c r="U1431" s="28" t="str">
        <f>IF($C1431&lt;&gt;"",COUNTIF($C$2:C1431,C1431),"")</f>
        <v/>
      </c>
      <c r="V1431" s="28" t="str">
        <f t="shared" si="46"/>
        <v/>
      </c>
      <c r="W1431" s="28" t="str">
        <f>IF(U1431=1,COUNTIF($U$2:U1431,1),"")</f>
        <v/>
      </c>
    </row>
    <row r="1432" spans="6:23" ht="31.5" customHeight="1" x14ac:dyDescent="0.25">
      <c r="F1432" s="44" t="s">
        <v>3944</v>
      </c>
      <c r="U1432" s="28" t="str">
        <f>IF($C1432&lt;&gt;"",COUNTIF($C$2:C1432,C1432),"")</f>
        <v/>
      </c>
      <c r="V1432" s="28" t="str">
        <f t="shared" si="46"/>
        <v/>
      </c>
      <c r="W1432" s="28" t="str">
        <f>IF(U1432=1,COUNTIF($U$2:U1432,1),"")</f>
        <v/>
      </c>
    </row>
    <row r="1433" spans="6:23" ht="78.75" customHeight="1" x14ac:dyDescent="0.25">
      <c r="F1433" s="44" t="s">
        <v>3945</v>
      </c>
      <c r="U1433" s="28" t="str">
        <f>IF($C1433&lt;&gt;"",COUNTIF($C$2:C1433,C1433),"")</f>
        <v/>
      </c>
      <c r="V1433" s="28" t="str">
        <f t="shared" si="46"/>
        <v/>
      </c>
      <c r="W1433" s="28" t="str">
        <f>IF(U1433=1,COUNTIF($U$2:U1433,1),"")</f>
        <v/>
      </c>
    </row>
    <row r="1434" spans="6:23" ht="47.25" customHeight="1" x14ac:dyDescent="0.25">
      <c r="F1434" s="44" t="s">
        <v>3946</v>
      </c>
      <c r="U1434" s="28" t="str">
        <f>IF($C1434&lt;&gt;"",COUNTIF($C$2:C1434,C1434),"")</f>
        <v/>
      </c>
      <c r="V1434" s="28" t="str">
        <f t="shared" si="46"/>
        <v/>
      </c>
      <c r="W1434" s="28" t="str">
        <f>IF(U1434=1,COUNTIF($U$2:U1434,1),"")</f>
        <v/>
      </c>
    </row>
    <row r="1435" spans="6:23" ht="31.5" customHeight="1" x14ac:dyDescent="0.25">
      <c r="F1435" s="44" t="s">
        <v>3947</v>
      </c>
      <c r="U1435" s="28" t="str">
        <f>IF($C1435&lt;&gt;"",COUNTIF($C$2:C1435,C1435),"")</f>
        <v/>
      </c>
      <c r="V1435" s="28" t="str">
        <f t="shared" si="46"/>
        <v/>
      </c>
      <c r="W1435" s="28" t="str">
        <f>IF(U1435=1,COUNTIF($U$2:U1435,1),"")</f>
        <v/>
      </c>
    </row>
    <row r="1436" spans="6:23" ht="31.5" customHeight="1" x14ac:dyDescent="0.25">
      <c r="F1436" s="44" t="s">
        <v>3948</v>
      </c>
      <c r="U1436" s="28" t="str">
        <f>IF($C1436&lt;&gt;"",COUNTIF($C$2:C1436,C1436),"")</f>
        <v/>
      </c>
      <c r="V1436" s="28" t="str">
        <f t="shared" si="46"/>
        <v/>
      </c>
      <c r="W1436" s="28" t="str">
        <f>IF(U1436=1,COUNTIF($U$2:U1436,1),"")</f>
        <v/>
      </c>
    </row>
    <row r="1437" spans="6:23" ht="47.25" customHeight="1" x14ac:dyDescent="0.25">
      <c r="F1437" s="44" t="s">
        <v>3949</v>
      </c>
      <c r="U1437" s="28" t="str">
        <f>IF($C1437&lt;&gt;"",COUNTIF($C$2:C1437,C1437),"")</f>
        <v/>
      </c>
      <c r="V1437" s="28" t="str">
        <f t="shared" si="46"/>
        <v/>
      </c>
      <c r="W1437" s="28" t="str">
        <f>IF(U1437=1,COUNTIF($U$2:U1437,1),"")</f>
        <v/>
      </c>
    </row>
    <row r="1438" spans="6:23" ht="63" customHeight="1" x14ac:dyDescent="0.25">
      <c r="F1438" s="44" t="s">
        <v>3950</v>
      </c>
      <c r="U1438" s="28" t="str">
        <f>IF($C1438&lt;&gt;"",COUNTIF($C$2:C1438,C1438),"")</f>
        <v/>
      </c>
      <c r="V1438" s="28" t="str">
        <f t="shared" si="46"/>
        <v/>
      </c>
      <c r="W1438" s="28" t="str">
        <f>IF(U1438=1,COUNTIF($U$2:U1438,1),"")</f>
        <v/>
      </c>
    </row>
    <row r="1439" spans="6:23" ht="47.25" customHeight="1" x14ac:dyDescent="0.25">
      <c r="F1439" s="44" t="s">
        <v>3951</v>
      </c>
      <c r="U1439" s="28" t="str">
        <f>IF($C1439&lt;&gt;"",COUNTIF($C$2:C1439,C1439),"")</f>
        <v/>
      </c>
      <c r="V1439" s="28" t="str">
        <f t="shared" si="46"/>
        <v/>
      </c>
      <c r="W1439" s="28" t="str">
        <f>IF(U1439=1,COUNTIF($U$2:U1439,1),"")</f>
        <v/>
      </c>
    </row>
    <row r="1440" spans="6:23" ht="47.25" customHeight="1" x14ac:dyDescent="0.25">
      <c r="F1440" s="44" t="s">
        <v>3952</v>
      </c>
      <c r="U1440" s="28" t="str">
        <f>IF($C1440&lt;&gt;"",COUNTIF($C$2:C1440,C1440),"")</f>
        <v/>
      </c>
      <c r="V1440" s="28" t="str">
        <f t="shared" si="46"/>
        <v/>
      </c>
      <c r="W1440" s="28" t="str">
        <f>IF(U1440=1,COUNTIF($U$2:U1440,1),"")</f>
        <v/>
      </c>
    </row>
    <row r="1441" spans="6:23" ht="47.25" customHeight="1" x14ac:dyDescent="0.25">
      <c r="F1441" s="44" t="s">
        <v>3953</v>
      </c>
      <c r="U1441" s="28" t="str">
        <f>IF($C1441&lt;&gt;"",COUNTIF($C$2:C1441,C1441),"")</f>
        <v/>
      </c>
      <c r="V1441" s="28" t="str">
        <f t="shared" si="46"/>
        <v/>
      </c>
      <c r="W1441" s="28" t="str">
        <f>IF(U1441=1,COUNTIF($U$2:U1441,1),"")</f>
        <v/>
      </c>
    </row>
    <row r="1442" spans="6:23" ht="47.25" customHeight="1" x14ac:dyDescent="0.25">
      <c r="F1442" s="44" t="s">
        <v>3954</v>
      </c>
      <c r="U1442" s="28" t="str">
        <f>IF($C1442&lt;&gt;"",COUNTIF($C$2:C1442,C1442),"")</f>
        <v/>
      </c>
      <c r="V1442" s="28" t="str">
        <f t="shared" si="46"/>
        <v/>
      </c>
      <c r="W1442" s="28" t="str">
        <f>IF(U1442=1,COUNTIF($U$2:U1442,1),"")</f>
        <v/>
      </c>
    </row>
    <row r="1443" spans="6:23" ht="47.25" customHeight="1" x14ac:dyDescent="0.25">
      <c r="F1443" s="44" t="s">
        <v>3955</v>
      </c>
      <c r="U1443" s="28" t="str">
        <f>IF($C1443&lt;&gt;"",COUNTIF($C$2:C1443,C1443),"")</f>
        <v/>
      </c>
      <c r="V1443" s="28" t="str">
        <f t="shared" si="46"/>
        <v/>
      </c>
      <c r="W1443" s="28" t="str">
        <f>IF(U1443=1,COUNTIF($U$2:U1443,1),"")</f>
        <v/>
      </c>
    </row>
    <row r="1444" spans="6:23" ht="63" customHeight="1" x14ac:dyDescent="0.25">
      <c r="F1444" s="44" t="s">
        <v>3956</v>
      </c>
      <c r="U1444" s="28" t="str">
        <f>IF($C1444&lt;&gt;"",COUNTIF($C$2:C1444,C1444),"")</f>
        <v/>
      </c>
      <c r="V1444" s="28" t="str">
        <f t="shared" si="46"/>
        <v/>
      </c>
      <c r="W1444" s="28" t="str">
        <f>IF(U1444=1,COUNTIF($U$2:U1444,1),"")</f>
        <v/>
      </c>
    </row>
    <row r="1445" spans="6:23" ht="31.5" customHeight="1" x14ac:dyDescent="0.25">
      <c r="F1445" s="44" t="s">
        <v>3957</v>
      </c>
      <c r="U1445" s="28" t="str">
        <f>IF($C1445&lt;&gt;"",COUNTIF($C$2:C1445,C1445),"")</f>
        <v/>
      </c>
      <c r="V1445" s="28" t="str">
        <f t="shared" si="46"/>
        <v/>
      </c>
      <c r="W1445" s="28" t="str">
        <f>IF(U1445=1,COUNTIF($U$2:U1445,1),"")</f>
        <v/>
      </c>
    </row>
    <row r="1446" spans="6:23" ht="31.5" customHeight="1" x14ac:dyDescent="0.25">
      <c r="F1446" s="44" t="s">
        <v>3958</v>
      </c>
      <c r="U1446" s="28" t="str">
        <f>IF($C1446&lt;&gt;"",COUNTIF($C$2:C1446,C1446),"")</f>
        <v/>
      </c>
      <c r="V1446" s="28" t="str">
        <f t="shared" si="46"/>
        <v/>
      </c>
      <c r="W1446" s="28" t="str">
        <f>IF(U1446=1,COUNTIF($U$2:U1446,1),"")</f>
        <v/>
      </c>
    </row>
    <row r="1447" spans="6:23" ht="31.5" customHeight="1" x14ac:dyDescent="0.25">
      <c r="F1447" s="44" t="s">
        <v>3959</v>
      </c>
      <c r="U1447" s="28" t="str">
        <f>IF($C1447&lt;&gt;"",COUNTIF($C$2:C1447,C1447),"")</f>
        <v/>
      </c>
      <c r="V1447" s="28" t="str">
        <f t="shared" si="46"/>
        <v/>
      </c>
      <c r="W1447" s="28" t="str">
        <f>IF(U1447=1,COUNTIF($U$2:U1447,1),"")</f>
        <v/>
      </c>
    </row>
    <row r="1448" spans="6:23" ht="47.25" customHeight="1" x14ac:dyDescent="0.25">
      <c r="F1448" s="44" t="s">
        <v>3960</v>
      </c>
      <c r="U1448" s="28" t="str">
        <f>IF($C1448&lt;&gt;"",COUNTIF($C$2:C1448,C1448),"")</f>
        <v/>
      </c>
      <c r="V1448" s="28" t="str">
        <f t="shared" si="46"/>
        <v/>
      </c>
      <c r="W1448" s="28" t="str">
        <f>IF(U1448=1,COUNTIF($U$2:U1448,1),"")</f>
        <v/>
      </c>
    </row>
    <row r="1449" spans="6:23" ht="31.5" customHeight="1" x14ac:dyDescent="0.25">
      <c r="F1449" s="44" t="s">
        <v>3961</v>
      </c>
      <c r="U1449" s="28" t="str">
        <f>IF($C1449&lt;&gt;"",COUNTIF($C$2:C1449,C1449),"")</f>
        <v/>
      </c>
      <c r="V1449" s="28" t="str">
        <f t="shared" si="46"/>
        <v/>
      </c>
      <c r="W1449" s="28" t="str">
        <f>IF(U1449=1,COUNTIF($U$2:U1449,1),"")</f>
        <v/>
      </c>
    </row>
    <row r="1450" spans="6:23" ht="31.5" customHeight="1" x14ac:dyDescent="0.25">
      <c r="F1450" s="44" t="s">
        <v>3962</v>
      </c>
      <c r="U1450" s="28" t="str">
        <f>IF($C1450&lt;&gt;"",COUNTIF($C$2:C1450,C1450),"")</f>
        <v/>
      </c>
      <c r="V1450" s="28" t="str">
        <f t="shared" si="46"/>
        <v/>
      </c>
      <c r="W1450" s="28" t="str">
        <f>IF(U1450=1,COUNTIF($U$2:U1450,1),"")</f>
        <v/>
      </c>
    </row>
    <row r="1451" spans="6:23" ht="47.25" customHeight="1" x14ac:dyDescent="0.25">
      <c r="F1451" s="44" t="s">
        <v>3963</v>
      </c>
      <c r="U1451" s="28" t="str">
        <f>IF($C1451&lt;&gt;"",COUNTIF($C$2:C1451,C1451),"")</f>
        <v/>
      </c>
      <c r="V1451" s="28" t="str">
        <f t="shared" si="46"/>
        <v/>
      </c>
      <c r="W1451" s="28" t="str">
        <f>IF(U1451=1,COUNTIF($U$2:U1451,1),"")</f>
        <v/>
      </c>
    </row>
    <row r="1452" spans="6:23" ht="31.5" customHeight="1" x14ac:dyDescent="0.25">
      <c r="F1452" s="44" t="s">
        <v>3964</v>
      </c>
      <c r="U1452" s="28" t="str">
        <f>IF($C1452&lt;&gt;"",COUNTIF($C$2:C1452,C1452),"")</f>
        <v/>
      </c>
      <c r="V1452" s="28" t="str">
        <f t="shared" si="46"/>
        <v/>
      </c>
      <c r="W1452" s="28" t="str">
        <f>IF(U1452=1,COUNTIF($U$2:U1452,1),"")</f>
        <v/>
      </c>
    </row>
    <row r="1453" spans="6:23" ht="31.5" customHeight="1" x14ac:dyDescent="0.25">
      <c r="F1453" s="44" t="s">
        <v>3965</v>
      </c>
      <c r="U1453" s="28" t="str">
        <f>IF($C1453&lt;&gt;"",COUNTIF($C$2:C1453,C1453),"")</f>
        <v/>
      </c>
      <c r="V1453" s="28" t="str">
        <f t="shared" si="46"/>
        <v/>
      </c>
      <c r="W1453" s="28" t="str">
        <f>IF(U1453=1,COUNTIF($U$2:U1453,1),"")</f>
        <v/>
      </c>
    </row>
    <row r="1454" spans="6:23" ht="31.5" customHeight="1" x14ac:dyDescent="0.25">
      <c r="F1454" s="44" t="s">
        <v>3966</v>
      </c>
      <c r="U1454" s="28" t="str">
        <f>IF($C1454&lt;&gt;"",COUNTIF($C$2:C1454,C1454),"")</f>
        <v/>
      </c>
      <c r="V1454" s="28" t="str">
        <f t="shared" si="46"/>
        <v/>
      </c>
      <c r="W1454" s="28" t="str">
        <f>IF(U1454=1,COUNTIF($U$2:U1454,1),"")</f>
        <v/>
      </c>
    </row>
    <row r="1455" spans="6:23" ht="31.5" customHeight="1" x14ac:dyDescent="0.25">
      <c r="F1455" s="44" t="s">
        <v>3967</v>
      </c>
      <c r="U1455" s="28" t="str">
        <f>IF($C1455&lt;&gt;"",COUNTIF($C$2:C1455,C1455),"")</f>
        <v/>
      </c>
      <c r="V1455" s="28" t="str">
        <f t="shared" si="46"/>
        <v/>
      </c>
      <c r="W1455" s="28" t="str">
        <f>IF(U1455=1,COUNTIF($U$2:U1455,1),"")</f>
        <v/>
      </c>
    </row>
    <row r="1456" spans="6:23" ht="47.25" customHeight="1" x14ac:dyDescent="0.25">
      <c r="F1456" s="44" t="s">
        <v>3968</v>
      </c>
      <c r="U1456" s="28" t="str">
        <f>IF($C1456&lt;&gt;"",COUNTIF($C$2:C1456,C1456),"")</f>
        <v/>
      </c>
      <c r="V1456" s="28" t="str">
        <f t="shared" si="46"/>
        <v/>
      </c>
      <c r="W1456" s="28" t="str">
        <f>IF(U1456=1,COUNTIF($U$2:U1456,1),"")</f>
        <v/>
      </c>
    </row>
    <row r="1457" spans="6:23" ht="31.5" customHeight="1" x14ac:dyDescent="0.25">
      <c r="F1457" s="44" t="s">
        <v>3969</v>
      </c>
      <c r="U1457" s="28" t="str">
        <f>IF($C1457&lt;&gt;"",COUNTIF($C$2:C1457,C1457),"")</f>
        <v/>
      </c>
      <c r="V1457" s="28" t="str">
        <f t="shared" si="46"/>
        <v/>
      </c>
      <c r="W1457" s="28" t="str">
        <f>IF(U1457=1,COUNTIF($U$2:U1457,1),"")</f>
        <v/>
      </c>
    </row>
    <row r="1458" spans="6:23" ht="31.5" customHeight="1" x14ac:dyDescent="0.25">
      <c r="F1458" s="44" t="s">
        <v>3970</v>
      </c>
      <c r="U1458" s="28" t="str">
        <f>IF($C1458&lt;&gt;"",COUNTIF($C$2:C1458,C1458),"")</f>
        <v/>
      </c>
      <c r="V1458" s="28" t="str">
        <f t="shared" si="46"/>
        <v/>
      </c>
      <c r="W1458" s="28" t="str">
        <f>IF(U1458=1,COUNTIF($U$2:U1458,1),"")</f>
        <v/>
      </c>
    </row>
    <row r="1459" spans="6:23" ht="31.5" customHeight="1" x14ac:dyDescent="0.25">
      <c r="F1459" s="44" t="s">
        <v>3971</v>
      </c>
      <c r="U1459" s="28" t="str">
        <f>IF($C1459&lt;&gt;"",COUNTIF($C$2:C1459,C1459),"")</f>
        <v/>
      </c>
      <c r="V1459" s="28" t="str">
        <f t="shared" si="46"/>
        <v/>
      </c>
      <c r="W1459" s="28" t="str">
        <f>IF(U1459=1,COUNTIF($U$2:U1459,1),"")</f>
        <v/>
      </c>
    </row>
    <row r="1460" spans="6:23" ht="47.25" customHeight="1" x14ac:dyDescent="0.25">
      <c r="F1460" s="44" t="s">
        <v>3972</v>
      </c>
      <c r="U1460" s="28" t="str">
        <f>IF($C1460&lt;&gt;"",COUNTIF($C$2:C1460,C1460),"")</f>
        <v/>
      </c>
      <c r="V1460" s="28" t="str">
        <f t="shared" si="46"/>
        <v/>
      </c>
      <c r="W1460" s="28" t="str">
        <f>IF(U1460=1,COUNTIF($U$2:U1460,1),"")</f>
        <v/>
      </c>
    </row>
    <row r="1461" spans="6:23" ht="31.5" customHeight="1" x14ac:dyDescent="0.25">
      <c r="F1461" s="44" t="s">
        <v>3973</v>
      </c>
      <c r="U1461" s="28" t="str">
        <f>IF($C1461&lt;&gt;"",COUNTIF($C$2:C1461,C1461),"")</f>
        <v/>
      </c>
      <c r="V1461" s="28" t="str">
        <f t="shared" si="46"/>
        <v/>
      </c>
      <c r="W1461" s="28" t="str">
        <f>IF(U1461=1,COUNTIF($U$2:U1461,1),"")</f>
        <v/>
      </c>
    </row>
    <row r="1462" spans="6:23" ht="78.75" customHeight="1" x14ac:dyDescent="0.25">
      <c r="F1462" s="44" t="s">
        <v>3974</v>
      </c>
      <c r="U1462" s="28" t="str">
        <f>IF($C1462&lt;&gt;"",COUNTIF($C$2:C1462,C1462),"")</f>
        <v/>
      </c>
      <c r="V1462" s="28" t="str">
        <f t="shared" si="46"/>
        <v/>
      </c>
      <c r="W1462" s="28" t="str">
        <f>IF(U1462=1,COUNTIF($U$2:U1462,1),"")</f>
        <v/>
      </c>
    </row>
    <row r="1463" spans="6:23" ht="31.5" customHeight="1" x14ac:dyDescent="0.25">
      <c r="F1463" s="44" t="s">
        <v>3975</v>
      </c>
      <c r="U1463" s="28" t="str">
        <f>IF($C1463&lt;&gt;"",COUNTIF($C$2:C1463,C1463),"")</f>
        <v/>
      </c>
      <c r="V1463" s="28" t="str">
        <f t="shared" si="46"/>
        <v/>
      </c>
      <c r="W1463" s="28" t="str">
        <f>IF(U1463=1,COUNTIF($U$2:U1463,1),"")</f>
        <v/>
      </c>
    </row>
    <row r="1464" spans="6:23" ht="63" customHeight="1" x14ac:dyDescent="0.25">
      <c r="F1464" s="44" t="s">
        <v>3976</v>
      </c>
      <c r="U1464" s="28" t="str">
        <f>IF($C1464&lt;&gt;"",COUNTIF($C$2:C1464,C1464),"")</f>
        <v/>
      </c>
      <c r="V1464" s="28" t="str">
        <f t="shared" si="46"/>
        <v/>
      </c>
      <c r="W1464" s="28" t="str">
        <f>IF(U1464=1,COUNTIF($U$2:U1464,1),"")</f>
        <v/>
      </c>
    </row>
    <row r="1465" spans="6:23" ht="31.5" customHeight="1" x14ac:dyDescent="0.25">
      <c r="F1465" s="44" t="s">
        <v>3977</v>
      </c>
      <c r="U1465" s="28" t="str">
        <f>IF($C1465&lt;&gt;"",COUNTIF($C$2:C1465,C1465),"")</f>
        <v/>
      </c>
      <c r="V1465" s="28" t="str">
        <f t="shared" si="46"/>
        <v/>
      </c>
      <c r="W1465" s="28" t="str">
        <f>IF(U1465=1,COUNTIF($U$2:U1465,1),"")</f>
        <v/>
      </c>
    </row>
    <row r="1466" spans="6:23" ht="31.5" customHeight="1" x14ac:dyDescent="0.25">
      <c r="F1466" s="44" t="s">
        <v>3978</v>
      </c>
      <c r="U1466" s="28" t="str">
        <f>IF($C1466&lt;&gt;"",COUNTIF($C$2:C1466,C1466),"")</f>
        <v/>
      </c>
      <c r="V1466" s="28" t="str">
        <f t="shared" si="46"/>
        <v/>
      </c>
      <c r="W1466" s="28" t="str">
        <f>IF(U1466=1,COUNTIF($U$2:U1466,1),"")</f>
        <v/>
      </c>
    </row>
    <row r="1467" spans="6:23" ht="47.25" customHeight="1" x14ac:dyDescent="0.25">
      <c r="F1467" s="44" t="s">
        <v>3979</v>
      </c>
      <c r="U1467" s="28" t="str">
        <f>IF($C1467&lt;&gt;"",COUNTIF($C$2:C1467,C1467),"")</f>
        <v/>
      </c>
      <c r="V1467" s="28" t="str">
        <f t="shared" si="46"/>
        <v/>
      </c>
      <c r="W1467" s="28" t="str">
        <f>IF(U1467=1,COUNTIF($U$2:U1467,1),"")</f>
        <v/>
      </c>
    </row>
    <row r="1468" spans="6:23" ht="47.25" customHeight="1" x14ac:dyDescent="0.25">
      <c r="F1468" s="44" t="s">
        <v>3980</v>
      </c>
      <c r="U1468" s="28" t="str">
        <f>IF($C1468&lt;&gt;"",COUNTIF($C$2:C1468,C1468),"")</f>
        <v/>
      </c>
      <c r="V1468" s="28" t="str">
        <f t="shared" si="46"/>
        <v/>
      </c>
      <c r="W1468" s="28" t="str">
        <f>IF(U1468=1,COUNTIF($U$2:U1468,1),"")</f>
        <v/>
      </c>
    </row>
    <row r="1469" spans="6:23" ht="47.25" customHeight="1" x14ac:dyDescent="0.25">
      <c r="F1469" s="44" t="s">
        <v>3981</v>
      </c>
      <c r="U1469" s="28" t="str">
        <f>IF($C1469&lt;&gt;"",COUNTIF($C$2:C1469,C1469),"")</f>
        <v/>
      </c>
      <c r="V1469" s="28" t="str">
        <f t="shared" si="46"/>
        <v/>
      </c>
      <c r="W1469" s="28" t="str">
        <f>IF(U1469=1,COUNTIF($U$2:U1469,1),"")</f>
        <v/>
      </c>
    </row>
    <row r="1470" spans="6:23" ht="31.5" customHeight="1" x14ac:dyDescent="0.25">
      <c r="F1470" s="44" t="s">
        <v>3982</v>
      </c>
      <c r="U1470" s="28" t="str">
        <f>IF($C1470&lt;&gt;"",COUNTIF($C$2:C1470,C1470),"")</f>
        <v/>
      </c>
      <c r="V1470" s="28" t="str">
        <f t="shared" si="46"/>
        <v/>
      </c>
      <c r="W1470" s="28" t="str">
        <f>IF(U1470=1,COUNTIF($U$2:U1470,1),"")</f>
        <v/>
      </c>
    </row>
    <row r="1471" spans="6:23" ht="47.25" customHeight="1" x14ac:dyDescent="0.25">
      <c r="F1471" s="44" t="s">
        <v>3983</v>
      </c>
      <c r="U1471" s="28" t="str">
        <f>IF($C1471&lt;&gt;"",COUNTIF($C$2:C1471,C1471),"")</f>
        <v/>
      </c>
      <c r="V1471" s="28" t="str">
        <f t="shared" si="46"/>
        <v/>
      </c>
      <c r="W1471" s="28" t="str">
        <f>IF(U1471=1,COUNTIF($U$2:U1471,1),"")</f>
        <v/>
      </c>
    </row>
    <row r="1472" spans="6:23" ht="31.5" customHeight="1" x14ac:dyDescent="0.25">
      <c r="F1472" s="44" t="s">
        <v>3984</v>
      </c>
      <c r="U1472" s="28" t="str">
        <f>IF($C1472&lt;&gt;"",COUNTIF($C$2:C1472,C1472),"")</f>
        <v/>
      </c>
      <c r="V1472" s="28" t="str">
        <f t="shared" si="46"/>
        <v/>
      </c>
      <c r="W1472" s="28" t="str">
        <f>IF(U1472=1,COUNTIF($U$2:U1472,1),"")</f>
        <v/>
      </c>
    </row>
    <row r="1473" spans="6:23" ht="31.5" customHeight="1" x14ac:dyDescent="0.25">
      <c r="F1473" s="44" t="s">
        <v>3985</v>
      </c>
      <c r="U1473" s="28" t="str">
        <f>IF($C1473&lt;&gt;"",COUNTIF($C$2:C1473,C1473),"")</f>
        <v/>
      </c>
      <c r="V1473" s="28" t="str">
        <f t="shared" si="46"/>
        <v/>
      </c>
      <c r="W1473" s="28" t="str">
        <f>IF(U1473=1,COUNTIF($U$2:U1473,1),"")</f>
        <v/>
      </c>
    </row>
    <row r="1474" spans="6:23" ht="47.25" customHeight="1" x14ac:dyDescent="0.25">
      <c r="F1474" s="44" t="s">
        <v>3986</v>
      </c>
      <c r="U1474" s="28" t="str">
        <f>IF($C1474&lt;&gt;"",COUNTIF($C$2:C1474,C1474),"")</f>
        <v/>
      </c>
      <c r="V1474" s="28" t="str">
        <f t="shared" ref="V1474:V1537" si="47">IF($C1474&lt;&gt;"",C1474&amp;"§"&amp;U1474,"")</f>
        <v/>
      </c>
      <c r="W1474" s="28" t="str">
        <f>IF(U1474=1,COUNTIF($U$2:U1474,1),"")</f>
        <v/>
      </c>
    </row>
    <row r="1475" spans="6:23" ht="31.5" customHeight="1" x14ac:dyDescent="0.25">
      <c r="F1475" s="44" t="s">
        <v>3987</v>
      </c>
      <c r="U1475" s="28" t="str">
        <f>IF($C1475&lt;&gt;"",COUNTIF($C$2:C1475,C1475),"")</f>
        <v/>
      </c>
      <c r="V1475" s="28" t="str">
        <f t="shared" si="47"/>
        <v/>
      </c>
      <c r="W1475" s="28" t="str">
        <f>IF(U1475=1,COUNTIF($U$2:U1475,1),"")</f>
        <v/>
      </c>
    </row>
    <row r="1476" spans="6:23" ht="63" customHeight="1" x14ac:dyDescent="0.25">
      <c r="F1476" s="44" t="s">
        <v>3988</v>
      </c>
      <c r="U1476" s="28" t="str">
        <f>IF($C1476&lt;&gt;"",COUNTIF($C$2:C1476,C1476),"")</f>
        <v/>
      </c>
      <c r="V1476" s="28" t="str">
        <f t="shared" si="47"/>
        <v/>
      </c>
      <c r="W1476" s="28" t="str">
        <f>IF(U1476=1,COUNTIF($U$2:U1476,1),"")</f>
        <v/>
      </c>
    </row>
    <row r="1477" spans="6:23" ht="47.25" customHeight="1" x14ac:dyDescent="0.25">
      <c r="F1477" s="44" t="s">
        <v>3989</v>
      </c>
      <c r="U1477" s="28" t="str">
        <f>IF($C1477&lt;&gt;"",COUNTIF($C$2:C1477,C1477),"")</f>
        <v/>
      </c>
      <c r="V1477" s="28" t="str">
        <f t="shared" si="47"/>
        <v/>
      </c>
      <c r="W1477" s="28" t="str">
        <f>IF(U1477=1,COUNTIF($U$2:U1477,1),"")</f>
        <v/>
      </c>
    </row>
    <row r="1478" spans="6:23" ht="47.25" customHeight="1" x14ac:dyDescent="0.25">
      <c r="F1478" s="44" t="s">
        <v>3990</v>
      </c>
      <c r="U1478" s="28" t="str">
        <f>IF($C1478&lt;&gt;"",COUNTIF($C$2:C1478,C1478),"")</f>
        <v/>
      </c>
      <c r="V1478" s="28" t="str">
        <f t="shared" si="47"/>
        <v/>
      </c>
      <c r="W1478" s="28" t="str">
        <f>IF(U1478=1,COUNTIF($U$2:U1478,1),"")</f>
        <v/>
      </c>
    </row>
    <row r="1479" spans="6:23" ht="47.25" customHeight="1" x14ac:dyDescent="0.25">
      <c r="F1479" s="44" t="s">
        <v>3991</v>
      </c>
      <c r="U1479" s="28" t="str">
        <f>IF($C1479&lt;&gt;"",COUNTIF($C$2:C1479,C1479),"")</f>
        <v/>
      </c>
      <c r="V1479" s="28" t="str">
        <f t="shared" si="47"/>
        <v/>
      </c>
      <c r="W1479" s="28" t="str">
        <f>IF(U1479=1,COUNTIF($U$2:U1479,1),"")</f>
        <v/>
      </c>
    </row>
    <row r="1480" spans="6:23" ht="31.5" customHeight="1" x14ac:dyDescent="0.25">
      <c r="F1480" s="44" t="s">
        <v>3992</v>
      </c>
      <c r="U1480" s="28" t="str">
        <f>IF($C1480&lt;&gt;"",COUNTIF($C$2:C1480,C1480),"")</f>
        <v/>
      </c>
      <c r="V1480" s="28" t="str">
        <f t="shared" si="47"/>
        <v/>
      </c>
      <c r="W1480" s="28" t="str">
        <f>IF(U1480=1,COUNTIF($U$2:U1480,1),"")</f>
        <v/>
      </c>
    </row>
    <row r="1481" spans="6:23" ht="47.25" customHeight="1" x14ac:dyDescent="0.25">
      <c r="F1481" s="44" t="s">
        <v>3993</v>
      </c>
      <c r="U1481" s="28" t="str">
        <f>IF($C1481&lt;&gt;"",COUNTIF($C$2:C1481,C1481),"")</f>
        <v/>
      </c>
      <c r="V1481" s="28" t="str">
        <f t="shared" si="47"/>
        <v/>
      </c>
      <c r="W1481" s="28" t="str">
        <f>IF(U1481=1,COUNTIF($U$2:U1481,1),"")</f>
        <v/>
      </c>
    </row>
    <row r="1482" spans="6:23" ht="31.5" customHeight="1" x14ac:dyDescent="0.25">
      <c r="F1482" s="44" t="s">
        <v>3994</v>
      </c>
      <c r="U1482" s="28" t="str">
        <f>IF($C1482&lt;&gt;"",COUNTIF($C$2:C1482,C1482),"")</f>
        <v/>
      </c>
      <c r="V1482" s="28" t="str">
        <f t="shared" si="47"/>
        <v/>
      </c>
      <c r="W1482" s="28" t="str">
        <f>IF(U1482=1,COUNTIF($U$2:U1482,1),"")</f>
        <v/>
      </c>
    </row>
    <row r="1483" spans="6:23" ht="31.5" customHeight="1" x14ac:dyDescent="0.25">
      <c r="F1483" s="44" t="s">
        <v>3995</v>
      </c>
      <c r="U1483" s="28" t="str">
        <f>IF($C1483&lt;&gt;"",COUNTIF($C$2:C1483,C1483),"")</f>
        <v/>
      </c>
      <c r="V1483" s="28" t="str">
        <f t="shared" si="47"/>
        <v/>
      </c>
      <c r="W1483" s="28" t="str">
        <f>IF(U1483=1,COUNTIF($U$2:U1483,1),"")</f>
        <v/>
      </c>
    </row>
    <row r="1484" spans="6:23" ht="47.25" customHeight="1" x14ac:dyDescent="0.25">
      <c r="F1484" s="44" t="s">
        <v>3996</v>
      </c>
      <c r="U1484" s="28" t="str">
        <f>IF($C1484&lt;&gt;"",COUNTIF($C$2:C1484,C1484),"")</f>
        <v/>
      </c>
      <c r="V1484" s="28" t="str">
        <f t="shared" si="47"/>
        <v/>
      </c>
      <c r="W1484" s="28" t="str">
        <f>IF(U1484=1,COUNTIF($U$2:U1484,1),"")</f>
        <v/>
      </c>
    </row>
    <row r="1485" spans="6:23" ht="31.5" customHeight="1" x14ac:dyDescent="0.25">
      <c r="F1485" s="44" t="s">
        <v>3997</v>
      </c>
      <c r="U1485" s="28" t="str">
        <f>IF($C1485&lt;&gt;"",COUNTIF($C$2:C1485,C1485),"")</f>
        <v/>
      </c>
      <c r="V1485" s="28" t="str">
        <f t="shared" si="47"/>
        <v/>
      </c>
      <c r="W1485" s="28" t="str">
        <f>IF(U1485=1,COUNTIF($U$2:U1485,1),"")</f>
        <v/>
      </c>
    </row>
    <row r="1486" spans="6:23" ht="47.25" customHeight="1" x14ac:dyDescent="0.25">
      <c r="F1486" s="44" t="s">
        <v>3998</v>
      </c>
      <c r="U1486" s="28" t="str">
        <f>IF($C1486&lt;&gt;"",COUNTIF($C$2:C1486,C1486),"")</f>
        <v/>
      </c>
      <c r="V1486" s="28" t="str">
        <f t="shared" si="47"/>
        <v/>
      </c>
      <c r="W1486" s="28" t="str">
        <f>IF(U1486=1,COUNTIF($U$2:U1486,1),"")</f>
        <v/>
      </c>
    </row>
    <row r="1487" spans="6:23" ht="47.25" customHeight="1" x14ac:dyDescent="0.25">
      <c r="F1487" s="44" t="s">
        <v>3999</v>
      </c>
      <c r="U1487" s="28" t="str">
        <f>IF($C1487&lt;&gt;"",COUNTIF($C$2:C1487,C1487),"")</f>
        <v/>
      </c>
      <c r="V1487" s="28" t="str">
        <f t="shared" si="47"/>
        <v/>
      </c>
      <c r="W1487" s="28" t="str">
        <f>IF(U1487=1,COUNTIF($U$2:U1487,1),"")</f>
        <v/>
      </c>
    </row>
    <row r="1488" spans="6:23" ht="31.5" customHeight="1" x14ac:dyDescent="0.25">
      <c r="F1488" s="44" t="s">
        <v>4000</v>
      </c>
      <c r="U1488" s="28" t="str">
        <f>IF($C1488&lt;&gt;"",COUNTIF($C$2:C1488,C1488),"")</f>
        <v/>
      </c>
      <c r="V1488" s="28" t="str">
        <f t="shared" si="47"/>
        <v/>
      </c>
      <c r="W1488" s="28" t="str">
        <f>IF(U1488=1,COUNTIF($U$2:U1488,1),"")</f>
        <v/>
      </c>
    </row>
    <row r="1489" spans="6:23" ht="63" customHeight="1" x14ac:dyDescent="0.25">
      <c r="F1489" s="44" t="s">
        <v>4001</v>
      </c>
      <c r="U1489" s="28" t="str">
        <f>IF($C1489&lt;&gt;"",COUNTIF($C$2:C1489,C1489),"")</f>
        <v/>
      </c>
      <c r="V1489" s="28" t="str">
        <f t="shared" si="47"/>
        <v/>
      </c>
      <c r="W1489" s="28" t="str">
        <f>IF(U1489=1,COUNTIF($U$2:U1489,1),"")</f>
        <v/>
      </c>
    </row>
    <row r="1490" spans="6:23" ht="47.25" customHeight="1" x14ac:dyDescent="0.25">
      <c r="F1490" s="44" t="s">
        <v>4002</v>
      </c>
      <c r="U1490" s="28" t="str">
        <f>IF($C1490&lt;&gt;"",COUNTIF($C$2:C1490,C1490),"")</f>
        <v/>
      </c>
      <c r="V1490" s="28" t="str">
        <f t="shared" si="47"/>
        <v/>
      </c>
      <c r="W1490" s="28" t="str">
        <f>IF(U1490=1,COUNTIF($U$2:U1490,1),"")</f>
        <v/>
      </c>
    </row>
    <row r="1491" spans="6:23" ht="31.5" customHeight="1" x14ac:dyDescent="0.25">
      <c r="F1491" s="44" t="s">
        <v>4003</v>
      </c>
      <c r="U1491" s="28" t="str">
        <f>IF($C1491&lt;&gt;"",COUNTIF($C$2:C1491,C1491),"")</f>
        <v/>
      </c>
      <c r="V1491" s="28" t="str">
        <f t="shared" si="47"/>
        <v/>
      </c>
      <c r="W1491" s="28" t="str">
        <f>IF(U1491=1,COUNTIF($U$2:U1491,1),"")</f>
        <v/>
      </c>
    </row>
    <row r="1492" spans="6:23" ht="47.25" customHeight="1" x14ac:dyDescent="0.25">
      <c r="F1492" s="44" t="s">
        <v>4004</v>
      </c>
      <c r="U1492" s="28" t="str">
        <f>IF($C1492&lt;&gt;"",COUNTIF($C$2:C1492,C1492),"")</f>
        <v/>
      </c>
      <c r="V1492" s="28" t="str">
        <f t="shared" si="47"/>
        <v/>
      </c>
      <c r="W1492" s="28" t="str">
        <f>IF(U1492=1,COUNTIF($U$2:U1492,1),"")</f>
        <v/>
      </c>
    </row>
    <row r="1493" spans="6:23" ht="47.25" customHeight="1" x14ac:dyDescent="0.25">
      <c r="F1493" s="44" t="s">
        <v>4005</v>
      </c>
      <c r="U1493" s="28" t="str">
        <f>IF($C1493&lt;&gt;"",COUNTIF($C$2:C1493,C1493),"")</f>
        <v/>
      </c>
      <c r="V1493" s="28" t="str">
        <f t="shared" si="47"/>
        <v/>
      </c>
      <c r="W1493" s="28" t="str">
        <f>IF(U1493=1,COUNTIF($U$2:U1493,1),"")</f>
        <v/>
      </c>
    </row>
    <row r="1494" spans="6:23" ht="47.25" customHeight="1" x14ac:dyDescent="0.25">
      <c r="F1494" s="44" t="s">
        <v>4006</v>
      </c>
      <c r="U1494" s="28" t="str">
        <f>IF($C1494&lt;&gt;"",COUNTIF($C$2:C1494,C1494),"")</f>
        <v/>
      </c>
      <c r="V1494" s="28" t="str">
        <f t="shared" si="47"/>
        <v/>
      </c>
      <c r="W1494" s="28" t="str">
        <f>IF(U1494=1,COUNTIF($U$2:U1494,1),"")</f>
        <v/>
      </c>
    </row>
    <row r="1495" spans="6:23" ht="63" customHeight="1" x14ac:dyDescent="0.25">
      <c r="F1495" s="44" t="s">
        <v>4007</v>
      </c>
      <c r="U1495" s="28" t="str">
        <f>IF($C1495&lt;&gt;"",COUNTIF($C$2:C1495,C1495),"")</f>
        <v/>
      </c>
      <c r="V1495" s="28" t="str">
        <f t="shared" si="47"/>
        <v/>
      </c>
      <c r="W1495" s="28" t="str">
        <f>IF(U1495=1,COUNTIF($U$2:U1495,1),"")</f>
        <v/>
      </c>
    </row>
    <row r="1496" spans="6:23" ht="63" customHeight="1" x14ac:dyDescent="0.25">
      <c r="F1496" s="44" t="s">
        <v>4008</v>
      </c>
      <c r="U1496" s="28" t="str">
        <f>IF($C1496&lt;&gt;"",COUNTIF($C$2:C1496,C1496),"")</f>
        <v/>
      </c>
      <c r="V1496" s="28" t="str">
        <f t="shared" si="47"/>
        <v/>
      </c>
      <c r="W1496" s="28" t="str">
        <f>IF(U1496=1,COUNTIF($U$2:U1496,1),"")</f>
        <v/>
      </c>
    </row>
    <row r="1497" spans="6:23" ht="31.5" customHeight="1" x14ac:dyDescent="0.25">
      <c r="F1497" s="44" t="s">
        <v>4009</v>
      </c>
      <c r="U1497" s="28" t="str">
        <f>IF($C1497&lt;&gt;"",COUNTIF($C$2:C1497,C1497),"")</f>
        <v/>
      </c>
      <c r="V1497" s="28" t="str">
        <f t="shared" si="47"/>
        <v/>
      </c>
      <c r="W1497" s="28" t="str">
        <f>IF(U1497=1,COUNTIF($U$2:U1497,1),"")</f>
        <v/>
      </c>
    </row>
    <row r="1498" spans="6:23" ht="31.5" customHeight="1" x14ac:dyDescent="0.25">
      <c r="F1498" s="44" t="s">
        <v>4010</v>
      </c>
      <c r="U1498" s="28" t="str">
        <f>IF($C1498&lt;&gt;"",COUNTIF($C$2:C1498,C1498),"")</f>
        <v/>
      </c>
      <c r="V1498" s="28" t="str">
        <f t="shared" si="47"/>
        <v/>
      </c>
      <c r="W1498" s="28" t="str">
        <f>IF(U1498=1,COUNTIF($U$2:U1498,1),"")</f>
        <v/>
      </c>
    </row>
    <row r="1499" spans="6:23" ht="47.25" customHeight="1" x14ac:dyDescent="0.25">
      <c r="F1499" s="44" t="s">
        <v>4011</v>
      </c>
      <c r="U1499" s="28" t="str">
        <f>IF($C1499&lt;&gt;"",COUNTIF($C$2:C1499,C1499),"")</f>
        <v/>
      </c>
      <c r="V1499" s="28" t="str">
        <f t="shared" si="47"/>
        <v/>
      </c>
      <c r="W1499" s="28" t="str">
        <f>IF(U1499=1,COUNTIF($U$2:U1499,1),"")</f>
        <v/>
      </c>
    </row>
    <row r="1500" spans="6:23" ht="47.25" customHeight="1" x14ac:dyDescent="0.25">
      <c r="F1500" s="44" t="s">
        <v>4012</v>
      </c>
      <c r="U1500" s="28" t="str">
        <f>IF($C1500&lt;&gt;"",COUNTIF($C$2:C1500,C1500),"")</f>
        <v/>
      </c>
      <c r="V1500" s="28" t="str">
        <f t="shared" si="47"/>
        <v/>
      </c>
      <c r="W1500" s="28" t="str">
        <f>IF(U1500=1,COUNTIF($U$2:U1500,1),"")</f>
        <v/>
      </c>
    </row>
    <row r="1501" spans="6:23" ht="31.5" customHeight="1" x14ac:dyDescent="0.25">
      <c r="F1501" s="44" t="s">
        <v>4013</v>
      </c>
      <c r="U1501" s="28" t="str">
        <f>IF($C1501&lt;&gt;"",COUNTIF($C$2:C1501,C1501),"")</f>
        <v/>
      </c>
      <c r="V1501" s="28" t="str">
        <f t="shared" si="47"/>
        <v/>
      </c>
      <c r="W1501" s="28" t="str">
        <f>IF(U1501=1,COUNTIF($U$2:U1501,1),"")</f>
        <v/>
      </c>
    </row>
    <row r="1502" spans="6:23" ht="47.25" customHeight="1" x14ac:dyDescent="0.25">
      <c r="F1502" s="44" t="s">
        <v>4014</v>
      </c>
      <c r="U1502" s="28" t="str">
        <f>IF($C1502&lt;&gt;"",COUNTIF($C$2:C1502,C1502),"")</f>
        <v/>
      </c>
      <c r="V1502" s="28" t="str">
        <f t="shared" si="47"/>
        <v/>
      </c>
      <c r="W1502" s="28" t="str">
        <f>IF(U1502=1,COUNTIF($U$2:U1502,1),"")</f>
        <v/>
      </c>
    </row>
    <row r="1503" spans="6:23" ht="31.5" customHeight="1" x14ac:dyDescent="0.25">
      <c r="F1503" s="44" t="s">
        <v>4015</v>
      </c>
      <c r="U1503" s="28" t="str">
        <f>IF($C1503&lt;&gt;"",COUNTIF($C$2:C1503,C1503),"")</f>
        <v/>
      </c>
      <c r="V1503" s="28" t="str">
        <f t="shared" si="47"/>
        <v/>
      </c>
      <c r="W1503" s="28" t="str">
        <f>IF(U1503=1,COUNTIF($U$2:U1503,1),"")</f>
        <v/>
      </c>
    </row>
    <row r="1504" spans="6:23" ht="47.25" customHeight="1" x14ac:dyDescent="0.25">
      <c r="F1504" s="44" t="s">
        <v>4016</v>
      </c>
      <c r="U1504" s="28" t="str">
        <f>IF($C1504&lt;&gt;"",COUNTIF($C$2:C1504,C1504),"")</f>
        <v/>
      </c>
      <c r="V1504" s="28" t="str">
        <f t="shared" si="47"/>
        <v/>
      </c>
      <c r="W1504" s="28" t="str">
        <f>IF(U1504=1,COUNTIF($U$2:U1504,1),"")</f>
        <v/>
      </c>
    </row>
    <row r="1505" spans="6:23" ht="47.25" customHeight="1" x14ac:dyDescent="0.25">
      <c r="F1505" s="44" t="s">
        <v>4017</v>
      </c>
      <c r="U1505" s="28" t="str">
        <f>IF($C1505&lt;&gt;"",COUNTIF($C$2:C1505,C1505),"")</f>
        <v/>
      </c>
      <c r="V1505" s="28" t="str">
        <f t="shared" si="47"/>
        <v/>
      </c>
      <c r="W1505" s="28" t="str">
        <f>IF(U1505=1,COUNTIF($U$2:U1505,1),"")</f>
        <v/>
      </c>
    </row>
    <row r="1506" spans="6:23" ht="47.25" customHeight="1" x14ac:dyDescent="0.25">
      <c r="F1506" s="44" t="s">
        <v>4018</v>
      </c>
      <c r="U1506" s="28" t="str">
        <f>IF($C1506&lt;&gt;"",COUNTIF($C$2:C1506,C1506),"")</f>
        <v/>
      </c>
      <c r="V1506" s="28" t="str">
        <f t="shared" si="47"/>
        <v/>
      </c>
      <c r="W1506" s="28" t="str">
        <f>IF(U1506=1,COUNTIF($U$2:U1506,1),"")</f>
        <v/>
      </c>
    </row>
    <row r="1507" spans="6:23" ht="31.5" customHeight="1" x14ac:dyDescent="0.25">
      <c r="F1507" s="44" t="s">
        <v>4019</v>
      </c>
      <c r="U1507" s="28" t="str">
        <f>IF($C1507&lt;&gt;"",COUNTIF($C$2:C1507,C1507),"")</f>
        <v/>
      </c>
      <c r="V1507" s="28" t="str">
        <f t="shared" si="47"/>
        <v/>
      </c>
      <c r="W1507" s="28" t="str">
        <f>IF(U1507=1,COUNTIF($U$2:U1507,1),"")</f>
        <v/>
      </c>
    </row>
    <row r="1508" spans="6:23" ht="47.25" customHeight="1" x14ac:dyDescent="0.25">
      <c r="F1508" s="44" t="s">
        <v>4020</v>
      </c>
      <c r="U1508" s="28" t="str">
        <f>IF($C1508&lt;&gt;"",COUNTIF($C$2:C1508,C1508),"")</f>
        <v/>
      </c>
      <c r="V1508" s="28" t="str">
        <f t="shared" si="47"/>
        <v/>
      </c>
      <c r="W1508" s="28" t="str">
        <f>IF(U1508=1,COUNTIF($U$2:U1508,1),"")</f>
        <v/>
      </c>
    </row>
    <row r="1509" spans="6:23" ht="31.5" customHeight="1" x14ac:dyDescent="0.25">
      <c r="F1509" s="44" t="s">
        <v>4021</v>
      </c>
      <c r="U1509" s="28" t="str">
        <f>IF($C1509&lt;&gt;"",COUNTIF($C$2:C1509,C1509),"")</f>
        <v/>
      </c>
      <c r="V1509" s="28" t="str">
        <f t="shared" si="47"/>
        <v/>
      </c>
      <c r="W1509" s="28" t="str">
        <f>IF(U1509=1,COUNTIF($U$2:U1509,1),"")</f>
        <v/>
      </c>
    </row>
    <row r="1510" spans="6:23" ht="47.25" customHeight="1" x14ac:dyDescent="0.25">
      <c r="F1510" s="44" t="s">
        <v>4022</v>
      </c>
      <c r="U1510" s="28" t="str">
        <f>IF($C1510&lt;&gt;"",COUNTIF($C$2:C1510,C1510),"")</f>
        <v/>
      </c>
      <c r="V1510" s="28" t="str">
        <f t="shared" si="47"/>
        <v/>
      </c>
      <c r="W1510" s="28" t="str">
        <f>IF(U1510=1,COUNTIF($U$2:U1510,1),"")</f>
        <v/>
      </c>
    </row>
    <row r="1511" spans="6:23" ht="47.25" customHeight="1" x14ac:dyDescent="0.25">
      <c r="F1511" s="44" t="s">
        <v>4023</v>
      </c>
      <c r="U1511" s="28" t="str">
        <f>IF($C1511&lt;&gt;"",COUNTIF($C$2:C1511,C1511),"")</f>
        <v/>
      </c>
      <c r="V1511" s="28" t="str">
        <f t="shared" si="47"/>
        <v/>
      </c>
      <c r="W1511" s="28" t="str">
        <f>IF(U1511=1,COUNTIF($U$2:U1511,1),"")</f>
        <v/>
      </c>
    </row>
    <row r="1512" spans="6:23" ht="63" customHeight="1" x14ac:dyDescent="0.25">
      <c r="F1512" s="44" t="s">
        <v>4024</v>
      </c>
      <c r="U1512" s="28" t="str">
        <f>IF($C1512&lt;&gt;"",COUNTIF($C$2:C1512,C1512),"")</f>
        <v/>
      </c>
      <c r="V1512" s="28" t="str">
        <f t="shared" si="47"/>
        <v/>
      </c>
      <c r="W1512" s="28" t="str">
        <f>IF(U1512=1,COUNTIF($U$2:U1512,1),"")</f>
        <v/>
      </c>
    </row>
    <row r="1513" spans="6:23" ht="63" customHeight="1" x14ac:dyDescent="0.25">
      <c r="F1513" s="44" t="s">
        <v>4025</v>
      </c>
      <c r="U1513" s="28" t="str">
        <f>IF($C1513&lt;&gt;"",COUNTIF($C$2:C1513,C1513),"")</f>
        <v/>
      </c>
      <c r="V1513" s="28" t="str">
        <f t="shared" si="47"/>
        <v/>
      </c>
      <c r="W1513" s="28" t="str">
        <f>IF(U1513=1,COUNTIF($U$2:U1513,1),"")</f>
        <v/>
      </c>
    </row>
    <row r="1514" spans="6:23" ht="47.25" customHeight="1" x14ac:dyDescent="0.25">
      <c r="F1514" s="44" t="s">
        <v>4026</v>
      </c>
      <c r="U1514" s="28" t="str">
        <f>IF($C1514&lt;&gt;"",COUNTIF($C$2:C1514,C1514),"")</f>
        <v/>
      </c>
      <c r="V1514" s="28" t="str">
        <f t="shared" si="47"/>
        <v/>
      </c>
      <c r="W1514" s="28" t="str">
        <f>IF(U1514=1,COUNTIF($U$2:U1514,1),"")</f>
        <v/>
      </c>
    </row>
    <row r="1515" spans="6:23" ht="78.75" customHeight="1" x14ac:dyDescent="0.25">
      <c r="F1515" s="44" t="s">
        <v>4027</v>
      </c>
      <c r="U1515" s="28" t="str">
        <f>IF($C1515&lt;&gt;"",COUNTIF($C$2:C1515,C1515),"")</f>
        <v/>
      </c>
      <c r="V1515" s="28" t="str">
        <f t="shared" si="47"/>
        <v/>
      </c>
      <c r="W1515" s="28" t="str">
        <f>IF(U1515=1,COUNTIF($U$2:U1515,1),"")</f>
        <v/>
      </c>
    </row>
    <row r="1516" spans="6:23" ht="63" customHeight="1" x14ac:dyDescent="0.25">
      <c r="F1516" s="44" t="s">
        <v>4028</v>
      </c>
      <c r="U1516" s="28" t="str">
        <f>IF($C1516&lt;&gt;"",COUNTIF($C$2:C1516,C1516),"")</f>
        <v/>
      </c>
      <c r="V1516" s="28" t="str">
        <f t="shared" si="47"/>
        <v/>
      </c>
      <c r="W1516" s="28" t="str">
        <f>IF(U1516=1,COUNTIF($U$2:U1516,1),"")</f>
        <v/>
      </c>
    </row>
    <row r="1517" spans="6:23" ht="31.5" customHeight="1" x14ac:dyDescent="0.25">
      <c r="F1517" s="44" t="s">
        <v>4029</v>
      </c>
      <c r="U1517" s="28" t="str">
        <f>IF($C1517&lt;&gt;"",COUNTIF($C$2:C1517,C1517),"")</f>
        <v/>
      </c>
      <c r="V1517" s="28" t="str">
        <f t="shared" si="47"/>
        <v/>
      </c>
      <c r="W1517" s="28" t="str">
        <f>IF(U1517=1,COUNTIF($U$2:U1517,1),"")</f>
        <v/>
      </c>
    </row>
    <row r="1518" spans="6:23" ht="31.5" customHeight="1" x14ac:dyDescent="0.25">
      <c r="F1518" s="44" t="s">
        <v>4030</v>
      </c>
      <c r="U1518" s="28" t="str">
        <f>IF($C1518&lt;&gt;"",COUNTIF($C$2:C1518,C1518),"")</f>
        <v/>
      </c>
      <c r="V1518" s="28" t="str">
        <f t="shared" si="47"/>
        <v/>
      </c>
      <c r="W1518" s="28" t="str">
        <f>IF(U1518=1,COUNTIF($U$2:U1518,1),"")</f>
        <v/>
      </c>
    </row>
    <row r="1519" spans="6:23" ht="47.25" customHeight="1" x14ac:dyDescent="0.25">
      <c r="F1519" s="44" t="s">
        <v>4031</v>
      </c>
      <c r="U1519" s="28" t="str">
        <f>IF($C1519&lt;&gt;"",COUNTIF($C$2:C1519,C1519),"")</f>
        <v/>
      </c>
      <c r="V1519" s="28" t="str">
        <f t="shared" si="47"/>
        <v/>
      </c>
      <c r="W1519" s="28" t="str">
        <f>IF(U1519=1,COUNTIF($U$2:U1519,1),"")</f>
        <v/>
      </c>
    </row>
    <row r="1520" spans="6:23" ht="31.5" customHeight="1" x14ac:dyDescent="0.25">
      <c r="F1520" s="44" t="s">
        <v>4032</v>
      </c>
      <c r="U1520" s="28" t="str">
        <f>IF($C1520&lt;&gt;"",COUNTIF($C$2:C1520,C1520),"")</f>
        <v/>
      </c>
      <c r="V1520" s="28" t="str">
        <f t="shared" si="47"/>
        <v/>
      </c>
      <c r="W1520" s="28" t="str">
        <f>IF(U1520=1,COUNTIF($U$2:U1520,1),"")</f>
        <v/>
      </c>
    </row>
    <row r="1521" spans="6:23" ht="47.25" customHeight="1" x14ac:dyDescent="0.25">
      <c r="F1521" s="44" t="s">
        <v>4033</v>
      </c>
      <c r="U1521" s="28" t="str">
        <f>IF($C1521&lt;&gt;"",COUNTIF($C$2:C1521,C1521),"")</f>
        <v/>
      </c>
      <c r="V1521" s="28" t="str">
        <f t="shared" si="47"/>
        <v/>
      </c>
      <c r="W1521" s="28" t="str">
        <f>IF(U1521=1,COUNTIF($U$2:U1521,1),"")</f>
        <v/>
      </c>
    </row>
    <row r="1522" spans="6:23" ht="47.25" customHeight="1" x14ac:dyDescent="0.25">
      <c r="F1522" s="44" t="s">
        <v>4034</v>
      </c>
      <c r="U1522" s="28" t="str">
        <f>IF($C1522&lt;&gt;"",COUNTIF($C$2:C1522,C1522),"")</f>
        <v/>
      </c>
      <c r="V1522" s="28" t="str">
        <f t="shared" si="47"/>
        <v/>
      </c>
      <c r="W1522" s="28" t="str">
        <f>IF(U1522=1,COUNTIF($U$2:U1522,1),"")</f>
        <v/>
      </c>
    </row>
    <row r="1523" spans="6:23" ht="47.25" customHeight="1" x14ac:dyDescent="0.25">
      <c r="F1523" s="44" t="s">
        <v>4035</v>
      </c>
      <c r="U1523" s="28" t="str">
        <f>IF($C1523&lt;&gt;"",COUNTIF($C$2:C1523,C1523),"")</f>
        <v/>
      </c>
      <c r="V1523" s="28" t="str">
        <f t="shared" si="47"/>
        <v/>
      </c>
      <c r="W1523" s="28" t="str">
        <f>IF(U1523=1,COUNTIF($U$2:U1523,1),"")</f>
        <v/>
      </c>
    </row>
    <row r="1524" spans="6:23" ht="47.25" customHeight="1" x14ac:dyDescent="0.25">
      <c r="F1524" s="44" t="s">
        <v>4036</v>
      </c>
      <c r="U1524" s="28" t="str">
        <f>IF($C1524&lt;&gt;"",COUNTIF($C$2:C1524,C1524),"")</f>
        <v/>
      </c>
      <c r="V1524" s="28" t="str">
        <f t="shared" si="47"/>
        <v/>
      </c>
      <c r="W1524" s="28" t="str">
        <f>IF(U1524=1,COUNTIF($U$2:U1524,1),"")</f>
        <v/>
      </c>
    </row>
    <row r="1525" spans="6:23" ht="63" customHeight="1" x14ac:dyDescent="0.25">
      <c r="F1525" s="44" t="s">
        <v>4037</v>
      </c>
      <c r="U1525" s="28" t="str">
        <f>IF($C1525&lt;&gt;"",COUNTIF($C$2:C1525,C1525),"")</f>
        <v/>
      </c>
      <c r="V1525" s="28" t="str">
        <f t="shared" si="47"/>
        <v/>
      </c>
      <c r="W1525" s="28" t="str">
        <f>IF(U1525=1,COUNTIF($U$2:U1525,1),"")</f>
        <v/>
      </c>
    </row>
    <row r="1526" spans="6:23" ht="47.25" customHeight="1" x14ac:dyDescent="0.25">
      <c r="F1526" s="44" t="s">
        <v>4038</v>
      </c>
      <c r="U1526" s="28" t="str">
        <f>IF($C1526&lt;&gt;"",COUNTIF($C$2:C1526,C1526),"")</f>
        <v/>
      </c>
      <c r="V1526" s="28" t="str">
        <f t="shared" si="47"/>
        <v/>
      </c>
      <c r="W1526" s="28" t="str">
        <f>IF(U1526=1,COUNTIF($U$2:U1526,1),"")</f>
        <v/>
      </c>
    </row>
    <row r="1527" spans="6:23" ht="47.25" customHeight="1" x14ac:dyDescent="0.25">
      <c r="F1527" s="44" t="s">
        <v>4039</v>
      </c>
      <c r="U1527" s="28" t="str">
        <f>IF($C1527&lt;&gt;"",COUNTIF($C$2:C1527,C1527),"")</f>
        <v/>
      </c>
      <c r="V1527" s="28" t="str">
        <f t="shared" si="47"/>
        <v/>
      </c>
      <c r="W1527" s="28" t="str">
        <f>IF(U1527=1,COUNTIF($U$2:U1527,1),"")</f>
        <v/>
      </c>
    </row>
    <row r="1528" spans="6:23" ht="47.25" customHeight="1" x14ac:dyDescent="0.25">
      <c r="F1528" s="44" t="s">
        <v>4040</v>
      </c>
      <c r="U1528" s="28" t="str">
        <f>IF($C1528&lt;&gt;"",COUNTIF($C$2:C1528,C1528),"")</f>
        <v/>
      </c>
      <c r="V1528" s="28" t="str">
        <f t="shared" si="47"/>
        <v/>
      </c>
      <c r="W1528" s="28" t="str">
        <f>IF(U1528=1,COUNTIF($U$2:U1528,1),"")</f>
        <v/>
      </c>
    </row>
    <row r="1529" spans="6:23" ht="47.25" customHeight="1" x14ac:dyDescent="0.25">
      <c r="F1529" s="44" t="s">
        <v>4041</v>
      </c>
      <c r="U1529" s="28" t="str">
        <f>IF($C1529&lt;&gt;"",COUNTIF($C$2:C1529,C1529),"")</f>
        <v/>
      </c>
      <c r="V1529" s="28" t="str">
        <f t="shared" si="47"/>
        <v/>
      </c>
      <c r="W1529" s="28" t="str">
        <f>IF(U1529=1,COUNTIF($U$2:U1529,1),"")</f>
        <v/>
      </c>
    </row>
    <row r="1530" spans="6:23" ht="47.25" customHeight="1" x14ac:dyDescent="0.25">
      <c r="F1530" s="44" t="s">
        <v>4042</v>
      </c>
      <c r="U1530" s="28" t="str">
        <f>IF($C1530&lt;&gt;"",COUNTIF($C$2:C1530,C1530),"")</f>
        <v/>
      </c>
      <c r="V1530" s="28" t="str">
        <f t="shared" si="47"/>
        <v/>
      </c>
      <c r="W1530" s="28" t="str">
        <f>IF(U1530=1,COUNTIF($U$2:U1530,1),"")</f>
        <v/>
      </c>
    </row>
    <row r="1531" spans="6:23" ht="63" customHeight="1" x14ac:dyDescent="0.25">
      <c r="F1531" s="44" t="s">
        <v>4043</v>
      </c>
      <c r="U1531" s="28" t="str">
        <f>IF($C1531&lt;&gt;"",COUNTIF($C$2:C1531,C1531),"")</f>
        <v/>
      </c>
      <c r="V1531" s="28" t="str">
        <f t="shared" si="47"/>
        <v/>
      </c>
      <c r="W1531" s="28" t="str">
        <f>IF(U1531=1,COUNTIF($U$2:U1531,1),"")</f>
        <v/>
      </c>
    </row>
    <row r="1532" spans="6:23" ht="31.5" customHeight="1" x14ac:dyDescent="0.25">
      <c r="F1532" s="44" t="s">
        <v>4044</v>
      </c>
      <c r="U1532" s="28" t="str">
        <f>IF($C1532&lt;&gt;"",COUNTIF($C$2:C1532,C1532),"")</f>
        <v/>
      </c>
      <c r="V1532" s="28" t="str">
        <f t="shared" si="47"/>
        <v/>
      </c>
      <c r="W1532" s="28" t="str">
        <f>IF(U1532=1,COUNTIF($U$2:U1532,1),"")</f>
        <v/>
      </c>
    </row>
    <row r="1533" spans="6:23" ht="78.75" customHeight="1" x14ac:dyDescent="0.25">
      <c r="F1533" s="44" t="s">
        <v>4045</v>
      </c>
      <c r="U1533" s="28" t="str">
        <f>IF($C1533&lt;&gt;"",COUNTIF($C$2:C1533,C1533),"")</f>
        <v/>
      </c>
      <c r="V1533" s="28" t="str">
        <f t="shared" si="47"/>
        <v/>
      </c>
      <c r="W1533" s="28" t="str">
        <f>IF(U1533=1,COUNTIF($U$2:U1533,1),"")</f>
        <v/>
      </c>
    </row>
    <row r="1534" spans="6:23" ht="63" customHeight="1" x14ac:dyDescent="0.25">
      <c r="F1534" s="44" t="s">
        <v>4046</v>
      </c>
      <c r="U1534" s="28" t="str">
        <f>IF($C1534&lt;&gt;"",COUNTIF($C$2:C1534,C1534),"")</f>
        <v/>
      </c>
      <c r="V1534" s="28" t="str">
        <f t="shared" si="47"/>
        <v/>
      </c>
      <c r="W1534" s="28" t="str">
        <f>IF(U1534=1,COUNTIF($U$2:U1534,1),"")</f>
        <v/>
      </c>
    </row>
    <row r="1535" spans="6:23" ht="78.75" customHeight="1" x14ac:dyDescent="0.25">
      <c r="F1535" s="44" t="s">
        <v>4047</v>
      </c>
      <c r="U1535" s="28" t="str">
        <f>IF($C1535&lt;&gt;"",COUNTIF($C$2:C1535,C1535),"")</f>
        <v/>
      </c>
      <c r="V1535" s="28" t="str">
        <f t="shared" si="47"/>
        <v/>
      </c>
      <c r="W1535" s="28" t="str">
        <f>IF(U1535=1,COUNTIF($U$2:U1535,1),"")</f>
        <v/>
      </c>
    </row>
    <row r="1536" spans="6:23" ht="31.5" customHeight="1" x14ac:dyDescent="0.25">
      <c r="F1536" s="44" t="s">
        <v>4048</v>
      </c>
      <c r="U1536" s="28" t="str">
        <f>IF($C1536&lt;&gt;"",COUNTIF($C$2:C1536,C1536),"")</f>
        <v/>
      </c>
      <c r="V1536" s="28" t="str">
        <f t="shared" si="47"/>
        <v/>
      </c>
      <c r="W1536" s="28" t="str">
        <f>IF(U1536=1,COUNTIF($U$2:U1536,1),"")</f>
        <v/>
      </c>
    </row>
    <row r="1537" spans="6:23" ht="31.5" customHeight="1" x14ac:dyDescent="0.25">
      <c r="F1537" s="44" t="s">
        <v>4049</v>
      </c>
      <c r="U1537" s="28" t="str">
        <f>IF($C1537&lt;&gt;"",COUNTIF($C$2:C1537,C1537),"")</f>
        <v/>
      </c>
      <c r="V1537" s="28" t="str">
        <f t="shared" si="47"/>
        <v/>
      </c>
      <c r="W1537" s="28" t="str">
        <f>IF(U1537=1,COUNTIF($U$2:U1537,1),"")</f>
        <v/>
      </c>
    </row>
    <row r="1538" spans="6:23" ht="47.25" customHeight="1" x14ac:dyDescent="0.25">
      <c r="F1538" s="44" t="s">
        <v>4050</v>
      </c>
      <c r="U1538" s="28" t="str">
        <f>IF($C1538&lt;&gt;"",COUNTIF($C$2:C1538,C1538),"")</f>
        <v/>
      </c>
      <c r="V1538" s="28" t="str">
        <f t="shared" ref="V1538:V1601" si="48">IF($C1538&lt;&gt;"",C1538&amp;"§"&amp;U1538,"")</f>
        <v/>
      </c>
      <c r="W1538" s="28" t="str">
        <f>IF(U1538=1,COUNTIF($U$2:U1538,1),"")</f>
        <v/>
      </c>
    </row>
    <row r="1539" spans="6:23" ht="63" customHeight="1" x14ac:dyDescent="0.25">
      <c r="F1539" s="44" t="s">
        <v>4051</v>
      </c>
      <c r="U1539" s="28" t="str">
        <f>IF($C1539&lt;&gt;"",COUNTIF($C$2:C1539,C1539),"")</f>
        <v/>
      </c>
      <c r="V1539" s="28" t="str">
        <f t="shared" si="48"/>
        <v/>
      </c>
      <c r="W1539" s="28" t="str">
        <f>IF(U1539=1,COUNTIF($U$2:U1539,1),"")</f>
        <v/>
      </c>
    </row>
    <row r="1540" spans="6:23" ht="31.5" customHeight="1" x14ac:dyDescent="0.25">
      <c r="F1540" s="44" t="s">
        <v>4052</v>
      </c>
      <c r="U1540" s="28" t="str">
        <f>IF($C1540&lt;&gt;"",COUNTIF($C$2:C1540,C1540),"")</f>
        <v/>
      </c>
      <c r="V1540" s="28" t="str">
        <f t="shared" si="48"/>
        <v/>
      </c>
      <c r="W1540" s="28" t="str">
        <f>IF(U1540=1,COUNTIF($U$2:U1540,1),"")</f>
        <v/>
      </c>
    </row>
    <row r="1541" spans="6:23" ht="31.5" customHeight="1" x14ac:dyDescent="0.25">
      <c r="F1541" s="44" t="s">
        <v>4053</v>
      </c>
      <c r="U1541" s="28" t="str">
        <f>IF($C1541&lt;&gt;"",COUNTIF($C$2:C1541,C1541),"")</f>
        <v/>
      </c>
      <c r="V1541" s="28" t="str">
        <f t="shared" si="48"/>
        <v/>
      </c>
      <c r="W1541" s="28" t="str">
        <f>IF(U1541=1,COUNTIF($U$2:U1541,1),"")</f>
        <v/>
      </c>
    </row>
    <row r="1542" spans="6:23" ht="20.25" customHeight="1" x14ac:dyDescent="0.25">
      <c r="F1542" s="44" t="s">
        <v>4054</v>
      </c>
      <c r="U1542" s="28" t="str">
        <f>IF($C1542&lt;&gt;"",COUNTIF($C$2:C1542,C1542),"")</f>
        <v/>
      </c>
      <c r="V1542" s="28" t="str">
        <f t="shared" si="48"/>
        <v/>
      </c>
      <c r="W1542" s="28" t="str">
        <f>IF(U1542=1,COUNTIF($U$2:U1542,1),"")</f>
        <v/>
      </c>
    </row>
    <row r="1543" spans="6:23" ht="31.5" customHeight="1" x14ac:dyDescent="0.25">
      <c r="F1543" s="44" t="s">
        <v>4055</v>
      </c>
      <c r="U1543" s="28" t="str">
        <f>IF($C1543&lt;&gt;"",COUNTIF($C$2:C1543,C1543),"")</f>
        <v/>
      </c>
      <c r="V1543" s="28" t="str">
        <f t="shared" si="48"/>
        <v/>
      </c>
      <c r="W1543" s="28" t="str">
        <f>IF(U1543=1,COUNTIF($U$2:U1543,1),"")</f>
        <v/>
      </c>
    </row>
    <row r="1544" spans="6:23" ht="63" customHeight="1" x14ac:dyDescent="0.25">
      <c r="F1544" s="44" t="s">
        <v>4056</v>
      </c>
      <c r="U1544" s="28" t="str">
        <f>IF($C1544&lt;&gt;"",COUNTIF($C$2:C1544,C1544),"")</f>
        <v/>
      </c>
      <c r="V1544" s="28" t="str">
        <f t="shared" si="48"/>
        <v/>
      </c>
      <c r="W1544" s="28" t="str">
        <f>IF(U1544=1,COUNTIF($U$2:U1544,1),"")</f>
        <v/>
      </c>
    </row>
    <row r="1545" spans="6:23" ht="78.75" customHeight="1" x14ac:dyDescent="0.25">
      <c r="F1545" s="44" t="s">
        <v>4057</v>
      </c>
      <c r="U1545" s="28" t="str">
        <f>IF($C1545&lt;&gt;"",COUNTIF($C$2:C1545,C1545),"")</f>
        <v/>
      </c>
      <c r="V1545" s="28" t="str">
        <f t="shared" si="48"/>
        <v/>
      </c>
      <c r="W1545" s="28" t="str">
        <f>IF(U1545=1,COUNTIF($U$2:U1545,1),"")</f>
        <v/>
      </c>
    </row>
    <row r="1546" spans="6:23" ht="47.25" customHeight="1" x14ac:dyDescent="0.25">
      <c r="F1546" s="44" t="s">
        <v>4058</v>
      </c>
      <c r="U1546" s="28" t="str">
        <f>IF($C1546&lt;&gt;"",COUNTIF($C$2:C1546,C1546),"")</f>
        <v/>
      </c>
      <c r="V1546" s="28" t="str">
        <f t="shared" si="48"/>
        <v/>
      </c>
      <c r="W1546" s="28" t="str">
        <f>IF(U1546=1,COUNTIF($U$2:U1546,1),"")</f>
        <v/>
      </c>
    </row>
    <row r="1547" spans="6:23" ht="31.5" customHeight="1" x14ac:dyDescent="0.25">
      <c r="F1547" s="44" t="s">
        <v>4059</v>
      </c>
      <c r="U1547" s="28" t="str">
        <f>IF($C1547&lt;&gt;"",COUNTIF($C$2:C1547,C1547),"")</f>
        <v/>
      </c>
      <c r="V1547" s="28" t="str">
        <f t="shared" si="48"/>
        <v/>
      </c>
      <c r="W1547" s="28" t="str">
        <f>IF(U1547=1,COUNTIF($U$2:U1547,1),"")</f>
        <v/>
      </c>
    </row>
    <row r="1548" spans="6:23" ht="63" customHeight="1" x14ac:dyDescent="0.25">
      <c r="F1548" s="44" t="s">
        <v>4060</v>
      </c>
      <c r="U1548" s="28" t="str">
        <f>IF($C1548&lt;&gt;"",COUNTIF($C$2:C1548,C1548),"")</f>
        <v/>
      </c>
      <c r="V1548" s="28" t="str">
        <f t="shared" si="48"/>
        <v/>
      </c>
      <c r="W1548" s="28" t="str">
        <f>IF(U1548=1,COUNTIF($U$2:U1548,1),"")</f>
        <v/>
      </c>
    </row>
    <row r="1549" spans="6:23" ht="47.25" customHeight="1" x14ac:dyDescent="0.25">
      <c r="F1549" s="44" t="s">
        <v>4061</v>
      </c>
      <c r="U1549" s="28" t="str">
        <f>IF($C1549&lt;&gt;"",COUNTIF($C$2:C1549,C1549),"")</f>
        <v/>
      </c>
      <c r="V1549" s="28" t="str">
        <f t="shared" si="48"/>
        <v/>
      </c>
      <c r="W1549" s="28" t="str">
        <f>IF(U1549=1,COUNTIF($U$2:U1549,1),"")</f>
        <v/>
      </c>
    </row>
    <row r="1550" spans="6:23" ht="63" customHeight="1" x14ac:dyDescent="0.25">
      <c r="F1550" s="44" t="s">
        <v>4062</v>
      </c>
      <c r="U1550" s="28" t="str">
        <f>IF($C1550&lt;&gt;"",COUNTIF($C$2:C1550,C1550),"")</f>
        <v/>
      </c>
      <c r="V1550" s="28" t="str">
        <f t="shared" si="48"/>
        <v/>
      </c>
      <c r="W1550" s="28" t="str">
        <f>IF(U1550=1,COUNTIF($U$2:U1550,1),"")</f>
        <v/>
      </c>
    </row>
    <row r="1551" spans="6:23" ht="31.5" customHeight="1" x14ac:dyDescent="0.25">
      <c r="F1551" s="44" t="s">
        <v>4063</v>
      </c>
      <c r="U1551" s="28" t="str">
        <f>IF($C1551&lt;&gt;"",COUNTIF($C$2:C1551,C1551),"")</f>
        <v/>
      </c>
      <c r="V1551" s="28" t="str">
        <f t="shared" si="48"/>
        <v/>
      </c>
      <c r="W1551" s="28" t="str">
        <f>IF(U1551=1,COUNTIF($U$2:U1551,1),"")</f>
        <v/>
      </c>
    </row>
    <row r="1552" spans="6:23" ht="31.5" customHeight="1" x14ac:dyDescent="0.25">
      <c r="F1552" s="44" t="s">
        <v>4064</v>
      </c>
      <c r="U1552" s="28" t="str">
        <f>IF($C1552&lt;&gt;"",COUNTIF($C$2:C1552,C1552),"")</f>
        <v/>
      </c>
      <c r="V1552" s="28" t="str">
        <f t="shared" si="48"/>
        <v/>
      </c>
      <c r="W1552" s="28" t="str">
        <f>IF(U1552=1,COUNTIF($U$2:U1552,1),"")</f>
        <v/>
      </c>
    </row>
    <row r="1553" spans="6:23" ht="47.25" customHeight="1" x14ac:dyDescent="0.25">
      <c r="F1553" s="44" t="s">
        <v>4065</v>
      </c>
      <c r="U1553" s="28" t="str">
        <f>IF($C1553&lt;&gt;"",COUNTIF($C$2:C1553,C1553),"")</f>
        <v/>
      </c>
      <c r="V1553" s="28" t="str">
        <f t="shared" si="48"/>
        <v/>
      </c>
      <c r="W1553" s="28" t="str">
        <f>IF(U1553=1,COUNTIF($U$2:U1553,1),"")</f>
        <v/>
      </c>
    </row>
    <row r="1554" spans="6:23" ht="47.25" customHeight="1" x14ac:dyDescent="0.25">
      <c r="F1554" s="44" t="s">
        <v>4066</v>
      </c>
      <c r="U1554" s="28" t="str">
        <f>IF($C1554&lt;&gt;"",COUNTIF($C$2:C1554,C1554),"")</f>
        <v/>
      </c>
      <c r="V1554" s="28" t="str">
        <f t="shared" si="48"/>
        <v/>
      </c>
      <c r="W1554" s="28" t="str">
        <f>IF(U1554=1,COUNTIF($U$2:U1554,1),"")</f>
        <v/>
      </c>
    </row>
    <row r="1555" spans="6:23" ht="63" customHeight="1" x14ac:dyDescent="0.25">
      <c r="F1555" s="44" t="s">
        <v>4067</v>
      </c>
      <c r="U1555" s="28" t="str">
        <f>IF($C1555&lt;&gt;"",COUNTIF($C$2:C1555,C1555),"")</f>
        <v/>
      </c>
      <c r="V1555" s="28" t="str">
        <f t="shared" si="48"/>
        <v/>
      </c>
      <c r="W1555" s="28" t="str">
        <f>IF(U1555=1,COUNTIF($U$2:U1555,1),"")</f>
        <v/>
      </c>
    </row>
    <row r="1556" spans="6:23" ht="31.5" customHeight="1" x14ac:dyDescent="0.25">
      <c r="F1556" s="44" t="s">
        <v>4068</v>
      </c>
      <c r="U1556" s="28" t="str">
        <f>IF($C1556&lt;&gt;"",COUNTIF($C$2:C1556,C1556),"")</f>
        <v/>
      </c>
      <c r="V1556" s="28" t="str">
        <f t="shared" si="48"/>
        <v/>
      </c>
      <c r="W1556" s="28" t="str">
        <f>IF(U1556=1,COUNTIF($U$2:U1556,1),"")</f>
        <v/>
      </c>
    </row>
    <row r="1557" spans="6:23" ht="47.25" customHeight="1" x14ac:dyDescent="0.25">
      <c r="F1557" s="44" t="s">
        <v>4069</v>
      </c>
      <c r="U1557" s="28" t="str">
        <f>IF($C1557&lt;&gt;"",COUNTIF($C$2:C1557,C1557),"")</f>
        <v/>
      </c>
      <c r="V1557" s="28" t="str">
        <f t="shared" si="48"/>
        <v/>
      </c>
      <c r="W1557" s="28" t="str">
        <f>IF(U1557=1,COUNTIF($U$2:U1557,1),"")</f>
        <v/>
      </c>
    </row>
    <row r="1558" spans="6:23" ht="31.5" customHeight="1" x14ac:dyDescent="0.25">
      <c r="F1558" s="44" t="s">
        <v>4070</v>
      </c>
      <c r="U1558" s="28" t="str">
        <f>IF($C1558&lt;&gt;"",COUNTIF($C$2:C1558,C1558),"")</f>
        <v/>
      </c>
      <c r="V1558" s="28" t="str">
        <f t="shared" si="48"/>
        <v/>
      </c>
      <c r="W1558" s="28" t="str">
        <f>IF(U1558=1,COUNTIF($U$2:U1558,1),"")</f>
        <v/>
      </c>
    </row>
    <row r="1559" spans="6:23" ht="63" customHeight="1" x14ac:dyDescent="0.25">
      <c r="F1559" s="44" t="s">
        <v>4071</v>
      </c>
      <c r="U1559" s="28" t="str">
        <f>IF($C1559&lt;&gt;"",COUNTIF($C$2:C1559,C1559),"")</f>
        <v/>
      </c>
      <c r="V1559" s="28" t="str">
        <f t="shared" si="48"/>
        <v/>
      </c>
      <c r="W1559" s="28" t="str">
        <f>IF(U1559=1,COUNTIF($U$2:U1559,1),"")</f>
        <v/>
      </c>
    </row>
    <row r="1560" spans="6:23" ht="47.25" customHeight="1" x14ac:dyDescent="0.25">
      <c r="F1560" s="44" t="s">
        <v>4072</v>
      </c>
      <c r="U1560" s="28" t="str">
        <f>IF($C1560&lt;&gt;"",COUNTIF($C$2:C1560,C1560),"")</f>
        <v/>
      </c>
      <c r="V1560" s="28" t="str">
        <f t="shared" si="48"/>
        <v/>
      </c>
      <c r="W1560" s="28" t="str">
        <f>IF(U1560=1,COUNTIF($U$2:U1560,1),"")</f>
        <v/>
      </c>
    </row>
    <row r="1561" spans="6:23" ht="63" customHeight="1" x14ac:dyDescent="0.25">
      <c r="F1561" s="44" t="s">
        <v>4073</v>
      </c>
      <c r="U1561" s="28" t="str">
        <f>IF($C1561&lt;&gt;"",COUNTIF($C$2:C1561,C1561),"")</f>
        <v/>
      </c>
      <c r="V1561" s="28" t="str">
        <f t="shared" si="48"/>
        <v/>
      </c>
      <c r="W1561" s="28" t="str">
        <f>IF(U1561=1,COUNTIF($U$2:U1561,1),"")</f>
        <v/>
      </c>
    </row>
    <row r="1562" spans="6:23" ht="31.5" customHeight="1" x14ac:dyDescent="0.25">
      <c r="F1562" s="44" t="s">
        <v>4074</v>
      </c>
      <c r="U1562" s="28" t="str">
        <f>IF($C1562&lt;&gt;"",COUNTIF($C$2:C1562,C1562),"")</f>
        <v/>
      </c>
      <c r="V1562" s="28" t="str">
        <f t="shared" si="48"/>
        <v/>
      </c>
      <c r="W1562" s="28" t="str">
        <f>IF(U1562=1,COUNTIF($U$2:U1562,1),"")</f>
        <v/>
      </c>
    </row>
    <row r="1563" spans="6:23" ht="31.5" customHeight="1" x14ac:dyDescent="0.25">
      <c r="F1563" s="44" t="s">
        <v>4075</v>
      </c>
      <c r="U1563" s="28" t="str">
        <f>IF($C1563&lt;&gt;"",COUNTIF($C$2:C1563,C1563),"")</f>
        <v/>
      </c>
      <c r="V1563" s="28" t="str">
        <f t="shared" si="48"/>
        <v/>
      </c>
      <c r="W1563" s="28" t="str">
        <f>IF(U1563=1,COUNTIF($U$2:U1563,1),"")</f>
        <v/>
      </c>
    </row>
    <row r="1564" spans="6:23" ht="63" customHeight="1" x14ac:dyDescent="0.25">
      <c r="F1564" s="44" t="s">
        <v>4076</v>
      </c>
      <c r="U1564" s="28" t="str">
        <f>IF($C1564&lt;&gt;"",COUNTIF($C$2:C1564,C1564),"")</f>
        <v/>
      </c>
      <c r="V1564" s="28" t="str">
        <f t="shared" si="48"/>
        <v/>
      </c>
      <c r="W1564" s="28" t="str">
        <f>IF(U1564=1,COUNTIF($U$2:U1564,1),"")</f>
        <v/>
      </c>
    </row>
    <row r="1565" spans="6:23" ht="31.5" customHeight="1" x14ac:dyDescent="0.25">
      <c r="F1565" s="44" t="s">
        <v>4077</v>
      </c>
      <c r="U1565" s="28" t="str">
        <f>IF($C1565&lt;&gt;"",COUNTIF($C$2:C1565,C1565),"")</f>
        <v/>
      </c>
      <c r="V1565" s="28" t="str">
        <f t="shared" si="48"/>
        <v/>
      </c>
      <c r="W1565" s="28" t="str">
        <f>IF(U1565=1,COUNTIF($U$2:U1565,1),"")</f>
        <v/>
      </c>
    </row>
    <row r="1566" spans="6:23" ht="47.25" customHeight="1" x14ac:dyDescent="0.25">
      <c r="F1566" s="44" t="s">
        <v>4078</v>
      </c>
      <c r="U1566" s="28" t="str">
        <f>IF($C1566&lt;&gt;"",COUNTIF($C$2:C1566,C1566),"")</f>
        <v/>
      </c>
      <c r="V1566" s="28" t="str">
        <f t="shared" si="48"/>
        <v/>
      </c>
      <c r="W1566" s="28" t="str">
        <f>IF(U1566=1,COUNTIF($U$2:U1566,1),"")</f>
        <v/>
      </c>
    </row>
    <row r="1567" spans="6:23" ht="31.5" customHeight="1" x14ac:dyDescent="0.25">
      <c r="F1567" s="44" t="s">
        <v>4079</v>
      </c>
      <c r="U1567" s="28" t="str">
        <f>IF($C1567&lt;&gt;"",COUNTIF($C$2:C1567,C1567),"")</f>
        <v/>
      </c>
      <c r="V1567" s="28" t="str">
        <f t="shared" si="48"/>
        <v/>
      </c>
      <c r="W1567" s="28" t="str">
        <f>IF(U1567=1,COUNTIF($U$2:U1567,1),"")</f>
        <v/>
      </c>
    </row>
    <row r="1568" spans="6:23" ht="31.5" customHeight="1" x14ac:dyDescent="0.25">
      <c r="F1568" s="44" t="s">
        <v>4080</v>
      </c>
      <c r="U1568" s="28" t="str">
        <f>IF($C1568&lt;&gt;"",COUNTIF($C$2:C1568,C1568),"")</f>
        <v/>
      </c>
      <c r="V1568" s="28" t="str">
        <f t="shared" si="48"/>
        <v/>
      </c>
      <c r="W1568" s="28" t="str">
        <f>IF(U1568=1,COUNTIF($U$2:U1568,1),"")</f>
        <v/>
      </c>
    </row>
    <row r="1569" spans="6:23" ht="47.25" customHeight="1" x14ac:dyDescent="0.25">
      <c r="F1569" s="44" t="s">
        <v>4081</v>
      </c>
      <c r="U1569" s="28" t="str">
        <f>IF($C1569&lt;&gt;"",COUNTIF($C$2:C1569,C1569),"")</f>
        <v/>
      </c>
      <c r="V1569" s="28" t="str">
        <f t="shared" si="48"/>
        <v/>
      </c>
      <c r="W1569" s="28" t="str">
        <f>IF(U1569=1,COUNTIF($U$2:U1569,1),"")</f>
        <v/>
      </c>
    </row>
    <row r="1570" spans="6:23" ht="31.5" customHeight="1" x14ac:dyDescent="0.25">
      <c r="F1570" s="44" t="s">
        <v>4082</v>
      </c>
      <c r="U1570" s="28" t="str">
        <f>IF($C1570&lt;&gt;"",COUNTIF($C$2:C1570,C1570),"")</f>
        <v/>
      </c>
      <c r="V1570" s="28" t="str">
        <f t="shared" si="48"/>
        <v/>
      </c>
      <c r="W1570" s="28" t="str">
        <f>IF(U1570=1,COUNTIF($U$2:U1570,1),"")</f>
        <v/>
      </c>
    </row>
    <row r="1571" spans="6:23" ht="63" customHeight="1" x14ac:dyDescent="0.25">
      <c r="F1571" s="44" t="s">
        <v>4083</v>
      </c>
      <c r="U1571" s="28" t="str">
        <f>IF($C1571&lt;&gt;"",COUNTIF($C$2:C1571,C1571),"")</f>
        <v/>
      </c>
      <c r="V1571" s="28" t="str">
        <f t="shared" si="48"/>
        <v/>
      </c>
      <c r="W1571" s="28" t="str">
        <f>IF(U1571=1,COUNTIF($U$2:U1571,1),"")</f>
        <v/>
      </c>
    </row>
    <row r="1572" spans="6:23" ht="31.5" customHeight="1" x14ac:dyDescent="0.25">
      <c r="F1572" s="44" t="s">
        <v>4084</v>
      </c>
      <c r="U1572" s="28" t="str">
        <f>IF($C1572&lt;&gt;"",COUNTIF($C$2:C1572,C1572),"")</f>
        <v/>
      </c>
      <c r="V1572" s="28" t="str">
        <f t="shared" si="48"/>
        <v/>
      </c>
      <c r="W1572" s="28" t="str">
        <f>IF(U1572=1,COUNTIF($U$2:U1572,1),"")</f>
        <v/>
      </c>
    </row>
    <row r="1573" spans="6:23" ht="31.5" customHeight="1" x14ac:dyDescent="0.25">
      <c r="F1573" s="44" t="s">
        <v>4085</v>
      </c>
      <c r="U1573" s="28" t="str">
        <f>IF($C1573&lt;&gt;"",COUNTIF($C$2:C1573,C1573),"")</f>
        <v/>
      </c>
      <c r="V1573" s="28" t="str">
        <f t="shared" si="48"/>
        <v/>
      </c>
      <c r="W1573" s="28" t="str">
        <f>IF(U1573=1,COUNTIF($U$2:U1573,1),"")</f>
        <v/>
      </c>
    </row>
    <row r="1574" spans="6:23" ht="47.25" customHeight="1" x14ac:dyDescent="0.25">
      <c r="F1574" s="44" t="s">
        <v>4086</v>
      </c>
      <c r="U1574" s="28" t="str">
        <f>IF($C1574&lt;&gt;"",COUNTIF($C$2:C1574,C1574),"")</f>
        <v/>
      </c>
      <c r="V1574" s="28" t="str">
        <f t="shared" si="48"/>
        <v/>
      </c>
      <c r="W1574" s="28" t="str">
        <f>IF(U1574=1,COUNTIF($U$2:U1574,1),"")</f>
        <v/>
      </c>
    </row>
    <row r="1575" spans="6:23" ht="63" customHeight="1" x14ac:dyDescent="0.25">
      <c r="F1575" s="44" t="s">
        <v>4087</v>
      </c>
      <c r="U1575" s="28" t="str">
        <f>IF($C1575&lt;&gt;"",COUNTIF($C$2:C1575,C1575),"")</f>
        <v/>
      </c>
      <c r="V1575" s="28" t="str">
        <f t="shared" si="48"/>
        <v/>
      </c>
      <c r="W1575" s="28" t="str">
        <f>IF(U1575=1,COUNTIF($U$2:U1575,1),"")</f>
        <v/>
      </c>
    </row>
    <row r="1576" spans="6:23" ht="31.5" customHeight="1" x14ac:dyDescent="0.25">
      <c r="F1576" s="44" t="s">
        <v>4088</v>
      </c>
      <c r="U1576" s="28" t="str">
        <f>IF($C1576&lt;&gt;"",COUNTIF($C$2:C1576,C1576),"")</f>
        <v/>
      </c>
      <c r="V1576" s="28" t="str">
        <f t="shared" si="48"/>
        <v/>
      </c>
      <c r="W1576" s="28" t="str">
        <f>IF(U1576=1,COUNTIF($U$2:U1576,1),"")</f>
        <v/>
      </c>
    </row>
    <row r="1577" spans="6:23" ht="47.25" customHeight="1" x14ac:dyDescent="0.25">
      <c r="F1577" s="44" t="s">
        <v>4089</v>
      </c>
      <c r="U1577" s="28" t="str">
        <f>IF($C1577&lt;&gt;"",COUNTIF($C$2:C1577,C1577),"")</f>
        <v/>
      </c>
      <c r="V1577" s="28" t="str">
        <f t="shared" si="48"/>
        <v/>
      </c>
      <c r="W1577" s="28" t="str">
        <f>IF(U1577=1,COUNTIF($U$2:U1577,1),"")</f>
        <v/>
      </c>
    </row>
    <row r="1578" spans="6:23" ht="47.25" customHeight="1" x14ac:dyDescent="0.25">
      <c r="F1578" s="44" t="s">
        <v>4090</v>
      </c>
      <c r="U1578" s="28" t="str">
        <f>IF($C1578&lt;&gt;"",COUNTIF($C$2:C1578,C1578),"")</f>
        <v/>
      </c>
      <c r="V1578" s="28" t="str">
        <f t="shared" si="48"/>
        <v/>
      </c>
      <c r="W1578" s="28" t="str">
        <f>IF(U1578=1,COUNTIF($U$2:U1578,1),"")</f>
        <v/>
      </c>
    </row>
    <row r="1579" spans="6:23" ht="31.5" customHeight="1" x14ac:dyDescent="0.25">
      <c r="F1579" s="44" t="s">
        <v>4091</v>
      </c>
      <c r="U1579" s="28" t="str">
        <f>IF($C1579&lt;&gt;"",COUNTIF($C$2:C1579,C1579),"")</f>
        <v/>
      </c>
      <c r="V1579" s="28" t="str">
        <f t="shared" si="48"/>
        <v/>
      </c>
      <c r="W1579" s="28" t="str">
        <f>IF(U1579=1,COUNTIF($U$2:U1579,1),"")</f>
        <v/>
      </c>
    </row>
    <row r="1580" spans="6:23" ht="47.25" customHeight="1" x14ac:dyDescent="0.25">
      <c r="F1580" s="44" t="s">
        <v>4092</v>
      </c>
      <c r="U1580" s="28" t="str">
        <f>IF($C1580&lt;&gt;"",COUNTIF($C$2:C1580,C1580),"")</f>
        <v/>
      </c>
      <c r="V1580" s="28" t="str">
        <f t="shared" si="48"/>
        <v/>
      </c>
      <c r="W1580" s="28" t="str">
        <f>IF(U1580=1,COUNTIF($U$2:U1580,1),"")</f>
        <v/>
      </c>
    </row>
    <row r="1581" spans="6:23" ht="47.25" customHeight="1" x14ac:dyDescent="0.25">
      <c r="F1581" s="44" t="s">
        <v>4093</v>
      </c>
      <c r="U1581" s="28" t="str">
        <f>IF($C1581&lt;&gt;"",COUNTIF($C$2:C1581,C1581),"")</f>
        <v/>
      </c>
      <c r="V1581" s="28" t="str">
        <f t="shared" si="48"/>
        <v/>
      </c>
      <c r="W1581" s="28" t="str">
        <f>IF(U1581=1,COUNTIF($U$2:U1581,1),"")</f>
        <v/>
      </c>
    </row>
    <row r="1582" spans="6:23" ht="31.5" customHeight="1" x14ac:dyDescent="0.25">
      <c r="F1582" s="44" t="s">
        <v>4094</v>
      </c>
      <c r="U1582" s="28" t="str">
        <f>IF($C1582&lt;&gt;"",COUNTIF($C$2:C1582,C1582),"")</f>
        <v/>
      </c>
      <c r="V1582" s="28" t="str">
        <f t="shared" si="48"/>
        <v/>
      </c>
      <c r="W1582" s="28" t="str">
        <f>IF(U1582=1,COUNTIF($U$2:U1582,1),"")</f>
        <v/>
      </c>
    </row>
    <row r="1583" spans="6:23" ht="31.5" customHeight="1" x14ac:dyDescent="0.25">
      <c r="F1583" s="44" t="s">
        <v>4095</v>
      </c>
      <c r="U1583" s="28" t="str">
        <f>IF($C1583&lt;&gt;"",COUNTIF($C$2:C1583,C1583),"")</f>
        <v/>
      </c>
      <c r="V1583" s="28" t="str">
        <f t="shared" si="48"/>
        <v/>
      </c>
      <c r="W1583" s="28" t="str">
        <f>IF(U1583=1,COUNTIF($U$2:U1583,1),"")</f>
        <v/>
      </c>
    </row>
    <row r="1584" spans="6:23" ht="47.25" customHeight="1" x14ac:dyDescent="0.25">
      <c r="F1584" s="44" t="s">
        <v>4096</v>
      </c>
      <c r="U1584" s="28" t="str">
        <f>IF($C1584&lt;&gt;"",COUNTIF($C$2:C1584,C1584),"")</f>
        <v/>
      </c>
      <c r="V1584" s="28" t="str">
        <f t="shared" si="48"/>
        <v/>
      </c>
      <c r="W1584" s="28" t="str">
        <f>IF(U1584=1,COUNTIF($U$2:U1584,1),"")</f>
        <v/>
      </c>
    </row>
    <row r="1585" spans="6:23" ht="47.25" customHeight="1" x14ac:dyDescent="0.25">
      <c r="F1585" s="44" t="s">
        <v>4097</v>
      </c>
      <c r="U1585" s="28" t="str">
        <f>IF($C1585&lt;&gt;"",COUNTIF($C$2:C1585,C1585),"")</f>
        <v/>
      </c>
      <c r="V1585" s="28" t="str">
        <f t="shared" si="48"/>
        <v/>
      </c>
      <c r="W1585" s="28" t="str">
        <f>IF(U1585=1,COUNTIF($U$2:U1585,1),"")</f>
        <v/>
      </c>
    </row>
    <row r="1586" spans="6:23" ht="63" customHeight="1" x14ac:dyDescent="0.25">
      <c r="F1586" s="44" t="s">
        <v>4098</v>
      </c>
      <c r="U1586" s="28" t="str">
        <f>IF($C1586&lt;&gt;"",COUNTIF($C$2:C1586,C1586),"")</f>
        <v/>
      </c>
      <c r="V1586" s="28" t="str">
        <f t="shared" si="48"/>
        <v/>
      </c>
      <c r="W1586" s="28" t="str">
        <f>IF(U1586=1,COUNTIF($U$2:U1586,1),"")</f>
        <v/>
      </c>
    </row>
    <row r="1587" spans="6:23" ht="47.25" customHeight="1" x14ac:dyDescent="0.25">
      <c r="F1587" s="44" t="s">
        <v>4099</v>
      </c>
      <c r="U1587" s="28" t="str">
        <f>IF($C1587&lt;&gt;"",COUNTIF($C$2:C1587,C1587),"")</f>
        <v/>
      </c>
      <c r="V1587" s="28" t="str">
        <f t="shared" si="48"/>
        <v/>
      </c>
      <c r="W1587" s="28" t="str">
        <f>IF(U1587=1,COUNTIF($U$2:U1587,1),"")</f>
        <v/>
      </c>
    </row>
    <row r="1588" spans="6:23" ht="31.5" customHeight="1" x14ac:dyDescent="0.25">
      <c r="F1588" s="44" t="s">
        <v>4100</v>
      </c>
      <c r="U1588" s="28" t="str">
        <f>IF($C1588&lt;&gt;"",COUNTIF($C$2:C1588,C1588),"")</f>
        <v/>
      </c>
      <c r="V1588" s="28" t="str">
        <f t="shared" si="48"/>
        <v/>
      </c>
      <c r="W1588" s="28" t="str">
        <f>IF(U1588=1,COUNTIF($U$2:U1588,1),"")</f>
        <v/>
      </c>
    </row>
    <row r="1589" spans="6:23" ht="31.5" customHeight="1" x14ac:dyDescent="0.25">
      <c r="F1589" s="44" t="s">
        <v>4101</v>
      </c>
      <c r="U1589" s="28" t="str">
        <f>IF($C1589&lt;&gt;"",COUNTIF($C$2:C1589,C1589),"")</f>
        <v/>
      </c>
      <c r="V1589" s="28" t="str">
        <f t="shared" si="48"/>
        <v/>
      </c>
      <c r="W1589" s="28" t="str">
        <f>IF(U1589=1,COUNTIF($U$2:U1589,1),"")</f>
        <v/>
      </c>
    </row>
    <row r="1590" spans="6:23" ht="31.5" customHeight="1" x14ac:dyDescent="0.25">
      <c r="F1590" s="44" t="s">
        <v>4102</v>
      </c>
      <c r="U1590" s="28" t="str">
        <f>IF($C1590&lt;&gt;"",COUNTIF($C$2:C1590,C1590),"")</f>
        <v/>
      </c>
      <c r="V1590" s="28" t="str">
        <f t="shared" si="48"/>
        <v/>
      </c>
      <c r="W1590" s="28" t="str">
        <f>IF(U1590=1,COUNTIF($U$2:U1590,1),"")</f>
        <v/>
      </c>
    </row>
    <row r="1591" spans="6:23" ht="31.5" customHeight="1" x14ac:dyDescent="0.25">
      <c r="F1591" s="44" t="s">
        <v>4103</v>
      </c>
      <c r="U1591" s="28" t="str">
        <f>IF($C1591&lt;&gt;"",COUNTIF($C$2:C1591,C1591),"")</f>
        <v/>
      </c>
      <c r="V1591" s="28" t="str">
        <f t="shared" si="48"/>
        <v/>
      </c>
      <c r="W1591" s="28" t="str">
        <f>IF(U1591=1,COUNTIF($U$2:U1591,1),"")</f>
        <v/>
      </c>
    </row>
    <row r="1592" spans="6:23" ht="47.25" customHeight="1" x14ac:dyDescent="0.25">
      <c r="F1592" s="44" t="s">
        <v>4104</v>
      </c>
      <c r="U1592" s="28" t="str">
        <f>IF($C1592&lt;&gt;"",COUNTIF($C$2:C1592,C1592),"")</f>
        <v/>
      </c>
      <c r="V1592" s="28" t="str">
        <f t="shared" si="48"/>
        <v/>
      </c>
      <c r="W1592" s="28" t="str">
        <f>IF(U1592=1,COUNTIF($U$2:U1592,1),"")</f>
        <v/>
      </c>
    </row>
    <row r="1593" spans="6:23" ht="31.5" customHeight="1" x14ac:dyDescent="0.25">
      <c r="F1593" s="44" t="s">
        <v>4105</v>
      </c>
      <c r="U1593" s="28" t="str">
        <f>IF($C1593&lt;&gt;"",COUNTIF($C$2:C1593,C1593),"")</f>
        <v/>
      </c>
      <c r="V1593" s="28" t="str">
        <f t="shared" si="48"/>
        <v/>
      </c>
      <c r="W1593" s="28" t="str">
        <f>IF(U1593=1,COUNTIF($U$2:U1593,1),"")</f>
        <v/>
      </c>
    </row>
    <row r="1594" spans="6:23" ht="47.25" customHeight="1" x14ac:dyDescent="0.25">
      <c r="F1594" s="44" t="s">
        <v>4106</v>
      </c>
      <c r="U1594" s="28" t="str">
        <f>IF($C1594&lt;&gt;"",COUNTIF($C$2:C1594,C1594),"")</f>
        <v/>
      </c>
      <c r="V1594" s="28" t="str">
        <f t="shared" si="48"/>
        <v/>
      </c>
      <c r="W1594" s="28" t="str">
        <f>IF(U1594=1,COUNTIF($U$2:U1594,1),"")</f>
        <v/>
      </c>
    </row>
    <row r="1595" spans="6:23" ht="31.5" customHeight="1" x14ac:dyDescent="0.25">
      <c r="F1595" s="44" t="s">
        <v>4107</v>
      </c>
      <c r="U1595" s="28" t="str">
        <f>IF($C1595&lt;&gt;"",COUNTIF($C$2:C1595,C1595),"")</f>
        <v/>
      </c>
      <c r="V1595" s="28" t="str">
        <f t="shared" si="48"/>
        <v/>
      </c>
      <c r="W1595" s="28" t="str">
        <f>IF(U1595=1,COUNTIF($U$2:U1595,1),"")</f>
        <v/>
      </c>
    </row>
    <row r="1596" spans="6:23" ht="47.25" customHeight="1" x14ac:dyDescent="0.25">
      <c r="F1596" s="44" t="s">
        <v>4108</v>
      </c>
      <c r="U1596" s="28" t="str">
        <f>IF($C1596&lt;&gt;"",COUNTIF($C$2:C1596,C1596),"")</f>
        <v/>
      </c>
      <c r="V1596" s="28" t="str">
        <f t="shared" si="48"/>
        <v/>
      </c>
      <c r="W1596" s="28" t="str">
        <f>IF(U1596=1,COUNTIF($U$2:U1596,1),"")</f>
        <v/>
      </c>
    </row>
    <row r="1597" spans="6:23" ht="63" customHeight="1" x14ac:dyDescent="0.25">
      <c r="F1597" s="44" t="s">
        <v>4109</v>
      </c>
      <c r="U1597" s="28" t="str">
        <f>IF($C1597&lt;&gt;"",COUNTIF($C$2:C1597,C1597),"")</f>
        <v/>
      </c>
      <c r="V1597" s="28" t="str">
        <f t="shared" si="48"/>
        <v/>
      </c>
      <c r="W1597" s="28" t="str">
        <f>IF(U1597=1,COUNTIF($U$2:U1597,1),"")</f>
        <v/>
      </c>
    </row>
    <row r="1598" spans="6:23" ht="63" customHeight="1" x14ac:dyDescent="0.25">
      <c r="F1598" s="44" t="s">
        <v>4110</v>
      </c>
      <c r="U1598" s="28" t="str">
        <f>IF($C1598&lt;&gt;"",COUNTIF($C$2:C1598,C1598),"")</f>
        <v/>
      </c>
      <c r="V1598" s="28" t="str">
        <f t="shared" si="48"/>
        <v/>
      </c>
      <c r="W1598" s="28" t="str">
        <f>IF(U1598=1,COUNTIF($U$2:U1598,1),"")</f>
        <v/>
      </c>
    </row>
    <row r="1599" spans="6:23" ht="63" customHeight="1" x14ac:dyDescent="0.25">
      <c r="F1599" s="44" t="s">
        <v>4111</v>
      </c>
      <c r="U1599" s="28" t="str">
        <f>IF($C1599&lt;&gt;"",COUNTIF($C$2:C1599,C1599),"")</f>
        <v/>
      </c>
      <c r="V1599" s="28" t="str">
        <f t="shared" si="48"/>
        <v/>
      </c>
      <c r="W1599" s="28" t="str">
        <f>IF(U1599=1,COUNTIF($U$2:U1599,1),"")</f>
        <v/>
      </c>
    </row>
    <row r="1600" spans="6:23" ht="63" customHeight="1" x14ac:dyDescent="0.25">
      <c r="F1600" s="44" t="s">
        <v>4112</v>
      </c>
      <c r="U1600" s="28" t="str">
        <f>IF($C1600&lt;&gt;"",COUNTIF($C$2:C1600,C1600),"")</f>
        <v/>
      </c>
      <c r="V1600" s="28" t="str">
        <f t="shared" si="48"/>
        <v/>
      </c>
      <c r="W1600" s="28" t="str">
        <f>IF(U1600=1,COUNTIF($U$2:U1600,1),"")</f>
        <v/>
      </c>
    </row>
    <row r="1601" spans="6:23" ht="63" customHeight="1" x14ac:dyDescent="0.25">
      <c r="F1601" s="44" t="s">
        <v>4113</v>
      </c>
      <c r="U1601" s="28" t="str">
        <f>IF($C1601&lt;&gt;"",COUNTIF($C$2:C1601,C1601),"")</f>
        <v/>
      </c>
      <c r="V1601" s="28" t="str">
        <f t="shared" si="48"/>
        <v/>
      </c>
      <c r="W1601" s="28" t="str">
        <f>IF(U1601=1,COUNTIF($U$2:U1601,1),"")</f>
        <v/>
      </c>
    </row>
    <row r="1602" spans="6:23" ht="47.25" customHeight="1" x14ac:dyDescent="0.25">
      <c r="F1602" s="44" t="s">
        <v>4114</v>
      </c>
      <c r="U1602" s="28" t="str">
        <f>IF($C1602&lt;&gt;"",COUNTIF($C$2:C1602,C1602),"")</f>
        <v/>
      </c>
      <c r="V1602" s="28" t="str">
        <f t="shared" ref="V1602:V1665" si="49">IF($C1602&lt;&gt;"",C1602&amp;"§"&amp;U1602,"")</f>
        <v/>
      </c>
      <c r="W1602" s="28" t="str">
        <f>IF(U1602=1,COUNTIF($U$2:U1602,1),"")</f>
        <v/>
      </c>
    </row>
    <row r="1603" spans="6:23" ht="47.25" customHeight="1" x14ac:dyDescent="0.25">
      <c r="F1603" s="44" t="s">
        <v>4115</v>
      </c>
      <c r="U1603" s="28" t="str">
        <f>IF($C1603&lt;&gt;"",COUNTIF($C$2:C1603,C1603),"")</f>
        <v/>
      </c>
      <c r="V1603" s="28" t="str">
        <f t="shared" si="49"/>
        <v/>
      </c>
      <c r="W1603" s="28" t="str">
        <f>IF(U1603=1,COUNTIF($U$2:U1603,1),"")</f>
        <v/>
      </c>
    </row>
    <row r="1604" spans="6:23" ht="47.25" customHeight="1" x14ac:dyDescent="0.25">
      <c r="F1604" s="44" t="s">
        <v>4116</v>
      </c>
      <c r="U1604" s="28" t="str">
        <f>IF($C1604&lt;&gt;"",COUNTIF($C$2:C1604,C1604),"")</f>
        <v/>
      </c>
      <c r="V1604" s="28" t="str">
        <f t="shared" si="49"/>
        <v/>
      </c>
      <c r="W1604" s="28" t="str">
        <f>IF(U1604=1,COUNTIF($U$2:U1604,1),"")</f>
        <v/>
      </c>
    </row>
    <row r="1605" spans="6:23" ht="31.5" customHeight="1" x14ac:dyDescent="0.25">
      <c r="F1605" s="44" t="s">
        <v>4117</v>
      </c>
      <c r="U1605" s="28" t="str">
        <f>IF($C1605&lt;&gt;"",COUNTIF($C$2:C1605,C1605),"")</f>
        <v/>
      </c>
      <c r="V1605" s="28" t="str">
        <f t="shared" si="49"/>
        <v/>
      </c>
      <c r="W1605" s="28" t="str">
        <f>IF(U1605=1,COUNTIF($U$2:U1605,1),"")</f>
        <v/>
      </c>
    </row>
    <row r="1606" spans="6:23" ht="31.5" customHeight="1" x14ac:dyDescent="0.25">
      <c r="F1606" s="44" t="s">
        <v>4118</v>
      </c>
      <c r="U1606" s="28" t="str">
        <f>IF($C1606&lt;&gt;"",COUNTIF($C$2:C1606,C1606),"")</f>
        <v/>
      </c>
      <c r="V1606" s="28" t="str">
        <f t="shared" si="49"/>
        <v/>
      </c>
      <c r="W1606" s="28" t="str">
        <f>IF(U1606=1,COUNTIF($U$2:U1606,1),"")</f>
        <v/>
      </c>
    </row>
    <row r="1607" spans="6:23" ht="31.5" customHeight="1" x14ac:dyDescent="0.25">
      <c r="F1607" s="44" t="s">
        <v>4119</v>
      </c>
      <c r="U1607" s="28" t="str">
        <f>IF($C1607&lt;&gt;"",COUNTIF($C$2:C1607,C1607),"")</f>
        <v/>
      </c>
      <c r="V1607" s="28" t="str">
        <f t="shared" si="49"/>
        <v/>
      </c>
      <c r="W1607" s="28" t="str">
        <f>IF(U1607=1,COUNTIF($U$2:U1607,1),"")</f>
        <v/>
      </c>
    </row>
    <row r="1608" spans="6:23" ht="31.5" customHeight="1" x14ac:dyDescent="0.25">
      <c r="F1608" s="44" t="s">
        <v>4120</v>
      </c>
      <c r="U1608" s="28" t="str">
        <f>IF($C1608&lt;&gt;"",COUNTIF($C$2:C1608,C1608),"")</f>
        <v/>
      </c>
      <c r="V1608" s="28" t="str">
        <f t="shared" si="49"/>
        <v/>
      </c>
      <c r="W1608" s="28" t="str">
        <f>IF(U1608=1,COUNTIF($U$2:U1608,1),"")</f>
        <v/>
      </c>
    </row>
    <row r="1609" spans="6:23" ht="31.5" customHeight="1" x14ac:dyDescent="0.25">
      <c r="F1609" s="44" t="s">
        <v>4121</v>
      </c>
      <c r="U1609" s="28" t="str">
        <f>IF($C1609&lt;&gt;"",COUNTIF($C$2:C1609,C1609),"")</f>
        <v/>
      </c>
      <c r="V1609" s="28" t="str">
        <f t="shared" si="49"/>
        <v/>
      </c>
      <c r="W1609" s="28" t="str">
        <f>IF(U1609=1,COUNTIF($U$2:U1609,1),"")</f>
        <v/>
      </c>
    </row>
    <row r="1610" spans="6:23" ht="47.25" customHeight="1" x14ac:dyDescent="0.25">
      <c r="F1610" s="44" t="s">
        <v>4122</v>
      </c>
      <c r="U1610" s="28" t="str">
        <f>IF($C1610&lt;&gt;"",COUNTIF($C$2:C1610,C1610),"")</f>
        <v/>
      </c>
      <c r="V1610" s="28" t="str">
        <f t="shared" si="49"/>
        <v/>
      </c>
      <c r="W1610" s="28" t="str">
        <f>IF(U1610=1,COUNTIF($U$2:U1610,1),"")</f>
        <v/>
      </c>
    </row>
    <row r="1611" spans="6:23" ht="47.25" customHeight="1" x14ac:dyDescent="0.25">
      <c r="F1611" s="44" t="s">
        <v>4123</v>
      </c>
      <c r="U1611" s="28" t="str">
        <f>IF($C1611&lt;&gt;"",COUNTIF($C$2:C1611,C1611),"")</f>
        <v/>
      </c>
      <c r="V1611" s="28" t="str">
        <f t="shared" si="49"/>
        <v/>
      </c>
      <c r="W1611" s="28" t="str">
        <f>IF(U1611=1,COUNTIF($U$2:U1611,1),"")</f>
        <v/>
      </c>
    </row>
    <row r="1612" spans="6:23" ht="31.5" customHeight="1" x14ac:dyDescent="0.25">
      <c r="F1612" s="44" t="s">
        <v>4124</v>
      </c>
      <c r="U1612" s="28" t="str">
        <f>IF($C1612&lt;&gt;"",COUNTIF($C$2:C1612,C1612),"")</f>
        <v/>
      </c>
      <c r="V1612" s="28" t="str">
        <f t="shared" si="49"/>
        <v/>
      </c>
      <c r="W1612" s="28" t="str">
        <f>IF(U1612=1,COUNTIF($U$2:U1612,1),"")</f>
        <v/>
      </c>
    </row>
    <row r="1613" spans="6:23" ht="63" customHeight="1" x14ac:dyDescent="0.25">
      <c r="F1613" s="44" t="s">
        <v>4125</v>
      </c>
      <c r="U1613" s="28" t="str">
        <f>IF($C1613&lt;&gt;"",COUNTIF($C$2:C1613,C1613),"")</f>
        <v/>
      </c>
      <c r="V1613" s="28" t="str">
        <f t="shared" si="49"/>
        <v/>
      </c>
      <c r="W1613" s="28" t="str">
        <f>IF(U1613=1,COUNTIF($U$2:U1613,1),"")</f>
        <v/>
      </c>
    </row>
    <row r="1614" spans="6:23" ht="47.25" customHeight="1" x14ac:dyDescent="0.25">
      <c r="F1614" s="44" t="s">
        <v>4126</v>
      </c>
      <c r="U1614" s="28" t="str">
        <f>IF($C1614&lt;&gt;"",COUNTIF($C$2:C1614,C1614),"")</f>
        <v/>
      </c>
      <c r="V1614" s="28" t="str">
        <f t="shared" si="49"/>
        <v/>
      </c>
      <c r="W1614" s="28" t="str">
        <f>IF(U1614=1,COUNTIF($U$2:U1614,1),"")</f>
        <v/>
      </c>
    </row>
    <row r="1615" spans="6:23" ht="47.25" customHeight="1" x14ac:dyDescent="0.25">
      <c r="F1615" s="44" t="s">
        <v>4127</v>
      </c>
      <c r="U1615" s="28" t="str">
        <f>IF($C1615&lt;&gt;"",COUNTIF($C$2:C1615,C1615),"")</f>
        <v/>
      </c>
      <c r="V1615" s="28" t="str">
        <f t="shared" si="49"/>
        <v/>
      </c>
      <c r="W1615" s="28" t="str">
        <f>IF(U1615=1,COUNTIF($U$2:U1615,1),"")</f>
        <v/>
      </c>
    </row>
    <row r="1616" spans="6:23" ht="63" customHeight="1" x14ac:dyDescent="0.25">
      <c r="F1616" s="44" t="s">
        <v>4128</v>
      </c>
      <c r="U1616" s="28" t="str">
        <f>IF($C1616&lt;&gt;"",COUNTIF($C$2:C1616,C1616),"")</f>
        <v/>
      </c>
      <c r="V1616" s="28" t="str">
        <f t="shared" si="49"/>
        <v/>
      </c>
      <c r="W1616" s="28" t="str">
        <f>IF(U1616=1,COUNTIF($U$2:U1616,1),"")</f>
        <v/>
      </c>
    </row>
    <row r="1617" spans="6:23" ht="47.25" customHeight="1" x14ac:dyDescent="0.25">
      <c r="F1617" s="44" t="s">
        <v>4129</v>
      </c>
      <c r="U1617" s="28" t="str">
        <f>IF($C1617&lt;&gt;"",COUNTIF($C$2:C1617,C1617),"")</f>
        <v/>
      </c>
      <c r="V1617" s="28" t="str">
        <f t="shared" si="49"/>
        <v/>
      </c>
      <c r="W1617" s="28" t="str">
        <f>IF(U1617=1,COUNTIF($U$2:U1617,1),"")</f>
        <v/>
      </c>
    </row>
    <row r="1618" spans="6:23" ht="47.25" customHeight="1" x14ac:dyDescent="0.25">
      <c r="F1618" s="44" t="s">
        <v>4130</v>
      </c>
      <c r="U1618" s="28" t="str">
        <f>IF($C1618&lt;&gt;"",COUNTIF($C$2:C1618,C1618),"")</f>
        <v/>
      </c>
      <c r="V1618" s="28" t="str">
        <f t="shared" si="49"/>
        <v/>
      </c>
      <c r="W1618" s="28" t="str">
        <f>IF(U1618=1,COUNTIF($U$2:U1618,1),"")</f>
        <v/>
      </c>
    </row>
    <row r="1619" spans="6:23" ht="31.5" customHeight="1" x14ac:dyDescent="0.25">
      <c r="F1619" s="44" t="s">
        <v>4131</v>
      </c>
      <c r="U1619" s="28" t="str">
        <f>IF($C1619&lt;&gt;"",COUNTIF($C$2:C1619,C1619),"")</f>
        <v/>
      </c>
      <c r="V1619" s="28" t="str">
        <f t="shared" si="49"/>
        <v/>
      </c>
      <c r="W1619" s="28" t="str">
        <f>IF(U1619=1,COUNTIF($U$2:U1619,1),"")</f>
        <v/>
      </c>
    </row>
    <row r="1620" spans="6:23" ht="63" customHeight="1" x14ac:dyDescent="0.25">
      <c r="F1620" s="44" t="s">
        <v>4132</v>
      </c>
      <c r="U1620" s="28" t="str">
        <f>IF($C1620&lt;&gt;"",COUNTIF($C$2:C1620,C1620),"")</f>
        <v/>
      </c>
      <c r="V1620" s="28" t="str">
        <f t="shared" si="49"/>
        <v/>
      </c>
      <c r="W1620" s="28" t="str">
        <f>IF(U1620=1,COUNTIF($U$2:U1620,1),"")</f>
        <v/>
      </c>
    </row>
    <row r="1621" spans="6:23" ht="47.25" customHeight="1" x14ac:dyDescent="0.25">
      <c r="F1621" s="44" t="s">
        <v>4133</v>
      </c>
      <c r="U1621" s="28" t="str">
        <f>IF($C1621&lt;&gt;"",COUNTIF($C$2:C1621,C1621),"")</f>
        <v/>
      </c>
      <c r="V1621" s="28" t="str">
        <f t="shared" si="49"/>
        <v/>
      </c>
      <c r="W1621" s="28" t="str">
        <f>IF(U1621=1,COUNTIF($U$2:U1621,1),"")</f>
        <v/>
      </c>
    </row>
    <row r="1622" spans="6:23" ht="47.25" customHeight="1" x14ac:dyDescent="0.25">
      <c r="F1622" s="44" t="s">
        <v>4134</v>
      </c>
      <c r="U1622" s="28" t="str">
        <f>IF($C1622&lt;&gt;"",COUNTIF($C$2:C1622,C1622),"")</f>
        <v/>
      </c>
      <c r="V1622" s="28" t="str">
        <f t="shared" si="49"/>
        <v/>
      </c>
      <c r="W1622" s="28" t="str">
        <f>IF(U1622=1,COUNTIF($U$2:U1622,1),"")</f>
        <v/>
      </c>
    </row>
    <row r="1623" spans="6:23" ht="47.25" customHeight="1" x14ac:dyDescent="0.25">
      <c r="F1623" s="44" t="s">
        <v>4135</v>
      </c>
      <c r="U1623" s="28" t="str">
        <f>IF($C1623&lt;&gt;"",COUNTIF($C$2:C1623,C1623),"")</f>
        <v/>
      </c>
      <c r="V1623" s="28" t="str">
        <f t="shared" si="49"/>
        <v/>
      </c>
      <c r="W1623" s="28" t="str">
        <f>IF(U1623=1,COUNTIF($U$2:U1623,1),"")</f>
        <v/>
      </c>
    </row>
    <row r="1624" spans="6:23" ht="31.5" customHeight="1" x14ac:dyDescent="0.25">
      <c r="F1624" s="44" t="s">
        <v>4136</v>
      </c>
      <c r="U1624" s="28" t="str">
        <f>IF($C1624&lt;&gt;"",COUNTIF($C$2:C1624,C1624),"")</f>
        <v/>
      </c>
      <c r="V1624" s="28" t="str">
        <f t="shared" si="49"/>
        <v/>
      </c>
      <c r="W1624" s="28" t="str">
        <f>IF(U1624=1,COUNTIF($U$2:U1624,1),"")</f>
        <v/>
      </c>
    </row>
    <row r="1625" spans="6:23" ht="31.5" customHeight="1" x14ac:dyDescent="0.25">
      <c r="F1625" s="44" t="s">
        <v>4137</v>
      </c>
      <c r="U1625" s="28" t="str">
        <f>IF($C1625&lt;&gt;"",COUNTIF($C$2:C1625,C1625),"")</f>
        <v/>
      </c>
      <c r="V1625" s="28" t="str">
        <f t="shared" si="49"/>
        <v/>
      </c>
      <c r="W1625" s="28" t="str">
        <f>IF(U1625=1,COUNTIF($U$2:U1625,1),"")</f>
        <v/>
      </c>
    </row>
    <row r="1626" spans="6:23" ht="47.25" customHeight="1" x14ac:dyDescent="0.25">
      <c r="F1626" s="44" t="s">
        <v>4138</v>
      </c>
      <c r="U1626" s="28" t="str">
        <f>IF($C1626&lt;&gt;"",COUNTIF($C$2:C1626,C1626),"")</f>
        <v/>
      </c>
      <c r="V1626" s="28" t="str">
        <f t="shared" si="49"/>
        <v/>
      </c>
      <c r="W1626" s="28" t="str">
        <f>IF(U1626=1,COUNTIF($U$2:U1626,1),"")</f>
        <v/>
      </c>
    </row>
    <row r="1627" spans="6:23" ht="78.75" customHeight="1" x14ac:dyDescent="0.25">
      <c r="F1627" s="44" t="s">
        <v>4139</v>
      </c>
      <c r="U1627" s="28" t="str">
        <f>IF($C1627&lt;&gt;"",COUNTIF($C$2:C1627,C1627),"")</f>
        <v/>
      </c>
      <c r="V1627" s="28" t="str">
        <f t="shared" si="49"/>
        <v/>
      </c>
      <c r="W1627" s="28" t="str">
        <f>IF(U1627=1,COUNTIF($U$2:U1627,1),"")</f>
        <v/>
      </c>
    </row>
    <row r="1628" spans="6:23" ht="31.5" customHeight="1" x14ac:dyDescent="0.25">
      <c r="F1628" s="44" t="s">
        <v>4140</v>
      </c>
      <c r="U1628" s="28" t="str">
        <f>IF($C1628&lt;&gt;"",COUNTIF($C$2:C1628,C1628),"")</f>
        <v/>
      </c>
      <c r="V1628" s="28" t="str">
        <f t="shared" si="49"/>
        <v/>
      </c>
      <c r="W1628" s="28" t="str">
        <f>IF(U1628=1,COUNTIF($U$2:U1628,1),"")</f>
        <v/>
      </c>
    </row>
    <row r="1629" spans="6:23" ht="47.25" customHeight="1" x14ac:dyDescent="0.25">
      <c r="F1629" s="44" t="s">
        <v>4141</v>
      </c>
      <c r="U1629" s="28" t="str">
        <f>IF($C1629&lt;&gt;"",COUNTIF($C$2:C1629,C1629),"")</f>
        <v/>
      </c>
      <c r="V1629" s="28" t="str">
        <f t="shared" si="49"/>
        <v/>
      </c>
      <c r="W1629" s="28" t="str">
        <f>IF(U1629=1,COUNTIF($U$2:U1629,1),"")</f>
        <v/>
      </c>
    </row>
    <row r="1630" spans="6:23" ht="31.5" customHeight="1" x14ac:dyDescent="0.25">
      <c r="F1630" s="44" t="s">
        <v>4142</v>
      </c>
      <c r="U1630" s="28" t="str">
        <f>IF($C1630&lt;&gt;"",COUNTIF($C$2:C1630,C1630),"")</f>
        <v/>
      </c>
      <c r="V1630" s="28" t="str">
        <f t="shared" si="49"/>
        <v/>
      </c>
      <c r="W1630" s="28" t="str">
        <f>IF(U1630=1,COUNTIF($U$2:U1630,1),"")</f>
        <v/>
      </c>
    </row>
    <row r="1631" spans="6:23" ht="31.5" customHeight="1" x14ac:dyDescent="0.25">
      <c r="F1631" s="44" t="s">
        <v>4143</v>
      </c>
      <c r="U1631" s="28" t="str">
        <f>IF($C1631&lt;&gt;"",COUNTIF($C$2:C1631,C1631),"")</f>
        <v/>
      </c>
      <c r="V1631" s="28" t="str">
        <f t="shared" si="49"/>
        <v/>
      </c>
      <c r="W1631" s="28" t="str">
        <f>IF(U1631=1,COUNTIF($U$2:U1631,1),"")</f>
        <v/>
      </c>
    </row>
    <row r="1632" spans="6:23" ht="31.5" customHeight="1" x14ac:dyDescent="0.25">
      <c r="F1632" s="44" t="s">
        <v>4144</v>
      </c>
      <c r="U1632" s="28" t="str">
        <f>IF($C1632&lt;&gt;"",COUNTIF($C$2:C1632,C1632),"")</f>
        <v/>
      </c>
      <c r="V1632" s="28" t="str">
        <f t="shared" si="49"/>
        <v/>
      </c>
      <c r="W1632" s="28" t="str">
        <f>IF(U1632=1,COUNTIF($U$2:U1632,1),"")</f>
        <v/>
      </c>
    </row>
    <row r="1633" spans="6:23" ht="47.25" customHeight="1" x14ac:dyDescent="0.25">
      <c r="F1633" s="44" t="s">
        <v>4145</v>
      </c>
      <c r="U1633" s="28" t="str">
        <f>IF($C1633&lt;&gt;"",COUNTIF($C$2:C1633,C1633),"")</f>
        <v/>
      </c>
      <c r="V1633" s="28" t="str">
        <f t="shared" si="49"/>
        <v/>
      </c>
      <c r="W1633" s="28" t="str">
        <f>IF(U1633=1,COUNTIF($U$2:U1633,1),"")</f>
        <v/>
      </c>
    </row>
    <row r="1634" spans="6:23" ht="31.5" customHeight="1" x14ac:dyDescent="0.25">
      <c r="F1634" s="44" t="s">
        <v>4146</v>
      </c>
      <c r="U1634" s="28" t="str">
        <f>IF($C1634&lt;&gt;"",COUNTIF($C$2:C1634,C1634),"")</f>
        <v/>
      </c>
      <c r="V1634" s="28" t="str">
        <f t="shared" si="49"/>
        <v/>
      </c>
      <c r="W1634" s="28" t="str">
        <f>IF(U1634=1,COUNTIF($U$2:U1634,1),"")</f>
        <v/>
      </c>
    </row>
    <row r="1635" spans="6:23" ht="31.5" customHeight="1" x14ac:dyDescent="0.25">
      <c r="F1635" s="44" t="s">
        <v>4147</v>
      </c>
      <c r="U1635" s="28" t="str">
        <f>IF($C1635&lt;&gt;"",COUNTIF($C$2:C1635,C1635),"")</f>
        <v/>
      </c>
      <c r="V1635" s="28" t="str">
        <f t="shared" si="49"/>
        <v/>
      </c>
      <c r="W1635" s="28" t="str">
        <f>IF(U1635=1,COUNTIF($U$2:U1635,1),"")</f>
        <v/>
      </c>
    </row>
    <row r="1636" spans="6:23" ht="47.25" customHeight="1" x14ac:dyDescent="0.25">
      <c r="F1636" s="44" t="s">
        <v>4148</v>
      </c>
      <c r="U1636" s="28" t="str">
        <f>IF($C1636&lt;&gt;"",COUNTIF($C$2:C1636,C1636),"")</f>
        <v/>
      </c>
      <c r="V1636" s="28" t="str">
        <f t="shared" si="49"/>
        <v/>
      </c>
      <c r="W1636" s="28" t="str">
        <f>IF(U1636=1,COUNTIF($U$2:U1636,1),"")</f>
        <v/>
      </c>
    </row>
    <row r="1637" spans="6:23" ht="31.5" customHeight="1" x14ac:dyDescent="0.25">
      <c r="F1637" s="44" t="s">
        <v>4149</v>
      </c>
      <c r="U1637" s="28" t="str">
        <f>IF($C1637&lt;&gt;"",COUNTIF($C$2:C1637,C1637),"")</f>
        <v/>
      </c>
      <c r="V1637" s="28" t="str">
        <f t="shared" si="49"/>
        <v/>
      </c>
      <c r="W1637" s="28" t="str">
        <f>IF(U1637=1,COUNTIF($U$2:U1637,1),"")</f>
        <v/>
      </c>
    </row>
    <row r="1638" spans="6:23" ht="31.5" customHeight="1" x14ac:dyDescent="0.25">
      <c r="F1638" s="44" t="s">
        <v>4150</v>
      </c>
      <c r="U1638" s="28" t="str">
        <f>IF($C1638&lt;&gt;"",COUNTIF($C$2:C1638,C1638),"")</f>
        <v/>
      </c>
      <c r="V1638" s="28" t="str">
        <f t="shared" si="49"/>
        <v/>
      </c>
      <c r="W1638" s="28" t="str">
        <f>IF(U1638=1,COUNTIF($U$2:U1638,1),"")</f>
        <v/>
      </c>
    </row>
    <row r="1639" spans="6:23" ht="31.5" customHeight="1" x14ac:dyDescent="0.25">
      <c r="F1639" s="44" t="s">
        <v>4151</v>
      </c>
      <c r="U1639" s="28" t="str">
        <f>IF($C1639&lt;&gt;"",COUNTIF($C$2:C1639,C1639),"")</f>
        <v/>
      </c>
      <c r="V1639" s="28" t="str">
        <f t="shared" si="49"/>
        <v/>
      </c>
      <c r="W1639" s="28" t="str">
        <f>IF(U1639=1,COUNTIF($U$2:U1639,1),"")</f>
        <v/>
      </c>
    </row>
    <row r="1640" spans="6:23" ht="63" customHeight="1" x14ac:dyDescent="0.25">
      <c r="F1640" s="44" t="s">
        <v>4152</v>
      </c>
      <c r="U1640" s="28" t="str">
        <f>IF($C1640&lt;&gt;"",COUNTIF($C$2:C1640,C1640),"")</f>
        <v/>
      </c>
      <c r="V1640" s="28" t="str">
        <f t="shared" si="49"/>
        <v/>
      </c>
      <c r="W1640" s="28" t="str">
        <f>IF(U1640=1,COUNTIF($U$2:U1640,1),"")</f>
        <v/>
      </c>
    </row>
    <row r="1641" spans="6:23" ht="63" customHeight="1" x14ac:dyDescent="0.25">
      <c r="F1641" s="44" t="s">
        <v>4153</v>
      </c>
      <c r="U1641" s="28" t="str">
        <f>IF($C1641&lt;&gt;"",COUNTIF($C$2:C1641,C1641),"")</f>
        <v/>
      </c>
      <c r="V1641" s="28" t="str">
        <f t="shared" si="49"/>
        <v/>
      </c>
      <c r="W1641" s="28" t="str">
        <f>IF(U1641=1,COUNTIF($U$2:U1641,1),"")</f>
        <v/>
      </c>
    </row>
    <row r="1642" spans="6:23" ht="47.25" customHeight="1" x14ac:dyDescent="0.25">
      <c r="F1642" s="44" t="s">
        <v>4154</v>
      </c>
      <c r="U1642" s="28" t="str">
        <f>IF($C1642&lt;&gt;"",COUNTIF($C$2:C1642,C1642),"")</f>
        <v/>
      </c>
      <c r="V1642" s="28" t="str">
        <f t="shared" si="49"/>
        <v/>
      </c>
      <c r="W1642" s="28" t="str">
        <f>IF(U1642=1,COUNTIF($U$2:U1642,1),"")</f>
        <v/>
      </c>
    </row>
    <row r="1643" spans="6:23" ht="47.25" customHeight="1" x14ac:dyDescent="0.25">
      <c r="F1643" s="44" t="s">
        <v>4155</v>
      </c>
      <c r="U1643" s="28" t="str">
        <f>IF($C1643&lt;&gt;"",COUNTIF($C$2:C1643,C1643),"")</f>
        <v/>
      </c>
      <c r="V1643" s="28" t="str">
        <f t="shared" si="49"/>
        <v/>
      </c>
      <c r="W1643" s="28" t="str">
        <f>IF(U1643=1,COUNTIF($U$2:U1643,1),"")</f>
        <v/>
      </c>
    </row>
    <row r="1644" spans="6:23" ht="47.25" customHeight="1" x14ac:dyDescent="0.25">
      <c r="F1644" s="44" t="s">
        <v>4156</v>
      </c>
      <c r="U1644" s="28" t="str">
        <f>IF($C1644&lt;&gt;"",COUNTIF($C$2:C1644,C1644),"")</f>
        <v/>
      </c>
      <c r="V1644" s="28" t="str">
        <f t="shared" si="49"/>
        <v/>
      </c>
      <c r="W1644" s="28" t="str">
        <f>IF(U1644=1,COUNTIF($U$2:U1644,1),"")</f>
        <v/>
      </c>
    </row>
    <row r="1645" spans="6:23" ht="47.25" customHeight="1" x14ac:dyDescent="0.25">
      <c r="F1645" s="44" t="s">
        <v>4157</v>
      </c>
      <c r="U1645" s="28" t="str">
        <f>IF($C1645&lt;&gt;"",COUNTIF($C$2:C1645,C1645),"")</f>
        <v/>
      </c>
      <c r="V1645" s="28" t="str">
        <f t="shared" si="49"/>
        <v/>
      </c>
      <c r="W1645" s="28" t="str">
        <f>IF(U1645=1,COUNTIF($U$2:U1645,1),"")</f>
        <v/>
      </c>
    </row>
    <row r="1646" spans="6:23" ht="31.5" customHeight="1" x14ac:dyDescent="0.25">
      <c r="F1646" s="44" t="s">
        <v>4158</v>
      </c>
      <c r="U1646" s="28" t="str">
        <f>IF($C1646&lt;&gt;"",COUNTIF($C$2:C1646,C1646),"")</f>
        <v/>
      </c>
      <c r="V1646" s="28" t="str">
        <f t="shared" si="49"/>
        <v/>
      </c>
      <c r="W1646" s="28" t="str">
        <f>IF(U1646=1,COUNTIF($U$2:U1646,1),"")</f>
        <v/>
      </c>
    </row>
    <row r="1647" spans="6:23" ht="63" customHeight="1" x14ac:dyDescent="0.25">
      <c r="F1647" s="44" t="s">
        <v>4159</v>
      </c>
      <c r="U1647" s="28" t="str">
        <f>IF($C1647&lt;&gt;"",COUNTIF($C$2:C1647,C1647),"")</f>
        <v/>
      </c>
      <c r="V1647" s="28" t="str">
        <f t="shared" si="49"/>
        <v/>
      </c>
      <c r="W1647" s="28" t="str">
        <f>IF(U1647=1,COUNTIF($U$2:U1647,1),"")</f>
        <v/>
      </c>
    </row>
    <row r="1648" spans="6:23" ht="47.25" customHeight="1" x14ac:dyDescent="0.25">
      <c r="F1648" s="44" t="s">
        <v>4160</v>
      </c>
      <c r="U1648" s="28" t="str">
        <f>IF($C1648&lt;&gt;"",COUNTIF($C$2:C1648,C1648),"")</f>
        <v/>
      </c>
      <c r="V1648" s="28" t="str">
        <f t="shared" si="49"/>
        <v/>
      </c>
      <c r="W1648" s="28" t="str">
        <f>IF(U1648=1,COUNTIF($U$2:U1648,1),"")</f>
        <v/>
      </c>
    </row>
    <row r="1649" spans="6:23" ht="31.5" customHeight="1" x14ac:dyDescent="0.25">
      <c r="F1649" s="44" t="s">
        <v>4161</v>
      </c>
      <c r="U1649" s="28" t="str">
        <f>IF($C1649&lt;&gt;"",COUNTIF($C$2:C1649,C1649),"")</f>
        <v/>
      </c>
      <c r="V1649" s="28" t="str">
        <f t="shared" si="49"/>
        <v/>
      </c>
      <c r="W1649" s="28" t="str">
        <f>IF(U1649=1,COUNTIF($U$2:U1649,1),"")</f>
        <v/>
      </c>
    </row>
    <row r="1650" spans="6:23" ht="47.25" customHeight="1" x14ac:dyDescent="0.25">
      <c r="F1650" s="44" t="s">
        <v>4162</v>
      </c>
      <c r="U1650" s="28" t="str">
        <f>IF($C1650&lt;&gt;"",COUNTIF($C$2:C1650,C1650),"")</f>
        <v/>
      </c>
      <c r="V1650" s="28" t="str">
        <f t="shared" si="49"/>
        <v/>
      </c>
      <c r="W1650" s="28" t="str">
        <f>IF(U1650=1,COUNTIF($U$2:U1650,1),"")</f>
        <v/>
      </c>
    </row>
    <row r="1651" spans="6:23" ht="31.5" customHeight="1" x14ac:dyDescent="0.25">
      <c r="F1651" s="44" t="s">
        <v>4163</v>
      </c>
      <c r="U1651" s="28" t="str">
        <f>IF($C1651&lt;&gt;"",COUNTIF($C$2:C1651,C1651),"")</f>
        <v/>
      </c>
      <c r="V1651" s="28" t="str">
        <f t="shared" si="49"/>
        <v/>
      </c>
      <c r="W1651" s="28" t="str">
        <f>IF(U1651=1,COUNTIF($U$2:U1651,1),"")</f>
        <v/>
      </c>
    </row>
    <row r="1652" spans="6:23" ht="47.25" customHeight="1" x14ac:dyDescent="0.25">
      <c r="F1652" s="44" t="s">
        <v>4164</v>
      </c>
      <c r="U1652" s="28" t="str">
        <f>IF($C1652&lt;&gt;"",COUNTIF($C$2:C1652,C1652),"")</f>
        <v/>
      </c>
      <c r="V1652" s="28" t="str">
        <f t="shared" si="49"/>
        <v/>
      </c>
      <c r="W1652" s="28" t="str">
        <f>IF(U1652=1,COUNTIF($U$2:U1652,1),"")</f>
        <v/>
      </c>
    </row>
    <row r="1653" spans="6:23" ht="47.25" customHeight="1" x14ac:dyDescent="0.25">
      <c r="F1653" s="44" t="s">
        <v>4165</v>
      </c>
      <c r="U1653" s="28" t="str">
        <f>IF($C1653&lt;&gt;"",COUNTIF($C$2:C1653,C1653),"")</f>
        <v/>
      </c>
      <c r="V1653" s="28" t="str">
        <f t="shared" si="49"/>
        <v/>
      </c>
      <c r="W1653" s="28" t="str">
        <f>IF(U1653=1,COUNTIF($U$2:U1653,1),"")</f>
        <v/>
      </c>
    </row>
    <row r="1654" spans="6:23" ht="31.5" customHeight="1" x14ac:dyDescent="0.25">
      <c r="F1654" s="44" t="s">
        <v>4166</v>
      </c>
      <c r="U1654" s="28" t="str">
        <f>IF($C1654&lt;&gt;"",COUNTIF($C$2:C1654,C1654),"")</f>
        <v/>
      </c>
      <c r="V1654" s="28" t="str">
        <f t="shared" si="49"/>
        <v/>
      </c>
      <c r="W1654" s="28" t="str">
        <f>IF(U1654=1,COUNTIF($U$2:U1654,1),"")</f>
        <v/>
      </c>
    </row>
    <row r="1655" spans="6:23" ht="47.25" customHeight="1" x14ac:dyDescent="0.25">
      <c r="F1655" s="44" t="s">
        <v>4167</v>
      </c>
      <c r="U1655" s="28" t="str">
        <f>IF($C1655&lt;&gt;"",COUNTIF($C$2:C1655,C1655),"")</f>
        <v/>
      </c>
      <c r="V1655" s="28" t="str">
        <f t="shared" si="49"/>
        <v/>
      </c>
      <c r="W1655" s="28" t="str">
        <f>IF(U1655=1,COUNTIF($U$2:U1655,1),"")</f>
        <v/>
      </c>
    </row>
    <row r="1656" spans="6:23" ht="47.25" customHeight="1" x14ac:dyDescent="0.25">
      <c r="F1656" s="44" t="s">
        <v>4168</v>
      </c>
      <c r="U1656" s="28" t="str">
        <f>IF($C1656&lt;&gt;"",COUNTIF($C$2:C1656,C1656),"")</f>
        <v/>
      </c>
      <c r="V1656" s="28" t="str">
        <f t="shared" si="49"/>
        <v/>
      </c>
      <c r="W1656" s="28" t="str">
        <f>IF(U1656=1,COUNTIF($U$2:U1656,1),"")</f>
        <v/>
      </c>
    </row>
    <row r="1657" spans="6:23" ht="31.5" customHeight="1" x14ac:dyDescent="0.25">
      <c r="F1657" s="44" t="s">
        <v>4169</v>
      </c>
      <c r="U1657" s="28" t="str">
        <f>IF($C1657&lt;&gt;"",COUNTIF($C$2:C1657,C1657),"")</f>
        <v/>
      </c>
      <c r="V1657" s="28" t="str">
        <f t="shared" si="49"/>
        <v/>
      </c>
      <c r="W1657" s="28" t="str">
        <f>IF(U1657=1,COUNTIF($U$2:U1657,1),"")</f>
        <v/>
      </c>
    </row>
    <row r="1658" spans="6:23" ht="31.5" customHeight="1" x14ac:dyDescent="0.25">
      <c r="F1658" s="44" t="s">
        <v>4170</v>
      </c>
      <c r="U1658" s="28" t="str">
        <f>IF($C1658&lt;&gt;"",COUNTIF($C$2:C1658,C1658),"")</f>
        <v/>
      </c>
      <c r="V1658" s="28" t="str">
        <f t="shared" si="49"/>
        <v/>
      </c>
      <c r="W1658" s="28" t="str">
        <f>IF(U1658=1,COUNTIF($U$2:U1658,1),"")</f>
        <v/>
      </c>
    </row>
    <row r="1659" spans="6:23" ht="63" customHeight="1" x14ac:dyDescent="0.25">
      <c r="F1659" s="44" t="s">
        <v>4171</v>
      </c>
      <c r="U1659" s="28" t="str">
        <f>IF($C1659&lt;&gt;"",COUNTIF($C$2:C1659,C1659),"")</f>
        <v/>
      </c>
      <c r="V1659" s="28" t="str">
        <f t="shared" si="49"/>
        <v/>
      </c>
      <c r="W1659" s="28" t="str">
        <f>IF(U1659=1,COUNTIF($U$2:U1659,1),"")</f>
        <v/>
      </c>
    </row>
    <row r="1660" spans="6:23" ht="47.25" customHeight="1" x14ac:dyDescent="0.25">
      <c r="F1660" s="44" t="s">
        <v>4172</v>
      </c>
      <c r="U1660" s="28" t="str">
        <f>IF($C1660&lt;&gt;"",COUNTIF($C$2:C1660,C1660),"")</f>
        <v/>
      </c>
      <c r="V1660" s="28" t="str">
        <f t="shared" si="49"/>
        <v/>
      </c>
      <c r="W1660" s="28" t="str">
        <f>IF(U1660=1,COUNTIF($U$2:U1660,1),"")</f>
        <v/>
      </c>
    </row>
    <row r="1661" spans="6:23" ht="31.5" customHeight="1" x14ac:dyDescent="0.25">
      <c r="F1661" s="44" t="s">
        <v>4173</v>
      </c>
      <c r="U1661" s="28" t="str">
        <f>IF($C1661&lt;&gt;"",COUNTIF($C$2:C1661,C1661),"")</f>
        <v/>
      </c>
      <c r="V1661" s="28" t="str">
        <f t="shared" si="49"/>
        <v/>
      </c>
      <c r="W1661" s="28" t="str">
        <f>IF(U1661=1,COUNTIF($U$2:U1661,1),"")</f>
        <v/>
      </c>
    </row>
    <row r="1662" spans="6:23" ht="47.25" customHeight="1" x14ac:dyDescent="0.25">
      <c r="F1662" s="44" t="s">
        <v>4174</v>
      </c>
      <c r="U1662" s="28" t="str">
        <f>IF($C1662&lt;&gt;"",COUNTIF($C$2:C1662,C1662),"")</f>
        <v/>
      </c>
      <c r="V1662" s="28" t="str">
        <f t="shared" si="49"/>
        <v/>
      </c>
      <c r="W1662" s="28" t="str">
        <f>IF(U1662=1,COUNTIF($U$2:U1662,1),"")</f>
        <v/>
      </c>
    </row>
    <row r="1663" spans="6:23" ht="47.25" customHeight="1" x14ac:dyDescent="0.25">
      <c r="F1663" s="44" t="s">
        <v>4175</v>
      </c>
      <c r="U1663" s="28" t="str">
        <f>IF($C1663&lt;&gt;"",COUNTIF($C$2:C1663,C1663),"")</f>
        <v/>
      </c>
      <c r="V1663" s="28" t="str">
        <f t="shared" si="49"/>
        <v/>
      </c>
      <c r="W1663" s="28" t="str">
        <f>IF(U1663=1,COUNTIF($U$2:U1663,1),"")</f>
        <v/>
      </c>
    </row>
    <row r="1664" spans="6:23" ht="63" customHeight="1" x14ac:dyDescent="0.25">
      <c r="F1664" s="44" t="s">
        <v>4176</v>
      </c>
      <c r="U1664" s="28" t="str">
        <f>IF($C1664&lt;&gt;"",COUNTIF($C$2:C1664,C1664),"")</f>
        <v/>
      </c>
      <c r="V1664" s="28" t="str">
        <f t="shared" si="49"/>
        <v/>
      </c>
      <c r="W1664" s="28" t="str">
        <f>IF(U1664=1,COUNTIF($U$2:U1664,1),"")</f>
        <v/>
      </c>
    </row>
    <row r="1665" spans="6:23" ht="31.5" customHeight="1" x14ac:dyDescent="0.25">
      <c r="F1665" s="44" t="s">
        <v>4177</v>
      </c>
      <c r="U1665" s="28" t="str">
        <f>IF($C1665&lt;&gt;"",COUNTIF($C$2:C1665,C1665),"")</f>
        <v/>
      </c>
      <c r="V1665" s="28" t="str">
        <f t="shared" si="49"/>
        <v/>
      </c>
      <c r="W1665" s="28" t="str">
        <f>IF(U1665=1,COUNTIF($U$2:U1665,1),"")</f>
        <v/>
      </c>
    </row>
    <row r="1666" spans="6:23" ht="31.5" customHeight="1" x14ac:dyDescent="0.25">
      <c r="F1666" s="44" t="s">
        <v>4178</v>
      </c>
      <c r="U1666" s="28" t="str">
        <f>IF($C1666&lt;&gt;"",COUNTIF($C$2:C1666,C1666),"")</f>
        <v/>
      </c>
      <c r="V1666" s="28" t="str">
        <f t="shared" ref="V1666:V1729" si="50">IF($C1666&lt;&gt;"",C1666&amp;"§"&amp;U1666,"")</f>
        <v/>
      </c>
      <c r="W1666" s="28" t="str">
        <f>IF(U1666=1,COUNTIF($U$2:U1666,1),"")</f>
        <v/>
      </c>
    </row>
    <row r="1667" spans="6:23" ht="47.25" customHeight="1" x14ac:dyDescent="0.25">
      <c r="F1667" s="44" t="s">
        <v>4179</v>
      </c>
      <c r="U1667" s="28" t="str">
        <f>IF($C1667&lt;&gt;"",COUNTIF($C$2:C1667,C1667),"")</f>
        <v/>
      </c>
      <c r="V1667" s="28" t="str">
        <f t="shared" si="50"/>
        <v/>
      </c>
      <c r="W1667" s="28" t="str">
        <f>IF(U1667=1,COUNTIF($U$2:U1667,1),"")</f>
        <v/>
      </c>
    </row>
    <row r="1668" spans="6:23" ht="31.5" customHeight="1" x14ac:dyDescent="0.25">
      <c r="F1668" s="44" t="s">
        <v>4180</v>
      </c>
      <c r="U1668" s="28" t="str">
        <f>IF($C1668&lt;&gt;"",COUNTIF($C$2:C1668,C1668),"")</f>
        <v/>
      </c>
      <c r="V1668" s="28" t="str">
        <f t="shared" si="50"/>
        <v/>
      </c>
      <c r="W1668" s="28" t="str">
        <f>IF(U1668=1,COUNTIF($U$2:U1668,1),"")</f>
        <v/>
      </c>
    </row>
    <row r="1669" spans="6:23" ht="47.25" customHeight="1" x14ac:dyDescent="0.25">
      <c r="F1669" s="44" t="s">
        <v>4181</v>
      </c>
      <c r="U1669" s="28" t="str">
        <f>IF($C1669&lt;&gt;"",COUNTIF($C$2:C1669,C1669),"")</f>
        <v/>
      </c>
      <c r="V1669" s="28" t="str">
        <f t="shared" si="50"/>
        <v/>
      </c>
      <c r="W1669" s="28" t="str">
        <f>IF(U1669=1,COUNTIF($U$2:U1669,1),"")</f>
        <v/>
      </c>
    </row>
    <row r="1670" spans="6:23" ht="47.25" customHeight="1" x14ac:dyDescent="0.25">
      <c r="F1670" s="44" t="s">
        <v>4182</v>
      </c>
      <c r="U1670" s="28" t="str">
        <f>IF($C1670&lt;&gt;"",COUNTIF($C$2:C1670,C1670),"")</f>
        <v/>
      </c>
      <c r="V1670" s="28" t="str">
        <f t="shared" si="50"/>
        <v/>
      </c>
      <c r="W1670" s="28" t="str">
        <f>IF(U1670=1,COUNTIF($U$2:U1670,1),"")</f>
        <v/>
      </c>
    </row>
    <row r="1671" spans="6:23" ht="78.75" customHeight="1" x14ac:dyDescent="0.25">
      <c r="F1671" s="44" t="s">
        <v>4183</v>
      </c>
      <c r="U1671" s="28" t="str">
        <f>IF($C1671&lt;&gt;"",COUNTIF($C$2:C1671,C1671),"")</f>
        <v/>
      </c>
      <c r="V1671" s="28" t="str">
        <f t="shared" si="50"/>
        <v/>
      </c>
      <c r="W1671" s="28" t="str">
        <f>IF(U1671=1,COUNTIF($U$2:U1671,1),"")</f>
        <v/>
      </c>
    </row>
    <row r="1672" spans="6:23" ht="31.5" customHeight="1" x14ac:dyDescent="0.25">
      <c r="F1672" s="44" t="s">
        <v>4184</v>
      </c>
      <c r="U1672" s="28" t="str">
        <f>IF($C1672&lt;&gt;"",COUNTIF($C$2:C1672,C1672),"")</f>
        <v/>
      </c>
      <c r="V1672" s="28" t="str">
        <f t="shared" si="50"/>
        <v/>
      </c>
      <c r="W1672" s="28" t="str">
        <f>IF(U1672=1,COUNTIF($U$2:U1672,1),"")</f>
        <v/>
      </c>
    </row>
    <row r="1673" spans="6:23" ht="31.5" customHeight="1" x14ac:dyDescent="0.25">
      <c r="F1673" s="44" t="s">
        <v>4185</v>
      </c>
      <c r="U1673" s="28" t="str">
        <f>IF($C1673&lt;&gt;"",COUNTIF($C$2:C1673,C1673),"")</f>
        <v/>
      </c>
      <c r="V1673" s="28" t="str">
        <f t="shared" si="50"/>
        <v/>
      </c>
      <c r="W1673" s="28" t="str">
        <f>IF(U1673=1,COUNTIF($U$2:U1673,1),"")</f>
        <v/>
      </c>
    </row>
    <row r="1674" spans="6:23" ht="63" customHeight="1" x14ac:dyDescent="0.25">
      <c r="F1674" s="44" t="s">
        <v>4186</v>
      </c>
      <c r="U1674" s="28" t="str">
        <f>IF($C1674&lt;&gt;"",COUNTIF($C$2:C1674,C1674),"")</f>
        <v/>
      </c>
      <c r="V1674" s="28" t="str">
        <f t="shared" si="50"/>
        <v/>
      </c>
      <c r="W1674" s="28" t="str">
        <f>IF(U1674=1,COUNTIF($U$2:U1674,1),"")</f>
        <v/>
      </c>
    </row>
    <row r="1675" spans="6:23" ht="31.5" customHeight="1" x14ac:dyDescent="0.25">
      <c r="F1675" s="44" t="s">
        <v>4187</v>
      </c>
      <c r="U1675" s="28" t="str">
        <f>IF($C1675&lt;&gt;"",COUNTIF($C$2:C1675,C1675),"")</f>
        <v/>
      </c>
      <c r="V1675" s="28" t="str">
        <f t="shared" si="50"/>
        <v/>
      </c>
      <c r="W1675" s="28" t="str">
        <f>IF(U1675=1,COUNTIF($U$2:U1675,1),"")</f>
        <v/>
      </c>
    </row>
    <row r="1676" spans="6:23" ht="31.5" customHeight="1" x14ac:dyDescent="0.25">
      <c r="F1676" s="44" t="s">
        <v>4188</v>
      </c>
      <c r="U1676" s="28" t="str">
        <f>IF($C1676&lt;&gt;"",COUNTIF($C$2:C1676,C1676),"")</f>
        <v/>
      </c>
      <c r="V1676" s="28" t="str">
        <f t="shared" si="50"/>
        <v/>
      </c>
      <c r="W1676" s="28" t="str">
        <f>IF(U1676=1,COUNTIF($U$2:U1676,1),"")</f>
        <v/>
      </c>
    </row>
    <row r="1677" spans="6:23" ht="31.5" customHeight="1" x14ac:dyDescent="0.25">
      <c r="F1677" s="44" t="s">
        <v>4189</v>
      </c>
      <c r="U1677" s="28" t="str">
        <f>IF($C1677&lt;&gt;"",COUNTIF($C$2:C1677,C1677),"")</f>
        <v/>
      </c>
      <c r="V1677" s="28" t="str">
        <f t="shared" si="50"/>
        <v/>
      </c>
      <c r="W1677" s="28" t="str">
        <f>IF(U1677=1,COUNTIF($U$2:U1677,1),"")</f>
        <v/>
      </c>
    </row>
    <row r="1678" spans="6:23" ht="47.25" customHeight="1" x14ac:dyDescent="0.25">
      <c r="F1678" s="44" t="s">
        <v>4190</v>
      </c>
      <c r="U1678" s="28" t="str">
        <f>IF($C1678&lt;&gt;"",COUNTIF($C$2:C1678,C1678),"")</f>
        <v/>
      </c>
      <c r="V1678" s="28" t="str">
        <f t="shared" si="50"/>
        <v/>
      </c>
      <c r="W1678" s="28" t="str">
        <f>IF(U1678=1,COUNTIF($U$2:U1678,1),"")</f>
        <v/>
      </c>
    </row>
    <row r="1679" spans="6:23" ht="47.25" customHeight="1" x14ac:dyDescent="0.25">
      <c r="F1679" s="44" t="s">
        <v>4191</v>
      </c>
      <c r="U1679" s="28" t="str">
        <f>IF($C1679&lt;&gt;"",COUNTIF($C$2:C1679,C1679),"")</f>
        <v/>
      </c>
      <c r="V1679" s="28" t="str">
        <f t="shared" si="50"/>
        <v/>
      </c>
      <c r="W1679" s="28" t="str">
        <f>IF(U1679=1,COUNTIF($U$2:U1679,1),"")</f>
        <v/>
      </c>
    </row>
    <row r="1680" spans="6:23" ht="31.5" customHeight="1" x14ac:dyDescent="0.25">
      <c r="F1680" s="44" t="s">
        <v>4192</v>
      </c>
      <c r="U1680" s="28" t="str">
        <f>IF($C1680&lt;&gt;"",COUNTIF($C$2:C1680,C1680),"")</f>
        <v/>
      </c>
      <c r="V1680" s="28" t="str">
        <f t="shared" si="50"/>
        <v/>
      </c>
      <c r="W1680" s="28" t="str">
        <f>IF(U1680=1,COUNTIF($U$2:U1680,1),"")</f>
        <v/>
      </c>
    </row>
    <row r="1681" spans="6:23" ht="63" customHeight="1" x14ac:dyDescent="0.25">
      <c r="F1681" s="44" t="s">
        <v>4193</v>
      </c>
      <c r="U1681" s="28" t="str">
        <f>IF($C1681&lt;&gt;"",COUNTIF($C$2:C1681,C1681),"")</f>
        <v/>
      </c>
      <c r="V1681" s="28" t="str">
        <f t="shared" si="50"/>
        <v/>
      </c>
      <c r="W1681" s="28" t="str">
        <f>IF(U1681=1,COUNTIF($U$2:U1681,1),"")</f>
        <v/>
      </c>
    </row>
    <row r="1682" spans="6:23" ht="47.25" customHeight="1" x14ac:dyDescent="0.25">
      <c r="F1682" s="44" t="s">
        <v>4194</v>
      </c>
      <c r="U1682" s="28" t="str">
        <f>IF($C1682&lt;&gt;"",COUNTIF($C$2:C1682,C1682),"")</f>
        <v/>
      </c>
      <c r="V1682" s="28" t="str">
        <f t="shared" si="50"/>
        <v/>
      </c>
      <c r="W1682" s="28" t="str">
        <f>IF(U1682=1,COUNTIF($U$2:U1682,1),"")</f>
        <v/>
      </c>
    </row>
    <row r="1683" spans="6:23" ht="63" customHeight="1" x14ac:dyDescent="0.25">
      <c r="F1683" s="44" t="s">
        <v>4195</v>
      </c>
      <c r="U1683" s="28" t="str">
        <f>IF($C1683&lt;&gt;"",COUNTIF($C$2:C1683,C1683),"")</f>
        <v/>
      </c>
      <c r="V1683" s="28" t="str">
        <f t="shared" si="50"/>
        <v/>
      </c>
      <c r="W1683" s="28" t="str">
        <f>IF(U1683=1,COUNTIF($U$2:U1683,1),"")</f>
        <v/>
      </c>
    </row>
    <row r="1684" spans="6:23" ht="63" customHeight="1" x14ac:dyDescent="0.25">
      <c r="F1684" s="44" t="s">
        <v>4196</v>
      </c>
      <c r="U1684" s="28" t="str">
        <f>IF($C1684&lt;&gt;"",COUNTIF($C$2:C1684,C1684),"")</f>
        <v/>
      </c>
      <c r="V1684" s="28" t="str">
        <f t="shared" si="50"/>
        <v/>
      </c>
      <c r="W1684" s="28" t="str">
        <f>IF(U1684=1,COUNTIF($U$2:U1684,1),"")</f>
        <v/>
      </c>
    </row>
    <row r="1685" spans="6:23" ht="47.25" customHeight="1" x14ac:dyDescent="0.25">
      <c r="F1685" s="44" t="s">
        <v>4197</v>
      </c>
      <c r="U1685" s="28" t="str">
        <f>IF($C1685&lt;&gt;"",COUNTIF($C$2:C1685,C1685),"")</f>
        <v/>
      </c>
      <c r="V1685" s="28" t="str">
        <f t="shared" si="50"/>
        <v/>
      </c>
      <c r="W1685" s="28" t="str">
        <f>IF(U1685=1,COUNTIF($U$2:U1685,1),"")</f>
        <v/>
      </c>
    </row>
    <row r="1686" spans="6:23" ht="31.5" customHeight="1" x14ac:dyDescent="0.25">
      <c r="F1686" s="44" t="s">
        <v>4198</v>
      </c>
      <c r="U1686" s="28" t="str">
        <f>IF($C1686&lt;&gt;"",COUNTIF($C$2:C1686,C1686),"")</f>
        <v/>
      </c>
      <c r="V1686" s="28" t="str">
        <f t="shared" si="50"/>
        <v/>
      </c>
      <c r="W1686" s="28" t="str">
        <f>IF(U1686=1,COUNTIF($U$2:U1686,1),"")</f>
        <v/>
      </c>
    </row>
    <row r="1687" spans="6:23" ht="63" customHeight="1" x14ac:dyDescent="0.25">
      <c r="F1687" s="44" t="s">
        <v>4199</v>
      </c>
      <c r="U1687" s="28" t="str">
        <f>IF($C1687&lt;&gt;"",COUNTIF($C$2:C1687,C1687),"")</f>
        <v/>
      </c>
      <c r="V1687" s="28" t="str">
        <f t="shared" si="50"/>
        <v/>
      </c>
      <c r="W1687" s="28" t="str">
        <f>IF(U1687=1,COUNTIF($U$2:U1687,1),"")</f>
        <v/>
      </c>
    </row>
    <row r="1688" spans="6:23" ht="47.25" customHeight="1" x14ac:dyDescent="0.25">
      <c r="F1688" s="44" t="s">
        <v>4200</v>
      </c>
      <c r="U1688" s="28" t="str">
        <f>IF($C1688&lt;&gt;"",COUNTIF($C$2:C1688,C1688),"")</f>
        <v/>
      </c>
      <c r="V1688" s="28" t="str">
        <f t="shared" si="50"/>
        <v/>
      </c>
      <c r="W1688" s="28" t="str">
        <f>IF(U1688=1,COUNTIF($U$2:U1688,1),"")</f>
        <v/>
      </c>
    </row>
    <row r="1689" spans="6:23" ht="63" customHeight="1" x14ac:dyDescent="0.25">
      <c r="F1689" s="44" t="s">
        <v>4201</v>
      </c>
      <c r="U1689" s="28" t="str">
        <f>IF($C1689&lt;&gt;"",COUNTIF($C$2:C1689,C1689),"")</f>
        <v/>
      </c>
      <c r="V1689" s="28" t="str">
        <f t="shared" si="50"/>
        <v/>
      </c>
      <c r="W1689" s="28" t="str">
        <f>IF(U1689=1,COUNTIF($U$2:U1689,1),"")</f>
        <v/>
      </c>
    </row>
    <row r="1690" spans="6:23" ht="47.25" customHeight="1" x14ac:dyDescent="0.25">
      <c r="F1690" s="44" t="s">
        <v>4202</v>
      </c>
      <c r="U1690" s="28" t="str">
        <f>IF($C1690&lt;&gt;"",COUNTIF($C$2:C1690,C1690),"")</f>
        <v/>
      </c>
      <c r="V1690" s="28" t="str">
        <f t="shared" si="50"/>
        <v/>
      </c>
      <c r="W1690" s="28" t="str">
        <f>IF(U1690=1,COUNTIF($U$2:U1690,1),"")</f>
        <v/>
      </c>
    </row>
    <row r="1691" spans="6:23" ht="31.5" customHeight="1" x14ac:dyDescent="0.25">
      <c r="F1691" s="44" t="s">
        <v>4203</v>
      </c>
      <c r="U1691" s="28" t="str">
        <f>IF($C1691&lt;&gt;"",COUNTIF($C$2:C1691,C1691),"")</f>
        <v/>
      </c>
      <c r="V1691" s="28" t="str">
        <f t="shared" si="50"/>
        <v/>
      </c>
      <c r="W1691" s="28" t="str">
        <f>IF(U1691=1,COUNTIF($U$2:U1691,1),"")</f>
        <v/>
      </c>
    </row>
    <row r="1692" spans="6:23" ht="47.25" customHeight="1" x14ac:dyDescent="0.25">
      <c r="F1692" s="44" t="s">
        <v>4204</v>
      </c>
      <c r="U1692" s="28" t="str">
        <f>IF($C1692&lt;&gt;"",COUNTIF($C$2:C1692,C1692),"")</f>
        <v/>
      </c>
      <c r="V1692" s="28" t="str">
        <f t="shared" si="50"/>
        <v/>
      </c>
      <c r="W1692" s="28" t="str">
        <f>IF(U1692=1,COUNTIF($U$2:U1692,1),"")</f>
        <v/>
      </c>
    </row>
    <row r="1693" spans="6:23" ht="31.5" customHeight="1" x14ac:dyDescent="0.25">
      <c r="F1693" s="44" t="s">
        <v>4205</v>
      </c>
      <c r="U1693" s="28" t="str">
        <f>IF($C1693&lt;&gt;"",COUNTIF($C$2:C1693,C1693),"")</f>
        <v/>
      </c>
      <c r="V1693" s="28" t="str">
        <f t="shared" si="50"/>
        <v/>
      </c>
      <c r="W1693" s="28" t="str">
        <f>IF(U1693=1,COUNTIF($U$2:U1693,1),"")</f>
        <v/>
      </c>
    </row>
    <row r="1694" spans="6:23" ht="63" customHeight="1" x14ac:dyDescent="0.25">
      <c r="F1694" s="44" t="s">
        <v>4206</v>
      </c>
      <c r="U1694" s="28" t="str">
        <f>IF($C1694&lt;&gt;"",COUNTIF($C$2:C1694,C1694),"")</f>
        <v/>
      </c>
      <c r="V1694" s="28" t="str">
        <f t="shared" si="50"/>
        <v/>
      </c>
      <c r="W1694" s="28" t="str">
        <f>IF(U1694=1,COUNTIF($U$2:U1694,1),"")</f>
        <v/>
      </c>
    </row>
    <row r="1695" spans="6:23" ht="47.25" customHeight="1" x14ac:dyDescent="0.25">
      <c r="F1695" s="44" t="s">
        <v>4207</v>
      </c>
      <c r="U1695" s="28" t="str">
        <f>IF($C1695&lt;&gt;"",COUNTIF($C$2:C1695,C1695),"")</f>
        <v/>
      </c>
      <c r="V1695" s="28" t="str">
        <f t="shared" si="50"/>
        <v/>
      </c>
      <c r="W1695" s="28" t="str">
        <f>IF(U1695=1,COUNTIF($U$2:U1695,1),"")</f>
        <v/>
      </c>
    </row>
    <row r="1696" spans="6:23" ht="31.5" customHeight="1" x14ac:dyDescent="0.25">
      <c r="F1696" s="44" t="s">
        <v>4208</v>
      </c>
      <c r="U1696" s="28" t="str">
        <f>IF($C1696&lt;&gt;"",COUNTIF($C$2:C1696,C1696),"")</f>
        <v/>
      </c>
      <c r="V1696" s="28" t="str">
        <f t="shared" si="50"/>
        <v/>
      </c>
      <c r="W1696" s="28" t="str">
        <f>IF(U1696=1,COUNTIF($U$2:U1696,1),"")</f>
        <v/>
      </c>
    </row>
    <row r="1697" spans="6:23" ht="47.25" customHeight="1" x14ac:dyDescent="0.25">
      <c r="F1697" s="44" t="s">
        <v>4209</v>
      </c>
      <c r="U1697" s="28" t="str">
        <f>IF($C1697&lt;&gt;"",COUNTIF($C$2:C1697,C1697),"")</f>
        <v/>
      </c>
      <c r="V1697" s="28" t="str">
        <f t="shared" si="50"/>
        <v/>
      </c>
      <c r="W1697" s="28" t="str">
        <f>IF(U1697=1,COUNTIF($U$2:U1697,1),"")</f>
        <v/>
      </c>
    </row>
    <row r="1698" spans="6:23" ht="31.5" customHeight="1" x14ac:dyDescent="0.25">
      <c r="F1698" s="44" t="s">
        <v>4210</v>
      </c>
      <c r="U1698" s="28" t="str">
        <f>IF($C1698&lt;&gt;"",COUNTIF($C$2:C1698,C1698),"")</f>
        <v/>
      </c>
      <c r="V1698" s="28" t="str">
        <f t="shared" si="50"/>
        <v/>
      </c>
      <c r="W1698" s="28" t="str">
        <f>IF(U1698=1,COUNTIF($U$2:U1698,1),"")</f>
        <v/>
      </c>
    </row>
    <row r="1699" spans="6:23" ht="47.25" customHeight="1" x14ac:dyDescent="0.25">
      <c r="F1699" s="44" t="s">
        <v>4211</v>
      </c>
      <c r="U1699" s="28" t="str">
        <f>IF($C1699&lt;&gt;"",COUNTIF($C$2:C1699,C1699),"")</f>
        <v/>
      </c>
      <c r="V1699" s="28" t="str">
        <f t="shared" si="50"/>
        <v/>
      </c>
      <c r="W1699" s="28" t="str">
        <f>IF(U1699=1,COUNTIF($U$2:U1699,1),"")</f>
        <v/>
      </c>
    </row>
    <row r="1700" spans="6:23" ht="47.25" customHeight="1" x14ac:dyDescent="0.25">
      <c r="F1700" s="44" t="s">
        <v>4212</v>
      </c>
      <c r="U1700" s="28" t="str">
        <f>IF($C1700&lt;&gt;"",COUNTIF($C$2:C1700,C1700),"")</f>
        <v/>
      </c>
      <c r="V1700" s="28" t="str">
        <f t="shared" si="50"/>
        <v/>
      </c>
      <c r="W1700" s="28" t="str">
        <f>IF(U1700=1,COUNTIF($U$2:U1700,1),"")</f>
        <v/>
      </c>
    </row>
    <row r="1701" spans="6:23" ht="63" customHeight="1" x14ac:dyDescent="0.25">
      <c r="F1701" s="44" t="s">
        <v>4213</v>
      </c>
      <c r="U1701" s="28" t="str">
        <f>IF($C1701&lt;&gt;"",COUNTIF($C$2:C1701,C1701),"")</f>
        <v/>
      </c>
      <c r="V1701" s="28" t="str">
        <f t="shared" si="50"/>
        <v/>
      </c>
      <c r="W1701" s="28" t="str">
        <f>IF(U1701=1,COUNTIF($U$2:U1701,1),"")</f>
        <v/>
      </c>
    </row>
    <row r="1702" spans="6:23" ht="47.25" customHeight="1" x14ac:dyDescent="0.25">
      <c r="F1702" s="44" t="s">
        <v>4214</v>
      </c>
      <c r="U1702" s="28" t="str">
        <f>IF($C1702&lt;&gt;"",COUNTIF($C$2:C1702,C1702),"")</f>
        <v/>
      </c>
      <c r="V1702" s="28" t="str">
        <f t="shared" si="50"/>
        <v/>
      </c>
      <c r="W1702" s="28" t="str">
        <f>IF(U1702=1,COUNTIF($U$2:U1702,1),"")</f>
        <v/>
      </c>
    </row>
    <row r="1703" spans="6:23" ht="78.75" customHeight="1" x14ac:dyDescent="0.25">
      <c r="F1703" s="44" t="s">
        <v>4215</v>
      </c>
      <c r="U1703" s="28" t="str">
        <f>IF($C1703&lt;&gt;"",COUNTIF($C$2:C1703,C1703),"")</f>
        <v/>
      </c>
      <c r="V1703" s="28" t="str">
        <f t="shared" si="50"/>
        <v/>
      </c>
      <c r="W1703" s="28" t="str">
        <f>IF(U1703=1,COUNTIF($U$2:U1703,1),"")</f>
        <v/>
      </c>
    </row>
    <row r="1704" spans="6:23" ht="31.5" customHeight="1" x14ac:dyDescent="0.25">
      <c r="F1704" s="44" t="s">
        <v>4216</v>
      </c>
      <c r="U1704" s="28" t="str">
        <f>IF($C1704&lt;&gt;"",COUNTIF($C$2:C1704,C1704),"")</f>
        <v/>
      </c>
      <c r="V1704" s="28" t="str">
        <f t="shared" si="50"/>
        <v/>
      </c>
      <c r="W1704" s="28" t="str">
        <f>IF(U1704=1,COUNTIF($U$2:U1704,1),"")</f>
        <v/>
      </c>
    </row>
    <row r="1705" spans="6:23" ht="47.25" customHeight="1" x14ac:dyDescent="0.25">
      <c r="F1705" s="44" t="s">
        <v>4217</v>
      </c>
      <c r="U1705" s="28" t="str">
        <f>IF($C1705&lt;&gt;"",COUNTIF($C$2:C1705,C1705),"")</f>
        <v/>
      </c>
      <c r="V1705" s="28" t="str">
        <f t="shared" si="50"/>
        <v/>
      </c>
      <c r="W1705" s="28" t="str">
        <f>IF(U1705=1,COUNTIF($U$2:U1705,1),"")</f>
        <v/>
      </c>
    </row>
    <row r="1706" spans="6:23" ht="47.25" customHeight="1" x14ac:dyDescent="0.25">
      <c r="F1706" s="44" t="s">
        <v>4218</v>
      </c>
      <c r="U1706" s="28" t="str">
        <f>IF($C1706&lt;&gt;"",COUNTIF($C$2:C1706,C1706),"")</f>
        <v/>
      </c>
      <c r="V1706" s="28" t="str">
        <f t="shared" si="50"/>
        <v/>
      </c>
      <c r="W1706" s="28" t="str">
        <f>IF(U1706=1,COUNTIF($U$2:U1706,1),"")</f>
        <v/>
      </c>
    </row>
    <row r="1707" spans="6:23" ht="31.5" customHeight="1" x14ac:dyDescent="0.25">
      <c r="F1707" s="44" t="s">
        <v>4219</v>
      </c>
      <c r="U1707" s="28" t="str">
        <f>IF($C1707&lt;&gt;"",COUNTIF($C$2:C1707,C1707),"")</f>
        <v/>
      </c>
      <c r="V1707" s="28" t="str">
        <f t="shared" si="50"/>
        <v/>
      </c>
      <c r="W1707" s="28" t="str">
        <f>IF(U1707=1,COUNTIF($U$2:U1707,1),"")</f>
        <v/>
      </c>
    </row>
    <row r="1708" spans="6:23" ht="47.25" customHeight="1" x14ac:dyDescent="0.25">
      <c r="F1708" s="44" t="s">
        <v>4220</v>
      </c>
      <c r="U1708" s="28" t="str">
        <f>IF($C1708&lt;&gt;"",COUNTIF($C$2:C1708,C1708),"")</f>
        <v/>
      </c>
      <c r="V1708" s="28" t="str">
        <f t="shared" si="50"/>
        <v/>
      </c>
      <c r="W1708" s="28" t="str">
        <f>IF(U1708=1,COUNTIF($U$2:U1708,1),"")</f>
        <v/>
      </c>
    </row>
    <row r="1709" spans="6:23" ht="47.25" customHeight="1" x14ac:dyDescent="0.25">
      <c r="F1709" s="44" t="s">
        <v>4221</v>
      </c>
      <c r="U1709" s="28" t="str">
        <f>IF($C1709&lt;&gt;"",COUNTIF($C$2:C1709,C1709),"")</f>
        <v/>
      </c>
      <c r="V1709" s="28" t="str">
        <f t="shared" si="50"/>
        <v/>
      </c>
      <c r="W1709" s="28" t="str">
        <f>IF(U1709=1,COUNTIF($U$2:U1709,1),"")</f>
        <v/>
      </c>
    </row>
    <row r="1710" spans="6:23" ht="47.25" customHeight="1" x14ac:dyDescent="0.25">
      <c r="F1710" s="44" t="s">
        <v>4222</v>
      </c>
      <c r="U1710" s="28" t="str">
        <f>IF($C1710&lt;&gt;"",COUNTIF($C$2:C1710,C1710),"")</f>
        <v/>
      </c>
      <c r="V1710" s="28" t="str">
        <f t="shared" si="50"/>
        <v/>
      </c>
      <c r="W1710" s="28" t="str">
        <f>IF(U1710=1,COUNTIF($U$2:U1710,1),"")</f>
        <v/>
      </c>
    </row>
    <row r="1711" spans="6:23" ht="63" customHeight="1" x14ac:dyDescent="0.25">
      <c r="F1711" s="44" t="s">
        <v>4223</v>
      </c>
      <c r="U1711" s="28" t="str">
        <f>IF($C1711&lt;&gt;"",COUNTIF($C$2:C1711,C1711),"")</f>
        <v/>
      </c>
      <c r="V1711" s="28" t="str">
        <f t="shared" si="50"/>
        <v/>
      </c>
      <c r="W1711" s="28" t="str">
        <f>IF(U1711=1,COUNTIF($U$2:U1711,1),"")</f>
        <v/>
      </c>
    </row>
    <row r="1712" spans="6:23" ht="63" customHeight="1" x14ac:dyDescent="0.25">
      <c r="F1712" s="44" t="s">
        <v>4224</v>
      </c>
      <c r="U1712" s="28" t="str">
        <f>IF($C1712&lt;&gt;"",COUNTIF($C$2:C1712,C1712),"")</f>
        <v/>
      </c>
      <c r="V1712" s="28" t="str">
        <f t="shared" si="50"/>
        <v/>
      </c>
      <c r="W1712" s="28" t="str">
        <f>IF(U1712=1,COUNTIF($U$2:U1712,1),"")</f>
        <v/>
      </c>
    </row>
    <row r="1713" spans="6:23" ht="47.25" customHeight="1" x14ac:dyDescent="0.25">
      <c r="F1713" s="44" t="s">
        <v>4225</v>
      </c>
      <c r="U1713" s="28" t="str">
        <f>IF($C1713&lt;&gt;"",COUNTIF($C$2:C1713,C1713),"")</f>
        <v/>
      </c>
      <c r="V1713" s="28" t="str">
        <f t="shared" si="50"/>
        <v/>
      </c>
      <c r="W1713" s="28" t="str">
        <f>IF(U1713=1,COUNTIF($U$2:U1713,1),"")</f>
        <v/>
      </c>
    </row>
    <row r="1714" spans="6:23" ht="47.25" customHeight="1" x14ac:dyDescent="0.25">
      <c r="F1714" s="44" t="s">
        <v>4226</v>
      </c>
      <c r="U1714" s="28" t="str">
        <f>IF($C1714&lt;&gt;"",COUNTIF($C$2:C1714,C1714),"")</f>
        <v/>
      </c>
      <c r="V1714" s="28" t="str">
        <f t="shared" si="50"/>
        <v/>
      </c>
      <c r="W1714" s="28" t="str">
        <f>IF(U1714=1,COUNTIF($U$2:U1714,1),"")</f>
        <v/>
      </c>
    </row>
    <row r="1715" spans="6:23" ht="47.25" customHeight="1" x14ac:dyDescent="0.25">
      <c r="F1715" s="44" t="s">
        <v>4227</v>
      </c>
      <c r="U1715" s="28" t="str">
        <f>IF($C1715&lt;&gt;"",COUNTIF($C$2:C1715,C1715),"")</f>
        <v/>
      </c>
      <c r="V1715" s="28" t="str">
        <f t="shared" si="50"/>
        <v/>
      </c>
      <c r="W1715" s="28" t="str">
        <f>IF(U1715=1,COUNTIF($U$2:U1715,1),"")</f>
        <v/>
      </c>
    </row>
    <row r="1716" spans="6:23" ht="31.5" customHeight="1" x14ac:dyDescent="0.25">
      <c r="F1716" s="44" t="s">
        <v>4228</v>
      </c>
      <c r="U1716" s="28" t="str">
        <f>IF($C1716&lt;&gt;"",COUNTIF($C$2:C1716,C1716),"")</f>
        <v/>
      </c>
      <c r="V1716" s="28" t="str">
        <f t="shared" si="50"/>
        <v/>
      </c>
      <c r="W1716" s="28" t="str">
        <f>IF(U1716=1,COUNTIF($U$2:U1716,1),"")</f>
        <v/>
      </c>
    </row>
    <row r="1717" spans="6:23" ht="31.5" customHeight="1" x14ac:dyDescent="0.25">
      <c r="F1717" s="44" t="s">
        <v>4229</v>
      </c>
      <c r="U1717" s="28" t="str">
        <f>IF($C1717&lt;&gt;"",COUNTIF($C$2:C1717,C1717),"")</f>
        <v/>
      </c>
      <c r="V1717" s="28" t="str">
        <f t="shared" si="50"/>
        <v/>
      </c>
      <c r="W1717" s="28" t="str">
        <f>IF(U1717=1,COUNTIF($U$2:U1717,1),"")</f>
        <v/>
      </c>
    </row>
    <row r="1718" spans="6:23" ht="31.5" customHeight="1" x14ac:dyDescent="0.25">
      <c r="F1718" s="44" t="s">
        <v>4230</v>
      </c>
      <c r="U1718" s="28" t="str">
        <f>IF($C1718&lt;&gt;"",COUNTIF($C$2:C1718,C1718),"")</f>
        <v/>
      </c>
      <c r="V1718" s="28" t="str">
        <f t="shared" si="50"/>
        <v/>
      </c>
      <c r="W1718" s="28" t="str">
        <f>IF(U1718=1,COUNTIF($U$2:U1718,1),"")</f>
        <v/>
      </c>
    </row>
    <row r="1719" spans="6:23" ht="47.25" customHeight="1" x14ac:dyDescent="0.25">
      <c r="F1719" s="44" t="s">
        <v>4231</v>
      </c>
      <c r="U1719" s="28" t="str">
        <f>IF($C1719&lt;&gt;"",COUNTIF($C$2:C1719,C1719),"")</f>
        <v/>
      </c>
      <c r="V1719" s="28" t="str">
        <f t="shared" si="50"/>
        <v/>
      </c>
      <c r="W1719" s="28" t="str">
        <f>IF(U1719=1,COUNTIF($U$2:U1719,1),"")</f>
        <v/>
      </c>
    </row>
    <row r="1720" spans="6:23" ht="31.5" customHeight="1" x14ac:dyDescent="0.25">
      <c r="F1720" s="44" t="s">
        <v>4232</v>
      </c>
      <c r="U1720" s="28" t="str">
        <f>IF($C1720&lt;&gt;"",COUNTIF($C$2:C1720,C1720),"")</f>
        <v/>
      </c>
      <c r="V1720" s="28" t="str">
        <f t="shared" si="50"/>
        <v/>
      </c>
      <c r="W1720" s="28" t="str">
        <f>IF(U1720=1,COUNTIF($U$2:U1720,1),"")</f>
        <v/>
      </c>
    </row>
    <row r="1721" spans="6:23" ht="31.5" customHeight="1" x14ac:dyDescent="0.25">
      <c r="F1721" s="44" t="s">
        <v>4233</v>
      </c>
      <c r="U1721" s="28" t="str">
        <f>IF($C1721&lt;&gt;"",COUNTIF($C$2:C1721,C1721),"")</f>
        <v/>
      </c>
      <c r="V1721" s="28" t="str">
        <f t="shared" si="50"/>
        <v/>
      </c>
      <c r="W1721" s="28" t="str">
        <f>IF(U1721=1,COUNTIF($U$2:U1721,1),"")</f>
        <v/>
      </c>
    </row>
    <row r="1722" spans="6:23" ht="63" customHeight="1" x14ac:dyDescent="0.25">
      <c r="F1722" s="44" t="s">
        <v>4234</v>
      </c>
      <c r="U1722" s="28" t="str">
        <f>IF($C1722&lt;&gt;"",COUNTIF($C$2:C1722,C1722),"")</f>
        <v/>
      </c>
      <c r="V1722" s="28" t="str">
        <f t="shared" si="50"/>
        <v/>
      </c>
      <c r="W1722" s="28" t="str">
        <f>IF(U1722=1,COUNTIF($U$2:U1722,1),"")</f>
        <v/>
      </c>
    </row>
    <row r="1723" spans="6:23" ht="47.25" customHeight="1" x14ac:dyDescent="0.25">
      <c r="F1723" s="44" t="s">
        <v>4235</v>
      </c>
      <c r="U1723" s="28" t="str">
        <f>IF($C1723&lt;&gt;"",COUNTIF($C$2:C1723,C1723),"")</f>
        <v/>
      </c>
      <c r="V1723" s="28" t="str">
        <f t="shared" si="50"/>
        <v/>
      </c>
      <c r="W1723" s="28" t="str">
        <f>IF(U1723=1,COUNTIF($U$2:U1723,1),"")</f>
        <v/>
      </c>
    </row>
    <row r="1724" spans="6:23" ht="31.5" customHeight="1" x14ac:dyDescent="0.25">
      <c r="F1724" s="44" t="s">
        <v>4236</v>
      </c>
      <c r="U1724" s="28" t="str">
        <f>IF($C1724&lt;&gt;"",COUNTIF($C$2:C1724,C1724),"")</f>
        <v/>
      </c>
      <c r="V1724" s="28" t="str">
        <f t="shared" si="50"/>
        <v/>
      </c>
      <c r="W1724" s="28" t="str">
        <f>IF(U1724=1,COUNTIF($U$2:U1724,1),"")</f>
        <v/>
      </c>
    </row>
    <row r="1725" spans="6:23" ht="31.5" customHeight="1" x14ac:dyDescent="0.25">
      <c r="F1725" s="44" t="s">
        <v>4237</v>
      </c>
      <c r="U1725" s="28" t="str">
        <f>IF($C1725&lt;&gt;"",COUNTIF($C$2:C1725,C1725),"")</f>
        <v/>
      </c>
      <c r="V1725" s="28" t="str">
        <f t="shared" si="50"/>
        <v/>
      </c>
      <c r="W1725" s="28" t="str">
        <f>IF(U1725=1,COUNTIF($U$2:U1725,1),"")</f>
        <v/>
      </c>
    </row>
    <row r="1726" spans="6:23" ht="31.5" customHeight="1" x14ac:dyDescent="0.25">
      <c r="F1726" s="44" t="s">
        <v>4238</v>
      </c>
      <c r="U1726" s="28" t="str">
        <f>IF($C1726&lt;&gt;"",COUNTIF($C$2:C1726,C1726),"")</f>
        <v/>
      </c>
      <c r="V1726" s="28" t="str">
        <f t="shared" si="50"/>
        <v/>
      </c>
      <c r="W1726" s="28" t="str">
        <f>IF(U1726=1,COUNTIF($U$2:U1726,1),"")</f>
        <v/>
      </c>
    </row>
    <row r="1727" spans="6:23" ht="31.5" customHeight="1" x14ac:dyDescent="0.25">
      <c r="F1727" s="44" t="s">
        <v>4239</v>
      </c>
      <c r="U1727" s="28" t="str">
        <f>IF($C1727&lt;&gt;"",COUNTIF($C$2:C1727,C1727),"")</f>
        <v/>
      </c>
      <c r="V1727" s="28" t="str">
        <f t="shared" si="50"/>
        <v/>
      </c>
      <c r="W1727" s="28" t="str">
        <f>IF(U1727=1,COUNTIF($U$2:U1727,1),"")</f>
        <v/>
      </c>
    </row>
    <row r="1728" spans="6:23" ht="31.5" customHeight="1" x14ac:dyDescent="0.25">
      <c r="F1728" s="44" t="s">
        <v>4240</v>
      </c>
      <c r="U1728" s="28" t="str">
        <f>IF($C1728&lt;&gt;"",COUNTIF($C$2:C1728,C1728),"")</f>
        <v/>
      </c>
      <c r="V1728" s="28" t="str">
        <f t="shared" si="50"/>
        <v/>
      </c>
      <c r="W1728" s="28" t="str">
        <f>IF(U1728=1,COUNTIF($U$2:U1728,1),"")</f>
        <v/>
      </c>
    </row>
    <row r="1729" spans="6:23" ht="47.25" customHeight="1" x14ac:dyDescent="0.25">
      <c r="F1729" s="44" t="s">
        <v>4241</v>
      </c>
      <c r="U1729" s="28" t="str">
        <f>IF($C1729&lt;&gt;"",COUNTIF($C$2:C1729,C1729),"")</f>
        <v/>
      </c>
      <c r="V1729" s="28" t="str">
        <f t="shared" si="50"/>
        <v/>
      </c>
      <c r="W1729" s="28" t="str">
        <f>IF(U1729=1,COUNTIF($U$2:U1729,1),"")</f>
        <v/>
      </c>
    </row>
    <row r="1730" spans="6:23" ht="20.25" customHeight="1" x14ac:dyDescent="0.25">
      <c r="F1730" s="44" t="s">
        <v>4242</v>
      </c>
      <c r="U1730" s="28" t="str">
        <f>IF($C1730&lt;&gt;"",COUNTIF($C$2:C1730,C1730),"")</f>
        <v/>
      </c>
      <c r="V1730" s="28" t="str">
        <f t="shared" ref="V1730:V1793" si="51">IF($C1730&lt;&gt;"",C1730&amp;"§"&amp;U1730,"")</f>
        <v/>
      </c>
      <c r="W1730" s="28" t="str">
        <f>IF(U1730=1,COUNTIF($U$2:U1730,1),"")</f>
        <v/>
      </c>
    </row>
    <row r="1731" spans="6:23" ht="47.25" customHeight="1" x14ac:dyDescent="0.25">
      <c r="F1731" s="44" t="s">
        <v>4243</v>
      </c>
      <c r="U1731" s="28" t="str">
        <f>IF($C1731&lt;&gt;"",COUNTIF($C$2:C1731,C1731),"")</f>
        <v/>
      </c>
      <c r="V1731" s="28" t="str">
        <f t="shared" si="51"/>
        <v/>
      </c>
      <c r="W1731" s="28" t="str">
        <f>IF(U1731=1,COUNTIF($U$2:U1731,1),"")</f>
        <v/>
      </c>
    </row>
    <row r="1732" spans="6:23" ht="47.25" customHeight="1" x14ac:dyDescent="0.25">
      <c r="F1732" s="44" t="s">
        <v>4244</v>
      </c>
      <c r="U1732" s="28" t="str">
        <f>IF($C1732&lt;&gt;"",COUNTIF($C$2:C1732,C1732),"")</f>
        <v/>
      </c>
      <c r="V1732" s="28" t="str">
        <f t="shared" si="51"/>
        <v/>
      </c>
      <c r="W1732" s="28" t="str">
        <f>IF(U1732=1,COUNTIF($U$2:U1732,1),"")</f>
        <v/>
      </c>
    </row>
    <row r="1733" spans="6:23" ht="31.5" customHeight="1" x14ac:dyDescent="0.25">
      <c r="F1733" s="44" t="s">
        <v>4245</v>
      </c>
      <c r="U1733" s="28" t="str">
        <f>IF($C1733&lt;&gt;"",COUNTIF($C$2:C1733,C1733),"")</f>
        <v/>
      </c>
      <c r="V1733" s="28" t="str">
        <f t="shared" si="51"/>
        <v/>
      </c>
      <c r="W1733" s="28" t="str">
        <f>IF(U1733=1,COUNTIF($U$2:U1733,1),"")</f>
        <v/>
      </c>
    </row>
    <row r="1734" spans="6:23" ht="47.25" customHeight="1" x14ac:dyDescent="0.25">
      <c r="F1734" s="44" t="s">
        <v>4246</v>
      </c>
      <c r="U1734" s="28" t="str">
        <f>IF($C1734&lt;&gt;"",COUNTIF($C$2:C1734,C1734),"")</f>
        <v/>
      </c>
      <c r="V1734" s="28" t="str">
        <f t="shared" si="51"/>
        <v/>
      </c>
      <c r="W1734" s="28" t="str">
        <f>IF(U1734=1,COUNTIF($U$2:U1734,1),"")</f>
        <v/>
      </c>
    </row>
    <row r="1735" spans="6:23" ht="47.25" customHeight="1" x14ac:dyDescent="0.25">
      <c r="F1735" s="44" t="s">
        <v>4247</v>
      </c>
      <c r="U1735" s="28" t="str">
        <f>IF($C1735&lt;&gt;"",COUNTIF($C$2:C1735,C1735),"")</f>
        <v/>
      </c>
      <c r="V1735" s="28" t="str">
        <f t="shared" si="51"/>
        <v/>
      </c>
      <c r="W1735" s="28" t="str">
        <f>IF(U1735=1,COUNTIF($U$2:U1735,1),"")</f>
        <v/>
      </c>
    </row>
    <row r="1736" spans="6:23" ht="63" customHeight="1" x14ac:dyDescent="0.25">
      <c r="F1736" s="44" t="s">
        <v>4248</v>
      </c>
      <c r="U1736" s="28" t="str">
        <f>IF($C1736&lt;&gt;"",COUNTIF($C$2:C1736,C1736),"")</f>
        <v/>
      </c>
      <c r="V1736" s="28" t="str">
        <f t="shared" si="51"/>
        <v/>
      </c>
      <c r="W1736" s="28" t="str">
        <f>IF(U1736=1,COUNTIF($U$2:U1736,1),"")</f>
        <v/>
      </c>
    </row>
    <row r="1737" spans="6:23" ht="31.5" customHeight="1" x14ac:dyDescent="0.25">
      <c r="F1737" s="44" t="s">
        <v>4249</v>
      </c>
      <c r="U1737" s="28" t="str">
        <f>IF($C1737&lt;&gt;"",COUNTIF($C$2:C1737,C1737),"")</f>
        <v/>
      </c>
      <c r="V1737" s="28" t="str">
        <f t="shared" si="51"/>
        <v/>
      </c>
      <c r="W1737" s="28" t="str">
        <f>IF(U1737=1,COUNTIF($U$2:U1737,1),"")</f>
        <v/>
      </c>
    </row>
    <row r="1738" spans="6:23" ht="47.25" customHeight="1" x14ac:dyDescent="0.25">
      <c r="F1738" s="44" t="s">
        <v>4250</v>
      </c>
      <c r="U1738" s="28" t="str">
        <f>IF($C1738&lt;&gt;"",COUNTIF($C$2:C1738,C1738),"")</f>
        <v/>
      </c>
      <c r="V1738" s="28" t="str">
        <f t="shared" si="51"/>
        <v/>
      </c>
      <c r="W1738" s="28" t="str">
        <f>IF(U1738=1,COUNTIF($U$2:U1738,1),"")</f>
        <v/>
      </c>
    </row>
    <row r="1739" spans="6:23" ht="31.5" customHeight="1" x14ac:dyDescent="0.25">
      <c r="F1739" s="44" t="s">
        <v>4251</v>
      </c>
      <c r="U1739" s="28" t="str">
        <f>IF($C1739&lt;&gt;"",COUNTIF($C$2:C1739,C1739),"")</f>
        <v/>
      </c>
      <c r="V1739" s="28" t="str">
        <f t="shared" si="51"/>
        <v/>
      </c>
      <c r="W1739" s="28" t="str">
        <f>IF(U1739=1,COUNTIF($U$2:U1739,1),"")</f>
        <v/>
      </c>
    </row>
    <row r="1740" spans="6:23" ht="47.25" customHeight="1" x14ac:dyDescent="0.25">
      <c r="F1740" s="44" t="s">
        <v>4252</v>
      </c>
      <c r="U1740" s="28" t="str">
        <f>IF($C1740&lt;&gt;"",COUNTIF($C$2:C1740,C1740),"")</f>
        <v/>
      </c>
      <c r="V1740" s="28" t="str">
        <f t="shared" si="51"/>
        <v/>
      </c>
      <c r="W1740" s="28" t="str">
        <f>IF(U1740=1,COUNTIF($U$2:U1740,1),"")</f>
        <v/>
      </c>
    </row>
    <row r="1741" spans="6:23" ht="47.25" customHeight="1" x14ac:dyDescent="0.25">
      <c r="F1741" s="44" t="s">
        <v>4253</v>
      </c>
      <c r="U1741" s="28" t="str">
        <f>IF($C1741&lt;&gt;"",COUNTIF($C$2:C1741,C1741),"")</f>
        <v/>
      </c>
      <c r="V1741" s="28" t="str">
        <f t="shared" si="51"/>
        <v/>
      </c>
      <c r="W1741" s="28" t="str">
        <f>IF(U1741=1,COUNTIF($U$2:U1741,1),"")</f>
        <v/>
      </c>
    </row>
    <row r="1742" spans="6:23" ht="47.25" customHeight="1" x14ac:dyDescent="0.25">
      <c r="F1742" s="44" t="s">
        <v>4254</v>
      </c>
      <c r="U1742" s="28" t="str">
        <f>IF($C1742&lt;&gt;"",COUNTIF($C$2:C1742,C1742),"")</f>
        <v/>
      </c>
      <c r="V1742" s="28" t="str">
        <f t="shared" si="51"/>
        <v/>
      </c>
      <c r="W1742" s="28" t="str">
        <f>IF(U1742=1,COUNTIF($U$2:U1742,1),"")</f>
        <v/>
      </c>
    </row>
    <row r="1743" spans="6:23" ht="47.25" customHeight="1" x14ac:dyDescent="0.25">
      <c r="F1743" s="44" t="s">
        <v>4255</v>
      </c>
      <c r="U1743" s="28" t="str">
        <f>IF($C1743&lt;&gt;"",COUNTIF($C$2:C1743,C1743),"")</f>
        <v/>
      </c>
      <c r="V1743" s="28" t="str">
        <f t="shared" si="51"/>
        <v/>
      </c>
      <c r="W1743" s="28" t="str">
        <f>IF(U1743=1,COUNTIF($U$2:U1743,1),"")</f>
        <v/>
      </c>
    </row>
    <row r="1744" spans="6:23" ht="63" customHeight="1" x14ac:dyDescent="0.25">
      <c r="F1744" s="44" t="s">
        <v>4256</v>
      </c>
      <c r="U1744" s="28" t="str">
        <f>IF($C1744&lt;&gt;"",COUNTIF($C$2:C1744,C1744),"")</f>
        <v/>
      </c>
      <c r="V1744" s="28" t="str">
        <f t="shared" si="51"/>
        <v/>
      </c>
      <c r="W1744" s="28" t="str">
        <f>IF(U1744=1,COUNTIF($U$2:U1744,1),"")</f>
        <v/>
      </c>
    </row>
    <row r="1745" spans="6:23" ht="47.25" customHeight="1" x14ac:dyDescent="0.25">
      <c r="F1745" s="44" t="s">
        <v>4257</v>
      </c>
      <c r="U1745" s="28" t="str">
        <f>IF($C1745&lt;&gt;"",COUNTIF($C$2:C1745,C1745),"")</f>
        <v/>
      </c>
      <c r="V1745" s="28" t="str">
        <f t="shared" si="51"/>
        <v/>
      </c>
      <c r="W1745" s="28" t="str">
        <f>IF(U1745=1,COUNTIF($U$2:U1745,1),"")</f>
        <v/>
      </c>
    </row>
    <row r="1746" spans="6:23" ht="47.25" customHeight="1" x14ac:dyDescent="0.25">
      <c r="F1746" s="44" t="s">
        <v>4258</v>
      </c>
      <c r="U1746" s="28" t="str">
        <f>IF($C1746&lt;&gt;"",COUNTIF($C$2:C1746,C1746),"")</f>
        <v/>
      </c>
      <c r="V1746" s="28" t="str">
        <f t="shared" si="51"/>
        <v/>
      </c>
      <c r="W1746" s="28" t="str">
        <f>IF(U1746=1,COUNTIF($U$2:U1746,1),"")</f>
        <v/>
      </c>
    </row>
    <row r="1747" spans="6:23" ht="47.25" customHeight="1" x14ac:dyDescent="0.25">
      <c r="F1747" s="44" t="s">
        <v>4259</v>
      </c>
      <c r="U1747" s="28" t="str">
        <f>IF($C1747&lt;&gt;"",COUNTIF($C$2:C1747,C1747),"")</f>
        <v/>
      </c>
      <c r="V1747" s="28" t="str">
        <f t="shared" si="51"/>
        <v/>
      </c>
      <c r="W1747" s="28" t="str">
        <f>IF(U1747=1,COUNTIF($U$2:U1747,1),"")</f>
        <v/>
      </c>
    </row>
    <row r="1748" spans="6:23" ht="63" customHeight="1" x14ac:dyDescent="0.25">
      <c r="F1748" s="44" t="s">
        <v>4260</v>
      </c>
      <c r="U1748" s="28" t="str">
        <f>IF($C1748&lt;&gt;"",COUNTIF($C$2:C1748,C1748),"")</f>
        <v/>
      </c>
      <c r="V1748" s="28" t="str">
        <f t="shared" si="51"/>
        <v/>
      </c>
      <c r="W1748" s="28" t="str">
        <f>IF(U1748=1,COUNTIF($U$2:U1748,1),"")</f>
        <v/>
      </c>
    </row>
    <row r="1749" spans="6:23" ht="47.25" customHeight="1" x14ac:dyDescent="0.25">
      <c r="F1749" s="44" t="s">
        <v>4261</v>
      </c>
      <c r="U1749" s="28" t="str">
        <f>IF($C1749&lt;&gt;"",COUNTIF($C$2:C1749,C1749),"")</f>
        <v/>
      </c>
      <c r="V1749" s="28" t="str">
        <f t="shared" si="51"/>
        <v/>
      </c>
      <c r="W1749" s="28" t="str">
        <f>IF(U1749=1,COUNTIF($U$2:U1749,1),"")</f>
        <v/>
      </c>
    </row>
    <row r="1750" spans="6:23" ht="31.5" customHeight="1" x14ac:dyDescent="0.25">
      <c r="F1750" s="44" t="s">
        <v>4262</v>
      </c>
      <c r="U1750" s="28" t="str">
        <f>IF($C1750&lt;&gt;"",COUNTIF($C$2:C1750,C1750),"")</f>
        <v/>
      </c>
      <c r="V1750" s="28" t="str">
        <f t="shared" si="51"/>
        <v/>
      </c>
      <c r="W1750" s="28" t="str">
        <f>IF(U1750=1,COUNTIF($U$2:U1750,1),"")</f>
        <v/>
      </c>
    </row>
    <row r="1751" spans="6:23" ht="31.5" customHeight="1" x14ac:dyDescent="0.25">
      <c r="F1751" s="44" t="s">
        <v>4263</v>
      </c>
      <c r="U1751" s="28" t="str">
        <f>IF($C1751&lt;&gt;"",COUNTIF($C$2:C1751,C1751),"")</f>
        <v/>
      </c>
      <c r="V1751" s="28" t="str">
        <f t="shared" si="51"/>
        <v/>
      </c>
      <c r="W1751" s="28" t="str">
        <f>IF(U1751=1,COUNTIF($U$2:U1751,1),"")</f>
        <v/>
      </c>
    </row>
    <row r="1752" spans="6:23" ht="47.25" customHeight="1" x14ac:dyDescent="0.25">
      <c r="F1752" s="44" t="s">
        <v>4264</v>
      </c>
      <c r="U1752" s="28" t="str">
        <f>IF($C1752&lt;&gt;"",COUNTIF($C$2:C1752,C1752),"")</f>
        <v/>
      </c>
      <c r="V1752" s="28" t="str">
        <f t="shared" si="51"/>
        <v/>
      </c>
      <c r="W1752" s="28" t="str">
        <f>IF(U1752=1,COUNTIF($U$2:U1752,1),"")</f>
        <v/>
      </c>
    </row>
    <row r="1753" spans="6:23" ht="47.25" customHeight="1" x14ac:dyDescent="0.25">
      <c r="F1753" s="44" t="s">
        <v>4265</v>
      </c>
      <c r="U1753" s="28" t="str">
        <f>IF($C1753&lt;&gt;"",COUNTIF($C$2:C1753,C1753),"")</f>
        <v/>
      </c>
      <c r="V1753" s="28" t="str">
        <f t="shared" si="51"/>
        <v/>
      </c>
      <c r="W1753" s="28" t="str">
        <f>IF(U1753=1,COUNTIF($U$2:U1753,1),"")</f>
        <v/>
      </c>
    </row>
    <row r="1754" spans="6:23" ht="63" customHeight="1" x14ac:dyDescent="0.25">
      <c r="F1754" s="44" t="s">
        <v>4266</v>
      </c>
      <c r="U1754" s="28" t="str">
        <f>IF($C1754&lt;&gt;"",COUNTIF($C$2:C1754,C1754),"")</f>
        <v/>
      </c>
      <c r="V1754" s="28" t="str">
        <f t="shared" si="51"/>
        <v/>
      </c>
      <c r="W1754" s="28" t="str">
        <f>IF(U1754=1,COUNTIF($U$2:U1754,1),"")</f>
        <v/>
      </c>
    </row>
    <row r="1755" spans="6:23" ht="31.5" customHeight="1" x14ac:dyDescent="0.25">
      <c r="F1755" s="44" t="s">
        <v>4267</v>
      </c>
      <c r="U1755" s="28" t="str">
        <f>IF($C1755&lt;&gt;"",COUNTIF($C$2:C1755,C1755),"")</f>
        <v/>
      </c>
      <c r="V1755" s="28" t="str">
        <f t="shared" si="51"/>
        <v/>
      </c>
      <c r="W1755" s="28" t="str">
        <f>IF(U1755=1,COUNTIF($U$2:U1755,1),"")</f>
        <v/>
      </c>
    </row>
    <row r="1756" spans="6:23" ht="47.25" customHeight="1" x14ac:dyDescent="0.25">
      <c r="F1756" s="44" t="s">
        <v>4268</v>
      </c>
      <c r="U1756" s="28" t="str">
        <f>IF($C1756&lt;&gt;"",COUNTIF($C$2:C1756,C1756),"")</f>
        <v/>
      </c>
      <c r="V1756" s="28" t="str">
        <f t="shared" si="51"/>
        <v/>
      </c>
      <c r="W1756" s="28" t="str">
        <f>IF(U1756=1,COUNTIF($U$2:U1756,1),"")</f>
        <v/>
      </c>
    </row>
    <row r="1757" spans="6:23" ht="47.25" customHeight="1" x14ac:dyDescent="0.25">
      <c r="F1757" s="44" t="s">
        <v>4269</v>
      </c>
      <c r="U1757" s="28" t="str">
        <f>IF($C1757&lt;&gt;"",COUNTIF($C$2:C1757,C1757),"")</f>
        <v/>
      </c>
      <c r="V1757" s="28" t="str">
        <f t="shared" si="51"/>
        <v/>
      </c>
      <c r="W1757" s="28" t="str">
        <f>IF(U1757=1,COUNTIF($U$2:U1757,1),"")</f>
        <v/>
      </c>
    </row>
    <row r="1758" spans="6:23" ht="47.25" customHeight="1" x14ac:dyDescent="0.25">
      <c r="F1758" s="44" t="s">
        <v>4270</v>
      </c>
      <c r="U1758" s="28" t="str">
        <f>IF($C1758&lt;&gt;"",COUNTIF($C$2:C1758,C1758),"")</f>
        <v/>
      </c>
      <c r="V1758" s="28" t="str">
        <f t="shared" si="51"/>
        <v/>
      </c>
      <c r="W1758" s="28" t="str">
        <f>IF(U1758=1,COUNTIF($U$2:U1758,1),"")</f>
        <v/>
      </c>
    </row>
    <row r="1759" spans="6:23" ht="47.25" customHeight="1" x14ac:dyDescent="0.25">
      <c r="F1759" s="44" t="s">
        <v>4271</v>
      </c>
      <c r="U1759" s="28" t="str">
        <f>IF($C1759&lt;&gt;"",COUNTIF($C$2:C1759,C1759),"")</f>
        <v/>
      </c>
      <c r="V1759" s="28" t="str">
        <f t="shared" si="51"/>
        <v/>
      </c>
      <c r="W1759" s="28" t="str">
        <f>IF(U1759=1,COUNTIF($U$2:U1759,1),"")</f>
        <v/>
      </c>
    </row>
    <row r="1760" spans="6:23" ht="47.25" customHeight="1" x14ac:dyDescent="0.25">
      <c r="F1760" s="44" t="s">
        <v>4272</v>
      </c>
      <c r="U1760" s="28" t="str">
        <f>IF($C1760&lt;&gt;"",COUNTIF($C$2:C1760,C1760),"")</f>
        <v/>
      </c>
      <c r="V1760" s="28" t="str">
        <f t="shared" si="51"/>
        <v/>
      </c>
      <c r="W1760" s="28" t="str">
        <f>IF(U1760=1,COUNTIF($U$2:U1760,1),"")</f>
        <v/>
      </c>
    </row>
    <row r="1761" spans="6:23" ht="47.25" customHeight="1" x14ac:dyDescent="0.25">
      <c r="F1761" s="44" t="s">
        <v>4273</v>
      </c>
      <c r="U1761" s="28" t="str">
        <f>IF($C1761&lt;&gt;"",COUNTIF($C$2:C1761,C1761),"")</f>
        <v/>
      </c>
      <c r="V1761" s="28" t="str">
        <f t="shared" si="51"/>
        <v/>
      </c>
      <c r="W1761" s="28" t="str">
        <f>IF(U1761=1,COUNTIF($U$2:U1761,1),"")</f>
        <v/>
      </c>
    </row>
    <row r="1762" spans="6:23" ht="47.25" customHeight="1" x14ac:dyDescent="0.25">
      <c r="F1762" s="44" t="s">
        <v>4274</v>
      </c>
      <c r="U1762" s="28" t="str">
        <f>IF($C1762&lt;&gt;"",COUNTIF($C$2:C1762,C1762),"")</f>
        <v/>
      </c>
      <c r="V1762" s="28" t="str">
        <f t="shared" si="51"/>
        <v/>
      </c>
      <c r="W1762" s="28" t="str">
        <f>IF(U1762=1,COUNTIF($U$2:U1762,1),"")</f>
        <v/>
      </c>
    </row>
    <row r="1763" spans="6:23" ht="47.25" customHeight="1" x14ac:dyDescent="0.25">
      <c r="F1763" s="44" t="s">
        <v>4275</v>
      </c>
      <c r="U1763" s="28" t="str">
        <f>IF($C1763&lt;&gt;"",COUNTIF($C$2:C1763,C1763),"")</f>
        <v/>
      </c>
      <c r="V1763" s="28" t="str">
        <f t="shared" si="51"/>
        <v/>
      </c>
      <c r="W1763" s="28" t="str">
        <f>IF(U1763=1,COUNTIF($U$2:U1763,1),"")</f>
        <v/>
      </c>
    </row>
    <row r="1764" spans="6:23" ht="47.25" customHeight="1" x14ac:dyDescent="0.25">
      <c r="F1764" s="44" t="s">
        <v>4276</v>
      </c>
      <c r="U1764" s="28" t="str">
        <f>IF($C1764&lt;&gt;"",COUNTIF($C$2:C1764,C1764),"")</f>
        <v/>
      </c>
      <c r="V1764" s="28" t="str">
        <f t="shared" si="51"/>
        <v/>
      </c>
      <c r="W1764" s="28" t="str">
        <f>IF(U1764=1,COUNTIF($U$2:U1764,1),"")</f>
        <v/>
      </c>
    </row>
    <row r="1765" spans="6:23" ht="47.25" customHeight="1" x14ac:dyDescent="0.25">
      <c r="F1765" s="44" t="s">
        <v>4277</v>
      </c>
      <c r="U1765" s="28" t="str">
        <f>IF($C1765&lt;&gt;"",COUNTIF($C$2:C1765,C1765),"")</f>
        <v/>
      </c>
      <c r="V1765" s="28" t="str">
        <f t="shared" si="51"/>
        <v/>
      </c>
      <c r="W1765" s="28" t="str">
        <f>IF(U1765=1,COUNTIF($U$2:U1765,1),"")</f>
        <v/>
      </c>
    </row>
    <row r="1766" spans="6:23" ht="47.25" customHeight="1" x14ac:dyDescent="0.25">
      <c r="F1766" s="44" t="s">
        <v>4278</v>
      </c>
      <c r="U1766" s="28" t="str">
        <f>IF($C1766&lt;&gt;"",COUNTIF($C$2:C1766,C1766),"")</f>
        <v/>
      </c>
      <c r="V1766" s="28" t="str">
        <f t="shared" si="51"/>
        <v/>
      </c>
      <c r="W1766" s="28" t="str">
        <f>IF(U1766=1,COUNTIF($U$2:U1766,1),"")</f>
        <v/>
      </c>
    </row>
    <row r="1767" spans="6:23" ht="31.5" customHeight="1" x14ac:dyDescent="0.25">
      <c r="F1767" s="44" t="s">
        <v>4279</v>
      </c>
      <c r="U1767" s="28" t="str">
        <f>IF($C1767&lt;&gt;"",COUNTIF($C$2:C1767,C1767),"")</f>
        <v/>
      </c>
      <c r="V1767" s="28" t="str">
        <f t="shared" si="51"/>
        <v/>
      </c>
      <c r="W1767" s="28" t="str">
        <f>IF(U1767=1,COUNTIF($U$2:U1767,1),"")</f>
        <v/>
      </c>
    </row>
    <row r="1768" spans="6:23" ht="47.25" customHeight="1" x14ac:dyDescent="0.25">
      <c r="F1768" s="44" t="s">
        <v>4280</v>
      </c>
      <c r="U1768" s="28" t="str">
        <f>IF($C1768&lt;&gt;"",COUNTIF($C$2:C1768,C1768),"")</f>
        <v/>
      </c>
      <c r="V1768" s="28" t="str">
        <f t="shared" si="51"/>
        <v/>
      </c>
      <c r="W1768" s="28" t="str">
        <f>IF(U1768=1,COUNTIF($U$2:U1768,1),"")</f>
        <v/>
      </c>
    </row>
    <row r="1769" spans="6:23" ht="31.5" customHeight="1" x14ac:dyDescent="0.25">
      <c r="F1769" s="44" t="s">
        <v>4281</v>
      </c>
      <c r="U1769" s="28" t="str">
        <f>IF($C1769&lt;&gt;"",COUNTIF($C$2:C1769,C1769),"")</f>
        <v/>
      </c>
      <c r="V1769" s="28" t="str">
        <f t="shared" si="51"/>
        <v/>
      </c>
      <c r="W1769" s="28" t="str">
        <f>IF(U1769=1,COUNTIF($U$2:U1769,1),"")</f>
        <v/>
      </c>
    </row>
    <row r="1770" spans="6:23" ht="47.25" customHeight="1" x14ac:dyDescent="0.25">
      <c r="F1770" s="44" t="s">
        <v>4282</v>
      </c>
      <c r="U1770" s="28" t="str">
        <f>IF($C1770&lt;&gt;"",COUNTIF($C$2:C1770,C1770),"")</f>
        <v/>
      </c>
      <c r="V1770" s="28" t="str">
        <f t="shared" si="51"/>
        <v/>
      </c>
      <c r="W1770" s="28" t="str">
        <f>IF(U1770=1,COUNTIF($U$2:U1770,1),"")</f>
        <v/>
      </c>
    </row>
    <row r="1771" spans="6:23" ht="47.25" customHeight="1" x14ac:dyDescent="0.25">
      <c r="F1771" s="44" t="s">
        <v>4283</v>
      </c>
      <c r="U1771" s="28" t="str">
        <f>IF($C1771&lt;&gt;"",COUNTIF($C$2:C1771,C1771),"")</f>
        <v/>
      </c>
      <c r="V1771" s="28" t="str">
        <f t="shared" si="51"/>
        <v/>
      </c>
      <c r="W1771" s="28" t="str">
        <f>IF(U1771=1,COUNTIF($U$2:U1771,1),"")</f>
        <v/>
      </c>
    </row>
    <row r="1772" spans="6:23" ht="31.5" customHeight="1" x14ac:dyDescent="0.25">
      <c r="F1772" s="44" t="s">
        <v>4284</v>
      </c>
      <c r="U1772" s="28" t="str">
        <f>IF($C1772&lt;&gt;"",COUNTIF($C$2:C1772,C1772),"")</f>
        <v/>
      </c>
      <c r="V1772" s="28" t="str">
        <f t="shared" si="51"/>
        <v/>
      </c>
      <c r="W1772" s="28" t="str">
        <f>IF(U1772=1,COUNTIF($U$2:U1772,1),"")</f>
        <v/>
      </c>
    </row>
    <row r="1773" spans="6:23" ht="47.25" customHeight="1" x14ac:dyDescent="0.25">
      <c r="F1773" s="44" t="s">
        <v>4285</v>
      </c>
      <c r="U1773" s="28" t="str">
        <f>IF($C1773&lt;&gt;"",COUNTIF($C$2:C1773,C1773),"")</f>
        <v/>
      </c>
      <c r="V1773" s="28" t="str">
        <f t="shared" si="51"/>
        <v/>
      </c>
      <c r="W1773" s="28" t="str">
        <f>IF(U1773=1,COUNTIF($U$2:U1773,1),"")</f>
        <v/>
      </c>
    </row>
    <row r="1774" spans="6:23" ht="47.25" customHeight="1" x14ac:dyDescent="0.25">
      <c r="F1774" s="44" t="s">
        <v>4286</v>
      </c>
      <c r="U1774" s="28" t="str">
        <f>IF($C1774&lt;&gt;"",COUNTIF($C$2:C1774,C1774),"")</f>
        <v/>
      </c>
      <c r="V1774" s="28" t="str">
        <f t="shared" si="51"/>
        <v/>
      </c>
      <c r="W1774" s="28" t="str">
        <f>IF(U1774=1,COUNTIF($U$2:U1774,1),"")</f>
        <v/>
      </c>
    </row>
    <row r="1775" spans="6:23" ht="47.25" customHeight="1" x14ac:dyDescent="0.25">
      <c r="F1775" s="44" t="s">
        <v>4287</v>
      </c>
      <c r="U1775" s="28" t="str">
        <f>IF($C1775&lt;&gt;"",COUNTIF($C$2:C1775,C1775),"")</f>
        <v/>
      </c>
      <c r="V1775" s="28" t="str">
        <f t="shared" si="51"/>
        <v/>
      </c>
      <c r="W1775" s="28" t="str">
        <f>IF(U1775=1,COUNTIF($U$2:U1775,1),"")</f>
        <v/>
      </c>
    </row>
    <row r="1776" spans="6:23" ht="47.25" customHeight="1" x14ac:dyDescent="0.25">
      <c r="F1776" s="44" t="s">
        <v>4288</v>
      </c>
      <c r="U1776" s="28" t="str">
        <f>IF($C1776&lt;&gt;"",COUNTIF($C$2:C1776,C1776),"")</f>
        <v/>
      </c>
      <c r="V1776" s="28" t="str">
        <f t="shared" si="51"/>
        <v/>
      </c>
      <c r="W1776" s="28" t="str">
        <f>IF(U1776=1,COUNTIF($U$2:U1776,1),"")</f>
        <v/>
      </c>
    </row>
    <row r="1777" spans="6:23" ht="47.25" customHeight="1" x14ac:dyDescent="0.25">
      <c r="F1777" s="44" t="s">
        <v>4289</v>
      </c>
      <c r="U1777" s="28" t="str">
        <f>IF($C1777&lt;&gt;"",COUNTIF($C$2:C1777,C1777),"")</f>
        <v/>
      </c>
      <c r="V1777" s="28" t="str">
        <f t="shared" si="51"/>
        <v/>
      </c>
      <c r="W1777" s="28" t="str">
        <f>IF(U1777=1,COUNTIF($U$2:U1777,1),"")</f>
        <v/>
      </c>
    </row>
    <row r="1778" spans="6:23" ht="31.5" customHeight="1" x14ac:dyDescent="0.25">
      <c r="F1778" s="44" t="s">
        <v>4290</v>
      </c>
      <c r="U1778" s="28" t="str">
        <f>IF($C1778&lt;&gt;"",COUNTIF($C$2:C1778,C1778),"")</f>
        <v/>
      </c>
      <c r="V1778" s="28" t="str">
        <f t="shared" si="51"/>
        <v/>
      </c>
      <c r="W1778" s="28" t="str">
        <f>IF(U1778=1,COUNTIF($U$2:U1778,1),"")</f>
        <v/>
      </c>
    </row>
    <row r="1779" spans="6:23" ht="47.25" customHeight="1" x14ac:dyDescent="0.25">
      <c r="F1779" s="44" t="s">
        <v>4291</v>
      </c>
      <c r="U1779" s="28" t="str">
        <f>IF($C1779&lt;&gt;"",COUNTIF($C$2:C1779,C1779),"")</f>
        <v/>
      </c>
      <c r="V1779" s="28" t="str">
        <f t="shared" si="51"/>
        <v/>
      </c>
      <c r="W1779" s="28" t="str">
        <f>IF(U1779=1,COUNTIF($U$2:U1779,1),"")</f>
        <v/>
      </c>
    </row>
    <row r="1780" spans="6:23" ht="47.25" customHeight="1" x14ac:dyDescent="0.25">
      <c r="F1780" s="44" t="s">
        <v>4292</v>
      </c>
      <c r="U1780" s="28" t="str">
        <f>IF($C1780&lt;&gt;"",COUNTIF($C$2:C1780,C1780),"")</f>
        <v/>
      </c>
      <c r="V1780" s="28" t="str">
        <f t="shared" si="51"/>
        <v/>
      </c>
      <c r="W1780" s="28" t="str">
        <f>IF(U1780=1,COUNTIF($U$2:U1780,1),"")</f>
        <v/>
      </c>
    </row>
    <row r="1781" spans="6:23" ht="31.5" customHeight="1" x14ac:dyDescent="0.25">
      <c r="F1781" s="44" t="s">
        <v>4293</v>
      </c>
      <c r="U1781" s="28" t="str">
        <f>IF($C1781&lt;&gt;"",COUNTIF($C$2:C1781,C1781),"")</f>
        <v/>
      </c>
      <c r="V1781" s="28" t="str">
        <f t="shared" si="51"/>
        <v/>
      </c>
      <c r="W1781" s="28" t="str">
        <f>IF(U1781=1,COUNTIF($U$2:U1781,1),"")</f>
        <v/>
      </c>
    </row>
    <row r="1782" spans="6:23" ht="47.25" customHeight="1" x14ac:dyDescent="0.25">
      <c r="F1782" s="44" t="s">
        <v>4294</v>
      </c>
      <c r="U1782" s="28" t="str">
        <f>IF($C1782&lt;&gt;"",COUNTIF($C$2:C1782,C1782),"")</f>
        <v/>
      </c>
      <c r="V1782" s="28" t="str">
        <f t="shared" si="51"/>
        <v/>
      </c>
      <c r="W1782" s="28" t="str">
        <f>IF(U1782=1,COUNTIF($U$2:U1782,1),"")</f>
        <v/>
      </c>
    </row>
    <row r="1783" spans="6:23" ht="78.75" customHeight="1" x14ac:dyDescent="0.25">
      <c r="F1783" s="44" t="s">
        <v>4295</v>
      </c>
      <c r="U1783" s="28" t="str">
        <f>IF($C1783&lt;&gt;"",COUNTIF($C$2:C1783,C1783),"")</f>
        <v/>
      </c>
      <c r="V1783" s="28" t="str">
        <f t="shared" si="51"/>
        <v/>
      </c>
      <c r="W1783" s="28" t="str">
        <f>IF(U1783=1,COUNTIF($U$2:U1783,1),"")</f>
        <v/>
      </c>
    </row>
    <row r="1784" spans="6:23" ht="47.25" customHeight="1" x14ac:dyDescent="0.25">
      <c r="F1784" s="44" t="s">
        <v>4296</v>
      </c>
      <c r="U1784" s="28" t="str">
        <f>IF($C1784&lt;&gt;"",COUNTIF($C$2:C1784,C1784),"")</f>
        <v/>
      </c>
      <c r="V1784" s="28" t="str">
        <f t="shared" si="51"/>
        <v/>
      </c>
      <c r="W1784" s="28" t="str">
        <f>IF(U1784=1,COUNTIF($U$2:U1784,1),"")</f>
        <v/>
      </c>
    </row>
    <row r="1785" spans="6:23" ht="47.25" customHeight="1" x14ac:dyDescent="0.25">
      <c r="F1785" s="44" t="s">
        <v>4297</v>
      </c>
      <c r="U1785" s="28" t="str">
        <f>IF($C1785&lt;&gt;"",COUNTIF($C$2:C1785,C1785),"")</f>
        <v/>
      </c>
      <c r="V1785" s="28" t="str">
        <f t="shared" si="51"/>
        <v/>
      </c>
      <c r="W1785" s="28" t="str">
        <f>IF(U1785=1,COUNTIF($U$2:U1785,1),"")</f>
        <v/>
      </c>
    </row>
    <row r="1786" spans="6:23" ht="47.25" customHeight="1" x14ac:dyDescent="0.25">
      <c r="F1786" s="44" t="s">
        <v>4298</v>
      </c>
      <c r="U1786" s="28" t="str">
        <f>IF($C1786&lt;&gt;"",COUNTIF($C$2:C1786,C1786),"")</f>
        <v/>
      </c>
      <c r="V1786" s="28" t="str">
        <f t="shared" si="51"/>
        <v/>
      </c>
      <c r="W1786" s="28" t="str">
        <f>IF(U1786=1,COUNTIF($U$2:U1786,1),"")</f>
        <v/>
      </c>
    </row>
    <row r="1787" spans="6:23" ht="31.5" customHeight="1" x14ac:dyDescent="0.25">
      <c r="F1787" s="44" t="s">
        <v>4299</v>
      </c>
      <c r="U1787" s="28" t="str">
        <f>IF($C1787&lt;&gt;"",COUNTIF($C$2:C1787,C1787),"")</f>
        <v/>
      </c>
      <c r="V1787" s="28" t="str">
        <f t="shared" si="51"/>
        <v/>
      </c>
      <c r="W1787" s="28" t="str">
        <f>IF(U1787=1,COUNTIF($U$2:U1787,1),"")</f>
        <v/>
      </c>
    </row>
    <row r="1788" spans="6:23" ht="63" customHeight="1" x14ac:dyDescent="0.25">
      <c r="F1788" s="44" t="s">
        <v>4300</v>
      </c>
      <c r="U1788" s="28" t="str">
        <f>IF($C1788&lt;&gt;"",COUNTIF($C$2:C1788,C1788),"")</f>
        <v/>
      </c>
      <c r="V1788" s="28" t="str">
        <f t="shared" si="51"/>
        <v/>
      </c>
      <c r="W1788" s="28" t="str">
        <f>IF(U1788=1,COUNTIF($U$2:U1788,1),"")</f>
        <v/>
      </c>
    </row>
    <row r="1789" spans="6:23" ht="31.5" customHeight="1" x14ac:dyDescent="0.25">
      <c r="F1789" s="44" t="s">
        <v>4301</v>
      </c>
      <c r="U1789" s="28" t="str">
        <f>IF($C1789&lt;&gt;"",COUNTIF($C$2:C1789,C1789),"")</f>
        <v/>
      </c>
      <c r="V1789" s="28" t="str">
        <f t="shared" si="51"/>
        <v/>
      </c>
      <c r="W1789" s="28" t="str">
        <f>IF(U1789=1,COUNTIF($U$2:U1789,1),"")</f>
        <v/>
      </c>
    </row>
    <row r="1790" spans="6:23" ht="63" customHeight="1" x14ac:dyDescent="0.25">
      <c r="F1790" s="44" t="s">
        <v>4302</v>
      </c>
      <c r="U1790" s="28" t="str">
        <f>IF($C1790&lt;&gt;"",COUNTIF($C$2:C1790,C1790),"")</f>
        <v/>
      </c>
      <c r="V1790" s="28" t="str">
        <f t="shared" si="51"/>
        <v/>
      </c>
      <c r="W1790" s="28" t="str">
        <f>IF(U1790=1,COUNTIF($U$2:U1790,1),"")</f>
        <v/>
      </c>
    </row>
    <row r="1791" spans="6:23" ht="63" customHeight="1" x14ac:dyDescent="0.25">
      <c r="F1791" s="44" t="s">
        <v>4303</v>
      </c>
      <c r="U1791" s="28" t="str">
        <f>IF($C1791&lt;&gt;"",COUNTIF($C$2:C1791,C1791),"")</f>
        <v/>
      </c>
      <c r="V1791" s="28" t="str">
        <f t="shared" si="51"/>
        <v/>
      </c>
      <c r="W1791" s="28" t="str">
        <f>IF(U1791=1,COUNTIF($U$2:U1791,1),"")</f>
        <v/>
      </c>
    </row>
    <row r="1792" spans="6:23" ht="31.5" customHeight="1" x14ac:dyDescent="0.25">
      <c r="F1792" s="44" t="s">
        <v>4304</v>
      </c>
      <c r="U1792" s="28" t="str">
        <f>IF($C1792&lt;&gt;"",COUNTIF($C$2:C1792,C1792),"")</f>
        <v/>
      </c>
      <c r="V1792" s="28" t="str">
        <f t="shared" si="51"/>
        <v/>
      </c>
      <c r="W1792" s="28" t="str">
        <f>IF(U1792=1,COUNTIF($U$2:U1792,1),"")</f>
        <v/>
      </c>
    </row>
    <row r="1793" spans="6:23" ht="31.5" customHeight="1" x14ac:dyDescent="0.25">
      <c r="F1793" s="44" t="s">
        <v>4305</v>
      </c>
      <c r="U1793" s="28" t="str">
        <f>IF($C1793&lt;&gt;"",COUNTIF($C$2:C1793,C1793),"")</f>
        <v/>
      </c>
      <c r="V1793" s="28" t="str">
        <f t="shared" si="51"/>
        <v/>
      </c>
      <c r="W1793" s="28" t="str">
        <f>IF(U1793=1,COUNTIF($U$2:U1793,1),"")</f>
        <v/>
      </c>
    </row>
    <row r="1794" spans="6:23" ht="31.5" customHeight="1" x14ac:dyDescent="0.25">
      <c r="F1794" s="44" t="s">
        <v>4306</v>
      </c>
      <c r="U1794" s="28" t="str">
        <f>IF($C1794&lt;&gt;"",COUNTIF($C$2:C1794,C1794),"")</f>
        <v/>
      </c>
      <c r="V1794" s="28" t="str">
        <f t="shared" ref="V1794:V1799" si="52">IF($C1794&lt;&gt;"",C1794&amp;"§"&amp;U1794,"")</f>
        <v/>
      </c>
      <c r="W1794" s="28" t="str">
        <f>IF(U1794=1,COUNTIF($U$2:U1794,1),"")</f>
        <v/>
      </c>
    </row>
    <row r="1795" spans="6:23" ht="47.25" customHeight="1" x14ac:dyDescent="0.25">
      <c r="F1795" s="44" t="s">
        <v>4307</v>
      </c>
      <c r="U1795" s="28" t="str">
        <f>IF($C1795&lt;&gt;"",COUNTIF($C$2:C1795,C1795),"")</f>
        <v/>
      </c>
      <c r="V1795" s="28" t="str">
        <f t="shared" si="52"/>
        <v/>
      </c>
      <c r="W1795" s="28" t="str">
        <f>IF(U1795=1,COUNTIF($U$2:U1795,1),"")</f>
        <v/>
      </c>
    </row>
    <row r="1796" spans="6:23" ht="94.5" customHeight="1" x14ac:dyDescent="0.25">
      <c r="F1796" s="44" t="s">
        <v>4308</v>
      </c>
      <c r="U1796" s="28" t="str">
        <f>IF($C1796&lt;&gt;"",COUNTIF($C$2:C1796,C1796),"")</f>
        <v/>
      </c>
      <c r="V1796" s="28" t="str">
        <f t="shared" si="52"/>
        <v/>
      </c>
      <c r="W1796" s="28" t="str">
        <f>IF(U1796=1,COUNTIF($U$2:U1796,1),"")</f>
        <v/>
      </c>
    </row>
    <row r="1797" spans="6:23" ht="31.5" customHeight="1" x14ac:dyDescent="0.25">
      <c r="F1797" s="44" t="s">
        <v>4309</v>
      </c>
      <c r="U1797" s="28" t="str">
        <f>IF($C1797&lt;&gt;"",COUNTIF($C$2:C1797,C1797),"")</f>
        <v/>
      </c>
      <c r="V1797" s="28" t="str">
        <f t="shared" si="52"/>
        <v/>
      </c>
      <c r="W1797" s="28" t="str">
        <f>IF(U1797=1,COUNTIF($U$2:U1797,1),"")</f>
        <v/>
      </c>
    </row>
    <row r="1798" spans="6:23" ht="31.5" customHeight="1" x14ac:dyDescent="0.25">
      <c r="F1798" s="44" t="s">
        <v>4310</v>
      </c>
      <c r="U1798" s="28" t="str">
        <f>IF($C1798&lt;&gt;"",COUNTIF($C$2:C1798,C1798),"")</f>
        <v/>
      </c>
      <c r="V1798" s="28" t="str">
        <f t="shared" si="52"/>
        <v/>
      </c>
      <c r="W1798" s="28" t="str">
        <f>IF(U1798=1,COUNTIF($U$2:U1798,1),"")</f>
        <v/>
      </c>
    </row>
    <row r="1799" spans="6:23" ht="31.5" customHeight="1" x14ac:dyDescent="0.25">
      <c r="F1799" s="44" t="s">
        <v>4311</v>
      </c>
      <c r="U1799" s="28" t="str">
        <f>IF($C1799&lt;&gt;"",COUNTIF($C$2:C1799,C1799),"")</f>
        <v/>
      </c>
      <c r="V1799" s="28" t="str">
        <f t="shared" si="52"/>
        <v/>
      </c>
      <c r="W1799" s="28" t="str">
        <f>IF(U1799=1,COUNTIF($U$2:U1799,1),"")</f>
        <v/>
      </c>
    </row>
  </sheetData>
  <conditionalFormatting sqref="A539:G539">
    <cfRule type="expression" dxfId="28" priority="6">
      <formula>ISEVEN(ROW())</formula>
    </cfRule>
  </conditionalFormatting>
  <conditionalFormatting sqref="A652:G653 G654:G656">
    <cfRule type="expression" dxfId="27" priority="4">
      <formula>ISEVEN(ROW())</formula>
    </cfRule>
  </conditionalFormatting>
  <conditionalFormatting sqref="A2:K312 A314:K537 A541:G578 A580:F580 A581:G651 A654:F656 A657:G714 A313:E313 G313:K313">
    <cfRule type="expression" dxfId="26" priority="20">
      <formula>ISEVEN(ROW())</formula>
    </cfRule>
  </conditionalFormatting>
  <conditionalFormatting sqref="A538:K538 A540:G540 A579:K579 H539:K578 G580">
    <cfRule type="expression" dxfId="25" priority="9">
      <formula>ISEVEN(ROW())</formula>
    </cfRule>
  </conditionalFormatting>
  <conditionalFormatting sqref="F1:F235 F237:F312 F314:F537 F541:F578 F580:F651 F654:F714 F719:F1048576">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3"/>
  </conditionalFormatting>
  <conditionalFormatting sqref="H580:K714">
    <cfRule type="expression" dxfId="19" priority="2">
      <formula>ISEVEN(ROW())</formula>
    </cfRule>
  </conditionalFormatting>
  <conditionalFormatting sqref="L2:P714 P727:P1048576">
    <cfRule type="containsText" dxfId="18" priority="12" operator="containsText" text="GERİ ÇEKİLDİ">
      <formula>NOT(ISERROR(SEARCH("GERİ ÇEKİLDİ",L2)))</formula>
    </cfRule>
    <cfRule type="containsText" dxfId="17" priority="13" operator="containsText" text="RET">
      <formula>NOT(ISERROR(SEARCH("RET",L2)))</formula>
    </cfRule>
    <cfRule type="containsText" dxfId="16" priority="14" operator="containsText" text="KAPSAM DIŞI">
      <formula>NOT(ISERROR(SEARCH("KAPSAM DIŞI",L2)))</formula>
    </cfRule>
    <cfRule type="containsText" dxfId="15" priority="15" operator="containsText" text="KAEK">
      <formula>NOT(ISERROR(SEARCH("KAEK",L2)))</formula>
    </cfRule>
    <cfRule type="containsText" dxfId="14" priority="16" operator="containsText" text="GÖRÜŞ">
      <formula>NOT(ISERROR(SEARCH("GÖRÜŞ",L2)))</formula>
    </cfRule>
    <cfRule type="containsText" dxfId="13" priority="17" operator="containsText" text="DÜZELTME">
      <formula>NOT(ISERROR(SEARCH("DÜZELTME",L2)))</formula>
    </cfRule>
    <cfRule type="containsText" dxfId="12" priority="18" operator="containsText" text="ONAY">
      <formula>NOT(ISERROR(SEARCH("ONAY",L2)))</formula>
    </cfRule>
  </conditionalFormatting>
  <conditionalFormatting sqref="R1:R1048576">
    <cfRule type="expression" dxfId="11" priority="10">
      <formula>LEN(TRIM(R1))&gt;0</formula>
    </cfRule>
  </conditionalFormatting>
  <conditionalFormatting sqref="R2:R764">
    <cfRule type="expression" dxfId="10" priority="11">
      <formula>AND($I2&lt;&gt;"",$I2&gt;=DATE(2026,6,23),COUNTIFS($C:$C,$C2,$I:$I,$I2)&gt;2)</formula>
    </cfRule>
  </conditionalFormatting>
  <dataValidations count="1">
    <dataValidation type="list" allowBlank="1" showInputMessage="1" showErrorMessage="1" sqref="L2: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1"/>
  <sheetViews>
    <sheetView showZeros="0" zoomScaleNormal="100" workbookViewId="0">
      <pane ySplit="3" topLeftCell="A16" activePane="bottomLeft" state="frozen"/>
      <selection pane="bottomLeft" activeCell="F17" sqref="F17"/>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34" t="s">
        <v>4312</v>
      </c>
      <c r="B1" s="234"/>
      <c r="C1" s="234"/>
      <c r="D1" s="234"/>
      <c r="E1" s="234"/>
      <c r="F1" s="234"/>
      <c r="G1" s="234"/>
      <c r="H1" s="234"/>
      <c r="I1" s="234"/>
      <c r="J1" s="234"/>
      <c r="K1" s="234"/>
      <c r="L1" s="234"/>
      <c r="M1" s="234"/>
      <c r="N1" s="234"/>
    </row>
    <row r="2" spans="1:14" ht="19.5" customHeight="1" x14ac:dyDescent="0.25">
      <c r="A2" s="235" t="s">
        <v>4313</v>
      </c>
      <c r="B2" s="235"/>
      <c r="C2" s="235"/>
      <c r="D2" s="235"/>
      <c r="E2" s="235"/>
      <c r="F2" s="235"/>
      <c r="G2" s="235"/>
      <c r="H2" s="235"/>
      <c r="I2" s="235"/>
      <c r="J2" s="235"/>
      <c r="K2" s="235"/>
      <c r="L2" s="235"/>
      <c r="M2" s="235"/>
      <c r="N2" s="235"/>
    </row>
    <row r="3" spans="1:14" ht="39.75" customHeight="1" x14ac:dyDescent="0.25">
      <c r="A3" s="93" t="s">
        <v>4314</v>
      </c>
      <c r="B3" s="93" t="s">
        <v>4315</v>
      </c>
      <c r="C3" s="93" t="s">
        <v>4316</v>
      </c>
      <c r="D3" s="94" t="s">
        <v>4317</v>
      </c>
      <c r="E3" s="94" t="s">
        <v>4318</v>
      </c>
      <c r="F3" s="94" t="s">
        <v>232</v>
      </c>
      <c r="G3" s="94" t="s">
        <v>4319</v>
      </c>
      <c r="H3" s="94" t="s">
        <v>4320</v>
      </c>
      <c r="I3" s="94" t="s">
        <v>4321</v>
      </c>
      <c r="J3" s="94" t="s">
        <v>4322</v>
      </c>
      <c r="K3" s="94" t="s">
        <v>4323</v>
      </c>
      <c r="L3" s="93" t="s">
        <v>4</v>
      </c>
      <c r="M3" s="93" t="s">
        <v>4324</v>
      </c>
      <c r="N3" s="93" t="s">
        <v>4325</v>
      </c>
    </row>
    <row r="4" spans="1:14" ht="21.75" customHeight="1" x14ac:dyDescent="0.25">
      <c r="A4" s="95">
        <f t="shared" ref="A4:A18" si="0">ROW()-3</f>
        <v>1</v>
      </c>
      <c r="B4" s="96">
        <v>46028</v>
      </c>
      <c r="C4" s="95" t="str">
        <f t="shared" ref="C4:C18" si="1">TEXT(ROW()-3,"0")&amp;". Toplantı"</f>
        <v>1. Toplantı</v>
      </c>
      <c r="D4" s="95">
        <f>COUNTIFS(Başvuru!$I:$I,$B4,Başvuru!$P:$P,"ONAY")</f>
        <v>50</v>
      </c>
      <c r="E4" s="95">
        <f>COUNTIFS(Başvuru!$I:$I,$B4,Başvuru!$P:$P,"DÜZELTME")</f>
        <v>2</v>
      </c>
      <c r="F4" s="95">
        <f>COUNTIFS(Başvuru!$I:$I,$B4,Başvuru!$P:$P,"KAEK")</f>
        <v>2</v>
      </c>
      <c r="G4" s="95">
        <f>COUNTIFS(Başvuru!$I:$I,$B4,Başvuru!$P:$P,"GÖRÜŞ")</f>
        <v>0</v>
      </c>
      <c r="H4" s="95">
        <f>COUNTIFS(Başvuru!$I:$I,$B4,Başvuru!$P:$P,"RET")</f>
        <v>0</v>
      </c>
      <c r="I4" s="95">
        <f>COUNTIFS(Başvuru!$I:$I,$B4,Başvuru!$P:$P,"KAPSAM DIŞI")</f>
        <v>1</v>
      </c>
      <c r="J4" s="95">
        <f>COUNTIFS(Başvuru!$I:$I,$B4,Başvuru!$P:$P,"GERİ ÇEKİLDİ")</f>
        <v>0</v>
      </c>
      <c r="K4" s="95">
        <f>COUNTIF(Başvuru!$I:$I,$B4)-COUNTIFS(Başvuru!$I:$I,$B4,Başvuru!$L:$L,"&lt;&gt;")</f>
        <v>0</v>
      </c>
      <c r="L4" s="97">
        <f t="shared" ref="L4:L18" si="2">SUM(D4:K4)</f>
        <v>55</v>
      </c>
      <c r="M4" s="98">
        <f t="shared" ref="M4:M19" si="3">IF(L4&gt;0,D4/L4,"")</f>
        <v>0.90909090909090906</v>
      </c>
      <c r="N4" s="99"/>
    </row>
    <row r="5" spans="1:14" ht="21.75" customHeight="1" x14ac:dyDescent="0.25">
      <c r="A5" s="100">
        <f t="shared" si="0"/>
        <v>2</v>
      </c>
      <c r="B5" s="96">
        <v>46042</v>
      </c>
      <c r="C5" s="100" t="str">
        <f t="shared" si="1"/>
        <v>2. Toplantı</v>
      </c>
      <c r="D5" s="100">
        <f>COUNTIFS(Başvuru!$I:$I,$B5,Başvuru!$P:$P,"ONAY")</f>
        <v>39</v>
      </c>
      <c r="E5" s="100">
        <f>COUNTIFS(Başvuru!$I:$I,$B5,Başvuru!$P:$P,"DÜZELTME")</f>
        <v>3</v>
      </c>
      <c r="F5" s="100">
        <f>COUNTIFS(Başvuru!$I:$I,$B5,Başvuru!$P:$P,"KAEK")</f>
        <v>0</v>
      </c>
      <c r="G5" s="100">
        <f>COUNTIFS(Başvuru!$I:$I,$B5,Başvuru!$P:$P,"GÖRÜŞ")</f>
        <v>0</v>
      </c>
      <c r="H5" s="100">
        <f>COUNTIFS(Başvuru!$I:$I,$B5,Başvuru!$P:$P,"RET")</f>
        <v>0</v>
      </c>
      <c r="I5" s="100">
        <f>COUNTIFS(Başvuru!$I:$I,$B5,Başvuru!$P:$P,"KAPSAM DIŞI")</f>
        <v>0</v>
      </c>
      <c r="J5" s="100">
        <f>COUNTIFS(Başvuru!$I:$I,$B5,Başvuru!$P:$P,"GERİ ÇEKİLDİ")</f>
        <v>3</v>
      </c>
      <c r="K5" s="100">
        <f>COUNTIF(Başvuru!$I:$I,$B5)-COUNTIFS(Başvuru!$I:$I,$B5,Başvuru!$L:$L,"&lt;&gt;")</f>
        <v>0</v>
      </c>
      <c r="L5" s="101">
        <f t="shared" si="2"/>
        <v>45</v>
      </c>
      <c r="M5" s="102">
        <f t="shared" si="3"/>
        <v>0.8666666666666667</v>
      </c>
      <c r="N5" s="103"/>
    </row>
    <row r="6" spans="1:14" ht="21.75" customHeight="1" x14ac:dyDescent="0.25">
      <c r="A6" s="95">
        <f t="shared" si="0"/>
        <v>3</v>
      </c>
      <c r="B6" s="96">
        <v>46057</v>
      </c>
      <c r="C6" s="95" t="str">
        <f t="shared" si="1"/>
        <v>3. Toplantı</v>
      </c>
      <c r="D6" s="95">
        <f>COUNTIFS(Başvuru!$I:$I,$B6,Başvuru!$P:$P,"ONAY")</f>
        <v>41</v>
      </c>
      <c r="E6" s="95">
        <f>COUNTIFS(Başvuru!$I:$I,$B6,Başvuru!$P:$P,"DÜZELTME")</f>
        <v>3</v>
      </c>
      <c r="F6" s="95">
        <f>COUNTIFS(Başvuru!$I:$I,$B6,Başvuru!$P:$P,"KAEK")</f>
        <v>1</v>
      </c>
      <c r="G6" s="95">
        <f>COUNTIFS(Başvuru!$I:$I,$B6,Başvuru!$P:$P,"GÖRÜŞ")</f>
        <v>0</v>
      </c>
      <c r="H6" s="95">
        <f>COUNTIFS(Başvuru!$I:$I,$B6,Başvuru!$P:$P,"RET")</f>
        <v>0</v>
      </c>
      <c r="I6" s="95">
        <f>COUNTIFS(Başvuru!$I:$I,$B6,Başvuru!$P:$P,"KAPSAM DIŞI")</f>
        <v>0</v>
      </c>
      <c r="J6" s="95">
        <f>COUNTIFS(Başvuru!$I:$I,$B6,Başvuru!$P:$P,"GERİ ÇEKİLDİ")</f>
        <v>0</v>
      </c>
      <c r="K6" s="95">
        <f>COUNTIF(Başvuru!$I:$I,$B6)-COUNTIFS(Başvuru!$I:$I,$B6,Başvuru!$L:$L,"&lt;&gt;")</f>
        <v>0</v>
      </c>
      <c r="L6" s="97">
        <f t="shared" si="2"/>
        <v>45</v>
      </c>
      <c r="M6" s="98">
        <f t="shared" si="3"/>
        <v>0.91111111111111109</v>
      </c>
      <c r="N6" s="99"/>
    </row>
    <row r="7" spans="1:14" ht="21.75" customHeight="1" x14ac:dyDescent="0.25">
      <c r="A7" s="100">
        <f t="shared" si="0"/>
        <v>4</v>
      </c>
      <c r="B7" s="96">
        <v>46070</v>
      </c>
      <c r="C7" s="100" t="str">
        <f t="shared" si="1"/>
        <v>4. Toplantı</v>
      </c>
      <c r="D7" s="100">
        <f>COUNTIFS(Başvuru!$I:$I,$B7,Başvuru!$P:$P,"ONAY")</f>
        <v>39</v>
      </c>
      <c r="E7" s="100">
        <f>COUNTIFS(Başvuru!$I:$I,$B7,Başvuru!$P:$P,"DÜZELTME")</f>
        <v>2</v>
      </c>
      <c r="F7" s="100">
        <f>COUNTIFS(Başvuru!$I:$I,$B7,Başvuru!$P:$P,"KAEK")</f>
        <v>1</v>
      </c>
      <c r="G7" s="100">
        <f>COUNTIFS(Başvuru!$I:$I,$B7,Başvuru!$P:$P,"GÖRÜŞ")</f>
        <v>0</v>
      </c>
      <c r="H7" s="100">
        <f>COUNTIFS(Başvuru!$I:$I,$B7,Başvuru!$P:$P,"RET")</f>
        <v>3</v>
      </c>
      <c r="I7" s="100">
        <f>COUNTIFS(Başvuru!$I:$I,$B7,Başvuru!$P:$P,"KAPSAM DIŞI")</f>
        <v>0</v>
      </c>
      <c r="J7" s="100">
        <f>COUNTIFS(Başvuru!$I:$I,$B7,Başvuru!$P:$P,"GERİ ÇEKİLDİ")</f>
        <v>0</v>
      </c>
      <c r="K7" s="100">
        <f>COUNTIF(Başvuru!$I:$I,$B7)-COUNTIFS(Başvuru!$I:$I,$B7,Başvuru!$L:$L,"&lt;&gt;")</f>
        <v>0</v>
      </c>
      <c r="L7" s="101">
        <f t="shared" si="2"/>
        <v>45</v>
      </c>
      <c r="M7" s="102">
        <f t="shared" si="3"/>
        <v>0.8666666666666667</v>
      </c>
      <c r="N7" s="103"/>
    </row>
    <row r="8" spans="1:14" ht="21.75" customHeight="1" x14ac:dyDescent="0.25">
      <c r="A8" s="95">
        <f t="shared" si="0"/>
        <v>5</v>
      </c>
      <c r="B8" s="96">
        <v>46084</v>
      </c>
      <c r="C8" s="95" t="str">
        <f t="shared" si="1"/>
        <v>5. Toplantı</v>
      </c>
      <c r="D8" s="95">
        <f>COUNTIFS(Başvuru!$I:$I,$B8,Başvuru!$P:$P,"ONAY")</f>
        <v>29</v>
      </c>
      <c r="E8" s="95">
        <f>COUNTIFS(Başvuru!$I:$I,$B8,Başvuru!$P:$P,"DÜZELTME")</f>
        <v>3</v>
      </c>
      <c r="F8" s="95">
        <f>COUNTIFS(Başvuru!$I:$I,$B8,Başvuru!$P:$P,"KAEK")</f>
        <v>0</v>
      </c>
      <c r="G8" s="95">
        <f>COUNTIFS(Başvuru!$I:$I,$B8,Başvuru!$P:$P,"GÖRÜŞ")</f>
        <v>0</v>
      </c>
      <c r="H8" s="95">
        <f>COUNTIFS(Başvuru!$I:$I,$B8,Başvuru!$P:$P,"RET")</f>
        <v>0</v>
      </c>
      <c r="I8" s="95">
        <f>COUNTIFS(Başvuru!$I:$I,$B8,Başvuru!$P:$P,"KAPSAM DIŞI")</f>
        <v>3</v>
      </c>
      <c r="J8" s="95">
        <f>COUNTIFS(Başvuru!$I:$I,$B8,Başvuru!$P:$P,"GERİ ÇEKİLDİ")</f>
        <v>0</v>
      </c>
      <c r="K8" s="95">
        <f>COUNTIF(Başvuru!$I:$I,$B8)-COUNTIFS(Başvuru!$I:$I,$B8,Başvuru!$L:$L,"&lt;&gt;")</f>
        <v>0</v>
      </c>
      <c r="L8" s="97">
        <f t="shared" si="2"/>
        <v>35</v>
      </c>
      <c r="M8" s="98">
        <f t="shared" si="3"/>
        <v>0.82857142857142863</v>
      </c>
      <c r="N8" s="99"/>
    </row>
    <row r="9" spans="1:14" ht="21.75" customHeight="1" x14ac:dyDescent="0.25">
      <c r="A9" s="100">
        <f t="shared" si="0"/>
        <v>6</v>
      </c>
      <c r="B9" s="96">
        <v>46098</v>
      </c>
      <c r="C9" s="100" t="str">
        <f t="shared" si="1"/>
        <v>6. Toplantı</v>
      </c>
      <c r="D9" s="100">
        <f>COUNTIFS(Başvuru!$I:$I,$B9,Başvuru!$P:$P,"ONAY")</f>
        <v>39</v>
      </c>
      <c r="E9" s="100">
        <f>COUNTIFS(Başvuru!$I:$I,$B9,Başvuru!$P:$P,"DÜZELTME")</f>
        <v>2</v>
      </c>
      <c r="F9" s="100">
        <f>COUNTIFS(Başvuru!$I:$I,$B9,Başvuru!$P:$P,"KAEK")</f>
        <v>2</v>
      </c>
      <c r="G9" s="100">
        <f>COUNTIFS(Başvuru!$I:$I,$B9,Başvuru!$P:$P,"GÖRÜŞ")</f>
        <v>0</v>
      </c>
      <c r="H9" s="100">
        <f>COUNTIFS(Başvuru!$I:$I,$B9,Başvuru!$P:$P,"RET")</f>
        <v>1</v>
      </c>
      <c r="I9" s="100">
        <f>COUNTIFS(Başvuru!$I:$I,$B9,Başvuru!$P:$P,"KAPSAM DIŞI")</f>
        <v>2</v>
      </c>
      <c r="J9" s="100">
        <f>COUNTIFS(Başvuru!$I:$I,$B9,Başvuru!$P:$P,"GERİ ÇEKİLDİ")</f>
        <v>1</v>
      </c>
      <c r="K9" s="100">
        <f>COUNTIF(Başvuru!$I:$I,$B9)-COUNTIFS(Başvuru!$I:$I,$B9,Başvuru!$L:$L,"&lt;&gt;")</f>
        <v>0</v>
      </c>
      <c r="L9" s="101">
        <f t="shared" si="2"/>
        <v>47</v>
      </c>
      <c r="M9" s="102">
        <f t="shared" si="3"/>
        <v>0.82978723404255317</v>
      </c>
      <c r="N9" s="103"/>
    </row>
    <row r="10" spans="1:14" ht="21.75" customHeight="1" x14ac:dyDescent="0.25">
      <c r="A10" s="95">
        <f t="shared" si="0"/>
        <v>7</v>
      </c>
      <c r="B10" s="96">
        <v>46112</v>
      </c>
      <c r="C10" s="95" t="str">
        <f t="shared" si="1"/>
        <v>7. Toplantı</v>
      </c>
      <c r="D10" s="95">
        <f>COUNTIFS(Başvuru!$I:$I,$B10,Başvuru!$P:$P,"ONAY")</f>
        <v>34</v>
      </c>
      <c r="E10" s="95">
        <f>COUNTIFS(Başvuru!$I:$I,$B10,Başvuru!$P:$P,"DÜZELTME")</f>
        <v>1</v>
      </c>
      <c r="F10" s="95">
        <f>COUNTIFS(Başvuru!$I:$I,$B10,Başvuru!$P:$P,"KAEK")</f>
        <v>1</v>
      </c>
      <c r="G10" s="95">
        <f>COUNTIFS(Başvuru!$I:$I,$B10,Başvuru!$P:$P,"GÖRÜŞ")</f>
        <v>1</v>
      </c>
      <c r="H10" s="95">
        <f>COUNTIFS(Başvuru!$I:$I,$B10,Başvuru!$P:$P,"RET")</f>
        <v>2</v>
      </c>
      <c r="I10" s="95">
        <f>COUNTIFS(Başvuru!$I:$I,$B10,Başvuru!$P:$P,"KAPSAM DIŞI")</f>
        <v>1</v>
      </c>
      <c r="J10" s="95">
        <f>COUNTIFS(Başvuru!$I:$I,$B10,Başvuru!$P:$P,"GERİ ÇEKİLDİ")</f>
        <v>0</v>
      </c>
      <c r="K10" s="95">
        <f>COUNTIF(Başvuru!$I:$I,$B10)-COUNTIFS(Başvuru!$I:$I,$B10,Başvuru!$L:$L,"&lt;&gt;")</f>
        <v>0</v>
      </c>
      <c r="L10" s="97">
        <f t="shared" si="2"/>
        <v>40</v>
      </c>
      <c r="M10" s="98">
        <f t="shared" si="3"/>
        <v>0.85</v>
      </c>
      <c r="N10" s="99"/>
    </row>
    <row r="11" spans="1:14" ht="21.75" customHeight="1" x14ac:dyDescent="0.25">
      <c r="A11" s="100">
        <f t="shared" si="0"/>
        <v>8</v>
      </c>
      <c r="B11" s="96">
        <v>46126</v>
      </c>
      <c r="C11" s="100" t="str">
        <f t="shared" si="1"/>
        <v>8. Toplantı</v>
      </c>
      <c r="D11" s="100">
        <f>COUNTIFS(Başvuru!$I:$I,$B11,Başvuru!$P:$P,"ONAY")</f>
        <v>32</v>
      </c>
      <c r="E11" s="100">
        <f>COUNTIFS(Başvuru!$I:$I,$B11,Başvuru!$P:$P,"DÜZELTME")</f>
        <v>3</v>
      </c>
      <c r="F11" s="100">
        <f>COUNTIFS(Başvuru!$I:$I,$B11,Başvuru!$P:$P,"KAEK")</f>
        <v>1</v>
      </c>
      <c r="G11" s="100">
        <f>COUNTIFS(Başvuru!$I:$I,$B11,Başvuru!$P:$P,"GÖRÜŞ")</f>
        <v>0</v>
      </c>
      <c r="H11" s="100">
        <f>COUNTIFS(Başvuru!$I:$I,$B11,Başvuru!$P:$P,"RET")</f>
        <v>4</v>
      </c>
      <c r="I11" s="100">
        <f>COUNTIFS(Başvuru!$I:$I,$B11,Başvuru!$P:$P,"KAPSAM DIŞI")</f>
        <v>0</v>
      </c>
      <c r="J11" s="100">
        <f>COUNTIFS(Başvuru!$I:$I,$B11,Başvuru!$P:$P,"GERİ ÇEKİLDİ")</f>
        <v>0</v>
      </c>
      <c r="K11" s="100">
        <f>COUNTIF(Başvuru!$I:$I,$B11)-COUNTIFS(Başvuru!$I:$I,$B11,Başvuru!$L:$L,"&lt;&gt;")</f>
        <v>0</v>
      </c>
      <c r="L11" s="101">
        <f t="shared" si="2"/>
        <v>40</v>
      </c>
      <c r="M11" s="102">
        <f t="shared" si="3"/>
        <v>0.8</v>
      </c>
      <c r="N11" s="103"/>
    </row>
    <row r="12" spans="1:14" ht="21.75" customHeight="1" x14ac:dyDescent="0.25">
      <c r="A12" s="95">
        <f t="shared" si="0"/>
        <v>9</v>
      </c>
      <c r="B12" s="96">
        <v>46140</v>
      </c>
      <c r="C12" s="95" t="str">
        <f t="shared" si="1"/>
        <v>9. Toplantı</v>
      </c>
      <c r="D12" s="95">
        <f>COUNTIFS(Başvuru!$I:$I,$B12,Başvuru!$P:$P,"ONAY")</f>
        <v>40</v>
      </c>
      <c r="E12" s="95">
        <f>COUNTIFS(Başvuru!$I:$I,$B12,Başvuru!$P:$P,"DÜZELTME")</f>
        <v>3</v>
      </c>
      <c r="F12" s="95">
        <f>COUNTIFS(Başvuru!$I:$I,$B12,Başvuru!$P:$P,"KAEK")</f>
        <v>0</v>
      </c>
      <c r="G12" s="95">
        <f>COUNTIFS(Başvuru!$I:$I,$B12,Başvuru!$P:$P,"GÖRÜŞ")</f>
        <v>0</v>
      </c>
      <c r="H12" s="95">
        <f>COUNTIFS(Başvuru!$I:$I,$B12,Başvuru!$P:$P,"RET")</f>
        <v>3</v>
      </c>
      <c r="I12" s="95">
        <f>COUNTIFS(Başvuru!$I:$I,$B12,Başvuru!$P:$P,"KAPSAM DIŞI")</f>
        <v>0</v>
      </c>
      <c r="J12" s="95">
        <f>COUNTIFS(Başvuru!$I:$I,$B12,Başvuru!$P:$P,"GERİ ÇEKİLDİ")</f>
        <v>0</v>
      </c>
      <c r="K12" s="95">
        <f>COUNTIF(Başvuru!$I:$I,$B12)-COUNTIFS(Başvuru!$I:$I,$B12,Başvuru!$L:$L,"&lt;&gt;")</f>
        <v>2</v>
      </c>
      <c r="L12" s="97">
        <f t="shared" si="2"/>
        <v>48</v>
      </c>
      <c r="M12" s="98">
        <f t="shared" si="3"/>
        <v>0.83333333333333337</v>
      </c>
      <c r="N12" s="99"/>
    </row>
    <row r="13" spans="1:14" ht="21.75" customHeight="1" x14ac:dyDescent="0.25">
      <c r="A13" s="100">
        <f t="shared" si="0"/>
        <v>10</v>
      </c>
      <c r="B13" s="96">
        <v>46154</v>
      </c>
      <c r="C13" s="100" t="str">
        <f t="shared" si="1"/>
        <v>10. Toplantı</v>
      </c>
      <c r="D13" s="100">
        <f>COUNTIFS(Başvuru!$I:$I,$B13,Başvuru!$P:$P,"ONAY")</f>
        <v>43</v>
      </c>
      <c r="E13" s="100">
        <f>COUNTIFS(Başvuru!$I:$I,$B13,Başvuru!$P:$P,"DÜZELTME")</f>
        <v>4</v>
      </c>
      <c r="F13" s="100">
        <f>COUNTIFS(Başvuru!$I:$I,$B13,Başvuru!$P:$P,"KAEK")</f>
        <v>1</v>
      </c>
      <c r="G13" s="100">
        <f>COUNTIFS(Başvuru!$I:$I,$B13,Başvuru!$P:$P,"GÖRÜŞ")</f>
        <v>1</v>
      </c>
      <c r="H13" s="100">
        <f>COUNTIFS(Başvuru!$I:$I,$B13,Başvuru!$P:$P,"RET")</f>
        <v>0</v>
      </c>
      <c r="I13" s="100">
        <f>COUNTIFS(Başvuru!$I:$I,$B13,Başvuru!$P:$P,"KAPSAM DIŞI")</f>
        <v>1</v>
      </c>
      <c r="J13" s="100">
        <f>COUNTIFS(Başvuru!$I:$I,$B13,Başvuru!$P:$P,"GERİ ÇEKİLDİ")</f>
        <v>0</v>
      </c>
      <c r="K13" s="100">
        <f>COUNTIF(Başvuru!$I:$I,$B13)-COUNTIFS(Başvuru!$I:$I,$B13,Başvuru!$L:$L,"&lt;&gt;")</f>
        <v>2</v>
      </c>
      <c r="L13" s="101">
        <f t="shared" si="2"/>
        <v>52</v>
      </c>
      <c r="M13" s="102">
        <f t="shared" si="3"/>
        <v>0.82692307692307687</v>
      </c>
      <c r="N13" s="103"/>
    </row>
    <row r="14" spans="1:14" ht="21.75" customHeight="1" x14ac:dyDescent="0.25">
      <c r="A14" s="95">
        <f t="shared" si="0"/>
        <v>11</v>
      </c>
      <c r="B14" s="96">
        <v>46175</v>
      </c>
      <c r="C14" s="95" t="str">
        <f t="shared" si="1"/>
        <v>11. Toplantı</v>
      </c>
      <c r="D14" s="95">
        <f>COUNTIFS(Başvuru!$I:$I,$B14,Başvuru!$P:$P,"ONAY")</f>
        <v>33</v>
      </c>
      <c r="E14" s="95">
        <f>COUNTIFS(Başvuru!$I:$I,$B14,Başvuru!$P:$P,"DÜZELTME")</f>
        <v>5</v>
      </c>
      <c r="F14" s="95">
        <f>COUNTIFS(Başvuru!$I:$I,$B14,Başvuru!$P:$P,"KAEK")</f>
        <v>0</v>
      </c>
      <c r="G14" s="95">
        <f>COUNTIFS(Başvuru!$I:$I,$B14,Başvuru!$P:$P,"GÖRÜŞ")</f>
        <v>0</v>
      </c>
      <c r="H14" s="95">
        <f>COUNTIFS(Başvuru!$I:$I,$B14,Başvuru!$P:$P,"RET")</f>
        <v>2</v>
      </c>
      <c r="I14" s="95">
        <f>COUNTIFS(Başvuru!$I:$I,$B14,Başvuru!$P:$P,"KAPSAM DIŞI")</f>
        <v>0</v>
      </c>
      <c r="J14" s="95">
        <f>COUNTIFS(Başvuru!$I:$I,$B14,Başvuru!$P:$P,"GERİ ÇEKİLDİ")</f>
        <v>0</v>
      </c>
      <c r="K14" s="95">
        <f>COUNTIF(Başvuru!$I:$I,$B14)-COUNTIFS(Başvuru!$I:$I,$B14,Başvuru!$L:$L,"&lt;&gt;")</f>
        <v>0</v>
      </c>
      <c r="L14" s="97">
        <f t="shared" si="2"/>
        <v>40</v>
      </c>
      <c r="M14" s="98">
        <f t="shared" si="3"/>
        <v>0.82499999999999996</v>
      </c>
      <c r="N14" s="99"/>
    </row>
    <row r="15" spans="1:14" ht="21.75" customHeight="1" x14ac:dyDescent="0.25">
      <c r="A15" s="104">
        <f t="shared" si="0"/>
        <v>12</v>
      </c>
      <c r="B15" s="96">
        <v>46196</v>
      </c>
      <c r="C15" s="104" t="str">
        <f t="shared" si="1"/>
        <v>12. Toplantı</v>
      </c>
      <c r="D15" s="104">
        <f>COUNTIFS(Başvuru!$I:$I,$B15,Başvuru!$P:$P,"ONAY")</f>
        <v>27</v>
      </c>
      <c r="E15" s="104">
        <f>COUNTIFS(Başvuru!$I:$I,$B15,Başvuru!$P:$P,"DÜZELTME")</f>
        <v>7</v>
      </c>
      <c r="F15" s="104">
        <f>COUNTIFS(Başvuru!$I:$I,$B15,Başvuru!$P:$P,"KAEK")</f>
        <v>8</v>
      </c>
      <c r="G15" s="104">
        <f>COUNTIFS(Başvuru!$I:$I,$B15,Başvuru!$P:$P,"GÖRÜŞ")</f>
        <v>0</v>
      </c>
      <c r="H15" s="104">
        <f>COUNTIFS(Başvuru!$I:$I,$B15,Başvuru!$P:$P,"RET")</f>
        <v>1</v>
      </c>
      <c r="I15" s="104">
        <f>COUNTIFS(Başvuru!$I:$I,$B15,Başvuru!$P:$P,"KAPSAM DIŞI")</f>
        <v>3</v>
      </c>
      <c r="J15" s="104">
        <f>COUNTIFS(Başvuru!$I:$I,$B15,Başvuru!$P:$P,"GERİ ÇEKİLDİ")</f>
        <v>0</v>
      </c>
      <c r="K15" s="104">
        <f>COUNTIF(Başvuru!$I:$I,$B15)-COUNTIFS(Başvuru!$I:$I,$B15,Başvuru!$L:$L,"&lt;&gt;")</f>
        <v>0</v>
      </c>
      <c r="L15" s="105">
        <f t="shared" si="2"/>
        <v>46</v>
      </c>
      <c r="M15" s="106">
        <f t="shared" si="3"/>
        <v>0.58695652173913049</v>
      </c>
      <c r="N15" s="107"/>
    </row>
    <row r="16" spans="1:14" ht="21.75" customHeight="1" x14ac:dyDescent="0.25">
      <c r="A16" s="95">
        <f t="shared" si="0"/>
        <v>13</v>
      </c>
      <c r="B16" s="96">
        <v>46217</v>
      </c>
      <c r="C16" s="95" t="str">
        <f t="shared" si="1"/>
        <v>13. Toplantı</v>
      </c>
      <c r="D16" s="95">
        <f>COUNTIFS(Başvuru!$I:$I,$B16,Başvuru!$P:$P,"ONAY")</f>
        <v>32</v>
      </c>
      <c r="E16" s="95">
        <f>COUNTIFS(Başvuru!$I:$I,$B16,Başvuru!$P:$P,"DÜZELTME")</f>
        <v>15</v>
      </c>
      <c r="F16" s="95">
        <f>COUNTIFS(Başvuru!$I:$I,$B16,Başvuru!$P:$P,"KAEK")</f>
        <v>1</v>
      </c>
      <c r="G16" s="95">
        <f>COUNTIFS(Başvuru!$I:$I,$B16,Başvuru!$P:$P,"GÖRÜŞ")</f>
        <v>0</v>
      </c>
      <c r="H16" s="95">
        <f>COUNTIFS(Başvuru!$I:$I,$B16,Başvuru!$P:$P,"RET")</f>
        <v>1</v>
      </c>
      <c r="I16" s="95">
        <f>COUNTIFS(Başvuru!$I:$I,$B16,Başvuru!$P:$P,"KAPSAM DIŞI")</f>
        <v>1</v>
      </c>
      <c r="J16" s="95">
        <f>COUNTIFS(Başvuru!$I:$I,$B16,Başvuru!$P:$P,"GERİ ÇEKİLDİ")</f>
        <v>0</v>
      </c>
      <c r="K16" s="95">
        <f>COUNTIF(Başvuru!$I:$I,$B16)-COUNTIFS(Başvuru!$I:$I,$B16,Başvuru!$L:$L,"&lt;&gt;")</f>
        <v>0</v>
      </c>
      <c r="L16" s="97">
        <f t="shared" si="2"/>
        <v>50</v>
      </c>
      <c r="M16" s="98">
        <f t="shared" si="3"/>
        <v>0.64</v>
      </c>
      <c r="N16" s="99"/>
    </row>
    <row r="17" spans="1:14" ht="21.75" customHeight="1" x14ac:dyDescent="0.25">
      <c r="A17" s="104">
        <f t="shared" si="0"/>
        <v>14</v>
      </c>
      <c r="B17" s="96">
        <v>46224</v>
      </c>
      <c r="C17" s="104" t="str">
        <f t="shared" si="1"/>
        <v>14. Toplantı</v>
      </c>
      <c r="D17" s="104">
        <f>COUNTIFS(Başvuru!$I:$I,$B17,Başvuru!$P:$P,"ONAY")</f>
        <v>29</v>
      </c>
      <c r="E17" s="104">
        <f>COUNTIFS(Başvuru!$I:$I,$B17,Başvuru!$P:$P,"DÜZELTME")</f>
        <v>15</v>
      </c>
      <c r="F17" s="104">
        <f>COUNTIFS(Başvuru!$I:$I,$B17,Başvuru!$P:$P,"KAEK")</f>
        <v>1</v>
      </c>
      <c r="G17" s="104">
        <f>COUNTIFS(Başvuru!$I:$I,$B17,Başvuru!$P:$P,"GÖRÜŞ")</f>
        <v>0</v>
      </c>
      <c r="H17" s="104">
        <f>COUNTIFS(Başvuru!$I:$I,$B17,Başvuru!$P:$P,"RET")</f>
        <v>1</v>
      </c>
      <c r="I17" s="104">
        <f>COUNTIFS(Başvuru!$I:$I,$B17,Başvuru!$P:$P,"KAPSAM DIŞI")</f>
        <v>2</v>
      </c>
      <c r="J17" s="104">
        <f>COUNTIFS(Başvuru!$I:$I,$B17,Başvuru!$P:$P,"GERİ ÇEKİLDİ")</f>
        <v>0</v>
      </c>
      <c r="K17" s="104">
        <f>COUNTIF(Başvuru!$I:$I,$B17)-COUNTIFS(Başvuru!$I:$I,$B17,Başvuru!$L:$L,"&lt;&gt;")</f>
        <v>3</v>
      </c>
      <c r="L17" s="105">
        <f t="shared" si="2"/>
        <v>51</v>
      </c>
      <c r="M17" s="106">
        <f t="shared" si="3"/>
        <v>0.56862745098039214</v>
      </c>
      <c r="N17" s="107"/>
    </row>
    <row r="18" spans="1:14" ht="21.75" customHeight="1" x14ac:dyDescent="0.25">
      <c r="A18" s="104">
        <f t="shared" si="0"/>
        <v>15</v>
      </c>
      <c r="B18" s="96">
        <v>46231</v>
      </c>
      <c r="C18" s="104" t="str">
        <f t="shared" si="1"/>
        <v>15. Toplantı</v>
      </c>
      <c r="D18" s="104">
        <f>COUNTIFS(Başvuru!$I:$I,$B18,Başvuru!$P:$P,"ONAY")</f>
        <v>0</v>
      </c>
      <c r="E18" s="104">
        <f>COUNTIFS(Başvuru!$I:$I,$B18,Başvuru!$P:$P,"DÜZELTME")</f>
        <v>0</v>
      </c>
      <c r="F18" s="104">
        <f>COUNTIFS(Başvuru!$I:$I,$B18,Başvuru!$P:$P,"KAEK")</f>
        <v>0</v>
      </c>
      <c r="G18" s="104">
        <f>COUNTIFS(Başvuru!$I:$I,$B18,Başvuru!$P:$P,"GÖRÜŞ")</f>
        <v>0</v>
      </c>
      <c r="H18" s="104">
        <f>COUNTIFS(Başvuru!$I:$I,$B18,Başvuru!$P:$P,"RET")</f>
        <v>0</v>
      </c>
      <c r="I18" s="104">
        <f>COUNTIFS(Başvuru!$I:$I,$B18,Başvuru!$P:$P,"KAPSAM DIŞI")</f>
        <v>0</v>
      </c>
      <c r="J18" s="104">
        <f>COUNTIFS(Başvuru!$I:$I,$B18,Başvuru!$P:$P,"GERİ ÇEKİLDİ")</f>
        <v>0</v>
      </c>
      <c r="K18" s="104">
        <f>COUNTIF(Başvuru!$I:$I,$B18)-COUNTIFS(Başvuru!$I:$I,$B18,Başvuru!$L:$L,"&lt;&gt;")</f>
        <v>31</v>
      </c>
      <c r="L18" s="105">
        <f t="shared" si="2"/>
        <v>31</v>
      </c>
      <c r="M18" s="106">
        <f t="shared" si="3"/>
        <v>0</v>
      </c>
      <c r="N18" s="107"/>
    </row>
    <row r="19" spans="1:14" ht="25.5" customHeight="1" x14ac:dyDescent="0.25">
      <c r="A19" s="236" t="s">
        <v>4326</v>
      </c>
      <c r="B19" s="236"/>
      <c r="C19" s="236"/>
      <c r="D19" s="108">
        <f t="shared" ref="D19:K19" si="4">SUM(D4:D15)</f>
        <v>446</v>
      </c>
      <c r="E19" s="108">
        <f t="shared" si="4"/>
        <v>38</v>
      </c>
      <c r="F19" s="108">
        <f t="shared" si="4"/>
        <v>17</v>
      </c>
      <c r="G19" s="108">
        <f t="shared" si="4"/>
        <v>2</v>
      </c>
      <c r="H19" s="108">
        <f t="shared" si="4"/>
        <v>16</v>
      </c>
      <c r="I19" s="108">
        <f t="shared" si="4"/>
        <v>11</v>
      </c>
      <c r="J19" s="108">
        <f t="shared" si="4"/>
        <v>4</v>
      </c>
      <c r="K19" s="108">
        <f t="shared" si="4"/>
        <v>4</v>
      </c>
      <c r="L19" s="108">
        <f>SUM(L4:L18)</f>
        <v>670</v>
      </c>
      <c r="M19" s="109">
        <f t="shared" si="3"/>
        <v>0.66567164179104477</v>
      </c>
    </row>
    <row r="21" spans="1:14" ht="36" customHeight="1" x14ac:dyDescent="0.25">
      <c r="A21" s="237" t="s">
        <v>4327</v>
      </c>
      <c r="B21" s="237"/>
      <c r="C21" s="237"/>
      <c r="D21" s="237"/>
      <c r="E21" s="237"/>
      <c r="F21" s="237"/>
      <c r="G21" s="237"/>
      <c r="H21" s="237"/>
      <c r="I21" s="237"/>
      <c r="J21" s="237"/>
      <c r="K21" s="237"/>
      <c r="L21" s="237"/>
      <c r="M21" s="237"/>
      <c r="N21" s="237"/>
    </row>
  </sheetData>
  <mergeCells count="4">
    <mergeCell ref="A1:N1"/>
    <mergeCell ref="A2:N2"/>
    <mergeCell ref="A19:C19"/>
    <mergeCell ref="A21:N2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6"/>
  <sheetViews>
    <sheetView showZeros="0" zoomScale="50" zoomScaleNormal="50" workbookViewId="0">
      <selection activeCell="G19" sqref="G19"/>
    </sheetView>
  </sheetViews>
  <sheetFormatPr defaultColWidth="9.140625" defaultRowHeight="18.75" x14ac:dyDescent="0.3"/>
  <cols>
    <col min="1" max="1" width="8.7109375" style="28" customWidth="1"/>
    <col min="2" max="2" width="58.42578125" style="28" customWidth="1"/>
    <col min="3" max="3" width="21.28515625" style="28" customWidth="1"/>
    <col min="4" max="5" width="10.140625" style="28" customWidth="1"/>
    <col min="6" max="10" width="9.28515625" style="28" customWidth="1"/>
    <col min="11" max="11" width="10.140625" style="28" customWidth="1"/>
    <col min="12" max="27" width="9.28515625" style="28" customWidth="1"/>
    <col min="28" max="28" width="10.140625" style="28" customWidth="1"/>
    <col min="29" max="34" width="9.28515625" style="28" customWidth="1"/>
    <col min="35" max="37" width="10.140625" style="28" customWidth="1"/>
    <col min="38" max="42" width="9.28515625" style="28" customWidth="1"/>
    <col min="43" max="43" width="12.7109375" style="28" customWidth="1"/>
    <col min="44" max="44" width="44.140625" style="28" customWidth="1"/>
    <col min="45" max="45" width="29.7109375" style="110" customWidth="1"/>
    <col min="46" max="46" width="14.7109375" style="111" customWidth="1"/>
    <col min="47" max="47" width="16" style="28" customWidth="1"/>
    <col min="48" max="16384" width="9.140625" style="28"/>
  </cols>
  <sheetData>
    <row r="1" spans="1:46" s="112" customFormat="1" ht="20.25" customHeight="1" x14ac:dyDescent="0.25">
      <c r="A1" s="247" t="s">
        <v>4328</v>
      </c>
      <c r="B1" s="247" t="s">
        <v>4329</v>
      </c>
      <c r="C1" s="248" t="s">
        <v>4330</v>
      </c>
      <c r="D1" s="243" t="s">
        <v>34</v>
      </c>
      <c r="E1" s="243"/>
      <c r="F1" s="243"/>
      <c r="G1" s="243"/>
      <c r="H1" s="243"/>
      <c r="I1" s="243"/>
      <c r="J1" s="243"/>
      <c r="K1" s="243"/>
      <c r="L1" s="243" t="s">
        <v>36</v>
      </c>
      <c r="M1" s="243"/>
      <c r="N1" s="243"/>
      <c r="O1" s="243"/>
      <c r="P1" s="243"/>
      <c r="Q1" s="243"/>
      <c r="R1" s="243"/>
      <c r="S1" s="243"/>
      <c r="T1" s="243" t="s">
        <v>37</v>
      </c>
      <c r="U1" s="243"/>
      <c r="V1" s="243"/>
      <c r="W1" s="243"/>
      <c r="X1" s="243"/>
      <c r="Y1" s="243"/>
      <c r="Z1" s="243"/>
      <c r="AA1" s="243"/>
      <c r="AB1" s="243" t="s">
        <v>35</v>
      </c>
      <c r="AC1" s="243"/>
      <c r="AD1" s="243"/>
      <c r="AE1" s="243"/>
      <c r="AF1" s="243"/>
      <c r="AG1" s="243"/>
      <c r="AH1" s="243"/>
      <c r="AI1" s="243"/>
      <c r="AJ1" s="244" t="s">
        <v>4331</v>
      </c>
      <c r="AK1" s="244"/>
      <c r="AL1" s="244"/>
      <c r="AM1" s="244"/>
      <c r="AN1" s="244"/>
      <c r="AO1" s="244"/>
      <c r="AP1" s="244"/>
      <c r="AQ1" s="244"/>
      <c r="AR1" s="245" t="s">
        <v>4332</v>
      </c>
      <c r="AS1" s="246" t="s">
        <v>4333</v>
      </c>
      <c r="AT1" s="238" t="s">
        <v>4334</v>
      </c>
    </row>
    <row r="2" spans="1:46" s="112" customFormat="1" ht="95.25" customHeight="1" x14ac:dyDescent="0.25">
      <c r="A2" s="247"/>
      <c r="B2" s="247"/>
      <c r="C2" s="248"/>
      <c r="D2" s="113" t="s">
        <v>4317</v>
      </c>
      <c r="E2" s="113" t="s">
        <v>4318</v>
      </c>
      <c r="F2" s="113" t="s">
        <v>232</v>
      </c>
      <c r="G2" s="113" t="s">
        <v>4319</v>
      </c>
      <c r="H2" s="113" t="s">
        <v>4320</v>
      </c>
      <c r="I2" s="113" t="s">
        <v>4321</v>
      </c>
      <c r="J2" s="113" t="s">
        <v>4322</v>
      </c>
      <c r="K2" s="114" t="s">
        <v>4</v>
      </c>
      <c r="L2" s="113" t="s">
        <v>4317</v>
      </c>
      <c r="M2" s="113" t="s">
        <v>4318</v>
      </c>
      <c r="N2" s="113" t="s">
        <v>232</v>
      </c>
      <c r="O2" s="113" t="s">
        <v>4319</v>
      </c>
      <c r="P2" s="113" t="s">
        <v>4320</v>
      </c>
      <c r="Q2" s="113" t="s">
        <v>4321</v>
      </c>
      <c r="R2" s="113" t="s">
        <v>4322</v>
      </c>
      <c r="S2" s="114" t="s">
        <v>4</v>
      </c>
      <c r="T2" s="113" t="s">
        <v>4317</v>
      </c>
      <c r="U2" s="113" t="s">
        <v>4318</v>
      </c>
      <c r="V2" s="113" t="s">
        <v>232</v>
      </c>
      <c r="W2" s="113" t="s">
        <v>4319</v>
      </c>
      <c r="X2" s="113" t="s">
        <v>4320</v>
      </c>
      <c r="Y2" s="113" t="s">
        <v>4321</v>
      </c>
      <c r="Z2" s="113" t="s">
        <v>4322</v>
      </c>
      <c r="AA2" s="114" t="s">
        <v>4</v>
      </c>
      <c r="AB2" s="113" t="s">
        <v>4317</v>
      </c>
      <c r="AC2" s="113" t="s">
        <v>4318</v>
      </c>
      <c r="AD2" s="113" t="s">
        <v>232</v>
      </c>
      <c r="AE2" s="113" t="s">
        <v>4319</v>
      </c>
      <c r="AF2" s="113" t="s">
        <v>4320</v>
      </c>
      <c r="AG2" s="113" t="s">
        <v>4321</v>
      </c>
      <c r="AH2" s="113" t="s">
        <v>4322</v>
      </c>
      <c r="AI2" s="114" t="s">
        <v>4</v>
      </c>
      <c r="AJ2" s="113" t="s">
        <v>4317</v>
      </c>
      <c r="AK2" s="113" t="s">
        <v>4318</v>
      </c>
      <c r="AL2" s="113" t="s">
        <v>232</v>
      </c>
      <c r="AM2" s="113" t="s">
        <v>4319</v>
      </c>
      <c r="AN2" s="113" t="s">
        <v>4320</v>
      </c>
      <c r="AO2" s="113" t="s">
        <v>4321</v>
      </c>
      <c r="AP2" s="113" t="s">
        <v>4322</v>
      </c>
      <c r="AQ2" s="114" t="s">
        <v>4</v>
      </c>
      <c r="AR2" s="245"/>
      <c r="AS2" s="246"/>
      <c r="AT2" s="238"/>
    </row>
    <row r="3" spans="1:46" s="112" customFormat="1" ht="30.75" customHeight="1" x14ac:dyDescent="0.25">
      <c r="A3" s="115" t="s">
        <v>61</v>
      </c>
      <c r="B3" s="116" t="s">
        <v>67</v>
      </c>
      <c r="C3" s="117">
        <f>COUNTIF(Başvuru!J2:K1562,"Prof. Dr. Ayşe Nurten AKARSU")</f>
        <v>114</v>
      </c>
      <c r="D3" s="118">
        <f t="array" ref="D3">SUMPRODUCT(((Başvuru!J2:K1562)="Prof. Dr. Ayşe Nurten AKARSU")*(Başvuru!G2:G1562="Bireysel Araştırma")*(Başvuru!L2:L1562="ONAY"))</f>
        <v>39</v>
      </c>
      <c r="E3" s="118">
        <f t="array" ref="E3">SUMPRODUCT(((Başvuru!J2:K1562)="Prof. Dr. Ayşe Nurten AKARSU")*(Başvuru!G2:G1562="Bireysel Araştırma")*(Başvuru!L2:L1562="DÜZELTME"))</f>
        <v>28</v>
      </c>
      <c r="F3" s="118">
        <f t="array" ref="F3">SUMPRODUCT(((Başvuru!J2:K1562)="Prof. Dr. Ayşe Nurten AKARSU")*(Başvuru!G2:G1562="Bireysel Araştırma")*(Başvuru!L2:L1562="KAEK"))</f>
        <v>2</v>
      </c>
      <c r="G3" s="118">
        <f t="array" ref="G3">SUMPRODUCT(((Başvuru!J2:K1562)="Prof. Dr. Ayşe Nurten AKARSU")*(Başvuru!G2:G1562="Bireysel Araştırma")*(Başvuru!L2:L1562="GÖRÜŞ"))</f>
        <v>3</v>
      </c>
      <c r="H3" s="118">
        <f t="array" ref="H3">SUMPRODUCT(((Başvuru!J2:K1562)="Prof. Dr. Ayşe Nurten AKARSU")*(Başvuru!G2:G1562="Bireysel Araştırma")*(Başvuru!L2:L1562="RET"))</f>
        <v>3</v>
      </c>
      <c r="I3" s="118">
        <f t="array" ref="I3">SUMPRODUCT(((Başvuru!J2:K1562)="Prof. Dr. Ayşe Nurten AKARSU")*(Başvuru!G2:G1562="Bireysel Araştırma")*(Başvuru!L2:L1562="KAPSAM DIŞI"))</f>
        <v>2</v>
      </c>
      <c r="J3" s="118">
        <f t="array" ref="J3">SUMPRODUCT(((Başvuru!J2:K1562)="Prof. Dr. Ayşe Nurten AKARSU")*(Başvuru!G2:G1562="Bireysel Araştırma")*(Başvuru!L2:L1562="GERİ ÇEKİLDİ"))</f>
        <v>0</v>
      </c>
      <c r="K3" s="117">
        <f t="shared" ref="K3:K14" si="0">SUM(D3:J3)</f>
        <v>77</v>
      </c>
      <c r="L3" s="117">
        <f t="array" ref="L3">SUMPRODUCT(((Başvuru!J2:K1562)="Prof. Dr. Ayşe Nurten AKARSU")*(Başvuru!G2:G1562="Yüksek Lisans Tezi")*(Başvuru!L2:L1562="ONAY"))</f>
        <v>2</v>
      </c>
      <c r="M3" s="117">
        <f t="array" ref="M3">SUMPRODUCT(((Başvuru!J2:K1562)="Prof. Dr. Ayşe Nurten AKARSU")*(Başvuru!G2:G1562="Yüksek Lisans Tezi")*(Başvuru!L2:L1562="DÜZELTME"))</f>
        <v>6</v>
      </c>
      <c r="N3" s="117">
        <f t="array" ref="N3">SUMPRODUCT(((Başvuru!J2:K1562)="Prof. Dr. Ayşe Nurten AKARSU")*(Başvuru!G2:G1562="Yüksek Lisans Tezi")*(Başvuru!L2:L1562="KAEK"))</f>
        <v>1</v>
      </c>
      <c r="O3" s="117">
        <f t="array" ref="O3">SUMPRODUCT(((Başvuru!J2:K1562)="Prof. Dr. Ayşe Nurten AKARSU")*(Başvuru!G2:G1562="Yüksek Lisans Tezi")*(Başvuru!L2:L1562="GÖRÜŞ"))</f>
        <v>0</v>
      </c>
      <c r="P3" s="117">
        <f t="array" ref="P3">SUMPRODUCT(((Başvuru!J2:K1562)="Prof. Dr. Ayşe Nurten AKARSU")*(Başvuru!G2:G1562="Yüksek Lisans Tezi")*(Başvuru!L2:L1562="RET"))</f>
        <v>0</v>
      </c>
      <c r="Q3" s="117">
        <f t="array" ref="Q3">SUMPRODUCT(((Başvuru!J2:K1562)="Prof. Dr. Ayşe Nurten AKARSU")*(Başvuru!G2:G1562="Yüksek Lisans Tezi")*(Başvuru!L2:L1562="KAPSAM DIŞI"))</f>
        <v>0</v>
      </c>
      <c r="R3" s="117">
        <f t="array" ref="R3">SUMPRODUCT(((Başvuru!J2:K1562)="Prof. Dr. Ayşe Nurten AKARSU")*(Başvuru!G2:G1562="Yüksek Lisans Tezi")*(Başvuru!L2:L1562="GERİ ÇEKİLDİ"))</f>
        <v>0</v>
      </c>
      <c r="S3" s="117">
        <f t="shared" ref="S3:S14" si="1">SUM(L3:R3)</f>
        <v>9</v>
      </c>
      <c r="T3" s="117">
        <f t="array" ref="T3">SUMPRODUCT(((Başvuru!J2:K1562)="Prof. Dr. Ayşe Nurten AKARSU")*(Başvuru!G2:G1562="Doktora Tezi")*(Başvuru!L2:L1562="ONAY"))</f>
        <v>3</v>
      </c>
      <c r="U3" s="117">
        <f t="array" ref="U3">SUMPRODUCT(((Başvuru!J2:K1562)="Prof. Dr. Ayşe Nurten AKARSU")*(Başvuru!G2:G1562="Doktora Tezi")*(Başvuru!L2:L1562="DÜZELTME"))</f>
        <v>5</v>
      </c>
      <c r="V3" s="117">
        <f t="array" ref="V3">SUMPRODUCT(((Başvuru!J2:K1562)="Prof. Dr. Ayşe Nurten AKARSU")*(Başvuru!G2:G1562="Doktora Tezi")*(Başvuru!L2:L1562="KAEK"))</f>
        <v>0</v>
      </c>
      <c r="W3" s="117">
        <f t="array" ref="W3">SUMPRODUCT(((Başvuru!J2:K1562)="Prof. Dr. Ayşe Nurten AKARSU")*(Başvuru!G2:G1562="Doktora Tezi")*(Başvuru!L2:L1562="GÖRÜŞ"))</f>
        <v>0</v>
      </c>
      <c r="X3" s="117">
        <f t="array" ref="X3">SUMPRODUCT(((Başvuru!J2:K1562)="Prof. Dr. Ayşe Nurten AKARSU")*(Başvuru!G2:G1562="Doktora Tezi")*(Başvuru!L2:L1562="RET"))</f>
        <v>0</v>
      </c>
      <c r="Y3" s="117">
        <f t="array" ref="Y3">SUMPRODUCT(((Başvuru!J2:K1562)="Prof. Dr. Ayşe Nurten AKARSU")*(Başvuru!G2:G1562="Doktora Tezi")*(Başvuru!L2:L1562="KAPSAM DIŞI"))</f>
        <v>0</v>
      </c>
      <c r="Z3" s="117">
        <f t="array" ref="Z3">SUMPRODUCT(((Başvuru!J2:K1562)="Prof. Dr. Ayşe Nurten AKARSU")*(Başvuru!G2:G1562="Doktora Tezi")*(Başvuru!L2:L1562="GERİ ÇEKİLDİ"))</f>
        <v>0</v>
      </c>
      <c r="AA3" s="117">
        <f t="shared" ref="AA3:AA14" si="2">SUM(T3:Z3)</f>
        <v>8</v>
      </c>
      <c r="AB3" s="117">
        <f t="array" ref="AB3">SUMPRODUCT(((Başvuru!J2:K1562)="Prof. Dr. Ayşe Nurten AKARSU")*(Başvuru!G2:G1562="Uzmanlık Tezi")*(Başvuru!L2:L1562="ONAY"))</f>
        <v>8</v>
      </c>
      <c r="AC3" s="117">
        <f t="array" ref="AC3">SUMPRODUCT(((Başvuru!J2:K1562)="Prof. Dr. Ayşe Nurten AKARSU")*(Başvuru!G2:G1562="Uzmanlık Tezi")*(Başvuru!L2:L1562="DÜZELTME"))</f>
        <v>4</v>
      </c>
      <c r="AD3" s="117">
        <f t="array" ref="AD3">SUMPRODUCT(((Başvuru!J2:K1562)="Prof. Dr. Ayşe Nurten AKARSU")*(Başvuru!G2:G1562="Uzmanlık Tezi")*(Başvuru!L2:L1562="KAEK"))</f>
        <v>0</v>
      </c>
      <c r="AE3" s="117">
        <f t="array" ref="AE3">SUMPRODUCT(((Başvuru!J2:K1562)="Prof. Dr. Ayşe Nurten AKARSU")*(Başvuru!G2:G1562="Uzmanlık Tezi")*(Başvuru!L2:L1562="GÖRÜŞ"))</f>
        <v>0</v>
      </c>
      <c r="AF3" s="117">
        <f t="array" ref="AF3">SUMPRODUCT(((Başvuru!J2:K1562)="Prof. Dr. Ayşe Nurten AKARSU")*(Başvuru!G2:G1562="Uzmanlık Tezi")*(Başvuru!L2:L1562="RET"))</f>
        <v>1</v>
      </c>
      <c r="AG3" s="117">
        <f t="array" ref="AG3">SUMPRODUCT(((Başvuru!J2:K1562)="Prof. Dr. Ayşe Nurten AKARSU")*(Başvuru!G2:G1562="Uzmanlık Tezi")*(Başvuru!L2:L1562="KAPSAM DIŞI"))</f>
        <v>0</v>
      </c>
      <c r="AH3" s="117">
        <f t="array" ref="AH3">SUMPRODUCT(((Başvuru!J2:K1562)="Prof. Dr. Ayşe Nurten AKARSU")*(Başvuru!G2:G1562="Uzmanlık Tezi")*(Başvuru!L2:L1562="GERİ ÇEKİLDİ"))</f>
        <v>0</v>
      </c>
      <c r="AI3" s="117">
        <f t="shared" ref="AI3:AI14" si="3">SUM(AB3:AH3)</f>
        <v>13</v>
      </c>
      <c r="AJ3" s="119">
        <f t="shared" ref="AJ3:AJ14" si="4">SUM(D3,L3,T3,AB3)</f>
        <v>52</v>
      </c>
      <c r="AK3" s="119">
        <f t="shared" ref="AK3:AK14" si="5">SUM(E3,M3,U3,AC3)</f>
        <v>43</v>
      </c>
      <c r="AL3" s="119">
        <f t="shared" ref="AL3:AL14" si="6">SUM(F3,N3,V3,AD3)</f>
        <v>3</v>
      </c>
      <c r="AM3" s="119">
        <f t="shared" ref="AM3:AM14" si="7">SUM(G3,O3,W3,AE3)</f>
        <v>3</v>
      </c>
      <c r="AN3" s="119">
        <f t="shared" ref="AN3:AN14" si="8">SUM(H3,P3,X3,AF3)</f>
        <v>4</v>
      </c>
      <c r="AO3" s="119">
        <f t="shared" ref="AO3:AO14" si="9">SUM(I3,Q3,Y3,AG3)</f>
        <v>2</v>
      </c>
      <c r="AP3" s="119">
        <f t="shared" ref="AP3:AP14" si="10">SUM(J3,R3,Z3,AH3)</f>
        <v>0</v>
      </c>
      <c r="AQ3" s="120">
        <f t="shared" ref="AQ3:AQ15" si="11">SUM(AJ3:AP3)</f>
        <v>107</v>
      </c>
      <c r="AR3" s="117">
        <f t="shared" ref="AR3:AR14" si="12">C3-AQ3</f>
        <v>7</v>
      </c>
      <c r="AS3" s="121">
        <f>COUNTIF(Başvuru!$Q:$Q,$B3)</f>
        <v>28</v>
      </c>
      <c r="AT3" s="122">
        <f>COUNTIFS(Başvuru!$Q:$Q,$B3,Başvuru!$J:$J,"&lt;&gt;"&amp;$B3,Başvuru!$K:$K,"&lt;&gt;"&amp;$B3)</f>
        <v>5</v>
      </c>
    </row>
    <row r="4" spans="1:46" s="112" customFormat="1" ht="30" customHeight="1" x14ac:dyDescent="0.25">
      <c r="A4" s="115" t="s">
        <v>71</v>
      </c>
      <c r="B4" s="116" t="s">
        <v>121</v>
      </c>
      <c r="C4" s="117">
        <f>COUNTIF(Başvuru!J2:K1562,"Prof. Dr. M. Özgür UYANIK")</f>
        <v>121</v>
      </c>
      <c r="D4" s="118">
        <f t="array" ref="D4">SUMPRODUCT(((Başvuru!J2:K1562)="Prof. Dr. M. Özgür UYANIK")*(Başvuru!G2:G1562="Bireysel Araştırma")*(Başvuru!L2:L1562="ONAY"))</f>
        <v>53</v>
      </c>
      <c r="E4" s="118">
        <f t="array" ref="E4">SUMPRODUCT(((Başvuru!J2:K1562)="Prof. Dr. M. Özgür UYANIK")*(Başvuru!G2:G1562="Bireysel Araştırma")*(Başvuru!L2:L1562="DÜZELTME"))</f>
        <v>24</v>
      </c>
      <c r="F4" s="118">
        <f t="array" ref="F4">SUMPRODUCT(((Başvuru!J2:K1562)="Prof. Dr. M. Özgür UYANIK")*(Başvuru!G2:G1562="Bireysel Araştırma")*(Başvuru!L2:L1562="KAEK"))</f>
        <v>2</v>
      </c>
      <c r="G4" s="118">
        <f t="array" ref="G4">SUMPRODUCT(((Başvuru!J2:K1562)="Prof. Dr. M. Özgür UYANIK")*(Başvuru!G2:G1562="Bireysel Araştırma")*(Başvuru!L2:L1562="GÖRÜŞ"))</f>
        <v>3</v>
      </c>
      <c r="H4" s="118">
        <f t="array" ref="H4">SUMPRODUCT(((Başvuru!J2:K1562)="Prof. Dr. M. Özgür UYANIK")*(Başvuru!G2:G1562="Bireysel Araştırma")*(Başvuru!L2:L1562="RET"))</f>
        <v>4</v>
      </c>
      <c r="I4" s="118">
        <f t="array" ref="I4">SUMPRODUCT(((Başvuru!J2:K1562)="Prof. Dr. M. Özgür UYANIK")*(Başvuru!G2:G1562="Bireysel Araştırma")*(Başvuru!L2:L1562="KAPSAM DIŞI"))</f>
        <v>0</v>
      </c>
      <c r="J4" s="118">
        <f t="array" ref="J4">SUMPRODUCT(((Başvuru!J2:K1562)="Prof. Dr. M. Özgür UYANIK")*(Başvuru!G2:G1562="Bireysel Araştırma")*(Başvuru!L2:L1562="GERİ ÇEKİLDİ"))</f>
        <v>0</v>
      </c>
      <c r="K4" s="117">
        <f t="shared" si="0"/>
        <v>86</v>
      </c>
      <c r="L4" s="117">
        <f t="array" ref="L4">SUMPRODUCT(((Başvuru!J2:K1562)="Prof. Dr. M. Özgür UYANIK")*(Başvuru!G2:G1562="Yüksek Lisans Tezi")*(Başvuru!L2:L1562="ONAY"))</f>
        <v>1</v>
      </c>
      <c r="M4" s="117">
        <f t="array" ref="M4">SUMPRODUCT(((Başvuru!J2:K1562)="Prof. Dr. M. Özgür UYANIK")*(Başvuru!G2:G1562="Yüksek Lisans Tezi")*(Başvuru!L2:L1562="DÜZELTME"))</f>
        <v>0</v>
      </c>
      <c r="N4" s="117">
        <f t="array" ref="N4">SUMPRODUCT(((Başvuru!J2:K1562)="Prof. Dr. M. Özgür UYANIK")*(Başvuru!G2:G1562="Yüksek Lisans Tezi")*(Başvuru!L2:L1562="KAEK"))</f>
        <v>0</v>
      </c>
      <c r="O4" s="117">
        <f t="array" ref="O4">SUMPRODUCT(((Başvuru!J2:K1562)="Prof. Dr. M. Özgür UYANIK")*(Başvuru!G2:G1562="Yüksek Lisans Tezi")*(Başvuru!L2:L1562="GÖRÜŞ"))</f>
        <v>0</v>
      </c>
      <c r="P4" s="117">
        <f t="array" ref="P4">SUMPRODUCT(((Başvuru!J2:K1562)="Prof. Dr. M. Özgür UYANIK")*(Başvuru!G2:G1562="Yüksek Lisans Tezi")*(Başvuru!L2:L1562="RET"))</f>
        <v>0</v>
      </c>
      <c r="Q4" s="117">
        <f t="array" ref="Q4">SUMPRODUCT(((Başvuru!J2:K1562)="Prof. Dr. M. Özgür UYANIK")*(Başvuru!G2:G1562="Yüksek Lisans Tezi")*(Başvuru!L2:L1562="KAPSAM DIŞI"))</f>
        <v>0</v>
      </c>
      <c r="R4" s="117">
        <f t="array" ref="R4">SUMPRODUCT(((Başvuru!J2:K1562)="Prof. Dr. M. Özgür UYANIK")*(Başvuru!G2:G1562="Yüksek Lisans Tezi")*(Başvuru!L2:L1562="GERİ ÇEKİLDİ"))</f>
        <v>0</v>
      </c>
      <c r="S4" s="117">
        <f t="shared" si="1"/>
        <v>1</v>
      </c>
      <c r="T4" s="117">
        <f t="array" ref="T4">SUMPRODUCT(((Başvuru!J2:K1562)="Prof. Dr. M. Özgür UYANIK")*(Başvuru!G2:G1562="Doktora Tezi")*(Başvuru!L2:L1562="ONAY"))</f>
        <v>1</v>
      </c>
      <c r="U4" s="117">
        <f t="array" ref="U4">SUMPRODUCT(((Başvuru!J2:K1562)="Prof. Dr. M. Özgür UYANIK")*(Başvuru!G2:G1562="Doktora Tezi")*(Başvuru!L2:L1562="DÜZELTME"))</f>
        <v>1</v>
      </c>
      <c r="V4" s="117">
        <f t="array" ref="V4">SUMPRODUCT(((Başvuru!J2:K1562)="Prof. Dr. M. Özgür UYANIK")*(Başvuru!G2:G1562="Doktora Tezi")*(Başvuru!L2:L1562="KAEK"))</f>
        <v>0</v>
      </c>
      <c r="W4" s="117">
        <f t="array" ref="W4">SUMPRODUCT(((Başvuru!J2:K1562)="Prof. Dr. M. Özgür UYANIK")*(Başvuru!G2:G1562="Doktora Tezi")*(Başvuru!L2:L1562="GÖRÜŞ"))</f>
        <v>0</v>
      </c>
      <c r="X4" s="117">
        <f t="array" ref="X4">SUMPRODUCT(((Başvuru!J2:K1562)="Prof. Dr. M. Özgür UYANIK")*(Başvuru!G2:G1562="Doktora Tezi")*(Başvuru!L2:L1562="RET"))</f>
        <v>0</v>
      </c>
      <c r="Y4" s="117">
        <f t="array" ref="Y4">SUMPRODUCT(((Başvuru!J2:K1562)="Prof. Dr. M. Özgür UYANIK")*(Başvuru!G2:G1562="Doktora Tezi")*(Başvuru!L2:L1562="KAPSAM DIŞI"))</f>
        <v>0</v>
      </c>
      <c r="Z4" s="117">
        <f t="array" ref="Z4">SUMPRODUCT(((Başvuru!J2:K1562)="Prof. Dr. M. Özgür UYANIK")*(Başvuru!G2:G1562="Doktora Tezi")*(Başvuru!L2:L1562="GERİ ÇEKİLDİ"))</f>
        <v>0</v>
      </c>
      <c r="AA4" s="117">
        <f t="shared" si="2"/>
        <v>2</v>
      </c>
      <c r="AB4" s="117">
        <f t="array" ref="AB4">SUMPRODUCT(((Başvuru!J2:K1562)="Prof. Dr. M. Özgür UYANIK")*(Başvuru!G2:G1562="Uzmanlık Tezi")*(Başvuru!L2:L1562="ONAY"))</f>
        <v>18</v>
      </c>
      <c r="AC4" s="117">
        <f t="array" ref="AC4">SUMPRODUCT(((Başvuru!J2:K1562)="Prof. Dr. M. Özgür UYANIK")*(Başvuru!G2:G1562="Uzmanlık Tezi")*(Başvuru!L2:L1562="DÜZELTME"))</f>
        <v>6</v>
      </c>
      <c r="AD4" s="117">
        <f t="array" ref="AD4">SUMPRODUCT(((Başvuru!J2:K1562)="Prof. Dr. M. Özgür UYANIK")*(Başvuru!G2:G1562="Uzmanlık Tezi")*(Başvuru!L2:L1562="KAEK"))</f>
        <v>0</v>
      </c>
      <c r="AE4" s="117">
        <f t="array" ref="AE4">SUMPRODUCT(((Başvuru!J2:K1562)="Prof. Dr. M. Özgür UYANIK")*(Başvuru!G2:G1562="Uzmanlık Tezi")*(Başvuru!L2:L1562="GÖRÜŞ"))</f>
        <v>1</v>
      </c>
      <c r="AF4" s="117">
        <f t="array" ref="AF4">SUMPRODUCT(((Başvuru!J2:K1562)="Prof. Dr. M. Özgür UYANIK")*(Başvuru!G2:G1562="Uzmanlık Tezi")*(Başvuru!L2:L1562="RET"))</f>
        <v>1</v>
      </c>
      <c r="AG4" s="117">
        <f t="array" ref="AG4">SUMPRODUCT(((Başvuru!J2:K1562)="Prof. Dr. M. Özgür UYANIK")*(Başvuru!G2:G1562="Uzmanlık Tezi")*(Başvuru!L2:L1562="KAPSAM DIŞI"))</f>
        <v>0</v>
      </c>
      <c r="AH4" s="117">
        <f t="array" ref="AH4">SUMPRODUCT(((Başvuru!J2:K1562)="Prof. Dr. M. Özgür UYANIK")*(Başvuru!G2:G1562="Uzmanlık Tezi")*(Başvuru!L2:L1562="GERİ ÇEKİLDİ"))</f>
        <v>0</v>
      </c>
      <c r="AI4" s="117">
        <f t="shared" si="3"/>
        <v>26</v>
      </c>
      <c r="AJ4" s="119">
        <f t="shared" si="4"/>
        <v>73</v>
      </c>
      <c r="AK4" s="119">
        <f t="shared" si="5"/>
        <v>31</v>
      </c>
      <c r="AL4" s="119">
        <f t="shared" si="6"/>
        <v>2</v>
      </c>
      <c r="AM4" s="119">
        <f t="shared" si="7"/>
        <v>4</v>
      </c>
      <c r="AN4" s="119">
        <f t="shared" si="8"/>
        <v>5</v>
      </c>
      <c r="AO4" s="119">
        <f t="shared" si="9"/>
        <v>0</v>
      </c>
      <c r="AP4" s="119">
        <f t="shared" si="10"/>
        <v>0</v>
      </c>
      <c r="AQ4" s="120">
        <f t="shared" si="11"/>
        <v>115</v>
      </c>
      <c r="AR4" s="117">
        <f t="shared" si="12"/>
        <v>6</v>
      </c>
      <c r="AS4" s="121">
        <f>COUNTIF(Başvuru!$Q:$Q,$B4)</f>
        <v>6</v>
      </c>
      <c r="AT4" s="122">
        <f>COUNTIFS(Başvuru!$Q:$Q,$B4,Başvuru!$J:$J,"&lt;&gt;"&amp;$B4,Başvuru!$K:$K,"&lt;&gt;"&amp;$B4)</f>
        <v>0</v>
      </c>
    </row>
    <row r="5" spans="1:46" s="112" customFormat="1" ht="30" customHeight="1" x14ac:dyDescent="0.25">
      <c r="A5" s="115" t="s">
        <v>79</v>
      </c>
      <c r="B5" s="116" t="s">
        <v>105</v>
      </c>
      <c r="C5" s="117">
        <f>COUNTIF(Başvuru!J2:K1562,"Prof. Dr. Melih Önder BABAOĞLU")</f>
        <v>104</v>
      </c>
      <c r="D5" s="118">
        <f t="array" ref="D5">SUMPRODUCT(((Başvuru!J2:K1562)="Prof. Dr. Melih Önder BABAOĞLU")*(Başvuru!G2:G1562="Bireysel Araştırma")*(Başvuru!L2:L1562="ONAY"))</f>
        <v>30</v>
      </c>
      <c r="E5" s="118">
        <f t="array" ref="E5">SUMPRODUCT(((Başvuru!J2:K1562)="Prof. Dr. Melih Önder BABAOĞLU")*(Başvuru!G2:G1562="Bireysel Araştırma")*(Başvuru!L2:L1562="DÜZELTME"))</f>
        <v>34</v>
      </c>
      <c r="F5" s="118">
        <f t="array" ref="F5">SUMPRODUCT(((Başvuru!J2:K1562)="Prof. Dr. Melih Önder BABAOĞLU")*(Başvuru!G2:G1562="Bireysel Araştırma")*(Başvuru!L2:L1562="KAEK"))</f>
        <v>2</v>
      </c>
      <c r="G5" s="118">
        <f t="array" ref="G5">SUMPRODUCT(((Başvuru!J2:K1562)="Prof. Dr. Melih Önder BABAOĞLU")*(Başvuru!G2:G1562="Bireysel Araştırma")*(Başvuru!L2:L1562="GÖRÜŞ"))</f>
        <v>3</v>
      </c>
      <c r="H5" s="118">
        <f t="array" ref="H5">SUMPRODUCT(((Başvuru!J2:K1562)="Prof. Dr. Melih Önder BABAOĞLU")*(Başvuru!G2:G1562="Bireysel Araştırma")*(Başvuru!L2:L1562="RET"))</f>
        <v>6</v>
      </c>
      <c r="I5" s="118">
        <f t="array" ref="I5">SUMPRODUCT(((Başvuru!J2:K1562)="Prof. Dr. Melih Önder BABAOĞLU")*(Başvuru!G2:G1562="Bireysel Araştırma")*(Başvuru!L2:L1562="KAPSAM DIŞI"))</f>
        <v>4</v>
      </c>
      <c r="J5" s="118">
        <f t="array" ref="J5">SUMPRODUCT(((Başvuru!J2:K1562)="Prof. Dr. Melih Önder BABAOĞLU")*(Başvuru!G2:G1562="Bireysel Araştırma")*(Başvuru!L2:L1562="GERİ ÇEKİLDİ"))</f>
        <v>0</v>
      </c>
      <c r="K5" s="117">
        <f t="shared" si="0"/>
        <v>79</v>
      </c>
      <c r="L5" s="117">
        <f t="array" ref="L5">SUMPRODUCT(((Başvuru!J2:K1562)="Prof. Dr. Melih Önder BABAOĞLU")*(Başvuru!G2:G1562="Yüksek Lisans Tezi")*(Başvuru!L2:L1562="ONAY"))</f>
        <v>0</v>
      </c>
      <c r="M5" s="117">
        <f t="array" ref="M5">SUMPRODUCT(((Başvuru!J2:K1562)="Prof. Dr. Melih Önder BABAOĞLU")*(Başvuru!G2:G1562="Yüksek Lisans Tezi")*(Başvuru!L2:L1562="DÜZELTME"))</f>
        <v>4</v>
      </c>
      <c r="N5" s="117">
        <f t="array" ref="N5">SUMPRODUCT(((Başvuru!J2:K1562)="Prof. Dr. Melih Önder BABAOĞLU")*(Başvuru!G2:G1562="Yüksek Lisans Tezi")*(Başvuru!L2:L1562="KAEK"))</f>
        <v>0</v>
      </c>
      <c r="O5" s="117">
        <f t="array" ref="O5">SUMPRODUCT(((Başvuru!J2:K1562)="Prof. Dr. Melih Önder BABAOĞLU")*(Başvuru!G2:G1562="Yüksek Lisans Tezi")*(Başvuru!L2:L1562="GÖRÜŞ"))</f>
        <v>0</v>
      </c>
      <c r="P5" s="117">
        <f t="array" ref="P5">SUMPRODUCT(((Başvuru!J2:K1562)="Prof. Dr. Melih Önder BABAOĞLU")*(Başvuru!G2:G1562="Yüksek Lisans Tezi")*(Başvuru!L2:L1562="RET"))</f>
        <v>0</v>
      </c>
      <c r="Q5" s="117">
        <f t="array" ref="Q5">SUMPRODUCT(((Başvuru!J2:K1562)="Prof. Dr. Melih Önder BABAOĞLU")*(Başvuru!G2:G1562="Yüksek Lisans Tezi")*(Başvuru!L2:L1562="KAPSAM DIŞI"))</f>
        <v>0</v>
      </c>
      <c r="R5" s="117">
        <f t="array" ref="R5">SUMPRODUCT(((Başvuru!J2:K1562)="Prof. Dr. Melih Önder BABAOĞLU")*(Başvuru!G2:G1562="Yüksek Lisans Tezi")*(Başvuru!L2:L1562="GERİ ÇEKİLDİ"))</f>
        <v>0</v>
      </c>
      <c r="S5" s="117">
        <f t="shared" si="1"/>
        <v>4</v>
      </c>
      <c r="T5" s="117">
        <f t="array" ref="T5">SUMPRODUCT(((Başvuru!J2:K1562)="Prof. Dr. Melih Önder BABAOĞLU")*(Başvuru!G2:G1562="Doktora Tezi")*(Başvuru!L2:L1562="ONAY"))</f>
        <v>0</v>
      </c>
      <c r="U5" s="117">
        <f t="array" ref="U5">SUMPRODUCT(((Başvuru!J2:K1562)="Prof. Dr. Melih Önder BABAOĞLU")*(Başvuru!G2:G1562="Doktora Tezi")*(Başvuru!L2:L1562="DÜZELTME"))</f>
        <v>2</v>
      </c>
      <c r="V5" s="117">
        <f t="array" ref="V5">SUMPRODUCT(((Başvuru!J2:K1562)="Prof. Dr. Melih Önder BABAOĞLU")*(Başvuru!G2:G1562="Doktora Tezi")*(Başvuru!L2:L1562="KAEK"))</f>
        <v>0</v>
      </c>
      <c r="W5" s="117">
        <f t="array" ref="W5">SUMPRODUCT(((Başvuru!J2:K1562)="Prof. Dr. Melih Önder BABAOĞLU")*(Başvuru!G2:G1562="Doktora Tezi")*(Başvuru!L2:L1562="GÖRÜŞ"))</f>
        <v>0</v>
      </c>
      <c r="X5" s="117">
        <f t="array" ref="X5">SUMPRODUCT(((Başvuru!J2:K1562)="Prof. Dr. Melih Önder BABAOĞLU")*(Başvuru!G2:G1562="Doktora Tezi")*(Başvuru!L2:L1562="RET"))</f>
        <v>0</v>
      </c>
      <c r="Y5" s="117">
        <f t="array" ref="Y5">SUMPRODUCT(((Başvuru!J2:K1562)="Prof. Dr. Melih Önder BABAOĞLU")*(Başvuru!G2:G1562="Doktora Tezi")*(Başvuru!L2:L1562="KAPSAM DIŞI"))</f>
        <v>0</v>
      </c>
      <c r="Z5" s="117">
        <f t="array" ref="Z5">SUMPRODUCT(((Başvuru!J2:K1562)="Prof. Dr. Melih Önder BABAOĞLU")*(Başvuru!G2:G1562="Doktora Tezi")*(Başvuru!L2:L1562="GERİ ÇEKİLDİ"))</f>
        <v>0</v>
      </c>
      <c r="AA5" s="117">
        <f t="shared" si="2"/>
        <v>2</v>
      </c>
      <c r="AB5" s="117">
        <f t="array" ref="AB5">SUMPRODUCT(((Başvuru!J2:K1562)="Prof. Dr. Melih Önder BABAOĞLU")*(Başvuru!G2:G1562="Uzmanlık Tezi")*(Başvuru!L2:L1562="ONAY"))</f>
        <v>7</v>
      </c>
      <c r="AC5" s="117">
        <f t="array" ref="AC5">SUMPRODUCT(((Başvuru!J2:K1562)="Prof. Dr. Melih Önder BABAOĞLU")*(Başvuru!G2:G1562="Uzmanlık Tezi")*(Başvuru!L2:L1562="DÜZELTME"))</f>
        <v>7</v>
      </c>
      <c r="AD5" s="117">
        <f t="array" ref="AD5">SUMPRODUCT(((Başvuru!J2:K1562)="Prof. Dr. Melih Önder BABAOĞLU")*(Başvuru!G2:G1562="Uzmanlık Tezi")*(Başvuru!L2:L1562="KAEK"))</f>
        <v>0</v>
      </c>
      <c r="AE5" s="117">
        <f t="array" ref="AE5">SUMPRODUCT(((Başvuru!J2:K1562)="Prof. Dr. Melih Önder BABAOĞLU")*(Başvuru!G2:G1562="Uzmanlık Tezi")*(Başvuru!L2:L1562="GÖRÜŞ"))</f>
        <v>1</v>
      </c>
      <c r="AF5" s="117">
        <f t="array" ref="AF5">SUMPRODUCT(((Başvuru!J2:K1562)="Prof. Dr. Melih Önder BABAOĞLU")*(Başvuru!G2:G1562="Uzmanlık Tezi")*(Başvuru!L2:L1562="RET"))</f>
        <v>1</v>
      </c>
      <c r="AG5" s="117">
        <f t="array" ref="AG5">SUMPRODUCT(((Başvuru!J2:K1562)="Prof. Dr. Melih Önder BABAOĞLU")*(Başvuru!G2:G1562="Uzmanlık Tezi")*(Başvuru!L2:L1562="KAPSAM DIŞI"))</f>
        <v>1</v>
      </c>
      <c r="AH5" s="117">
        <f t="array" ref="AH5">SUMPRODUCT(((Başvuru!J2:K1562)="Prof. Dr. Melih Önder BABAOĞLU")*(Başvuru!G2:G1562="Uzmanlık Tezi")*(Başvuru!L2:L1562="GERİ ÇEKİLDİ"))</f>
        <v>0</v>
      </c>
      <c r="AI5" s="117">
        <f t="shared" si="3"/>
        <v>17</v>
      </c>
      <c r="AJ5" s="119">
        <f t="shared" si="4"/>
        <v>37</v>
      </c>
      <c r="AK5" s="119">
        <f t="shared" si="5"/>
        <v>47</v>
      </c>
      <c r="AL5" s="119">
        <f t="shared" si="6"/>
        <v>2</v>
      </c>
      <c r="AM5" s="119">
        <f t="shared" si="7"/>
        <v>4</v>
      </c>
      <c r="AN5" s="119">
        <f t="shared" si="8"/>
        <v>7</v>
      </c>
      <c r="AO5" s="119">
        <f t="shared" si="9"/>
        <v>5</v>
      </c>
      <c r="AP5" s="119">
        <f t="shared" si="10"/>
        <v>0</v>
      </c>
      <c r="AQ5" s="120">
        <f t="shared" si="11"/>
        <v>102</v>
      </c>
      <c r="AR5" s="117">
        <f t="shared" si="12"/>
        <v>2</v>
      </c>
      <c r="AS5" s="121">
        <f>COUNTIF(Başvuru!$Q:$Q,$B5)</f>
        <v>22</v>
      </c>
      <c r="AT5" s="122">
        <f>COUNTIFS(Başvuru!$Q:$Q,$B5,Başvuru!$J:$J,"&lt;&gt;"&amp;$B5,Başvuru!$K:$K,"&lt;&gt;"&amp;$B5)</f>
        <v>1</v>
      </c>
    </row>
    <row r="6" spans="1:46" s="112" customFormat="1" ht="30" customHeight="1" x14ac:dyDescent="0.25">
      <c r="A6" s="115" t="s">
        <v>88</v>
      </c>
      <c r="B6" s="116" t="s">
        <v>113</v>
      </c>
      <c r="C6" s="117">
        <f>COUNTIF(Başvuru!J2:K1562,"Prof. Dr. Ayşe KİN İŞLER")</f>
        <v>114</v>
      </c>
      <c r="D6" s="118">
        <f t="array" ref="D6">SUMPRODUCT(((Başvuru!J2:K1562)="Prof. Dr. Ayşe KİN İŞLER")*(Başvuru!G2:G1562="Bireysel Araştırma")*(Başvuru!L2:L1562="ONAY"))</f>
        <v>55</v>
      </c>
      <c r="E6" s="118">
        <f t="array" ref="E6">SUMPRODUCT(((Başvuru!J2:K1562)="Prof. Dr. Ayşe KİN İŞLER")*(Başvuru!G2:G1562="Bireysel Araştırma")*(Başvuru!L2:L1562="DÜZELTME"))</f>
        <v>27</v>
      </c>
      <c r="F6" s="118">
        <f t="array" ref="F6">SUMPRODUCT(((Başvuru!J2:K1562)="Prof. Dr. Ayşe KİN İŞLER")*(Başvuru!G2:G1562="Bireysel Araştırma")*(Başvuru!L2:L1562="KAEK"))</f>
        <v>3</v>
      </c>
      <c r="G6" s="118">
        <f t="array" ref="G6">SUMPRODUCT(((Başvuru!J2:K1562)="Prof. Dr. Ayşe KİN İŞLER")*(Başvuru!G2:G1562="Bireysel Araştırma")*(Başvuru!L2:L1562="GÖRÜŞ"))</f>
        <v>3</v>
      </c>
      <c r="H6" s="118">
        <f t="array" ref="H6">SUMPRODUCT(((Başvuru!J2:K1562)="Prof. Dr. Ayşe KİN İŞLER")*(Başvuru!G2:G1562="Bireysel Araştırma")*(Başvuru!L2:L1562="RET"))</f>
        <v>0</v>
      </c>
      <c r="I6" s="118">
        <f t="array" ref="I6">SUMPRODUCT(((Başvuru!J2:K1562)="Prof. Dr. Ayşe KİN İŞLER")*(Başvuru!G2:G1562="Bireysel Araştırma")*(Başvuru!L2:L1562="KAPSAM DIŞI"))</f>
        <v>0</v>
      </c>
      <c r="J6" s="118">
        <f t="array" ref="J6">SUMPRODUCT(((Başvuru!J2:K1562)="Prof. Dr. Ayşe KİN İŞLER")*(Başvuru!G2:G1562="Bireysel Araştırma")*(Başvuru!L2:L1562="GERİ ÇEKİLDİ"))</f>
        <v>0</v>
      </c>
      <c r="K6" s="117">
        <f t="shared" si="0"/>
        <v>88</v>
      </c>
      <c r="L6" s="117">
        <f t="array" ref="L6">SUMPRODUCT(((Başvuru!J2:K1562)="Prof. Dr. Ayşe KİN İŞLER")*(Başvuru!G2:G1562="Yüksek Lisans Tezi")*(Başvuru!L2:L1562="ONAY"))</f>
        <v>2</v>
      </c>
      <c r="M6" s="117">
        <f t="array" ref="M6">SUMPRODUCT(((Başvuru!J2:K1562)="Prof. Dr. Ayşe KİN İŞLER")*(Başvuru!G2:G1562="Yüksek Lisans Tezi")*(Başvuru!L2:L1562="DÜZELTME"))</f>
        <v>2</v>
      </c>
      <c r="N6" s="117">
        <f t="array" ref="N6">SUMPRODUCT(((Başvuru!J2:K1562)="Prof. Dr. Ayşe KİN İŞLER")*(Başvuru!G2:G1562="Yüksek Lisans Tezi")*(Başvuru!L2:L1562="KAEK"))</f>
        <v>0</v>
      </c>
      <c r="O6" s="117">
        <f t="array" ref="O6">SUMPRODUCT(((Başvuru!J2:K1562)="Prof. Dr. Ayşe KİN İŞLER")*(Başvuru!G2:G1562="Yüksek Lisans Tezi")*(Başvuru!L2:L1562="GÖRÜŞ"))</f>
        <v>0</v>
      </c>
      <c r="P6" s="117">
        <f t="array" ref="P6">SUMPRODUCT(((Başvuru!J2:K1562)="Prof. Dr. Ayşe KİN İŞLER")*(Başvuru!G2:G1562="Yüksek Lisans Tezi")*(Başvuru!L2:L1562="RET"))</f>
        <v>0</v>
      </c>
      <c r="Q6" s="117">
        <f t="array" ref="Q6">SUMPRODUCT(((Başvuru!J2:K1562)="Prof. Dr. Ayşe KİN İŞLER")*(Başvuru!G2:G1562="Yüksek Lisans Tezi")*(Başvuru!L2:L1562="KAPSAM DIŞI"))</f>
        <v>0</v>
      </c>
      <c r="R6" s="117">
        <f t="array" ref="R6">SUMPRODUCT(((Başvuru!J2:K1562)="Prof. Dr. Ayşe KİN İŞLER")*(Başvuru!G2:G1562="Yüksek Lisans Tezi")*(Başvuru!L2:L1562="GERİ ÇEKİLDİ"))</f>
        <v>0</v>
      </c>
      <c r="S6" s="117">
        <f t="shared" si="1"/>
        <v>4</v>
      </c>
      <c r="T6" s="117">
        <f t="array" ref="T6">SUMPRODUCT(((Başvuru!J2:K1562)="Prof. Dr. Ayşe KİN İŞLER")*(Başvuru!G2:G1562="Doktora Tezi")*(Başvuru!L2:L1562="ONAY"))</f>
        <v>2</v>
      </c>
      <c r="U6" s="117">
        <f t="array" ref="U6">SUMPRODUCT(((Başvuru!J2:K1562)="Prof. Dr. Ayşe KİN İŞLER")*(Başvuru!G2:G1562="Doktora Tezi")*(Başvuru!L2:L1562="DÜZELTME"))</f>
        <v>1</v>
      </c>
      <c r="V6" s="117">
        <f t="array" ref="V6">SUMPRODUCT(((Başvuru!J2:K1562)="Prof. Dr. Ayşe KİN İŞLER")*(Başvuru!G2:G1562="Doktora Tezi")*(Başvuru!L2:L1562="KAEK"))</f>
        <v>0</v>
      </c>
      <c r="W6" s="117">
        <f t="array" ref="W6">SUMPRODUCT(((Başvuru!J2:K1562)="Prof. Dr. Ayşe KİN İŞLER")*(Başvuru!G2:G1562="Doktora Tezi")*(Başvuru!L2:L1562="GÖRÜŞ"))</f>
        <v>0</v>
      </c>
      <c r="X6" s="117">
        <f t="array" ref="X6">SUMPRODUCT(((Başvuru!J2:K1562)="Prof. Dr. Ayşe KİN İŞLER")*(Başvuru!G2:G1562="Doktora Tezi")*(Başvuru!L2:L1562="RET"))</f>
        <v>0</v>
      </c>
      <c r="Y6" s="117">
        <f t="array" ref="Y6">SUMPRODUCT(((Başvuru!J2:K1562)="Prof. Dr. Ayşe KİN İŞLER")*(Başvuru!G2:G1562="Doktora Tezi")*(Başvuru!L2:L1562="KAPSAM DIŞI"))</f>
        <v>0</v>
      </c>
      <c r="Z6" s="117">
        <f t="array" ref="Z6">SUMPRODUCT(((Başvuru!J2:K1562)="Prof. Dr. Ayşe KİN İŞLER")*(Başvuru!G2:G1562="Doktora Tezi")*(Başvuru!L2:L1562="GERİ ÇEKİLDİ"))</f>
        <v>0</v>
      </c>
      <c r="AA6" s="117">
        <f t="shared" si="2"/>
        <v>3</v>
      </c>
      <c r="AB6" s="117">
        <f t="array" ref="AB6">SUMPRODUCT(((Başvuru!J2:K1562)="Prof. Dr. Ayşe KİN İŞLER")*(Başvuru!G2:G1562="Uzmanlık Tezi")*(Başvuru!L2:L1562="ONAY"))</f>
        <v>6</v>
      </c>
      <c r="AC6" s="117">
        <f t="array" ref="AC6">SUMPRODUCT(((Başvuru!J2:K1562)="Prof. Dr. Ayşe KİN İŞLER")*(Başvuru!G2:G1562="Uzmanlık Tezi")*(Başvuru!L2:L1562="DÜZELTME"))</f>
        <v>7</v>
      </c>
      <c r="AD6" s="117">
        <f t="array" ref="AD6">SUMPRODUCT(((Başvuru!J2:K1562)="Prof. Dr. Ayşe KİN İŞLER")*(Başvuru!G2:G1562="Uzmanlık Tezi")*(Başvuru!L2:L1562="KAEK"))</f>
        <v>0</v>
      </c>
      <c r="AE6" s="117">
        <f t="array" ref="AE6">SUMPRODUCT(((Başvuru!J2:K1562)="Prof. Dr. Ayşe KİN İŞLER")*(Başvuru!G2:G1562="Uzmanlık Tezi")*(Başvuru!L2:L1562="GÖRÜŞ"))</f>
        <v>0</v>
      </c>
      <c r="AF6" s="117">
        <f t="array" ref="AF6">SUMPRODUCT(((Başvuru!J2:K1562)="Prof. Dr. Ayşe KİN İŞLER")*(Başvuru!G2:G1562="Uzmanlık Tezi")*(Başvuru!L2:L1562="RET"))</f>
        <v>0</v>
      </c>
      <c r="AG6" s="117">
        <f t="array" ref="AG6">SUMPRODUCT(((Başvuru!J2:K1562)="Prof. Dr. Ayşe KİN İŞLER")*(Başvuru!G2:G1562="Uzmanlık Tezi")*(Başvuru!L2:L1562="KAPSAM DIŞI"))</f>
        <v>0</v>
      </c>
      <c r="AH6" s="117">
        <f t="array" ref="AH6">SUMPRODUCT(((Başvuru!J2:K1562)="Prof. Dr. Ayşe KİN İŞLER")*(Başvuru!G2:G1562="Uzmanlık Tezi")*(Başvuru!L2:L1562="GERİ ÇEKİLDİ"))</f>
        <v>0</v>
      </c>
      <c r="AI6" s="117">
        <f t="shared" si="3"/>
        <v>13</v>
      </c>
      <c r="AJ6" s="119">
        <f t="shared" si="4"/>
        <v>65</v>
      </c>
      <c r="AK6" s="119">
        <f t="shared" si="5"/>
        <v>37</v>
      </c>
      <c r="AL6" s="119">
        <f t="shared" si="6"/>
        <v>3</v>
      </c>
      <c r="AM6" s="119">
        <f t="shared" si="7"/>
        <v>3</v>
      </c>
      <c r="AN6" s="119">
        <f t="shared" si="8"/>
        <v>0</v>
      </c>
      <c r="AO6" s="119">
        <f t="shared" si="9"/>
        <v>0</v>
      </c>
      <c r="AP6" s="119">
        <f t="shared" si="10"/>
        <v>0</v>
      </c>
      <c r="AQ6" s="120">
        <f t="shared" si="11"/>
        <v>108</v>
      </c>
      <c r="AR6" s="117">
        <f t="shared" si="12"/>
        <v>6</v>
      </c>
      <c r="AS6" s="121">
        <f>COUNTIF(Başvuru!$Q:$Q,$B6)</f>
        <v>12</v>
      </c>
      <c r="AT6" s="122">
        <f>COUNTIFS(Başvuru!$Q:$Q,$B6,Başvuru!$J:$J,"&lt;&gt;"&amp;$B6,Başvuru!$K:$K,"&lt;&gt;"&amp;$B6)</f>
        <v>0</v>
      </c>
    </row>
    <row r="7" spans="1:46" s="112" customFormat="1" ht="30" customHeight="1" x14ac:dyDescent="0.25">
      <c r="A7" s="115" t="s">
        <v>98</v>
      </c>
      <c r="B7" s="116" t="s">
        <v>104</v>
      </c>
      <c r="C7" s="117">
        <f>COUNTIF(Başvuru!J2:K1562,"Prof. Dr. Yavuz AYHAN")</f>
        <v>92</v>
      </c>
      <c r="D7" s="118">
        <f t="array" ref="D7">SUMPRODUCT(((Başvuru!J2:K1562)="Prof. Dr. Yavuz AYHAN")*(Başvuru!G2:G1562="Bireysel Araştırma")*(Başvuru!L2:L1562="ONAY"))</f>
        <v>32</v>
      </c>
      <c r="E7" s="118">
        <f t="array" ref="E7">SUMPRODUCT(((Başvuru!J2:K1562)="Prof. Dr. Yavuz AYHAN")*(Başvuru!G2:G1562="Bireysel Araştırma")*(Başvuru!L2:L1562="DÜZELTME"))</f>
        <v>17</v>
      </c>
      <c r="F7" s="118">
        <f t="array" ref="F7">SUMPRODUCT(((Başvuru!J2:K1562)="Prof. Dr. Yavuz AYHAN")*(Başvuru!G2:G1562="Bireysel Araştırma")*(Başvuru!L2:L1562="KAEK"))</f>
        <v>2</v>
      </c>
      <c r="G7" s="118">
        <f t="array" ref="G7">SUMPRODUCT(((Başvuru!J2:K1562)="Prof. Dr. Yavuz AYHAN")*(Başvuru!G2:G1562="Bireysel Araştırma")*(Başvuru!L2:L1562="GÖRÜŞ"))</f>
        <v>4</v>
      </c>
      <c r="H7" s="118">
        <f t="array" ref="H7">SUMPRODUCT(((Başvuru!J2:K1562)="Prof. Dr. Yavuz AYHAN")*(Başvuru!G2:G1562="Bireysel Araştırma")*(Başvuru!L2:L1562="RET"))</f>
        <v>1</v>
      </c>
      <c r="I7" s="118">
        <f t="array" ref="I7">SUMPRODUCT(((Başvuru!J2:K1562)="Prof. Dr. Yavuz AYHAN")*(Başvuru!G2:G1562="Bireysel Araştırma")*(Başvuru!L2:L1562="KAPSAM DIŞI"))</f>
        <v>4</v>
      </c>
      <c r="J7" s="118">
        <f t="array" ref="J7">SUMPRODUCT(((Başvuru!J2:K1562)="Prof. Dr. Yavuz AYHAN")*(Başvuru!G2:G1562="Bireysel Araştırma")*(Başvuru!L2:L1562="GERİ ÇEKİLDİ"))</f>
        <v>0</v>
      </c>
      <c r="K7" s="117">
        <f t="shared" si="0"/>
        <v>60</v>
      </c>
      <c r="L7" s="117">
        <f t="array" ref="L7">SUMPRODUCT(((Başvuru!J2:K1562)="Prof. Dr. Yavuz AYHAN")*(Başvuru!G2:G1562="Yüksek Lisans Tezi")*(Başvuru!L2:L1562="ONAY"))</f>
        <v>1</v>
      </c>
      <c r="M7" s="117">
        <f t="array" ref="M7">SUMPRODUCT(((Başvuru!J2:K1562)="Prof. Dr. Yavuz AYHAN")*(Başvuru!G2:G1562="Yüksek Lisans Tezi")*(Başvuru!L2:L1562="DÜZELTME"))</f>
        <v>0</v>
      </c>
      <c r="N7" s="117">
        <f t="array" ref="N7">SUMPRODUCT(((Başvuru!J2:K1562)="Prof. Dr. Yavuz AYHAN")*(Başvuru!G2:G1562="Yüksek Lisans Tezi")*(Başvuru!L2:L1562="KAEK"))</f>
        <v>0</v>
      </c>
      <c r="O7" s="117">
        <f t="array" ref="O7">SUMPRODUCT(((Başvuru!J2:K1562)="Prof. Dr. Yavuz AYHAN")*(Başvuru!G2:G1562="Yüksek Lisans Tezi")*(Başvuru!L2:L1562="GÖRÜŞ"))</f>
        <v>0</v>
      </c>
      <c r="P7" s="117">
        <f t="array" ref="P7">SUMPRODUCT(((Başvuru!J2:K1562)="Prof. Dr. Yavuz AYHAN")*(Başvuru!G2:G1562="Yüksek Lisans Tezi")*(Başvuru!L2:L1562="RET"))</f>
        <v>0</v>
      </c>
      <c r="Q7" s="117">
        <f t="array" ref="Q7">SUMPRODUCT(((Başvuru!J2:K1562)="Prof. Dr. Yavuz AYHAN")*(Başvuru!G2:G1562="Yüksek Lisans Tezi")*(Başvuru!L2:L1562="KAPSAM DIŞI"))</f>
        <v>0</v>
      </c>
      <c r="R7" s="117">
        <f t="array" ref="R7">SUMPRODUCT(((Başvuru!J2:K1562)="Prof. Dr. Yavuz AYHAN")*(Başvuru!G2:G1562="Yüksek Lisans Tezi")*(Başvuru!L2:L1562="GERİ ÇEKİLDİ"))</f>
        <v>0</v>
      </c>
      <c r="S7" s="117">
        <f t="shared" si="1"/>
        <v>1</v>
      </c>
      <c r="T7" s="117">
        <f t="array" ref="T7">SUMPRODUCT(((Başvuru!J2:K1562)="Prof. Dr. Yavuz AYHAN")*(Başvuru!G2:G1562="Doktora Tezi")*(Başvuru!L2:L1562="ONAY"))</f>
        <v>1</v>
      </c>
      <c r="U7" s="117">
        <f t="array" ref="U7">SUMPRODUCT(((Başvuru!J2:K1562)="Prof. Dr. Yavuz AYHAN")*(Başvuru!G2:G1562="Doktora Tezi")*(Başvuru!L2:L1562="DÜZELTME"))</f>
        <v>2</v>
      </c>
      <c r="V7" s="117">
        <f t="array" ref="V7">SUMPRODUCT(((Başvuru!J2:K1562)="Prof. Dr. Yavuz AYHAN")*(Başvuru!G2:G1562="Doktora Tezi")*(Başvuru!L2:L1562="KAEK"))</f>
        <v>0</v>
      </c>
      <c r="W7" s="117">
        <f t="array" ref="W7">SUMPRODUCT(((Başvuru!J2:K1562)="Prof. Dr. Yavuz AYHAN")*(Başvuru!G2:G1562="Doktora Tezi")*(Başvuru!L2:L1562="GÖRÜŞ"))</f>
        <v>1</v>
      </c>
      <c r="X7" s="117">
        <f t="array" ref="X7">SUMPRODUCT(((Başvuru!J2:K1562)="Prof. Dr. Yavuz AYHAN")*(Başvuru!G2:G1562="Doktora Tezi")*(Başvuru!L2:L1562="RET"))</f>
        <v>0</v>
      </c>
      <c r="Y7" s="117">
        <f t="array" ref="Y7">SUMPRODUCT(((Başvuru!J2:K1562)="Prof. Dr. Yavuz AYHAN")*(Başvuru!G2:G1562="Doktora Tezi")*(Başvuru!L2:L1562="KAPSAM DIŞI"))</f>
        <v>0</v>
      </c>
      <c r="Z7" s="117">
        <f t="array" ref="Z7">SUMPRODUCT(((Başvuru!J2:K1562)="Prof. Dr. Yavuz AYHAN")*(Başvuru!G2:G1562="Doktora Tezi")*(Başvuru!L2:L1562="GERİ ÇEKİLDİ"))</f>
        <v>0</v>
      </c>
      <c r="AA7" s="117">
        <f t="shared" si="2"/>
        <v>4</v>
      </c>
      <c r="AB7" s="117">
        <f t="array" ref="AB7">SUMPRODUCT(((Başvuru!J2:K1562)="Prof. Dr. Yavuz AYHAN")*(Başvuru!G2:G1562="Uzmanlık Tezi")*(Başvuru!L2:L1562="ONAY"))</f>
        <v>9</v>
      </c>
      <c r="AC7" s="117">
        <f t="array" ref="AC7">SUMPRODUCT(((Başvuru!J2:K1562)="Prof. Dr. Yavuz AYHAN")*(Başvuru!G2:G1562="Uzmanlık Tezi")*(Başvuru!L2:L1562="DÜZELTME"))</f>
        <v>9</v>
      </c>
      <c r="AD7" s="117">
        <f t="array" ref="AD7">SUMPRODUCT(((Başvuru!J2:K1562)="Prof. Dr. Yavuz AYHAN")*(Başvuru!G2:G1562="Uzmanlık Tezi")*(Başvuru!L2:L1562="KAEK"))</f>
        <v>0</v>
      </c>
      <c r="AE7" s="117">
        <f t="array" ref="AE7">SUMPRODUCT(((Başvuru!J2:K1562)="Prof. Dr. Yavuz AYHAN")*(Başvuru!G2:G1562="Uzmanlık Tezi")*(Başvuru!L2:L1562="GÖRÜŞ"))</f>
        <v>1</v>
      </c>
      <c r="AF7" s="117">
        <f t="array" ref="AF7">SUMPRODUCT(((Başvuru!J2:K1562)="Prof. Dr. Yavuz AYHAN")*(Başvuru!G2:G1562="Uzmanlık Tezi")*(Başvuru!L2:L1562="RET"))</f>
        <v>0</v>
      </c>
      <c r="AG7" s="117">
        <f t="array" ref="AG7">SUMPRODUCT(((Başvuru!J2:K1562)="Prof. Dr. Yavuz AYHAN")*(Başvuru!G2:G1562="Uzmanlık Tezi")*(Başvuru!L2:L1562="KAPSAM DIŞI"))</f>
        <v>0</v>
      </c>
      <c r="AH7" s="117">
        <f t="array" ref="AH7">SUMPRODUCT(((Başvuru!J2:K1562)="Prof. Dr. Yavuz AYHAN")*(Başvuru!G2:G1562="Uzmanlık Tezi")*(Başvuru!L2:L1562="GERİ ÇEKİLDİ"))</f>
        <v>0</v>
      </c>
      <c r="AI7" s="117">
        <f t="shared" si="3"/>
        <v>19</v>
      </c>
      <c r="AJ7" s="119">
        <f t="shared" si="4"/>
        <v>43</v>
      </c>
      <c r="AK7" s="119">
        <f t="shared" si="5"/>
        <v>28</v>
      </c>
      <c r="AL7" s="119">
        <f t="shared" si="6"/>
        <v>2</v>
      </c>
      <c r="AM7" s="119">
        <f t="shared" si="7"/>
        <v>6</v>
      </c>
      <c r="AN7" s="119">
        <f t="shared" si="8"/>
        <v>1</v>
      </c>
      <c r="AO7" s="119">
        <f t="shared" si="9"/>
        <v>4</v>
      </c>
      <c r="AP7" s="119">
        <f t="shared" si="10"/>
        <v>0</v>
      </c>
      <c r="AQ7" s="120">
        <f t="shared" si="11"/>
        <v>84</v>
      </c>
      <c r="AR7" s="117">
        <f t="shared" si="12"/>
        <v>8</v>
      </c>
      <c r="AS7" s="121">
        <f>COUNTIF(Başvuru!$Q:$Q,$B7)</f>
        <v>10</v>
      </c>
      <c r="AT7" s="122">
        <f>COUNTIFS(Başvuru!$Q:$Q,$B7,Başvuru!$J:$J,"&lt;&gt;"&amp;$B7,Başvuru!$K:$K,"&lt;&gt;"&amp;$B7)</f>
        <v>0</v>
      </c>
    </row>
    <row r="8" spans="1:46" s="112" customFormat="1" ht="30" customHeight="1" x14ac:dyDescent="0.25">
      <c r="A8" s="115" t="s">
        <v>107</v>
      </c>
      <c r="B8" s="116" t="s">
        <v>128</v>
      </c>
      <c r="C8" s="117">
        <f>COUNTIF(Başvuru!J2:K1562,"Prof. Dr. Nazmiye Ebru ORTAÇ ERSOY")</f>
        <v>100</v>
      </c>
      <c r="D8" s="118">
        <f t="array" ref="D8">SUMPRODUCT(((Başvuru!J2:K1562)="Prof. Dr. Nazmiye Ebru ORTAÇ ERSOY")*(Başvuru!G2:G1562="Bireysel Araştırma")*(Başvuru!L2:L1562="ONAY"))</f>
        <v>45</v>
      </c>
      <c r="E8" s="118">
        <f t="array" ref="E8">SUMPRODUCT(((Başvuru!J2:K1562)="Prof. Dr. Nazmiye Ebru ORTAÇ ERSOY")*(Başvuru!G2:G1562="Bireysel Araştırma")*(Başvuru!L2:L1562="DÜZELTME"))</f>
        <v>21</v>
      </c>
      <c r="F8" s="118">
        <f t="array" ref="F8">SUMPRODUCT(((Başvuru!J2:K1562)="Prof. Dr. Nazmiye Ebru ORTAÇ ERSOY")*(Başvuru!G2:G1562="Bireysel Araştırma")*(Başvuru!L2:L1562="KAEK"))</f>
        <v>1</v>
      </c>
      <c r="G8" s="118">
        <f t="array" ref="G8">SUMPRODUCT(((Başvuru!J2:K1562)="Prof. Dr. Nazmiye Ebru ORTAÇ ERSOY")*(Başvuru!G2:G1562="Bireysel Araştırma")*(Başvuru!L2:L1562="GÖRÜŞ"))</f>
        <v>3</v>
      </c>
      <c r="H8" s="118">
        <f t="array" ref="H8">SUMPRODUCT(((Başvuru!J2:K1562)="Prof. Dr. Nazmiye Ebru ORTAÇ ERSOY")*(Başvuru!G2:G1562="Bireysel Araştırma")*(Başvuru!L2:L1562="RET"))</f>
        <v>2</v>
      </c>
      <c r="I8" s="118">
        <f t="array" ref="I8">SUMPRODUCT(((Başvuru!J2:K1562)="Prof. Dr. Nazmiye Ebru ORTAÇ ERSOY")*(Başvuru!G2:G1562="Bireysel Araştırma")*(Başvuru!L2:L1562="KAPSAM DIŞI"))</f>
        <v>1</v>
      </c>
      <c r="J8" s="118">
        <f t="array" ref="J8">SUMPRODUCT(((Başvuru!J2:K1562)="Prof. Dr. Nazmiye Ebru ORTAÇ ERSOY")*(Başvuru!G2:G1562="Bireysel Araştırma")*(Başvuru!L2:L1562="GERİ ÇEKİLDİ"))</f>
        <v>0</v>
      </c>
      <c r="K8" s="117">
        <f t="shared" si="0"/>
        <v>73</v>
      </c>
      <c r="L8" s="117">
        <f t="array" ref="L8">SUMPRODUCT(((Başvuru!J2:K1562)="Prof. Dr. Nazmiye Ebru ORTAÇ ERSOY")*(Başvuru!G2:G1562="Yüksek Lisans Tezi")*(Başvuru!L2:L1562="ONAY"))</f>
        <v>0</v>
      </c>
      <c r="M8" s="117">
        <f t="array" ref="M8">SUMPRODUCT(((Başvuru!J2:K1562)="Prof. Dr. Nazmiye Ebru ORTAÇ ERSOY")*(Başvuru!G2:G1562="Yüksek Lisans Tezi")*(Başvuru!L2:L1562="DÜZELTME"))</f>
        <v>0</v>
      </c>
      <c r="N8" s="117">
        <f t="array" ref="N8">SUMPRODUCT(((Başvuru!J2:K1562)="Prof. Dr. Nazmiye Ebru ORTAÇ ERSOY")*(Başvuru!G2:G1562="Yüksek Lisans Tezi")*(Başvuru!L2:L1562="KAEK"))</f>
        <v>0</v>
      </c>
      <c r="O8" s="117">
        <f t="array" ref="O8">SUMPRODUCT(((Başvuru!J2:K1562)="Prof. Dr. Nazmiye Ebru ORTAÇ ERSOY")*(Başvuru!G2:G1562="Yüksek Lisans Tezi")*(Başvuru!L2:L1562="GÖRÜŞ"))</f>
        <v>0</v>
      </c>
      <c r="P8" s="117">
        <f t="array" ref="P8">SUMPRODUCT(((Başvuru!J2:K1562)="Prof. Dr. Nazmiye Ebru ORTAÇ ERSOY")*(Başvuru!G2:G1562="Yüksek Lisans Tezi")*(Başvuru!L2:L1562="RET"))</f>
        <v>0</v>
      </c>
      <c r="Q8" s="117">
        <f t="array" ref="Q8">SUMPRODUCT(((Başvuru!J2:K1562)="Prof. Dr. Nazmiye Ebru ORTAÇ ERSOY")*(Başvuru!G2:G1562="Yüksek Lisans Tezi")*(Başvuru!L2:L1562="KAPSAM DIŞI"))</f>
        <v>0</v>
      </c>
      <c r="R8" s="117">
        <f t="array" ref="R8">SUMPRODUCT(((Başvuru!J2:K1562)="Prof. Dr. Nazmiye Ebru ORTAÇ ERSOY")*(Başvuru!G2:G1562="Yüksek Lisans Tezi")*(Başvuru!L2:L1562="GERİ ÇEKİLDİ"))</f>
        <v>0</v>
      </c>
      <c r="S8" s="117">
        <f t="shared" si="1"/>
        <v>0</v>
      </c>
      <c r="T8" s="117">
        <f t="array" ref="T8">SUMPRODUCT(((Başvuru!J2:K1562)="Prof. Dr. Nazmiye Ebru ORTAÇ ERSOY")*(Başvuru!G2:G1562="Doktora Tezi")*(Başvuru!L2:L1562="ONAY"))</f>
        <v>0</v>
      </c>
      <c r="U8" s="117">
        <f t="array" ref="U8">SUMPRODUCT(((Başvuru!J2:K1562)="Prof. Dr. Nazmiye Ebru ORTAÇ ERSOY")*(Başvuru!G2:G1562="Doktora Tezi")*(Başvuru!L2:L1562="DÜZELTME"))</f>
        <v>2</v>
      </c>
      <c r="V8" s="117">
        <f t="array" ref="V8">SUMPRODUCT(((Başvuru!J2:K1562)="Prof. Dr. Nazmiye Ebru ORTAÇ ERSOY")*(Başvuru!G2:G1562="Doktora Tezi")*(Başvuru!L2:L1562="KAEK"))</f>
        <v>0</v>
      </c>
      <c r="W8" s="117">
        <f t="array" ref="W8">SUMPRODUCT(((Başvuru!J2:K1562)="Prof. Dr. Nazmiye Ebru ORTAÇ ERSOY")*(Başvuru!G2:G1562="Doktora Tezi")*(Başvuru!L2:L1562="GÖRÜŞ"))</f>
        <v>0</v>
      </c>
      <c r="X8" s="117">
        <f t="array" ref="X8">SUMPRODUCT(((Başvuru!J2:K1562)="Prof. Dr. Nazmiye Ebru ORTAÇ ERSOY")*(Başvuru!G2:G1562="Doktora Tezi")*(Başvuru!L2:L1562="RET"))</f>
        <v>0</v>
      </c>
      <c r="Y8" s="117">
        <f t="array" ref="Y8">SUMPRODUCT(((Başvuru!J2:K1562)="Prof. Dr. Nazmiye Ebru ORTAÇ ERSOY")*(Başvuru!G2:G1562="Doktora Tezi")*(Başvuru!L2:L1562="KAPSAM DIŞI"))</f>
        <v>0</v>
      </c>
      <c r="Z8" s="117">
        <f t="array" ref="Z8">SUMPRODUCT(((Başvuru!J2:K1562)="Prof. Dr. Nazmiye Ebru ORTAÇ ERSOY")*(Başvuru!G2:G1562="Doktora Tezi")*(Başvuru!L2:L1562="GERİ ÇEKİLDİ"))</f>
        <v>0</v>
      </c>
      <c r="AA8" s="117">
        <f t="shared" si="2"/>
        <v>2</v>
      </c>
      <c r="AB8" s="117">
        <f t="array" ref="AB8">SUMPRODUCT(((Başvuru!J2:K1562)="Prof. Dr. Nazmiye Ebru ORTAÇ ERSOY")*(Başvuru!G2:G1562="Uzmanlık Tezi")*(Başvuru!L2:L1562="ONAY"))</f>
        <v>10</v>
      </c>
      <c r="AC8" s="117">
        <f t="array" ref="AC8">SUMPRODUCT(((Başvuru!J2:K1562)="Prof. Dr. Nazmiye Ebru ORTAÇ ERSOY")*(Başvuru!G2:G1562="Uzmanlık Tezi")*(Başvuru!L2:L1562="DÜZELTME"))</f>
        <v>6</v>
      </c>
      <c r="AD8" s="117">
        <f t="array" ref="AD8">SUMPRODUCT(((Başvuru!J2:K1562)="Prof. Dr. Nazmiye Ebru ORTAÇ ERSOY")*(Başvuru!G2:G1562="Uzmanlık Tezi")*(Başvuru!L2:L1562="KAEK"))</f>
        <v>1</v>
      </c>
      <c r="AE8" s="117">
        <f t="array" ref="AE8">SUMPRODUCT(((Başvuru!J2:K1562)="Prof. Dr. Nazmiye Ebru ORTAÇ ERSOY")*(Başvuru!G2:G1562="Uzmanlık Tezi")*(Başvuru!L2:L1562="GÖRÜŞ"))</f>
        <v>0</v>
      </c>
      <c r="AF8" s="117">
        <f t="array" ref="AF8">SUMPRODUCT(((Başvuru!J2:K1562)="Prof. Dr. Nazmiye Ebru ORTAÇ ERSOY")*(Başvuru!G2:G1562="Uzmanlık Tezi")*(Başvuru!L2:L1562="RET"))</f>
        <v>0</v>
      </c>
      <c r="AG8" s="117">
        <f t="array" ref="AG8">SUMPRODUCT(((Başvuru!J2:K1562)="Prof. Dr. Nazmiye Ebru ORTAÇ ERSOY")*(Başvuru!G2:G1562="Uzmanlık Tezi")*(Başvuru!L2:L1562="KAPSAM DIŞI"))</f>
        <v>0</v>
      </c>
      <c r="AH8" s="117">
        <f t="array" ref="AH8">SUMPRODUCT(((Başvuru!J2:K1562)="Prof. Dr. Nazmiye Ebru ORTAÇ ERSOY")*(Başvuru!G2:G1562="Uzmanlık Tezi")*(Başvuru!L2:L1562="GERİ ÇEKİLDİ"))</f>
        <v>0</v>
      </c>
      <c r="AI8" s="117">
        <f t="shared" si="3"/>
        <v>17</v>
      </c>
      <c r="AJ8" s="119">
        <f t="shared" si="4"/>
        <v>55</v>
      </c>
      <c r="AK8" s="119">
        <f t="shared" si="5"/>
        <v>29</v>
      </c>
      <c r="AL8" s="119">
        <f t="shared" si="6"/>
        <v>2</v>
      </c>
      <c r="AM8" s="119">
        <f t="shared" si="7"/>
        <v>3</v>
      </c>
      <c r="AN8" s="119">
        <f t="shared" si="8"/>
        <v>2</v>
      </c>
      <c r="AO8" s="119">
        <f t="shared" si="9"/>
        <v>1</v>
      </c>
      <c r="AP8" s="119">
        <f t="shared" si="10"/>
        <v>0</v>
      </c>
      <c r="AQ8" s="120">
        <f t="shared" si="11"/>
        <v>92</v>
      </c>
      <c r="AR8" s="117">
        <f t="shared" si="12"/>
        <v>8</v>
      </c>
      <c r="AS8" s="121">
        <f>COUNTIF(Başvuru!$Q:$Q,$B8)</f>
        <v>6</v>
      </c>
      <c r="AT8" s="122">
        <f>COUNTIFS(Başvuru!$Q:$Q,$B8,Başvuru!$J:$J,"&lt;&gt;"&amp;$B8,Başvuru!$K:$K,"&lt;&gt;"&amp;$B8)</f>
        <v>0</v>
      </c>
    </row>
    <row r="9" spans="1:46" s="112" customFormat="1" ht="30" customHeight="1" x14ac:dyDescent="0.25">
      <c r="A9" s="115" t="s">
        <v>115</v>
      </c>
      <c r="B9" s="116" t="s">
        <v>77</v>
      </c>
      <c r="C9" s="117">
        <f>COUNTIF(Başvuru!J2:K1562,"Prof. Dr. Gözde GİRGİN")</f>
        <v>126</v>
      </c>
      <c r="D9" s="118">
        <f t="array" ref="D9">SUMPRODUCT(((Başvuru!J2:K1562)="Prof. Dr. Gözde GİRGİN")*(Başvuru!G2:G1562="Bireysel Araştırma")*(Başvuru!L2:L1562="ONAY"))</f>
        <v>50</v>
      </c>
      <c r="E9" s="118">
        <f t="array" ref="E9">SUMPRODUCT(((Başvuru!J2:K1562)="Prof. Dr. Gözde GİRGİN")*(Başvuru!G2:G1562="Bireysel Araştırma")*(Başvuru!L2:L1562="DÜZELTME"))</f>
        <v>21</v>
      </c>
      <c r="F9" s="118">
        <f t="array" ref="F9">SUMPRODUCT(((Başvuru!J2:K1562)="Prof. Dr. Gözde GİRGİN")*(Başvuru!G2:G1562="Bireysel Araştırma")*(Başvuru!L2:L1562="KAEK"))</f>
        <v>2</v>
      </c>
      <c r="G9" s="118">
        <f t="array" ref="G9">SUMPRODUCT(((Başvuru!J2:K1562)="Prof. Dr. Gözde GİRGİN")*(Başvuru!G2:G1562="Bireysel Araştırma")*(Başvuru!L2:L1562="GÖRÜŞ"))</f>
        <v>5</v>
      </c>
      <c r="H9" s="118">
        <f t="array" ref="H9">SUMPRODUCT(((Başvuru!J2:K1562)="Prof. Dr. Gözde GİRGİN")*(Başvuru!G2:G1562="Bireysel Araştırma")*(Başvuru!L2:L1562="RET"))</f>
        <v>3</v>
      </c>
      <c r="I9" s="118">
        <f t="array" ref="I9">SUMPRODUCT(((Başvuru!J2:K1562)="Prof. Dr. Gözde GİRGİN")*(Başvuru!G2:G1562="Bireysel Araştırma")*(Başvuru!L2:L1562="KAPSAM DIŞI"))</f>
        <v>4</v>
      </c>
      <c r="J9" s="118">
        <f t="array" ref="J9">SUMPRODUCT(((Başvuru!J2:K1562)="Prof. Dr. Gözde GİRGİN")*(Başvuru!G2:G1562="Bireysel Araştırma")*(Başvuru!L2:L1562="GERİ ÇEKİLDİ"))</f>
        <v>0</v>
      </c>
      <c r="K9" s="117">
        <f t="shared" si="0"/>
        <v>85</v>
      </c>
      <c r="L9" s="117">
        <f t="array" ref="L9">SUMPRODUCT(((Başvuru!J2:K1562)="Prof. Dr. Gözde GİRGİN")*(Başvuru!G2:G1562="Yüksek Lisans Tezi")*(Başvuru!L2:L1562="ONAY"))</f>
        <v>0</v>
      </c>
      <c r="M9" s="117">
        <f t="array" ref="M9">SUMPRODUCT(((Başvuru!J2:K1562)="Prof. Dr. Gözde GİRGİN")*(Başvuru!G2:G1562="Yüksek Lisans Tezi")*(Başvuru!L2:L1562="DÜZELTME"))</f>
        <v>4</v>
      </c>
      <c r="N9" s="117">
        <f t="array" ref="N9">SUMPRODUCT(((Başvuru!J2:K1562)="Prof. Dr. Gözde GİRGİN")*(Başvuru!G2:G1562="Yüksek Lisans Tezi")*(Başvuru!L2:L1562="KAEK"))</f>
        <v>0</v>
      </c>
      <c r="O9" s="117">
        <f t="array" ref="O9">SUMPRODUCT(((Başvuru!J2:K1562)="Prof. Dr. Gözde GİRGİN")*(Başvuru!G2:G1562="Yüksek Lisans Tezi")*(Başvuru!L2:L1562="GÖRÜŞ"))</f>
        <v>0</v>
      </c>
      <c r="P9" s="117">
        <f t="array" ref="P9">SUMPRODUCT(((Başvuru!J2:K1562)="Prof. Dr. Gözde GİRGİN")*(Başvuru!G2:G1562="Yüksek Lisans Tezi")*(Başvuru!L2:L1562="RET"))</f>
        <v>0</v>
      </c>
      <c r="Q9" s="117">
        <f t="array" ref="Q9">SUMPRODUCT(((Başvuru!J2:K1562)="Prof. Dr. Gözde GİRGİN")*(Başvuru!G2:G1562="Yüksek Lisans Tezi")*(Başvuru!L2:L1562="KAPSAM DIŞI"))</f>
        <v>0</v>
      </c>
      <c r="R9" s="117">
        <f t="array" ref="R9">SUMPRODUCT(((Başvuru!J2:K1562)="Prof. Dr. Gözde GİRGİN")*(Başvuru!G2:G1562="Yüksek Lisans Tezi")*(Başvuru!L2:L1562="GERİ ÇEKİLDİ"))</f>
        <v>0</v>
      </c>
      <c r="S9" s="117">
        <f t="shared" si="1"/>
        <v>4</v>
      </c>
      <c r="T9" s="117">
        <f t="array" ref="T9">SUMPRODUCT(((Başvuru!J2:K1562)="Prof. Dr. Gözde GİRGİN")*(Başvuru!G2:G1562="Doktora Tezi")*(Başvuru!L2:L1562="ONAY"))</f>
        <v>1</v>
      </c>
      <c r="U9" s="117">
        <f t="array" ref="U9">SUMPRODUCT(((Başvuru!J2:K1562)="Prof. Dr. Gözde GİRGİN")*(Başvuru!G2:G1562="Doktora Tezi")*(Başvuru!L2:L1562="DÜZELTME"))</f>
        <v>3</v>
      </c>
      <c r="V9" s="117">
        <f t="array" ref="V9">SUMPRODUCT(((Başvuru!J2:K1562)="Prof. Dr. Gözde GİRGİN")*(Başvuru!G2:G1562="Doktora Tezi")*(Başvuru!L2:L1562="KAEK"))</f>
        <v>0</v>
      </c>
      <c r="W9" s="117">
        <f t="array" ref="W9">SUMPRODUCT(((Başvuru!J2:K1562)="Prof. Dr. Gözde GİRGİN")*(Başvuru!G2:G1562="Doktora Tezi")*(Başvuru!L2:L1562="GÖRÜŞ"))</f>
        <v>2</v>
      </c>
      <c r="X9" s="117">
        <f t="array" ref="X9">SUMPRODUCT(((Başvuru!J2:K1562)="Prof. Dr. Gözde GİRGİN")*(Başvuru!G2:G1562="Doktora Tezi")*(Başvuru!L2:L1562="RET"))</f>
        <v>0</v>
      </c>
      <c r="Y9" s="117">
        <f t="array" ref="Y9">SUMPRODUCT(((Başvuru!J2:K1562)="Prof. Dr. Gözde GİRGİN")*(Başvuru!G2:G1562="Doktora Tezi")*(Başvuru!L2:L1562="KAPSAM DIŞI"))</f>
        <v>0</v>
      </c>
      <c r="Z9" s="117">
        <f t="array" ref="Z9">SUMPRODUCT(((Başvuru!J2:K1562)="Prof. Dr. Gözde GİRGİN")*(Başvuru!G2:G1562="Doktora Tezi")*(Başvuru!L2:L1562="GERİ ÇEKİLDİ"))</f>
        <v>0</v>
      </c>
      <c r="AA9" s="117">
        <f t="shared" si="2"/>
        <v>6</v>
      </c>
      <c r="AB9" s="117">
        <f t="array" ref="AB9">SUMPRODUCT(((Başvuru!J2:K1562)="Prof. Dr. Gözde GİRGİN")*(Başvuru!G2:G1562="Uzmanlık Tezi")*(Başvuru!L2:L1562="ONAY"))</f>
        <v>14</v>
      </c>
      <c r="AC9" s="117">
        <f t="array" ref="AC9">SUMPRODUCT(((Başvuru!J2:K1562)="Prof. Dr. Gözde GİRGİN")*(Başvuru!G2:G1562="Uzmanlık Tezi")*(Başvuru!L2:L1562="DÜZELTME"))</f>
        <v>8</v>
      </c>
      <c r="AD9" s="117">
        <f t="array" ref="AD9">SUMPRODUCT(((Başvuru!J2:K1562)="Prof. Dr. Gözde GİRGİN")*(Başvuru!G2:G1562="Uzmanlık Tezi")*(Başvuru!L2:L1562="KAEK"))</f>
        <v>0</v>
      </c>
      <c r="AE9" s="117">
        <f t="array" ref="AE9">SUMPRODUCT(((Başvuru!J2:K1562)="Prof. Dr. Gözde GİRGİN")*(Başvuru!G2:G1562="Uzmanlık Tezi")*(Başvuru!L2:L1562="GÖRÜŞ"))</f>
        <v>1</v>
      </c>
      <c r="AF9" s="117">
        <f t="array" ref="AF9">SUMPRODUCT(((Başvuru!J2:K1562)="Prof. Dr. Gözde GİRGİN")*(Başvuru!G2:G1562="Uzmanlık Tezi")*(Başvuru!L2:L1562="RET"))</f>
        <v>0</v>
      </c>
      <c r="AG9" s="117">
        <f t="array" ref="AG9">SUMPRODUCT(((Başvuru!J2:K1562)="Prof. Dr. Gözde GİRGİN")*(Başvuru!G2:G1562="Uzmanlık Tezi")*(Başvuru!L2:L1562="KAPSAM DIŞI"))</f>
        <v>0</v>
      </c>
      <c r="AH9" s="117">
        <f t="array" ref="AH9">SUMPRODUCT(((Başvuru!J2:K1562)="Prof. Dr. Gözde GİRGİN")*(Başvuru!G2:G1562="Uzmanlık Tezi")*(Başvuru!L2:L1562="GERİ ÇEKİLDİ"))</f>
        <v>0</v>
      </c>
      <c r="AI9" s="117">
        <f t="shared" si="3"/>
        <v>23</v>
      </c>
      <c r="AJ9" s="119">
        <f t="shared" si="4"/>
        <v>65</v>
      </c>
      <c r="AK9" s="119">
        <f t="shared" si="5"/>
        <v>36</v>
      </c>
      <c r="AL9" s="119">
        <f t="shared" si="6"/>
        <v>2</v>
      </c>
      <c r="AM9" s="119">
        <f t="shared" si="7"/>
        <v>8</v>
      </c>
      <c r="AN9" s="119">
        <f t="shared" si="8"/>
        <v>3</v>
      </c>
      <c r="AO9" s="119">
        <f t="shared" si="9"/>
        <v>4</v>
      </c>
      <c r="AP9" s="119">
        <f t="shared" si="10"/>
        <v>0</v>
      </c>
      <c r="AQ9" s="120">
        <f t="shared" si="11"/>
        <v>118</v>
      </c>
      <c r="AR9" s="117">
        <f t="shared" si="12"/>
        <v>8</v>
      </c>
      <c r="AS9" s="121">
        <f>COUNTIF(Başvuru!$Q:$Q,$B9)</f>
        <v>13</v>
      </c>
      <c r="AT9" s="122">
        <f>COUNTIFS(Başvuru!$Q:$Q,$B9,Başvuru!$J:$J,"&lt;&gt;"&amp;$B9,Başvuru!$K:$K,"&lt;&gt;"&amp;$B9)</f>
        <v>0</v>
      </c>
    </row>
    <row r="10" spans="1:46" s="112" customFormat="1" ht="30" customHeight="1" x14ac:dyDescent="0.25">
      <c r="A10" s="115" t="s">
        <v>123</v>
      </c>
      <c r="B10" s="116" t="s">
        <v>68</v>
      </c>
      <c r="C10" s="117">
        <f>COUNTIF(Başvuru!J2:K1562,"Doç. Dr. Kübra AYKAÇ")</f>
        <v>110</v>
      </c>
      <c r="D10" s="118">
        <f t="array" ref="D10">SUMPRODUCT(((Başvuru!J2:K1562)="Doç. Dr. Kübra AYKAÇ")*(Başvuru!G2:G1562="Bireysel Araştırma")*(Başvuru!L2:L1562="ONAY"))</f>
        <v>48</v>
      </c>
      <c r="E10" s="118">
        <f t="array" ref="E10">SUMPRODUCT(((Başvuru!J2:K1562)="Doç. Dr. Kübra AYKAÇ")*(Başvuru!G2:G1562="Bireysel Araştırma")*(Başvuru!L2:L1562="DÜZELTME"))</f>
        <v>24</v>
      </c>
      <c r="F10" s="118">
        <f t="array" ref="F10">SUMPRODUCT(((Başvuru!J2:K1562)="Doç. Dr. Kübra AYKAÇ")*(Başvuru!G2:G1562="Bireysel Araştırma")*(Başvuru!L2:L1562="KAEK"))</f>
        <v>2</v>
      </c>
      <c r="G10" s="118">
        <f t="array" ref="G10">SUMPRODUCT(((Başvuru!J2:K1562)="Doç. Dr. Kübra AYKAÇ")*(Başvuru!G2:G1562="Bireysel Araştırma")*(Başvuru!L2:L1562="GÖRÜŞ"))</f>
        <v>2</v>
      </c>
      <c r="H10" s="118">
        <f t="array" ref="H10">SUMPRODUCT(((Başvuru!J2:K1562)="Doç. Dr. Kübra AYKAÇ")*(Başvuru!G2:G1562="Bireysel Araştırma")*(Başvuru!L2:L1562="RET"))</f>
        <v>2</v>
      </c>
      <c r="I10" s="118">
        <f t="array" ref="I10">SUMPRODUCT(((Başvuru!J2:K1562)="Doç. Dr. Kübra AYKAÇ")*(Başvuru!G2:G1562="Bireysel Araştırma")*(Başvuru!L2:L1562="KAPSAM DIŞI"))</f>
        <v>0</v>
      </c>
      <c r="J10" s="118">
        <f t="array" ref="J10">SUMPRODUCT(((Başvuru!J2:K1562)="Doç. Dr. Kübra AYKAÇ")*(Başvuru!G2:G1562="Bireysel Araştırma")*(Başvuru!L2:L1562="GERİ ÇEKİLDİ"))</f>
        <v>0</v>
      </c>
      <c r="K10" s="117">
        <f t="shared" si="0"/>
        <v>78</v>
      </c>
      <c r="L10" s="117">
        <f t="array" ref="L10">SUMPRODUCT(((Başvuru!J2:K1562)="Doç. Dr. Kübra AYKAÇ")*(Başvuru!G2:G1562="Yüksek Lisans Tezi")*(Başvuru!L2:L1562="ONAY"))</f>
        <v>2</v>
      </c>
      <c r="M10" s="117">
        <f t="array" ref="M10">SUMPRODUCT(((Başvuru!J2:K1562)="Doç. Dr. Kübra AYKAÇ")*(Başvuru!G2:G1562="Yüksek Lisans Tezi")*(Başvuru!L2:L1562="DÜZELTME"))</f>
        <v>3</v>
      </c>
      <c r="N10" s="117">
        <f t="array" ref="N10">SUMPRODUCT(((Başvuru!J2:K1562)="Doç. Dr. Kübra AYKAÇ")*(Başvuru!G2:G1562="Yüksek Lisans Tezi")*(Başvuru!L2:L1562="KAEK"))</f>
        <v>1</v>
      </c>
      <c r="O10" s="117">
        <f t="array" ref="O10">SUMPRODUCT(((Başvuru!J2:K1562)="Doç. Dr. Kübra AYKAÇ")*(Başvuru!G2:G1562="Yüksek Lisans Tezi")*(Başvuru!L2:L1562="GÖRÜŞ"))</f>
        <v>0</v>
      </c>
      <c r="P10" s="117">
        <f t="array" ref="P10">SUMPRODUCT(((Başvuru!J2:K1562)="Doç. Dr. Kübra AYKAÇ")*(Başvuru!G2:G1562="Yüksek Lisans Tezi")*(Başvuru!L2:L1562="RET"))</f>
        <v>1</v>
      </c>
      <c r="Q10" s="117">
        <f t="array" ref="Q10">SUMPRODUCT(((Başvuru!J2:K1562)="Doç. Dr. Kübra AYKAÇ")*(Başvuru!G2:G1562="Yüksek Lisans Tezi")*(Başvuru!L2:L1562="KAPSAM DIŞI"))</f>
        <v>0</v>
      </c>
      <c r="R10" s="117">
        <f t="array" ref="R10">SUMPRODUCT(((Başvuru!J2:K1562)="Doç. Dr. Kübra AYKAÇ")*(Başvuru!G2:G1562="Yüksek Lisans Tezi")*(Başvuru!L2:L1562="GERİ ÇEKİLDİ"))</f>
        <v>0</v>
      </c>
      <c r="S10" s="117">
        <f t="shared" si="1"/>
        <v>7</v>
      </c>
      <c r="T10" s="117">
        <f t="array" ref="T10">SUMPRODUCT(((Başvuru!J2:K1562)="Doç. Dr. Kübra AYKAÇ")*(Başvuru!G2:G1562="Doktora Tezi")*(Başvuru!L2:L1562="ONAY"))</f>
        <v>2</v>
      </c>
      <c r="U10" s="117">
        <f t="array" ref="U10">SUMPRODUCT(((Başvuru!J2:K1562)="Doç. Dr. Kübra AYKAÇ")*(Başvuru!G2:G1562="Doktora Tezi")*(Başvuru!L2:L1562="DÜZELTME"))</f>
        <v>2</v>
      </c>
      <c r="V10" s="117">
        <f t="array" ref="V10">SUMPRODUCT(((Başvuru!J2:K1562)="Doç. Dr. Kübra AYKAÇ")*(Başvuru!G2:G1562="Doktora Tezi")*(Başvuru!L2:L1562="KAEK"))</f>
        <v>0</v>
      </c>
      <c r="W10" s="117">
        <f t="array" ref="W10">SUMPRODUCT(((Başvuru!J2:K1562)="Doç. Dr. Kübra AYKAÇ")*(Başvuru!G2:G1562="Doktora Tezi")*(Başvuru!L2:L1562="GÖRÜŞ"))</f>
        <v>0</v>
      </c>
      <c r="X10" s="117">
        <f t="array" ref="X10">SUMPRODUCT(((Başvuru!J2:K1562)="Doç. Dr. Kübra AYKAÇ")*(Başvuru!G2:G1562="Doktora Tezi")*(Başvuru!L2:L1562="RET"))</f>
        <v>0</v>
      </c>
      <c r="Y10" s="117">
        <f t="array" ref="Y10">SUMPRODUCT(((Başvuru!J2:K1562)="Doç. Dr. Kübra AYKAÇ")*(Başvuru!G2:G1562="Doktora Tezi")*(Başvuru!L2:L1562="KAPSAM DIŞI"))</f>
        <v>0</v>
      </c>
      <c r="Z10" s="117">
        <f t="array" ref="Z10">SUMPRODUCT(((Başvuru!J2:K1562)="Doç. Dr. Kübra AYKAÇ")*(Başvuru!G2:G1562="Doktora Tezi")*(Başvuru!L2:L1562="GERİ ÇEKİLDİ"))</f>
        <v>0</v>
      </c>
      <c r="AA10" s="117">
        <f t="shared" si="2"/>
        <v>4</v>
      </c>
      <c r="AB10" s="117">
        <f t="array" ref="AB10">SUMPRODUCT(((Başvuru!J2:K1562)="Doç. Dr. Kübra AYKAÇ")*(Başvuru!G2:G1562="Uzmanlık Tezi")*(Başvuru!L2:L1562="ONAY"))</f>
        <v>10</v>
      </c>
      <c r="AC10" s="117">
        <f t="array" ref="AC10">SUMPRODUCT(((Başvuru!J2:K1562)="Doç. Dr. Kübra AYKAÇ")*(Başvuru!G2:G1562="Uzmanlık Tezi")*(Başvuru!L2:L1562="DÜZELTME"))</f>
        <v>3</v>
      </c>
      <c r="AD10" s="117">
        <f t="array" ref="AD10">SUMPRODUCT(((Başvuru!J2:K1562)="Doç. Dr. Kübra AYKAÇ")*(Başvuru!G2:G1562="Uzmanlık Tezi")*(Başvuru!L2:L1562="KAEK"))</f>
        <v>1</v>
      </c>
      <c r="AE10" s="117">
        <f t="array" ref="AE10">SUMPRODUCT(((Başvuru!J2:K1562)="Doç. Dr. Kübra AYKAÇ")*(Başvuru!G2:G1562="Uzmanlık Tezi")*(Başvuru!L2:L1562="GÖRÜŞ"))</f>
        <v>0</v>
      </c>
      <c r="AF10" s="117">
        <f t="array" ref="AF10">SUMPRODUCT(((Başvuru!J2:K1562)="Doç. Dr. Kübra AYKAÇ")*(Başvuru!G2:G1562="Uzmanlık Tezi")*(Başvuru!L2:L1562="RET"))</f>
        <v>0</v>
      </c>
      <c r="AG10" s="117">
        <f t="array" ref="AG10">SUMPRODUCT(((Başvuru!J2:K1562)="Doç. Dr. Kübra AYKAÇ")*(Başvuru!G2:G1562="Uzmanlık Tezi")*(Başvuru!L2:L1562="KAPSAM DIŞI"))</f>
        <v>1</v>
      </c>
      <c r="AH10" s="117">
        <f t="array" ref="AH10">SUMPRODUCT(((Başvuru!J2:K1562)="Doç. Dr. Kübra AYKAÇ")*(Başvuru!G2:G1562="Uzmanlık Tezi")*(Başvuru!L2:L1562="GERİ ÇEKİLDİ"))</f>
        <v>0</v>
      </c>
      <c r="AI10" s="117">
        <f t="shared" si="3"/>
        <v>15</v>
      </c>
      <c r="AJ10" s="119">
        <f t="shared" si="4"/>
        <v>62</v>
      </c>
      <c r="AK10" s="119">
        <f t="shared" si="5"/>
        <v>32</v>
      </c>
      <c r="AL10" s="119">
        <f t="shared" si="6"/>
        <v>4</v>
      </c>
      <c r="AM10" s="119">
        <f t="shared" si="7"/>
        <v>2</v>
      </c>
      <c r="AN10" s="119">
        <f t="shared" si="8"/>
        <v>3</v>
      </c>
      <c r="AO10" s="119">
        <f t="shared" si="9"/>
        <v>1</v>
      </c>
      <c r="AP10" s="119">
        <f t="shared" si="10"/>
        <v>0</v>
      </c>
      <c r="AQ10" s="120">
        <f t="shared" si="11"/>
        <v>104</v>
      </c>
      <c r="AR10" s="117">
        <f t="shared" si="12"/>
        <v>6</v>
      </c>
      <c r="AS10" s="121">
        <f>COUNTIF(Başvuru!$Q:$Q,$B10)</f>
        <v>5</v>
      </c>
      <c r="AT10" s="122">
        <f>COUNTIFS(Başvuru!$Q:$Q,$B10,Başvuru!$J:$J,"&lt;&gt;"&amp;$B10,Başvuru!$K:$K,"&lt;&gt;"&amp;$B10)</f>
        <v>0</v>
      </c>
    </row>
    <row r="11" spans="1:46" s="112" customFormat="1" ht="30" customHeight="1" x14ac:dyDescent="0.25">
      <c r="A11" s="115" t="s">
        <v>130</v>
      </c>
      <c r="B11" s="116" t="s">
        <v>94</v>
      </c>
      <c r="C11" s="117">
        <f>COUNTIF(Başvuru!J2:K1562,"Doç. Dr. Tolga ÇAKMAK")</f>
        <v>106</v>
      </c>
      <c r="D11" s="118">
        <f t="array" ref="D11">SUMPRODUCT(((Başvuru!J2:K1562)="Doç. Dr. Tolga ÇAKMAK")*(Başvuru!G2:G1562="Bireysel Araştırma")*(Başvuru!L2:L1562="ONAY"))</f>
        <v>36</v>
      </c>
      <c r="E11" s="118">
        <f t="array" ref="E11">SUMPRODUCT(((Başvuru!J2:K1562)="Doç. Dr. Tolga ÇAKMAK")*(Başvuru!G2:G1562="Bireysel Araştırma")*(Başvuru!L2:L1562="DÜZELTME"))</f>
        <v>18</v>
      </c>
      <c r="F11" s="118">
        <f t="array" ref="F11">SUMPRODUCT(((Başvuru!J2:K1562)="Doç. Dr. Tolga ÇAKMAK")*(Başvuru!G2:G1562="Bireysel Araştırma")*(Başvuru!L2:L1562="KAEK"))</f>
        <v>1</v>
      </c>
      <c r="G11" s="118">
        <f t="array" ref="G11">SUMPRODUCT(((Başvuru!J2:K1562)="Doç. Dr. Tolga ÇAKMAK")*(Başvuru!G2:G1562="Bireysel Araştırma")*(Başvuru!L2:L1562="GÖRÜŞ"))</f>
        <v>4</v>
      </c>
      <c r="H11" s="118">
        <f t="array" ref="H11">SUMPRODUCT(((Başvuru!J2:K1562)="Doç. Dr. Tolga ÇAKMAK")*(Başvuru!G2:G1562="Bireysel Araştırma")*(Başvuru!L2:L1562="RET"))</f>
        <v>6</v>
      </c>
      <c r="I11" s="118">
        <f t="array" ref="I11">SUMPRODUCT(((Başvuru!J2:K1562)="Doç. Dr. Tolga ÇAKMAK")*(Başvuru!G2:G1562="Bireysel Araştırma")*(Başvuru!L2:L1562="KAPSAM DIŞI"))</f>
        <v>0</v>
      </c>
      <c r="J11" s="118">
        <f t="array" ref="J11">SUMPRODUCT(((Başvuru!J2:K1562)="Doç. Dr. Tolga ÇAKMAK")*(Başvuru!G2:G1562="Bireysel Araştırma")*(Başvuru!L2:L1562="GERİ ÇEKİLDİ"))</f>
        <v>0</v>
      </c>
      <c r="K11" s="117">
        <f t="shared" si="0"/>
        <v>65</v>
      </c>
      <c r="L11" s="117">
        <f t="array" ref="L11">SUMPRODUCT(((Başvuru!J2:K1562)="Doç. Dr. Tolga ÇAKMAK")*(Başvuru!G2:G1562="Yüksek Lisans Tezi")*(Başvuru!L2:L1562="ONAY"))</f>
        <v>4</v>
      </c>
      <c r="M11" s="117">
        <f t="array" ref="M11">SUMPRODUCT(((Başvuru!J2:K1562)="Doç. Dr. Tolga ÇAKMAK")*(Başvuru!G2:G1562="Yüksek Lisans Tezi")*(Başvuru!L2:L1562="DÜZELTME"))</f>
        <v>2</v>
      </c>
      <c r="N11" s="117">
        <f t="array" ref="N11">SUMPRODUCT(((Başvuru!J2:K1562)="Doç. Dr. Tolga ÇAKMAK")*(Başvuru!G2:G1562="Yüksek Lisans Tezi")*(Başvuru!L2:L1562="KAEK"))</f>
        <v>0</v>
      </c>
      <c r="O11" s="117">
        <f t="array" ref="O11">SUMPRODUCT(((Başvuru!J2:K1562)="Doç. Dr. Tolga ÇAKMAK")*(Başvuru!G2:G1562="Yüksek Lisans Tezi")*(Başvuru!L2:L1562="GÖRÜŞ"))</f>
        <v>0</v>
      </c>
      <c r="P11" s="117">
        <f t="array" ref="P11">SUMPRODUCT(((Başvuru!J2:K1562)="Doç. Dr. Tolga ÇAKMAK")*(Başvuru!G2:G1562="Yüksek Lisans Tezi")*(Başvuru!L2:L1562="RET"))</f>
        <v>1</v>
      </c>
      <c r="Q11" s="117">
        <f t="array" ref="Q11">SUMPRODUCT(((Başvuru!J2:K1562)="Doç. Dr. Tolga ÇAKMAK")*(Başvuru!G2:G1562="Yüksek Lisans Tezi")*(Başvuru!L2:L1562="KAPSAM DIŞI"))</f>
        <v>0</v>
      </c>
      <c r="R11" s="117">
        <f t="array" ref="R11">SUMPRODUCT(((Başvuru!J2:K1562)="Doç. Dr. Tolga ÇAKMAK")*(Başvuru!G2:G1562="Yüksek Lisans Tezi")*(Başvuru!L2:L1562="GERİ ÇEKİLDİ"))</f>
        <v>0</v>
      </c>
      <c r="S11" s="117">
        <f t="shared" si="1"/>
        <v>7</v>
      </c>
      <c r="T11" s="117">
        <f t="array" ref="T11">SUMPRODUCT(((Başvuru!J2:K1562)="Doç. Dr. Tolga ÇAKMAK")*(Başvuru!G2:G1562="Doktora Tezi")*(Başvuru!L2:L1562="ONAY"))</f>
        <v>4</v>
      </c>
      <c r="U11" s="117">
        <f t="array" ref="U11">SUMPRODUCT(((Başvuru!J2:K1562)="Doç. Dr. Tolga ÇAKMAK")*(Başvuru!G2:G1562="Doktora Tezi")*(Başvuru!L2:L1562="DÜZELTME"))</f>
        <v>5</v>
      </c>
      <c r="V11" s="117">
        <f t="array" ref="V11">SUMPRODUCT(((Başvuru!J2:K1562)="Doç. Dr. Tolga ÇAKMAK")*(Başvuru!G2:G1562="Doktora Tezi")*(Başvuru!L2:L1562="KAEK"))</f>
        <v>0</v>
      </c>
      <c r="W11" s="117">
        <f t="array" ref="W11">SUMPRODUCT(((Başvuru!J2:K1562)="Doç. Dr. Tolga ÇAKMAK")*(Başvuru!G2:G1562="Doktora Tezi")*(Başvuru!L2:L1562="GÖRÜŞ"))</f>
        <v>1</v>
      </c>
      <c r="X11" s="117">
        <f t="array" ref="X11">SUMPRODUCT(((Başvuru!J2:K1562)="Doç. Dr. Tolga ÇAKMAK")*(Başvuru!G2:G1562="Doktora Tezi")*(Başvuru!L2:L1562="RET"))</f>
        <v>0</v>
      </c>
      <c r="Y11" s="117">
        <f t="array" ref="Y11">SUMPRODUCT(((Başvuru!J2:K1562)="Doç. Dr. Tolga ÇAKMAK")*(Başvuru!G2:G1562="Doktora Tezi")*(Başvuru!L2:L1562="KAPSAM DIŞI"))</f>
        <v>0</v>
      </c>
      <c r="Z11" s="117">
        <f t="array" ref="Z11">SUMPRODUCT(((Başvuru!J2:K1562)="Doç. Dr. Tolga ÇAKMAK")*(Başvuru!G2:G1562="Doktora Tezi")*(Başvuru!L2:L1562="GERİ ÇEKİLDİ"))</f>
        <v>0</v>
      </c>
      <c r="AA11" s="117">
        <f t="shared" si="2"/>
        <v>10</v>
      </c>
      <c r="AB11" s="117">
        <f t="array" ref="AB11">SUMPRODUCT(((Başvuru!J2:K1562)="Doç. Dr. Tolga ÇAKMAK")*(Başvuru!G2:G1562="Uzmanlık Tezi")*(Başvuru!L2:L1562="ONAY"))</f>
        <v>13</v>
      </c>
      <c r="AC11" s="117">
        <f t="array" ref="AC11">SUMPRODUCT(((Başvuru!J2:K1562)="Doç. Dr. Tolga ÇAKMAK")*(Başvuru!G2:G1562="Uzmanlık Tezi")*(Başvuru!L2:L1562="DÜZELTME"))</f>
        <v>3</v>
      </c>
      <c r="AD11" s="117">
        <f t="array" ref="AD11">SUMPRODUCT(((Başvuru!J2:K1562)="Doç. Dr. Tolga ÇAKMAK")*(Başvuru!G2:G1562="Uzmanlık Tezi")*(Başvuru!L2:L1562="KAEK"))</f>
        <v>0</v>
      </c>
      <c r="AE11" s="117">
        <f t="array" ref="AE11">SUMPRODUCT(((Başvuru!J2:K1562)="Doç. Dr. Tolga ÇAKMAK")*(Başvuru!G2:G1562="Uzmanlık Tezi")*(Başvuru!L2:L1562="GÖRÜŞ"))</f>
        <v>0</v>
      </c>
      <c r="AF11" s="117">
        <f t="array" ref="AF11">SUMPRODUCT(((Başvuru!J2:K1562)="Doç. Dr. Tolga ÇAKMAK")*(Başvuru!G2:G1562="Uzmanlık Tezi")*(Başvuru!L2:L1562="RET"))</f>
        <v>1</v>
      </c>
      <c r="AG11" s="117">
        <f t="array" ref="AG11">SUMPRODUCT(((Başvuru!J2:K1562)="Doç. Dr. Tolga ÇAKMAK")*(Başvuru!G2:G1562="Uzmanlık Tezi")*(Başvuru!L2:L1562="KAPSAM DIŞI"))</f>
        <v>0</v>
      </c>
      <c r="AH11" s="117">
        <f t="array" ref="AH11">SUMPRODUCT(((Başvuru!J2:K1562)="Doç. Dr. Tolga ÇAKMAK")*(Başvuru!G2:G1562="Uzmanlık Tezi")*(Başvuru!L2:L1562="GERİ ÇEKİLDİ"))</f>
        <v>0</v>
      </c>
      <c r="AI11" s="117">
        <f t="shared" si="3"/>
        <v>17</v>
      </c>
      <c r="AJ11" s="119">
        <f t="shared" si="4"/>
        <v>57</v>
      </c>
      <c r="AK11" s="119">
        <f t="shared" si="5"/>
        <v>28</v>
      </c>
      <c r="AL11" s="119">
        <f t="shared" si="6"/>
        <v>1</v>
      </c>
      <c r="AM11" s="119">
        <f t="shared" si="7"/>
        <v>5</v>
      </c>
      <c r="AN11" s="119">
        <f t="shared" si="8"/>
        <v>8</v>
      </c>
      <c r="AO11" s="119">
        <f t="shared" si="9"/>
        <v>0</v>
      </c>
      <c r="AP11" s="119">
        <f t="shared" si="10"/>
        <v>0</v>
      </c>
      <c r="AQ11" s="120">
        <f t="shared" si="11"/>
        <v>99</v>
      </c>
      <c r="AR11" s="117">
        <f t="shared" si="12"/>
        <v>7</v>
      </c>
      <c r="AS11" s="121">
        <f>COUNTIF(Başvuru!$Q:$Q,$B11)</f>
        <v>3</v>
      </c>
      <c r="AT11" s="122">
        <f>COUNTIFS(Başvuru!$Q:$Q,$B11,Başvuru!$J:$J,"&lt;&gt;"&amp;$B11,Başvuru!$K:$K,"&lt;&gt;"&amp;$B11)</f>
        <v>0</v>
      </c>
    </row>
    <row r="12" spans="1:46" s="112" customFormat="1" ht="30" customHeight="1" x14ac:dyDescent="0.25">
      <c r="A12" s="115" t="s">
        <v>137</v>
      </c>
      <c r="B12" s="116" t="s">
        <v>95</v>
      </c>
      <c r="C12" s="117">
        <f>COUNTIF(Başvuru!J2:K1562,"Doç. Dr. Burcu ERSÖZ ALAN")</f>
        <v>123</v>
      </c>
      <c r="D12" s="118">
        <f t="array" ref="D12">SUMPRODUCT(((Başvuru!J2:K1562)="Doç. Dr. Burcu ERSÖZ ALAN")*(Başvuru!G2:G1562="Bireysel Araştırma")*(Başvuru!L2:L1562="ONAY"))</f>
        <v>60</v>
      </c>
      <c r="E12" s="118">
        <f t="array" ref="E12">SUMPRODUCT(((Başvuru!J2:K1562)="Doç. Dr. Burcu ERSÖZ ALAN")*(Başvuru!G2:G1562="Bireysel Araştırma")*(Başvuru!L2:L1562="DÜZELTME"))</f>
        <v>18</v>
      </c>
      <c r="F12" s="118">
        <f t="array" ref="F12">SUMPRODUCT(((Başvuru!J2:K1562)="Doç. Dr. Burcu ERSÖZ ALAN")*(Başvuru!G2:G1562="Bireysel Araştırma")*(Başvuru!L2:L1562="KAEK"))</f>
        <v>1</v>
      </c>
      <c r="G12" s="118">
        <f t="array" ref="G12">SUMPRODUCT(((Başvuru!J2:K1562)="Doç. Dr. Burcu ERSÖZ ALAN")*(Başvuru!G2:G1562="Bireysel Araştırma")*(Başvuru!L2:L1562="GÖRÜŞ"))</f>
        <v>3</v>
      </c>
      <c r="H12" s="118">
        <f t="array" ref="H12">SUMPRODUCT(((Başvuru!J2:K1562)="Doç. Dr. Burcu ERSÖZ ALAN")*(Başvuru!G2:G1562="Bireysel Araştırma")*(Başvuru!L2:L1562="RET"))</f>
        <v>1</v>
      </c>
      <c r="I12" s="118">
        <f t="array" ref="I12">SUMPRODUCT(((Başvuru!J2:K1562)="Doç. Dr. Burcu ERSÖZ ALAN")*(Başvuru!G2:G1562="Bireysel Araştırma")*(Başvuru!L2:L1562="KAPSAM DIŞI"))</f>
        <v>1</v>
      </c>
      <c r="J12" s="118">
        <f t="array" ref="J12">SUMPRODUCT(((Başvuru!J2:K1562)="Doç. Dr. Burcu ERSÖZ ALAN")*(Başvuru!G2:G1562="Bireysel Araştırma")*(Başvuru!L2:L1562="GERİ ÇEKİLDİ"))</f>
        <v>0</v>
      </c>
      <c r="K12" s="117">
        <f t="shared" si="0"/>
        <v>84</v>
      </c>
      <c r="L12" s="117">
        <f t="array" ref="L12">SUMPRODUCT(((Başvuru!J2:K1562)="Doç. Dr. Burcu ERSÖZ ALAN")*(Başvuru!G2:G1562="Yüksek Lisans Tezi")*(Başvuru!L2:L1562="ONAY"))</f>
        <v>0</v>
      </c>
      <c r="M12" s="117">
        <f t="array" ref="M12">SUMPRODUCT(((Başvuru!J2:K1562)="Doç. Dr. Burcu ERSÖZ ALAN")*(Başvuru!G2:G1562="Yüksek Lisans Tezi")*(Başvuru!L2:L1562="DÜZELTME"))</f>
        <v>0</v>
      </c>
      <c r="N12" s="117">
        <f t="array" ref="N12">SUMPRODUCT(((Başvuru!J2:K1562)="Doç. Dr. Burcu ERSÖZ ALAN")*(Başvuru!G2:G1562="Yüksek Lisans Tezi")*(Başvuru!L2:L1562="KAEK"))</f>
        <v>0</v>
      </c>
      <c r="O12" s="117">
        <f t="array" ref="O12">SUMPRODUCT(((Başvuru!J2:K1562)="Doç. Dr. Burcu ERSÖZ ALAN")*(Başvuru!G2:G1562="Yüksek Lisans Tezi")*(Başvuru!L2:L1562="GÖRÜŞ"))</f>
        <v>0</v>
      </c>
      <c r="P12" s="117">
        <f t="array" ref="P12">SUMPRODUCT(((Başvuru!J2:K1562)="Doç. Dr. Burcu ERSÖZ ALAN")*(Başvuru!G2:G1562="Yüksek Lisans Tezi")*(Başvuru!L2:L1562="RET"))</f>
        <v>0</v>
      </c>
      <c r="Q12" s="117">
        <f t="array" ref="Q12">SUMPRODUCT(((Başvuru!J2:K1562)="Doç. Dr. Burcu ERSÖZ ALAN")*(Başvuru!G2:G1562="Yüksek Lisans Tezi")*(Başvuru!L2:L1562="KAPSAM DIŞI"))</f>
        <v>0</v>
      </c>
      <c r="R12" s="117">
        <f t="array" ref="R12">SUMPRODUCT(((Başvuru!J2:K1562)="Doç. Dr. Burcu ERSÖZ ALAN")*(Başvuru!G2:G1562="Yüksek Lisans Tezi")*(Başvuru!L2:L1562="GERİ ÇEKİLDİ"))</f>
        <v>0</v>
      </c>
      <c r="S12" s="117">
        <f t="shared" si="1"/>
        <v>0</v>
      </c>
      <c r="T12" s="117">
        <f t="array" ref="T12">SUMPRODUCT(((Başvuru!J2:K1562)="Doç. Dr. Burcu ERSÖZ ALAN")*(Başvuru!G2:G1562="Doktora Tezi")*(Başvuru!L2:L1562="ONAY"))</f>
        <v>7</v>
      </c>
      <c r="U12" s="117">
        <f t="array" ref="U12">SUMPRODUCT(((Başvuru!J2:K1562)="Doç. Dr. Burcu ERSÖZ ALAN")*(Başvuru!G2:G1562="Doktora Tezi")*(Başvuru!L2:L1562="DÜZELTME"))</f>
        <v>4</v>
      </c>
      <c r="V12" s="117">
        <f t="array" ref="V12">SUMPRODUCT(((Başvuru!J2:K1562)="Doç. Dr. Burcu ERSÖZ ALAN")*(Başvuru!G2:G1562="Doktora Tezi")*(Başvuru!L2:L1562="KAEK"))</f>
        <v>0</v>
      </c>
      <c r="W12" s="117">
        <f t="array" ref="W12">SUMPRODUCT(((Başvuru!J2:K1562)="Doç. Dr. Burcu ERSÖZ ALAN")*(Başvuru!G2:G1562="Doktora Tezi")*(Başvuru!L2:L1562="GÖRÜŞ"))</f>
        <v>0</v>
      </c>
      <c r="X12" s="117">
        <f t="array" ref="X12">SUMPRODUCT(((Başvuru!J2:K1562)="Doç. Dr. Burcu ERSÖZ ALAN")*(Başvuru!G2:G1562="Doktora Tezi")*(Başvuru!L2:L1562="RET"))</f>
        <v>0</v>
      </c>
      <c r="Y12" s="117">
        <f t="array" ref="Y12">SUMPRODUCT(((Başvuru!J2:K1562)="Doç. Dr. Burcu ERSÖZ ALAN")*(Başvuru!G2:G1562="Doktora Tezi")*(Başvuru!L2:L1562="KAPSAM DIŞI"))</f>
        <v>0</v>
      </c>
      <c r="Z12" s="117">
        <f t="array" ref="Z12">SUMPRODUCT(((Başvuru!J2:K1562)="Doç. Dr. Burcu ERSÖZ ALAN")*(Başvuru!G2:G1562="Doktora Tezi")*(Başvuru!L2:L1562="GERİ ÇEKİLDİ"))</f>
        <v>0</v>
      </c>
      <c r="AA12" s="117">
        <f t="shared" si="2"/>
        <v>11</v>
      </c>
      <c r="AB12" s="117">
        <f t="array" ref="AB12">SUMPRODUCT(((Başvuru!J2:K1562)="Doç. Dr. Burcu ERSÖZ ALAN")*(Başvuru!G2:G1562="Uzmanlık Tezi")*(Başvuru!L2:L1562="ONAY"))</f>
        <v>8</v>
      </c>
      <c r="AC12" s="117">
        <f t="array" ref="AC12">SUMPRODUCT(((Başvuru!J2:K1562)="Doç. Dr. Burcu ERSÖZ ALAN")*(Başvuru!G2:G1562="Uzmanlık Tezi")*(Başvuru!L2:L1562="DÜZELTME"))</f>
        <v>10</v>
      </c>
      <c r="AD12" s="117">
        <f t="array" ref="AD12">SUMPRODUCT(((Başvuru!J2:K1562)="Doç. Dr. Burcu ERSÖZ ALAN")*(Başvuru!G2:G1562="Uzmanlık Tezi")*(Başvuru!L2:L1562="KAEK"))</f>
        <v>0</v>
      </c>
      <c r="AE12" s="117">
        <f t="array" ref="AE12">SUMPRODUCT(((Başvuru!J2:K1562)="Doç. Dr. Burcu ERSÖZ ALAN")*(Başvuru!G2:G1562="Uzmanlık Tezi")*(Başvuru!L2:L1562="GÖRÜŞ"))</f>
        <v>2</v>
      </c>
      <c r="AF12" s="117">
        <f t="array" ref="AF12">SUMPRODUCT(((Başvuru!J2:K1562)="Doç. Dr. Burcu ERSÖZ ALAN")*(Başvuru!G2:G1562="Uzmanlık Tezi")*(Başvuru!L2:L1562="RET"))</f>
        <v>0</v>
      </c>
      <c r="AG12" s="117">
        <f t="array" ref="AG12">SUMPRODUCT(((Başvuru!J2:K1562)="Doç. Dr. Burcu ERSÖZ ALAN")*(Başvuru!G2:G1562="Uzmanlık Tezi")*(Başvuru!L2:L1562="KAPSAM DIŞI"))</f>
        <v>0</v>
      </c>
      <c r="AH12" s="117">
        <f t="array" ref="AH12">SUMPRODUCT(((Başvuru!J2:K1562)="Doç. Dr. Burcu ERSÖZ ALAN")*(Başvuru!G2:G1562="Uzmanlık Tezi")*(Başvuru!L2:L1562="GERİ ÇEKİLDİ"))</f>
        <v>0</v>
      </c>
      <c r="AI12" s="117">
        <f t="shared" si="3"/>
        <v>20</v>
      </c>
      <c r="AJ12" s="119">
        <f t="shared" si="4"/>
        <v>75</v>
      </c>
      <c r="AK12" s="119">
        <f t="shared" si="5"/>
        <v>32</v>
      </c>
      <c r="AL12" s="119">
        <f t="shared" si="6"/>
        <v>1</v>
      </c>
      <c r="AM12" s="119">
        <f t="shared" si="7"/>
        <v>5</v>
      </c>
      <c r="AN12" s="119">
        <f t="shared" si="8"/>
        <v>1</v>
      </c>
      <c r="AO12" s="119">
        <f t="shared" si="9"/>
        <v>1</v>
      </c>
      <c r="AP12" s="119">
        <f t="shared" si="10"/>
        <v>0</v>
      </c>
      <c r="AQ12" s="120">
        <f t="shared" si="11"/>
        <v>115</v>
      </c>
      <c r="AR12" s="117">
        <f t="shared" si="12"/>
        <v>8</v>
      </c>
      <c r="AS12" s="121">
        <f>COUNTIF(Başvuru!$Q:$Q,$B12)</f>
        <v>10</v>
      </c>
      <c r="AT12" s="122">
        <f>COUNTIFS(Başvuru!$Q:$Q,$B12,Başvuru!$J:$J,"&lt;&gt;"&amp;$B12,Başvuru!$K:$K,"&lt;&gt;"&amp;$B12)</f>
        <v>0</v>
      </c>
    </row>
    <row r="13" spans="1:46" s="112" customFormat="1" ht="30" customHeight="1" x14ac:dyDescent="0.25">
      <c r="A13" s="115" t="s">
        <v>144</v>
      </c>
      <c r="B13" s="116" t="s">
        <v>86</v>
      </c>
      <c r="C13" s="117">
        <f>COUNTIF(Başvuru!J2:K1562,"Doç. Dr. Ekim GÜMELER")</f>
        <v>115</v>
      </c>
      <c r="D13" s="118">
        <f t="array" ref="D13">SUMPRODUCT(((Başvuru!J2:K1562)="Doç. Dr. Ekim GÜMELER")*(Başvuru!G2:G1562="Bireysel Araştırma")*(Başvuru!L2:L1562="ONAY"))</f>
        <v>50</v>
      </c>
      <c r="E13" s="118">
        <f t="array" ref="E13">SUMPRODUCT(((Başvuru!J2:K1562)="Doç. Dr. Ekim GÜMELER")*(Başvuru!G2:G1562="Bireysel Araştırma")*(Başvuru!L2:L1562="DÜZELTME"))</f>
        <v>26</v>
      </c>
      <c r="F13" s="118">
        <f t="array" ref="F13">SUMPRODUCT(((Başvuru!J2:K1562)="Doç. Dr. Ekim GÜMELER")*(Başvuru!G2:G1562="Bireysel Araştırma")*(Başvuru!L2:L1562="KAEK"))</f>
        <v>4</v>
      </c>
      <c r="G13" s="118">
        <f t="array" ref="G13">SUMPRODUCT(((Başvuru!J2:K1562)="Doç. Dr. Ekim GÜMELER")*(Başvuru!G2:G1562="Bireysel Araştırma")*(Başvuru!L2:L1562="GÖRÜŞ"))</f>
        <v>3</v>
      </c>
      <c r="H13" s="118">
        <f t="array" ref="H13">SUMPRODUCT(((Başvuru!J2:K1562)="Doç. Dr. Ekim GÜMELER")*(Başvuru!G2:G1562="Bireysel Araştırma")*(Başvuru!L2:L1562="RET"))</f>
        <v>1</v>
      </c>
      <c r="I13" s="118">
        <f t="array" ref="I13">SUMPRODUCT(((Başvuru!J2:K1562)="Doç. Dr. Ekim GÜMELER")*(Başvuru!G2:G1562="Bireysel Araştırma")*(Başvuru!L2:L1562="KAPSAM DIŞI"))</f>
        <v>1</v>
      </c>
      <c r="J13" s="118">
        <f t="array" ref="J13">SUMPRODUCT(((Başvuru!J2:K1562)="Doç. Dr. Ekim GÜMELER")*(Başvuru!G2:G1562="Bireysel Araştırma")*(Başvuru!L2:L1562="GERİ ÇEKİLDİ"))</f>
        <v>0</v>
      </c>
      <c r="K13" s="117">
        <f t="shared" si="0"/>
        <v>85</v>
      </c>
      <c r="L13" s="117">
        <f t="array" ref="L13">SUMPRODUCT(((Başvuru!J2:K1562)="Doç. Dr. Ekim GÜMELER")*(Başvuru!G2:G1562="Yüksek Lisans Tezi")*(Başvuru!L2:L1562="ONAY"))</f>
        <v>2</v>
      </c>
      <c r="M13" s="117">
        <f t="array" ref="M13">SUMPRODUCT(((Başvuru!J2:K1562)="Doç. Dr. Ekim GÜMELER")*(Başvuru!G2:G1562="Yüksek Lisans Tezi")*(Başvuru!L2:L1562="DÜZELTME"))</f>
        <v>0</v>
      </c>
      <c r="N13" s="117">
        <f t="array" ref="N13">SUMPRODUCT(((Başvuru!J2:K1562)="Doç. Dr. Ekim GÜMELER")*(Başvuru!G2:G1562="Yüksek Lisans Tezi")*(Başvuru!L2:L1562="KAEK"))</f>
        <v>0</v>
      </c>
      <c r="O13" s="117">
        <f t="array" ref="O13">SUMPRODUCT(((Başvuru!J2:K1562)="Doç. Dr. Ekim GÜMELER")*(Başvuru!G2:G1562="Yüksek Lisans Tezi")*(Başvuru!L2:L1562="GÖRÜŞ"))</f>
        <v>0</v>
      </c>
      <c r="P13" s="117">
        <f t="array" ref="P13">SUMPRODUCT(((Başvuru!J2:K1562)="Doç. Dr. Ekim GÜMELER")*(Başvuru!G2:G1562="Yüksek Lisans Tezi")*(Başvuru!L2:L1562="RET"))</f>
        <v>0</v>
      </c>
      <c r="Q13" s="117">
        <f t="array" ref="Q13">SUMPRODUCT(((Başvuru!J2:K1562)="Doç. Dr. Ekim GÜMELER")*(Başvuru!G2:G1562="Yüksek Lisans Tezi")*(Başvuru!L2:L1562="KAPSAM DIŞI"))</f>
        <v>0</v>
      </c>
      <c r="R13" s="117">
        <f t="array" ref="R13">SUMPRODUCT(((Başvuru!J2:K1562)="Doç. Dr. Ekim GÜMELER")*(Başvuru!G2:G1562="Yüksek Lisans Tezi")*(Başvuru!L2:L1562="GERİ ÇEKİLDİ"))</f>
        <v>0</v>
      </c>
      <c r="S13" s="117">
        <f t="shared" si="1"/>
        <v>2</v>
      </c>
      <c r="T13" s="117">
        <f t="array" ref="T13">SUMPRODUCT(((Başvuru!J2:K1562)="Doç. Dr. Ekim GÜMELER")*(Başvuru!G2:G1562="Doktora Tezi")*(Başvuru!L2:L1562="ONAY"))</f>
        <v>4</v>
      </c>
      <c r="U13" s="117">
        <f t="array" ref="U13">SUMPRODUCT(((Başvuru!J2:K1562)="Doç. Dr. Ekim GÜMELER")*(Başvuru!G2:G1562="Doktora Tezi")*(Başvuru!L2:L1562="DÜZELTME"))</f>
        <v>0</v>
      </c>
      <c r="V13" s="117">
        <f t="array" ref="V13">SUMPRODUCT(((Başvuru!J2:K1562)="Doç. Dr. Ekim GÜMELER")*(Başvuru!G2:G1562="Doktora Tezi")*(Başvuru!L2:L1562="KAEK"))</f>
        <v>0</v>
      </c>
      <c r="W13" s="117">
        <f t="array" ref="W13">SUMPRODUCT(((Başvuru!J2:K1562)="Doç. Dr. Ekim GÜMELER")*(Başvuru!G2:G1562="Doktora Tezi")*(Başvuru!L2:L1562="GÖRÜŞ"))</f>
        <v>2</v>
      </c>
      <c r="X13" s="117">
        <f t="array" ref="X13">SUMPRODUCT(((Başvuru!J2:K1562)="Doç. Dr. Ekim GÜMELER")*(Başvuru!G2:G1562="Doktora Tezi")*(Başvuru!L2:L1562="RET"))</f>
        <v>0</v>
      </c>
      <c r="Y13" s="117">
        <f t="array" ref="Y13">SUMPRODUCT(((Başvuru!J2:K1562)="Doç. Dr. Ekim GÜMELER")*(Başvuru!G2:G1562="Doktora Tezi")*(Başvuru!L2:L1562="KAPSAM DIŞI"))</f>
        <v>0</v>
      </c>
      <c r="Z13" s="117">
        <f t="array" ref="Z13">SUMPRODUCT(((Başvuru!J2:K1562)="Doç. Dr. Ekim GÜMELER")*(Başvuru!G2:G1562="Doktora Tezi")*(Başvuru!L2:L1562="GERİ ÇEKİLDİ"))</f>
        <v>0</v>
      </c>
      <c r="AA13" s="117">
        <f t="shared" si="2"/>
        <v>6</v>
      </c>
      <c r="AB13" s="117">
        <f t="array" ref="AB13">SUMPRODUCT(((Başvuru!J2:K1562)="Doç. Dr. Ekim GÜMELER")*(Başvuru!G2:G1562="Uzmanlık Tezi")*(Başvuru!L2:L1562="ONAY"))</f>
        <v>8</v>
      </c>
      <c r="AC13" s="117">
        <f t="array" ref="AC13">SUMPRODUCT(((Başvuru!J2:K1562)="Doç. Dr. Ekim GÜMELER")*(Başvuru!G2:G1562="Uzmanlık Tezi")*(Başvuru!L2:L1562="DÜZELTME"))</f>
        <v>6</v>
      </c>
      <c r="AD13" s="117">
        <f t="array" ref="AD13">SUMPRODUCT(((Başvuru!J2:K1562)="Doç. Dr. Ekim GÜMELER")*(Başvuru!G2:G1562="Uzmanlık Tezi")*(Başvuru!L2:L1562="KAEK"))</f>
        <v>0</v>
      </c>
      <c r="AE13" s="117">
        <f t="array" ref="AE13">SUMPRODUCT(((Başvuru!J2:K1562)="Doç. Dr. Ekim GÜMELER")*(Başvuru!G2:G1562="Uzmanlık Tezi")*(Başvuru!L2:L1562="GÖRÜŞ"))</f>
        <v>0</v>
      </c>
      <c r="AF13" s="117">
        <f t="array" ref="AF13">SUMPRODUCT(((Başvuru!J2:K1562)="Doç. Dr. Ekim GÜMELER")*(Başvuru!G2:G1562="Uzmanlık Tezi")*(Başvuru!L2:L1562="RET"))</f>
        <v>0</v>
      </c>
      <c r="AG13" s="117">
        <f t="array" ref="AG13">SUMPRODUCT(((Başvuru!J2:K1562)="Doç. Dr. Ekim GÜMELER")*(Başvuru!G2:G1562="Uzmanlık Tezi")*(Başvuru!L2:L1562="KAPSAM DIŞI"))</f>
        <v>2</v>
      </c>
      <c r="AH13" s="117">
        <f t="array" ref="AH13">SUMPRODUCT(((Başvuru!J2:K1562)="Doç. Dr. Ekim GÜMELER")*(Başvuru!G2:G1562="Uzmanlık Tezi")*(Başvuru!L2:L1562="GERİ ÇEKİLDİ"))</f>
        <v>0</v>
      </c>
      <c r="AI13" s="117">
        <f t="shared" si="3"/>
        <v>16</v>
      </c>
      <c r="AJ13" s="119">
        <f t="shared" si="4"/>
        <v>64</v>
      </c>
      <c r="AK13" s="119">
        <f t="shared" si="5"/>
        <v>32</v>
      </c>
      <c r="AL13" s="119">
        <f t="shared" si="6"/>
        <v>4</v>
      </c>
      <c r="AM13" s="119">
        <f t="shared" si="7"/>
        <v>5</v>
      </c>
      <c r="AN13" s="119">
        <f t="shared" si="8"/>
        <v>1</v>
      </c>
      <c r="AO13" s="119">
        <f t="shared" si="9"/>
        <v>3</v>
      </c>
      <c r="AP13" s="119">
        <f t="shared" si="10"/>
        <v>0</v>
      </c>
      <c r="AQ13" s="120">
        <f t="shared" si="11"/>
        <v>109</v>
      </c>
      <c r="AR13" s="117">
        <f t="shared" si="12"/>
        <v>6</v>
      </c>
      <c r="AS13" s="121">
        <f>COUNTIF(Başvuru!$Q:$Q,$B13)</f>
        <v>6</v>
      </c>
      <c r="AT13" s="122">
        <f>COUNTIFS(Başvuru!$Q:$Q,$B13,Başvuru!$J:$J,"&lt;&gt;"&amp;$B13,Başvuru!$K:$K,"&lt;&gt;"&amp;$B13)</f>
        <v>0</v>
      </c>
    </row>
    <row r="14" spans="1:46" s="112" customFormat="1" ht="30" customHeight="1" x14ac:dyDescent="0.25">
      <c r="A14" s="115" t="s">
        <v>150</v>
      </c>
      <c r="B14" s="116" t="s">
        <v>85</v>
      </c>
      <c r="C14" s="117">
        <f>COUNTIF(Başvuru!J2:K1562,"Dr. Öğr. Üyesi Müge DEMİR")</f>
        <v>115</v>
      </c>
      <c r="D14" s="118">
        <f t="array" ref="D14">SUMPRODUCT(((Başvuru!J2:K1562)="Dr. Öğr. Üyesi Müge DEMİR")*(Başvuru!G2:G1562="Bireysel Araştırma")*(Başvuru!L2:L1562="ONAY"))</f>
        <v>34</v>
      </c>
      <c r="E14" s="118">
        <f t="array" ref="E14">SUMPRODUCT(((Başvuru!J2:K1562)="Dr. Öğr. Üyesi Müge DEMİR")*(Başvuru!G2:G1562="Bireysel Araştırma")*(Başvuru!L2:L1562="DÜZELTME"))</f>
        <v>36</v>
      </c>
      <c r="F14" s="118">
        <f t="array" ref="F14">SUMPRODUCT(((Başvuru!J2:K1562)="Dr. Öğr. Üyesi Müge DEMİR")*(Başvuru!G2:G1562="Bireysel Araştırma")*(Başvuru!L2:L1562="KAEK"))</f>
        <v>6</v>
      </c>
      <c r="G14" s="118">
        <f t="array" ref="G14">SUMPRODUCT(((Başvuru!J2:K1562)="Dr. Öğr. Üyesi Müge DEMİR")*(Başvuru!G2:G1562="Bireysel Araştırma")*(Başvuru!L2:L1562="GÖRÜŞ"))</f>
        <v>0</v>
      </c>
      <c r="H14" s="118">
        <f t="array" ref="H14">SUMPRODUCT(((Başvuru!J2:K1562)="Dr. Öğr. Üyesi Müge DEMİR")*(Başvuru!G2:G1562="Bireysel Araştırma")*(Başvuru!L2:L1562="RET"))</f>
        <v>5</v>
      </c>
      <c r="I14" s="118">
        <f t="array" ref="I14">SUMPRODUCT(((Başvuru!J2:K1562)="Dr. Öğr. Üyesi Müge DEMİR")*(Başvuru!G2:G1562="Bireysel Araştırma")*(Başvuru!L2:L1562="KAPSAM DIŞI"))</f>
        <v>5</v>
      </c>
      <c r="J14" s="118">
        <f t="array" ref="J14">SUMPRODUCT(((Başvuru!J2:K1562)="Dr. Öğr. Üyesi Müge DEMİR")*(Başvuru!G2:G1562="Bireysel Araştırma")*(Başvuru!L2:L1562="GERİ ÇEKİLDİ"))</f>
        <v>0</v>
      </c>
      <c r="K14" s="117">
        <f t="shared" si="0"/>
        <v>86</v>
      </c>
      <c r="L14" s="117">
        <f t="array" ref="L14">SUMPRODUCT(((Başvuru!J2:K1562)="Dr. Öğr. Üyesi Müge DEMİR")*(Başvuru!G2:G1562="Yüksek Lisans Tezi")*(Başvuru!L2:L1562="ONAY"))</f>
        <v>2</v>
      </c>
      <c r="M14" s="117">
        <f t="array" ref="M14">SUMPRODUCT(((Başvuru!J2:K1562)="Dr. Öğr. Üyesi Müge DEMİR")*(Başvuru!G2:G1562="Yüksek Lisans Tezi")*(Başvuru!L2:L1562="DÜZELTME"))</f>
        <v>1</v>
      </c>
      <c r="N14" s="117">
        <f t="array" ref="N14">SUMPRODUCT(((Başvuru!J2:K1562)="Dr. Öğr. Üyesi Müge DEMİR")*(Başvuru!G2:G1562="Yüksek Lisans Tezi")*(Başvuru!L2:L1562="KAEK"))</f>
        <v>0</v>
      </c>
      <c r="O14" s="117">
        <f t="array" ref="O14">SUMPRODUCT(((Başvuru!J2:K1562)="Dr. Öğr. Üyesi Müge DEMİR")*(Başvuru!G2:G1562="Yüksek Lisans Tezi")*(Başvuru!L2:L1562="GÖRÜŞ"))</f>
        <v>0</v>
      </c>
      <c r="P14" s="117">
        <f t="array" ref="P14">SUMPRODUCT(((Başvuru!J2:K1562)="Dr. Öğr. Üyesi Müge DEMİR")*(Başvuru!G2:G1562="Yüksek Lisans Tezi")*(Başvuru!L2:L1562="RET"))</f>
        <v>0</v>
      </c>
      <c r="Q14" s="117">
        <f t="array" ref="Q14">SUMPRODUCT(((Başvuru!J2:K1562)="Dr. Öğr. Üyesi Müge DEMİR")*(Başvuru!G2:G1562="Yüksek Lisans Tezi")*(Başvuru!L2:L1562="KAPSAM DIŞI"))</f>
        <v>0</v>
      </c>
      <c r="R14" s="117">
        <f t="array" ref="R14">SUMPRODUCT(((Başvuru!J2:K1562)="Dr. Öğr. Üyesi Müge DEMİR")*(Başvuru!G2:G1562="Yüksek Lisans Tezi")*(Başvuru!L2:L1562="GERİ ÇEKİLDİ"))</f>
        <v>0</v>
      </c>
      <c r="S14" s="117">
        <f t="shared" si="1"/>
        <v>3</v>
      </c>
      <c r="T14" s="117">
        <f t="array" ref="T14">SUMPRODUCT(((Başvuru!J2:K1562)="Dr. Öğr. Üyesi Müge DEMİR")*(Başvuru!G2:G1562="Doktora Tezi")*(Başvuru!L2:L1562="ONAY"))</f>
        <v>5</v>
      </c>
      <c r="U14" s="117">
        <f t="array" ref="U14">SUMPRODUCT(((Başvuru!J2:K1562)="Dr. Öğr. Üyesi Müge DEMİR")*(Başvuru!G2:G1562="Doktora Tezi")*(Başvuru!L2:L1562="DÜZELTME"))</f>
        <v>1</v>
      </c>
      <c r="V14" s="117">
        <f t="array" ref="V14">SUMPRODUCT(((Başvuru!J2:K1562)="Dr. Öğr. Üyesi Müge DEMİR")*(Başvuru!G2:G1562="Doktora Tezi")*(Başvuru!L2:L1562="KAEK"))</f>
        <v>0</v>
      </c>
      <c r="W14" s="117">
        <f t="array" ref="W14">SUMPRODUCT(((Başvuru!J2:K1562)="Dr. Öğr. Üyesi Müge DEMİR")*(Başvuru!G2:G1562="Doktora Tezi")*(Başvuru!L2:L1562="GÖRÜŞ"))</f>
        <v>0</v>
      </c>
      <c r="X14" s="117">
        <f t="array" ref="X14">SUMPRODUCT(((Başvuru!J2:K1562)="Dr. Öğr. Üyesi Müge DEMİR")*(Başvuru!G2:G1562="Doktora Tezi")*(Başvuru!L2:L1562="RET"))</f>
        <v>0</v>
      </c>
      <c r="Y14" s="117">
        <f t="array" ref="Y14">SUMPRODUCT(((Başvuru!J2:K1562)="Dr. Öğr. Üyesi Müge DEMİR")*(Başvuru!G2:G1562="Doktora Tezi")*(Başvuru!L2:L1562="KAPSAM DIŞI"))</f>
        <v>0</v>
      </c>
      <c r="Z14" s="117">
        <f t="array" ref="Z14">SUMPRODUCT(((Başvuru!J2:K1562)="Dr. Öğr. Üyesi Müge DEMİR")*(Başvuru!G2:G1562="Doktora Tezi")*(Başvuru!L2:L1562="GERİ ÇEKİLDİ"))</f>
        <v>0</v>
      </c>
      <c r="AA14" s="117">
        <f t="shared" si="2"/>
        <v>6</v>
      </c>
      <c r="AB14" s="117">
        <f t="array" ref="AB14">SUMPRODUCT(((Başvuru!J2:K1562)="Dr. Öğr. Üyesi Müge DEMİR")*(Başvuru!G2:G1562="Uzmanlık Tezi")*(Başvuru!L2:L1562="ONAY"))</f>
        <v>7</v>
      </c>
      <c r="AC14" s="117">
        <f t="array" ref="AC14">SUMPRODUCT(((Başvuru!J2:K1562)="Dr. Öğr. Üyesi Müge DEMİR")*(Başvuru!G2:G1562="Uzmanlık Tezi")*(Başvuru!L2:L1562="DÜZELTME"))</f>
        <v>5</v>
      </c>
      <c r="AD14" s="117">
        <f t="array" ref="AD14">SUMPRODUCT(((Başvuru!J2:K1562)="Dr. Öğr. Üyesi Müge DEMİR")*(Başvuru!G2:G1562="Uzmanlık Tezi")*(Başvuru!L2:L1562="KAEK"))</f>
        <v>2</v>
      </c>
      <c r="AE14" s="117">
        <f t="array" ref="AE14">SUMPRODUCT(((Başvuru!J2:K1562)="Dr. Öğr. Üyesi Müge DEMİR")*(Başvuru!G2:G1562="Uzmanlık Tezi")*(Başvuru!L2:L1562="GÖRÜŞ"))</f>
        <v>0</v>
      </c>
      <c r="AF14" s="117">
        <f t="array" ref="AF14">SUMPRODUCT(((Başvuru!J2:K1562)="Dr. Öğr. Üyesi Müge DEMİR")*(Başvuru!G2:G1562="Uzmanlık Tezi")*(Başvuru!L2:L1562="RET"))</f>
        <v>2</v>
      </c>
      <c r="AG14" s="117">
        <f t="array" ref="AG14">SUMPRODUCT(((Başvuru!J2:K1562)="Dr. Öğr. Üyesi Müge DEMİR")*(Başvuru!G2:G1562="Uzmanlık Tezi")*(Başvuru!L2:L1562="KAPSAM DIŞI"))</f>
        <v>0</v>
      </c>
      <c r="AH14" s="117">
        <f t="array" ref="AH14">SUMPRODUCT(((Başvuru!J2:K1562)="Dr. Öğr. Üyesi Müge DEMİR")*(Başvuru!G2:G1562="Uzmanlık Tezi")*(Başvuru!L2:L1562="GERİ ÇEKİLDİ"))</f>
        <v>0</v>
      </c>
      <c r="AI14" s="117">
        <f t="shared" si="3"/>
        <v>16</v>
      </c>
      <c r="AJ14" s="119">
        <f t="shared" si="4"/>
        <v>48</v>
      </c>
      <c r="AK14" s="119">
        <f t="shared" si="5"/>
        <v>43</v>
      </c>
      <c r="AL14" s="119">
        <f t="shared" si="6"/>
        <v>8</v>
      </c>
      <c r="AM14" s="119">
        <f t="shared" si="7"/>
        <v>0</v>
      </c>
      <c r="AN14" s="119">
        <f t="shared" si="8"/>
        <v>7</v>
      </c>
      <c r="AO14" s="119">
        <f t="shared" si="9"/>
        <v>5</v>
      </c>
      <c r="AP14" s="119">
        <f t="shared" si="10"/>
        <v>0</v>
      </c>
      <c r="AQ14" s="120">
        <f t="shared" si="11"/>
        <v>111</v>
      </c>
      <c r="AR14" s="117">
        <f t="shared" si="12"/>
        <v>4</v>
      </c>
      <c r="AS14" s="121">
        <f>COUNTIF(Başvuru!$Q:$Q,$B14)</f>
        <v>25</v>
      </c>
      <c r="AT14" s="122">
        <f>COUNTIFS(Başvuru!$Q:$Q,$B14,Başvuru!$J:$J,"&lt;&gt;"&amp;$B14,Başvuru!$K:$K,"&lt;&gt;"&amp;$B14)</f>
        <v>5</v>
      </c>
    </row>
    <row r="15" spans="1:46" s="130" customFormat="1" ht="30" customHeight="1" x14ac:dyDescent="0.25">
      <c r="A15" s="239" t="s">
        <v>4335</v>
      </c>
      <c r="B15" s="239"/>
      <c r="C15" s="123">
        <f t="shared" ref="C15:AP15" si="13">SUM(C3:C14)</f>
        <v>1340</v>
      </c>
      <c r="D15" s="123">
        <f t="shared" si="13"/>
        <v>532</v>
      </c>
      <c r="E15" s="123">
        <f t="shared" si="13"/>
        <v>294</v>
      </c>
      <c r="F15" s="123">
        <f t="shared" si="13"/>
        <v>28</v>
      </c>
      <c r="G15" s="123">
        <f t="shared" si="13"/>
        <v>36</v>
      </c>
      <c r="H15" s="123">
        <f t="shared" si="13"/>
        <v>34</v>
      </c>
      <c r="I15" s="123">
        <f t="shared" si="13"/>
        <v>22</v>
      </c>
      <c r="J15" s="123">
        <f t="shared" si="13"/>
        <v>0</v>
      </c>
      <c r="K15" s="124">
        <f t="shared" si="13"/>
        <v>946</v>
      </c>
      <c r="L15" s="123">
        <f t="shared" si="13"/>
        <v>16</v>
      </c>
      <c r="M15" s="123">
        <f t="shared" si="13"/>
        <v>22</v>
      </c>
      <c r="N15" s="123">
        <f t="shared" si="13"/>
        <v>2</v>
      </c>
      <c r="O15" s="123">
        <f t="shared" si="13"/>
        <v>0</v>
      </c>
      <c r="P15" s="123">
        <f t="shared" si="13"/>
        <v>2</v>
      </c>
      <c r="Q15" s="123">
        <f t="shared" si="13"/>
        <v>0</v>
      </c>
      <c r="R15" s="123">
        <f t="shared" si="13"/>
        <v>0</v>
      </c>
      <c r="S15" s="124">
        <f t="shared" si="13"/>
        <v>42</v>
      </c>
      <c r="T15" s="123">
        <f t="shared" si="13"/>
        <v>30</v>
      </c>
      <c r="U15" s="123">
        <f t="shared" si="13"/>
        <v>28</v>
      </c>
      <c r="V15" s="123">
        <f t="shared" si="13"/>
        <v>0</v>
      </c>
      <c r="W15" s="123">
        <f t="shared" si="13"/>
        <v>6</v>
      </c>
      <c r="X15" s="123">
        <f t="shared" si="13"/>
        <v>0</v>
      </c>
      <c r="Y15" s="123">
        <f t="shared" si="13"/>
        <v>0</v>
      </c>
      <c r="Z15" s="123">
        <f t="shared" si="13"/>
        <v>0</v>
      </c>
      <c r="AA15" s="124">
        <f t="shared" si="13"/>
        <v>64</v>
      </c>
      <c r="AB15" s="123">
        <f t="shared" si="13"/>
        <v>118</v>
      </c>
      <c r="AC15" s="123">
        <f t="shared" si="13"/>
        <v>74</v>
      </c>
      <c r="AD15" s="123">
        <f t="shared" si="13"/>
        <v>4</v>
      </c>
      <c r="AE15" s="123">
        <f t="shared" si="13"/>
        <v>6</v>
      </c>
      <c r="AF15" s="123">
        <f t="shared" si="13"/>
        <v>6</v>
      </c>
      <c r="AG15" s="123">
        <f t="shared" si="13"/>
        <v>4</v>
      </c>
      <c r="AH15" s="123">
        <f t="shared" si="13"/>
        <v>0</v>
      </c>
      <c r="AI15" s="124">
        <f t="shared" si="13"/>
        <v>212</v>
      </c>
      <c r="AJ15" s="125">
        <f t="shared" si="13"/>
        <v>696</v>
      </c>
      <c r="AK15" s="125">
        <f t="shared" si="13"/>
        <v>418</v>
      </c>
      <c r="AL15" s="125">
        <f t="shared" si="13"/>
        <v>34</v>
      </c>
      <c r="AM15" s="125">
        <f t="shared" si="13"/>
        <v>48</v>
      </c>
      <c r="AN15" s="125">
        <f t="shared" si="13"/>
        <v>42</v>
      </c>
      <c r="AO15" s="125">
        <f t="shared" si="13"/>
        <v>26</v>
      </c>
      <c r="AP15" s="125">
        <f t="shared" si="13"/>
        <v>0</v>
      </c>
      <c r="AQ15" s="126">
        <f t="shared" si="11"/>
        <v>1264</v>
      </c>
      <c r="AR15" s="127">
        <f>SUM(AR3:AR14)</f>
        <v>76</v>
      </c>
      <c r="AS15" s="128">
        <f>SUM(AS3:AS14)</f>
        <v>146</v>
      </c>
      <c r="AT15" s="129">
        <f>SUM(AT3:AT14)</f>
        <v>11</v>
      </c>
    </row>
    <row r="16" spans="1:46" s="130" customFormat="1" ht="33" customHeight="1" x14ac:dyDescent="0.25">
      <c r="A16" s="240" t="s">
        <v>4336</v>
      </c>
      <c r="B16" s="240"/>
      <c r="C16" s="124">
        <f>COUNTIFS(Başvuru!$A:$A,"&lt;&gt;",Başvuru!$F:$F,"&lt;&gt;")-1</f>
        <v>670</v>
      </c>
      <c r="D16" s="131"/>
      <c r="E16" s="132"/>
      <c r="F16" s="132"/>
      <c r="G16" s="132"/>
      <c r="H16" s="132"/>
      <c r="I16" s="132"/>
      <c r="J16" s="132"/>
      <c r="K16" s="133"/>
      <c r="L16" s="131"/>
      <c r="M16" s="132"/>
      <c r="N16" s="132"/>
      <c r="O16" s="132"/>
      <c r="P16" s="132"/>
      <c r="Q16" s="132"/>
      <c r="R16" s="132"/>
      <c r="S16" s="134"/>
      <c r="T16" s="131"/>
      <c r="U16" s="132"/>
      <c r="V16" s="132"/>
      <c r="W16" s="132"/>
      <c r="X16" s="132"/>
      <c r="Y16" s="132"/>
      <c r="Z16" s="132"/>
      <c r="AA16" s="134"/>
      <c r="AB16" s="131"/>
      <c r="AC16" s="132"/>
      <c r="AD16" s="132"/>
      <c r="AE16" s="132"/>
      <c r="AF16" s="132"/>
      <c r="AG16" s="132"/>
      <c r="AH16" s="132"/>
      <c r="AI16" s="134"/>
      <c r="AJ16" s="135"/>
      <c r="AK16" s="135"/>
      <c r="AL16" s="135"/>
      <c r="AM16" s="135"/>
      <c r="AN16" s="135"/>
      <c r="AO16" s="135"/>
      <c r="AP16" s="135"/>
      <c r="AQ16" s="135"/>
      <c r="AR16" s="124">
        <f>AR15/2</f>
        <v>38</v>
      </c>
      <c r="AS16" s="110"/>
      <c r="AT16" s="110"/>
    </row>
    <row r="20" spans="1:3" ht="30" customHeight="1" x14ac:dyDescent="0.3">
      <c r="A20" s="136" t="s">
        <v>4328</v>
      </c>
      <c r="B20" s="1" t="s">
        <v>4337</v>
      </c>
      <c r="C20" s="1" t="s">
        <v>4330</v>
      </c>
    </row>
    <row r="21" spans="1:3" ht="30" customHeight="1" x14ac:dyDescent="0.3">
      <c r="A21" s="137" t="s">
        <v>61</v>
      </c>
      <c r="B21" s="116" t="s">
        <v>34</v>
      </c>
      <c r="C21" s="138">
        <f>COUNTIF(Başvuru!G2:G1562,"Bireysel Araştırma")</f>
        <v>504</v>
      </c>
    </row>
    <row r="22" spans="1:3" ht="30" customHeight="1" x14ac:dyDescent="0.3">
      <c r="A22" s="139" t="s">
        <v>71</v>
      </c>
      <c r="B22" s="140" t="s">
        <v>36</v>
      </c>
      <c r="C22" s="141">
        <f>COUNTIF(Başvuru!G2:G1562,"Yüksek Lisans Tezi")</f>
        <v>21</v>
      </c>
    </row>
    <row r="23" spans="1:3" ht="30" customHeight="1" x14ac:dyDescent="0.3">
      <c r="A23" s="137" t="s">
        <v>79</v>
      </c>
      <c r="B23" s="116" t="s">
        <v>37</v>
      </c>
      <c r="C23" s="138">
        <f>COUNTIF(Başvuru!G2:G1562,"Doktora Tezi")</f>
        <v>33</v>
      </c>
    </row>
    <row r="24" spans="1:3" ht="30" customHeight="1" x14ac:dyDescent="0.3">
      <c r="A24" s="139" t="s">
        <v>88</v>
      </c>
      <c r="B24" s="140" t="s">
        <v>35</v>
      </c>
      <c r="C24" s="141">
        <f>COUNTIF(Başvuru!G2:G1562,"Uzmanlık Tezi")</f>
        <v>112</v>
      </c>
    </row>
    <row r="25" spans="1:3" ht="30" customHeight="1" x14ac:dyDescent="0.3">
      <c r="A25" s="241" t="s">
        <v>4</v>
      </c>
      <c r="B25" s="241"/>
      <c r="C25" s="1">
        <f>SUM(C21:C24)</f>
        <v>670</v>
      </c>
    </row>
    <row r="26" spans="1:3" ht="30" customHeight="1" x14ac:dyDescent="0.3">
      <c r="B26" s="112"/>
      <c r="C26" s="112"/>
    </row>
    <row r="27" spans="1:3" ht="30" customHeight="1" x14ac:dyDescent="0.3">
      <c r="A27" s="136" t="s">
        <v>4328</v>
      </c>
      <c r="B27" s="1" t="s">
        <v>4338</v>
      </c>
      <c r="C27" s="1" t="s">
        <v>4330</v>
      </c>
    </row>
    <row r="28" spans="1:3" ht="30" customHeight="1" x14ac:dyDescent="0.3">
      <c r="A28" s="137" t="s">
        <v>61</v>
      </c>
      <c r="B28" s="142" t="s">
        <v>4317</v>
      </c>
      <c r="C28" s="138">
        <f>COUNTIFS(Başvuru!$A:$A,"&lt;&gt;"&amp;"",Başvuru!$F:$F,"&lt;&gt;"&amp;"",Başvuru!$L:$L,"ONAY")</f>
        <v>348</v>
      </c>
    </row>
    <row r="29" spans="1:3" ht="30" customHeight="1" x14ac:dyDescent="0.3">
      <c r="A29" s="137" t="s">
        <v>71</v>
      </c>
      <c r="B29" s="142" t="s">
        <v>4318</v>
      </c>
      <c r="C29" s="138">
        <f>COUNTIFS(Başvuru!$A:$A,"&lt;&gt;"&amp;"",Başvuru!$F:$F,"&lt;&gt;"&amp;"",Başvuru!$L:$L,"DÜZELTME")</f>
        <v>209</v>
      </c>
    </row>
    <row r="30" spans="1:3" ht="30" customHeight="1" x14ac:dyDescent="0.3">
      <c r="A30" s="137" t="s">
        <v>79</v>
      </c>
      <c r="B30" s="142" t="s">
        <v>232</v>
      </c>
      <c r="C30" s="138">
        <f>COUNTIFS(Başvuru!$A:$A,"&lt;&gt;"&amp;"",Başvuru!$F:$F,"&lt;&gt;"&amp;"",Başvuru!$L:$L,"KAEK")</f>
        <v>17</v>
      </c>
    </row>
    <row r="31" spans="1:3" ht="30" customHeight="1" x14ac:dyDescent="0.3">
      <c r="A31" s="137" t="s">
        <v>88</v>
      </c>
      <c r="B31" s="142" t="s">
        <v>4319</v>
      </c>
      <c r="C31" s="138">
        <f>COUNTIFS(Başvuru!$A:$A,"&lt;&gt;"&amp;"",Başvuru!$F:$F,"&lt;&gt;"&amp;"",Başvuru!$L:$L,"GÖRÜŞ")</f>
        <v>24</v>
      </c>
    </row>
    <row r="32" spans="1:3" ht="30" customHeight="1" x14ac:dyDescent="0.3">
      <c r="A32" s="137" t="s">
        <v>98</v>
      </c>
      <c r="B32" s="142" t="s">
        <v>4320</v>
      </c>
      <c r="C32" s="138">
        <f>COUNTIFS(Başvuru!$A:$A,"&lt;&gt;"&amp;"",Başvuru!$F:$F,"&lt;&gt;"&amp;"",Başvuru!$L:$L,"RET")</f>
        <v>21</v>
      </c>
    </row>
    <row r="33" spans="1:3" ht="30" customHeight="1" x14ac:dyDescent="0.3">
      <c r="A33" s="137" t="s">
        <v>107</v>
      </c>
      <c r="B33" s="142" t="s">
        <v>4321</v>
      </c>
      <c r="C33" s="138">
        <f>COUNTIFS(Başvuru!$A:$A,"&lt;&gt;"&amp;"",Başvuru!$F:$F,"&lt;&gt;"&amp;"",Başvuru!$L:$L,"KAPSAM DIŞI")</f>
        <v>13</v>
      </c>
    </row>
    <row r="34" spans="1:3" ht="30" customHeight="1" x14ac:dyDescent="0.3">
      <c r="A34" s="137" t="s">
        <v>115</v>
      </c>
      <c r="B34" s="142" t="s">
        <v>4322</v>
      </c>
      <c r="C34" s="138">
        <f>COUNTIFS(Başvuru!$A:$A,"&lt;&gt;"&amp;"",Başvuru!$F:$F,"&lt;&gt;"&amp;"",Başvuru!$L:$L,"GERİ ÇEKİLDİ")</f>
        <v>0</v>
      </c>
    </row>
    <row r="35" spans="1:3" ht="30" customHeight="1" x14ac:dyDescent="0.3">
      <c r="A35" s="137" t="s">
        <v>123</v>
      </c>
      <c r="B35" s="142" t="s">
        <v>4339</v>
      </c>
      <c r="C35" s="138">
        <f>COUNTIFS(Başvuru!$A:$A,"&lt;&gt;"&amp;"",Başvuru!$F:$F,"&lt;&gt;"&amp;"",Başvuru!$L:$L,"")</f>
        <v>38</v>
      </c>
    </row>
    <row r="36" spans="1:3" ht="20.25" customHeight="1" x14ac:dyDescent="0.3">
      <c r="A36" s="242" t="s">
        <v>4</v>
      </c>
      <c r="B36" s="242"/>
      <c r="C36" s="1">
        <f>SUM(C28:C35)</f>
        <v>670</v>
      </c>
    </row>
  </sheetData>
  <mergeCells count="15">
    <mergeCell ref="AT1:AT2"/>
    <mergeCell ref="A15:B15"/>
    <mergeCell ref="A16:B16"/>
    <mergeCell ref="A25:B25"/>
    <mergeCell ref="A36:B36"/>
    <mergeCell ref="T1:AA1"/>
    <mergeCell ref="AB1:AI1"/>
    <mergeCell ref="AJ1:AQ1"/>
    <mergeCell ref="AR1:AR2"/>
    <mergeCell ref="AS1:AS2"/>
    <mergeCell ref="A1:A2"/>
    <mergeCell ref="B1:B2"/>
    <mergeCell ref="C1:C2"/>
    <mergeCell ref="D1:K1"/>
    <mergeCell ref="L1:S1"/>
  </mergeCells>
  <conditionalFormatting sqref="A21:C24">
    <cfRule type="expression" dxfId="9" priority="4">
      <formula>" =ÇİFTMİ(SATIR())"</formula>
    </cfRule>
  </conditionalFormatting>
  <conditionalFormatting sqref="A28:C35">
    <cfRule type="expression" dxfId="8" priority="2">
      <formula>ISEVEN(ROW())</formula>
    </cfRule>
  </conditionalFormatting>
  <conditionalFormatting sqref="A3:AI14">
    <cfRule type="expression" dxfId="7" priority="5">
      <formula>ISODD(ROW())</formula>
    </cfRule>
  </conditionalFormatting>
  <conditionalFormatting sqref="AR3:AR14">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S86"/>
  <sheetViews>
    <sheetView showGridLines="0" showZeros="0" zoomScaleNormal="100" workbookViewId="0">
      <pane xSplit="2" ySplit="5" topLeftCell="C54" activePane="bottomRight" state="frozen"/>
      <selection pane="topRight" activeCell="C1" sqref="C1"/>
      <selection pane="bottomLeft" activeCell="A54" sqref="A54"/>
      <selection pane="bottomRight" activeCell="H89" sqref="H89"/>
    </sheetView>
  </sheetViews>
  <sheetFormatPr defaultColWidth="8.7109375"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49" t="s">
        <v>4340</v>
      </c>
      <c r="C2" s="249"/>
      <c r="D2" s="249"/>
      <c r="E2" s="249"/>
      <c r="F2" s="249"/>
      <c r="G2" s="249"/>
      <c r="H2" s="249"/>
      <c r="I2" s="249"/>
      <c r="J2" s="249"/>
      <c r="K2" s="249"/>
      <c r="L2" s="249"/>
      <c r="M2" s="249"/>
      <c r="N2" s="249"/>
      <c r="O2" s="249"/>
      <c r="P2" s="249"/>
    </row>
    <row r="3" spans="2:19" ht="18" customHeight="1" x14ac:dyDescent="0.25">
      <c r="B3" s="250" t="s">
        <v>4341</v>
      </c>
      <c r="C3" s="250"/>
      <c r="D3" s="250"/>
      <c r="E3" s="250"/>
      <c r="F3" s="250"/>
      <c r="G3" s="250"/>
      <c r="H3" s="250"/>
      <c r="I3" s="250"/>
      <c r="J3" s="250"/>
      <c r="K3" s="250"/>
      <c r="L3" s="250"/>
      <c r="M3" s="250"/>
      <c r="N3" s="250"/>
      <c r="O3" s="250"/>
      <c r="P3" s="250"/>
    </row>
    <row r="4" spans="2:19" ht="6" customHeight="1" x14ac:dyDescent="0.25"/>
    <row r="5" spans="2:19" ht="19.5" customHeight="1" x14ac:dyDescent="0.25">
      <c r="B5" s="143" t="s">
        <v>4342</v>
      </c>
      <c r="C5" s="144" t="s">
        <v>4343</v>
      </c>
      <c r="D5" s="145" t="s">
        <v>4</v>
      </c>
      <c r="E5" s="143" t="s">
        <v>4344</v>
      </c>
      <c r="F5" s="146" t="s">
        <v>4345</v>
      </c>
      <c r="G5" s="146" t="s">
        <v>4346</v>
      </c>
      <c r="H5" s="146" t="s">
        <v>4347</v>
      </c>
      <c r="I5" s="146" t="s">
        <v>4348</v>
      </c>
      <c r="J5" s="147" t="s">
        <v>69</v>
      </c>
      <c r="K5" s="148" t="s">
        <v>4349</v>
      </c>
      <c r="L5" s="149" t="s">
        <v>232</v>
      </c>
      <c r="M5" s="150" t="s">
        <v>218</v>
      </c>
      <c r="N5" s="151" t="s">
        <v>178</v>
      </c>
      <c r="O5" s="152" t="s">
        <v>4350</v>
      </c>
      <c r="P5" s="153" t="s">
        <v>4351</v>
      </c>
      <c r="Q5" s="154" t="s">
        <v>4352</v>
      </c>
      <c r="R5" s="154" t="s">
        <v>4353</v>
      </c>
      <c r="S5" s="154" t="s">
        <v>4354</v>
      </c>
    </row>
    <row r="6" spans="2:19" ht="15" customHeight="1" x14ac:dyDescent="0.25">
      <c r="B6" s="155">
        <v>1</v>
      </c>
      <c r="C6" s="156" t="str">
        <f>IFERROR(INDEX($Q$6:$Q$86,MATCH(1,$S$6:$S$86,0)),"")</f>
        <v>İç Hastalıkları Anabilim Dalı</v>
      </c>
      <c r="D6" s="157">
        <f>IF(C6="","",COUNTIFS(Başvuru!$D:$D,C6,Başvuru!$A:$A,"&lt;&gt;"&amp;"",Başvuru!$F:$F,"&lt;&gt;"&amp;""))</f>
        <v>119</v>
      </c>
      <c r="E6" s="155" t="str">
        <f>IF(C6="","-",IF(D6&gt;0,TEXT(D6/(COUNTIFS(Başvuru!$A:$A,"&lt;&gt;",Başvuru!$F:$F,"&lt;&gt;")-1)*100,"0.0")&amp;"%","-"))</f>
        <v>18%</v>
      </c>
      <c r="F6" s="158">
        <f>IF(C6="","",COUNTIFS(Başvuru!$D:$D,C6,Başvuru!$G:$G,"Bireysel Araştırma",Başvuru!$A:$A,"&lt;&gt;"&amp;"",Başvuru!$F:$F,"&lt;&gt;"&amp;""))</f>
        <v>110</v>
      </c>
      <c r="G6" s="158">
        <f>IF(C6="","",COUNTIFS(Başvuru!$D:$D,C6,Başvuru!$G:$G,"Uzmanlık Tezi",Başvuru!$A:$A,"&lt;&gt;"&amp;"",Başvuru!$F:$F,"&lt;&gt;"&amp;""))</f>
        <v>8</v>
      </c>
      <c r="H6" s="158">
        <f>IF(C6="","",COUNTIFS(Başvuru!$D:$D,C6,Başvuru!$G:$G,"Doktora Tezi",Başvuru!$A:$A,"&lt;&gt;"&amp;"",Başvuru!$F:$F,"&lt;&gt;"&amp;""))</f>
        <v>1</v>
      </c>
      <c r="I6" s="158">
        <f>IF(C6="","",COUNTIFS(Başvuru!$D:$D,C6,Başvuru!$G:$G,"Yüksek Lisans Tezi",Başvuru!$A:$A,"&lt;&gt;"&amp;"",Başvuru!$F:$F,"&lt;&gt;"&amp;""))</f>
        <v>0</v>
      </c>
      <c r="J6" s="159">
        <f>IF(C6="","",COUNTIFS(Başvuru!$D:$D,C6,Başvuru!$L:$L,"ONAY",Başvuru!$A:$A,"&lt;&gt;"&amp;"",Başvuru!$F:$F,"&lt;&gt;"&amp;""))</f>
        <v>53</v>
      </c>
      <c r="K6" s="160">
        <f>IF(C6="","",COUNTIFS(Başvuru!$D:$D,C6,Başvuru!$L:$L,"DÜZELTME",Başvuru!$A:$A,"&lt;&gt;"&amp;"",Başvuru!$F:$F,"&lt;&gt;"&amp;""))</f>
        <v>34</v>
      </c>
      <c r="L6" s="161">
        <f>IF(C6="","",COUNTIFS(Başvuru!$D:$D,C6,Başvuru!$L:$L,"KAEK",Başvuru!$A:$A,"&lt;&gt;"&amp;"",Başvuru!$F:$F,"&lt;&gt;"&amp;""))</f>
        <v>0</v>
      </c>
      <c r="M6" s="162">
        <f>IF(C6="","",COUNTIFS(Başvuru!$D:$D,C6,Başvuru!$L:$L,"GÖRÜŞ",Başvuru!$A:$A,"&lt;&gt;"&amp;"",Başvuru!$F:$F,"&lt;&gt;"&amp;""))</f>
        <v>8</v>
      </c>
      <c r="N6" s="163">
        <f>IF(C6="","",COUNTIFS(Başvuru!$D:$D,C6,Başvuru!$L:$L,"RET",Başvuru!$A:$A,"&lt;&gt;"&amp;"",Başvuru!$F:$F,"&lt;&gt;"&amp;""))</f>
        <v>3</v>
      </c>
      <c r="O6" s="164">
        <f>IF(C6="","",COUNTIFS(Başvuru!$D:$D,C6,Başvuru!$L:$L,"KAPSAM DIŞI",Başvuru!$A:$A,"&lt;&gt;"&amp;"",Başvuru!$F:$F,"&lt;&gt;"&amp;""))</f>
        <v>7</v>
      </c>
      <c r="P6" s="165">
        <f>IF(C6="","",COUNTIFS(Başvuru!$D:$D,C6,Başvuru!$L:$L,"GERİ ÇEKİLDİ",Başvuru!$A:$A,"&lt;&gt;"&amp;"",Başvuru!$F:$F,"&lt;&gt;"&amp;""))</f>
        <v>0</v>
      </c>
      <c r="Q6" s="166" t="s">
        <v>1375</v>
      </c>
      <c r="R6" s="167">
        <f>COUNTIFS(Başvuru!$D:$D,Q6,Başvuru!$A:$A,"&lt;&gt;"&amp;"",Başvuru!$F:$F,"&lt;&gt;"&amp;"")</f>
        <v>2</v>
      </c>
      <c r="S6" s="167">
        <f>RANK(R6,$R$6:$R$86,0)+COUNTIF($R$6:R6,R6)-1</f>
        <v>45</v>
      </c>
    </row>
    <row r="7" spans="2:19" ht="15" customHeight="1" x14ac:dyDescent="0.25">
      <c r="B7" s="168">
        <v>2</v>
      </c>
      <c r="C7" s="169" t="str">
        <f>IFERROR(INDEX($Q$6:$Q$86,MATCH(2,$S$6:$S$86,0)),"")</f>
        <v>Çocuk Sağlığı ve Hastalıkları Anabilim Dalı</v>
      </c>
      <c r="D7" s="170">
        <f>IF(C7="","",COUNTIFS(Başvuru!$D:$D,C7,Başvuru!$A:$A,"&lt;&gt;"&amp;"",Başvuru!$F:$F,"&lt;&gt;"&amp;""))</f>
        <v>113</v>
      </c>
      <c r="E7" s="168" t="str">
        <f>IF(C7="","-",IF(D7&gt;0,TEXT(D7/(COUNTIFS(Başvuru!$A:$A,"&lt;&gt;",Başvuru!$F:$F,"&lt;&gt;")-1)*100,"0.0")&amp;"%","-"))</f>
        <v>17%</v>
      </c>
      <c r="F7" s="171">
        <f>IF(C7="","",COUNTIFS(Başvuru!$D:$D,C7,Başvuru!$G:$G,"Bireysel Araştırma",Başvuru!$A:$A,"&lt;&gt;"&amp;"",Başvuru!$F:$F,"&lt;&gt;"&amp;""))</f>
        <v>95</v>
      </c>
      <c r="G7" s="171">
        <f>IF(C7="","",COUNTIFS(Başvuru!$D:$D,C7,Başvuru!$G:$G,"Uzmanlık Tezi",Başvuru!$A:$A,"&lt;&gt;"&amp;"",Başvuru!$F:$F,"&lt;&gt;"&amp;""))</f>
        <v>16</v>
      </c>
      <c r="H7" s="171">
        <f>IF(C7="","",COUNTIFS(Başvuru!$D:$D,C7,Başvuru!$G:$G,"Doktora Tezi",Başvuru!$A:$A,"&lt;&gt;"&amp;"",Başvuru!$F:$F,"&lt;&gt;"&amp;""))</f>
        <v>1</v>
      </c>
      <c r="I7" s="171">
        <f>IF(C7="","",COUNTIFS(Başvuru!$D:$D,C7,Başvuru!$G:$G,"Yüksek Lisans Tezi",Başvuru!$A:$A,"&lt;&gt;"&amp;"",Başvuru!$F:$F,"&lt;&gt;"&amp;""))</f>
        <v>1</v>
      </c>
      <c r="J7" s="172">
        <f>IF(C7="","",COUNTIFS(Başvuru!$D:$D,C7,Başvuru!$L:$L,"ONAY",Başvuru!$A:$A,"&lt;&gt;"&amp;"",Başvuru!$F:$F,"&lt;&gt;"&amp;""))</f>
        <v>58</v>
      </c>
      <c r="K7" s="173">
        <f>IF(C7="","",COUNTIFS(Başvuru!$D:$D,C7,Başvuru!$L:$L,"DÜZELTME",Başvuru!$A:$A,"&lt;&gt;"&amp;"",Başvuru!$F:$F,"&lt;&gt;"&amp;""))</f>
        <v>37</v>
      </c>
      <c r="L7" s="174">
        <f>IF(C7="","",COUNTIFS(Başvuru!$D:$D,C7,Başvuru!$L:$L,"KAEK",Başvuru!$A:$A,"&lt;&gt;"&amp;"",Başvuru!$F:$F,"&lt;&gt;"&amp;""))</f>
        <v>5</v>
      </c>
      <c r="M7" s="175">
        <f>IF(C7="","",COUNTIFS(Başvuru!$D:$D,C7,Başvuru!$L:$L,"GÖRÜŞ",Başvuru!$A:$A,"&lt;&gt;"&amp;"",Başvuru!$F:$F,"&lt;&gt;"&amp;""))</f>
        <v>2</v>
      </c>
      <c r="N7" s="176">
        <f>IF(C7="","",COUNTIFS(Başvuru!$D:$D,C7,Başvuru!$L:$L,"RET",Başvuru!$A:$A,"&lt;&gt;"&amp;"",Başvuru!$F:$F,"&lt;&gt;"&amp;""))</f>
        <v>1</v>
      </c>
      <c r="O7" s="177">
        <f>IF(C7="","",COUNTIFS(Başvuru!$D:$D,C7,Başvuru!$L:$L,"KAPSAM DIŞI",Başvuru!$A:$A,"&lt;&gt;"&amp;"",Başvuru!$F:$F,"&lt;&gt;"&amp;""))</f>
        <v>1</v>
      </c>
      <c r="P7" s="178">
        <f>IF(C7="","",COUNTIFS(Başvuru!$D:$D,C7,Başvuru!$L:$L,"GERİ ÇEKİLDİ",Başvuru!$A:$A,"&lt;&gt;"&amp;"",Başvuru!$F:$F,"&lt;&gt;"&amp;""))</f>
        <v>0</v>
      </c>
      <c r="Q7" s="166" t="s">
        <v>997</v>
      </c>
      <c r="R7" s="167">
        <f>COUNTIFS(Başvuru!$D:$D,Q7,Başvuru!$A:$A,"&lt;&gt;"&amp;"",Başvuru!$F:$F,"&lt;&gt;"&amp;"")</f>
        <v>11</v>
      </c>
      <c r="S7" s="167">
        <f>RANK(R7,$R$6:$R$86,0)+COUNTIF($R$6:R7,R7)-1</f>
        <v>14</v>
      </c>
    </row>
    <row r="8" spans="2:19" ht="15" customHeight="1" x14ac:dyDescent="0.25">
      <c r="B8" s="155">
        <v>3</v>
      </c>
      <c r="C8" s="156" t="str">
        <f>IFERROR(INDEX($Q$6:$Q$86,MATCH(3,$S$6:$S$86,0)),"")</f>
        <v>Kadın Hastalıkları ve Doğum Anabilim Dalı</v>
      </c>
      <c r="D8" s="157">
        <f>IF(C8="","",COUNTIFS(Başvuru!$D:$D,C8,Başvuru!$A:$A,"&lt;&gt;"&amp;"",Başvuru!$F:$F,"&lt;&gt;"&amp;""))</f>
        <v>30</v>
      </c>
      <c r="E8" s="155" t="str">
        <f>IF(C8="","-",IF(D8&gt;0,TEXT(D8/(COUNTIFS(Başvuru!$A:$A,"&lt;&gt;",Başvuru!$F:$F,"&lt;&gt;")-1)*100,"0.0")&amp;"%","-"))</f>
        <v>04%</v>
      </c>
      <c r="F8" s="158">
        <f>IF(C8="","",COUNTIFS(Başvuru!$D:$D,C8,Başvuru!$G:$G,"Bireysel Araştırma",Başvuru!$A:$A,"&lt;&gt;"&amp;"",Başvuru!$F:$F,"&lt;&gt;"&amp;""))</f>
        <v>24</v>
      </c>
      <c r="G8" s="158">
        <f>IF(C8="","",COUNTIFS(Başvuru!$D:$D,C8,Başvuru!$G:$G,"Uzmanlık Tezi",Başvuru!$A:$A,"&lt;&gt;"&amp;"",Başvuru!$F:$F,"&lt;&gt;"&amp;""))</f>
        <v>6</v>
      </c>
      <c r="H8" s="158">
        <f>IF(C8="","",COUNTIFS(Başvuru!$D:$D,C8,Başvuru!$G:$G,"Doktora Tezi",Başvuru!$A:$A,"&lt;&gt;"&amp;"",Başvuru!$F:$F,"&lt;&gt;"&amp;""))</f>
        <v>0</v>
      </c>
      <c r="I8" s="158">
        <f>IF(C8="","",COUNTIFS(Başvuru!$D:$D,C8,Başvuru!$G:$G,"Yüksek Lisans Tezi",Başvuru!$A:$A,"&lt;&gt;"&amp;"",Başvuru!$F:$F,"&lt;&gt;"&amp;""))</f>
        <v>0</v>
      </c>
      <c r="J8" s="159">
        <f>IF(C8="","",COUNTIFS(Başvuru!$D:$D,C8,Başvuru!$L:$L,"ONAY",Başvuru!$A:$A,"&lt;&gt;"&amp;"",Başvuru!$F:$F,"&lt;&gt;"&amp;""))</f>
        <v>15</v>
      </c>
      <c r="K8" s="160">
        <f>IF(C8="","",COUNTIFS(Başvuru!$D:$D,C8,Başvuru!$L:$L,"DÜZELTME",Başvuru!$A:$A,"&lt;&gt;"&amp;"",Başvuru!$F:$F,"&lt;&gt;"&amp;""))</f>
        <v>8</v>
      </c>
      <c r="L8" s="161">
        <f>IF(C8="","",COUNTIFS(Başvuru!$D:$D,C8,Başvuru!$L:$L,"KAEK",Başvuru!$A:$A,"&lt;&gt;"&amp;"",Başvuru!$F:$F,"&lt;&gt;"&amp;""))</f>
        <v>2</v>
      </c>
      <c r="M8" s="162">
        <f>IF(C8="","",COUNTIFS(Başvuru!$D:$D,C8,Başvuru!$L:$L,"GÖRÜŞ",Başvuru!$A:$A,"&lt;&gt;"&amp;"",Başvuru!$F:$F,"&lt;&gt;"&amp;""))</f>
        <v>1</v>
      </c>
      <c r="N8" s="163">
        <f>IF(C8="","",COUNTIFS(Başvuru!$D:$D,C8,Başvuru!$L:$L,"RET",Başvuru!$A:$A,"&lt;&gt;"&amp;"",Başvuru!$F:$F,"&lt;&gt;"&amp;""))</f>
        <v>4</v>
      </c>
      <c r="O8" s="164">
        <f>IF(C8="","",COUNTIFS(Başvuru!$D:$D,C8,Başvuru!$L:$L,"KAPSAM DIŞI",Başvuru!$A:$A,"&lt;&gt;"&amp;"",Başvuru!$F:$F,"&lt;&gt;"&amp;""))</f>
        <v>0</v>
      </c>
      <c r="P8" s="165">
        <f>IF(C8="","",COUNTIFS(Başvuru!$D:$D,C8,Başvuru!$L:$L,"GERİ ÇEKİLDİ",Başvuru!$A:$A,"&lt;&gt;"&amp;"",Başvuru!$F:$F,"&lt;&gt;"&amp;""))</f>
        <v>0</v>
      </c>
      <c r="Q8" s="179" t="s">
        <v>2460</v>
      </c>
      <c r="R8" s="167">
        <f>COUNTIFS(Başvuru!$D:$D,Q8,Başvuru!$A:$A,"&lt;&gt;"&amp;"",Başvuru!$F:$F,"&lt;&gt;"&amp;"")</f>
        <v>1</v>
      </c>
      <c r="S8" s="167">
        <f>RANK(R8,$R$6:$R$86,0)+COUNTIF($R$6:R8,R8)-1</f>
        <v>56</v>
      </c>
    </row>
    <row r="9" spans="2:19" ht="15" customHeight="1" x14ac:dyDescent="0.25">
      <c r="B9" s="168">
        <v>4</v>
      </c>
      <c r="C9" s="169" t="str">
        <f>IFERROR(INDEX($Q$6:$Q$86,MATCH(4,$S$6:$S$86,0)),"")</f>
        <v>Radyoloji Anabilim Dalı</v>
      </c>
      <c r="D9" s="170">
        <f>IF(C9="","",COUNTIFS(Başvuru!$D:$D,C9,Başvuru!$A:$A,"&lt;&gt;"&amp;"",Başvuru!$F:$F,"&lt;&gt;"&amp;""))</f>
        <v>22</v>
      </c>
      <c r="E9" s="168" t="str">
        <f>IF(C9="","-",IF(D9&gt;0,TEXT(D9/(COUNTIFS(Başvuru!$A:$A,"&lt;&gt;",Başvuru!$F:$F,"&lt;&gt;")-1)*100,"0.0")&amp;"%","-"))</f>
        <v>03%</v>
      </c>
      <c r="F9" s="171">
        <f>IF(C9="","",COUNTIFS(Başvuru!$D:$D,C9,Başvuru!$G:$G,"Bireysel Araştırma",Başvuru!$A:$A,"&lt;&gt;"&amp;"",Başvuru!$F:$F,"&lt;&gt;"&amp;""))</f>
        <v>16</v>
      </c>
      <c r="G9" s="171">
        <f>IF(C9="","",COUNTIFS(Başvuru!$D:$D,C9,Başvuru!$G:$G,"Uzmanlık Tezi",Başvuru!$A:$A,"&lt;&gt;"&amp;"",Başvuru!$F:$F,"&lt;&gt;"&amp;""))</f>
        <v>6</v>
      </c>
      <c r="H9" s="171">
        <f>IF(C9="","",COUNTIFS(Başvuru!$D:$D,C9,Başvuru!$G:$G,"Doktora Tezi",Başvuru!$A:$A,"&lt;&gt;"&amp;"",Başvuru!$F:$F,"&lt;&gt;"&amp;""))</f>
        <v>0</v>
      </c>
      <c r="I9" s="171">
        <f>IF(C9="","",COUNTIFS(Başvuru!$D:$D,C9,Başvuru!$G:$G,"Yüksek Lisans Tezi",Başvuru!$A:$A,"&lt;&gt;"&amp;"",Başvuru!$F:$F,"&lt;&gt;"&amp;""))</f>
        <v>0</v>
      </c>
      <c r="J9" s="172">
        <f>IF(C9="","",COUNTIFS(Başvuru!$D:$D,C9,Başvuru!$L:$L,"ONAY",Başvuru!$A:$A,"&lt;&gt;"&amp;"",Başvuru!$F:$F,"&lt;&gt;"&amp;""))</f>
        <v>15</v>
      </c>
      <c r="K9" s="173">
        <f>IF(C9="","",COUNTIFS(Başvuru!$D:$D,C9,Başvuru!$L:$L,"DÜZELTME",Başvuru!$A:$A,"&lt;&gt;"&amp;"",Başvuru!$F:$F,"&lt;&gt;"&amp;""))</f>
        <v>7</v>
      </c>
      <c r="L9" s="174">
        <f>IF(C9="","",COUNTIFS(Başvuru!$D:$D,C9,Başvuru!$L:$L,"KAEK",Başvuru!$A:$A,"&lt;&gt;"&amp;"",Başvuru!$F:$F,"&lt;&gt;"&amp;""))</f>
        <v>0</v>
      </c>
      <c r="M9" s="175">
        <f>IF(C9="","",COUNTIFS(Başvuru!$D:$D,C9,Başvuru!$L:$L,"GÖRÜŞ",Başvuru!$A:$A,"&lt;&gt;"&amp;"",Başvuru!$F:$F,"&lt;&gt;"&amp;""))</f>
        <v>0</v>
      </c>
      <c r="N9" s="176">
        <f>IF(C9="","",COUNTIFS(Başvuru!$D:$D,C9,Başvuru!$L:$L,"RET",Başvuru!$A:$A,"&lt;&gt;"&amp;"",Başvuru!$F:$F,"&lt;&gt;"&amp;""))</f>
        <v>0</v>
      </c>
      <c r="O9" s="177">
        <f>IF(C9="","",COUNTIFS(Başvuru!$D:$D,C9,Başvuru!$L:$L,"KAPSAM DIŞI",Başvuru!$A:$A,"&lt;&gt;"&amp;"",Başvuru!$F:$F,"&lt;&gt;"&amp;""))</f>
        <v>0</v>
      </c>
      <c r="P9" s="178">
        <f>IF(C9="","",COUNTIFS(Başvuru!$D:$D,C9,Başvuru!$L:$L,"GERİ ÇEKİLDİ",Başvuru!$A:$A,"&lt;&gt;"&amp;"",Başvuru!$F:$F,"&lt;&gt;"&amp;""))</f>
        <v>0</v>
      </c>
      <c r="Q9" s="166" t="s">
        <v>2248</v>
      </c>
      <c r="R9" s="167">
        <f>COUNTIFS(Başvuru!$D:$D,Q9,Başvuru!$A:$A,"&lt;&gt;"&amp;"",Başvuru!$F:$F,"&lt;&gt;"&amp;"")</f>
        <v>1</v>
      </c>
      <c r="S9" s="167">
        <f>RANK(R9,$R$6:$R$86,0)+COUNTIF($R$6:R9,R9)-1</f>
        <v>57</v>
      </c>
    </row>
    <row r="10" spans="2:19" ht="15" customHeight="1" x14ac:dyDescent="0.25">
      <c r="B10" s="155">
        <v>5</v>
      </c>
      <c r="C10" s="156" t="str">
        <f>IFERROR(INDEX($Q$6:$Q$86,MATCH(5,$S$6:$S$86,0)),"")</f>
        <v>Nöroloji Anabilim Dalı</v>
      </c>
      <c r="D10" s="157">
        <f>IF(C10="","",COUNTIFS(Başvuru!$D:$D,C10,Başvuru!$A:$A,"&lt;&gt;"&amp;"",Başvuru!$F:$F,"&lt;&gt;"&amp;""))</f>
        <v>21</v>
      </c>
      <c r="E10" s="155" t="str">
        <f>IF(C10="","-",IF(D10&gt;0,TEXT(D10/(COUNTIFS(Başvuru!$A:$A,"&lt;&gt;",Başvuru!$F:$F,"&lt;&gt;")-1)*100,"0.0")&amp;"%","-"))</f>
        <v>03%</v>
      </c>
      <c r="F10" s="158">
        <f>IF(C10="","",COUNTIFS(Başvuru!$D:$D,C10,Başvuru!$G:$G,"Bireysel Araştırma",Başvuru!$A:$A,"&lt;&gt;"&amp;"",Başvuru!$F:$F,"&lt;&gt;"&amp;""))</f>
        <v>17</v>
      </c>
      <c r="G10" s="158">
        <f>IF(C10="","",COUNTIFS(Başvuru!$D:$D,C10,Başvuru!$G:$G,"Uzmanlık Tezi",Başvuru!$A:$A,"&lt;&gt;"&amp;"",Başvuru!$F:$F,"&lt;&gt;"&amp;""))</f>
        <v>4</v>
      </c>
      <c r="H10" s="158">
        <f>IF(C10="","",COUNTIFS(Başvuru!$D:$D,C10,Başvuru!$G:$G,"Doktora Tezi",Başvuru!$A:$A,"&lt;&gt;"&amp;"",Başvuru!$F:$F,"&lt;&gt;"&amp;""))</f>
        <v>0</v>
      </c>
      <c r="I10" s="158">
        <f>IF(C10="","",COUNTIFS(Başvuru!$D:$D,C10,Başvuru!$G:$G,"Yüksek Lisans Tezi",Başvuru!$A:$A,"&lt;&gt;"&amp;"",Başvuru!$F:$F,"&lt;&gt;"&amp;""))</f>
        <v>0</v>
      </c>
      <c r="J10" s="159">
        <f>IF(C10="","",COUNTIFS(Başvuru!$D:$D,C10,Başvuru!$L:$L,"ONAY",Başvuru!$A:$A,"&lt;&gt;"&amp;"",Başvuru!$F:$F,"&lt;&gt;"&amp;""))</f>
        <v>17</v>
      </c>
      <c r="K10" s="160">
        <f>IF(C10="","",COUNTIFS(Başvuru!$D:$D,C10,Başvuru!$L:$L,"DÜZELTME",Başvuru!$A:$A,"&lt;&gt;"&amp;"",Başvuru!$F:$F,"&lt;&gt;"&amp;""))</f>
        <v>3</v>
      </c>
      <c r="L10" s="161">
        <f>IF(C10="","",COUNTIFS(Başvuru!$D:$D,C10,Başvuru!$L:$L,"KAEK",Başvuru!$A:$A,"&lt;&gt;"&amp;"",Başvuru!$F:$F,"&lt;&gt;"&amp;""))</f>
        <v>0</v>
      </c>
      <c r="M10" s="162">
        <f>IF(C10="","",COUNTIFS(Başvuru!$D:$D,C10,Başvuru!$L:$L,"GÖRÜŞ",Başvuru!$A:$A,"&lt;&gt;"&amp;"",Başvuru!$F:$F,"&lt;&gt;"&amp;""))</f>
        <v>1</v>
      </c>
      <c r="N10" s="163">
        <f>IF(C10="","",COUNTIFS(Başvuru!$D:$D,C10,Başvuru!$L:$L,"RET",Başvuru!$A:$A,"&lt;&gt;"&amp;"",Başvuru!$F:$F,"&lt;&gt;"&amp;""))</f>
        <v>0</v>
      </c>
      <c r="O10" s="164">
        <f>IF(C10="","",COUNTIFS(Başvuru!$D:$D,C10,Başvuru!$L:$L,"KAPSAM DIŞI",Başvuru!$A:$A,"&lt;&gt;"&amp;"",Başvuru!$F:$F,"&lt;&gt;"&amp;""))</f>
        <v>0</v>
      </c>
      <c r="P10" s="165">
        <f>IF(C10="","",COUNTIFS(Başvuru!$D:$D,C10,Başvuru!$L:$L,"GERİ ÇEKİLDİ",Başvuru!$A:$A,"&lt;&gt;"&amp;"",Başvuru!$F:$F,"&lt;&gt;"&amp;""))</f>
        <v>0</v>
      </c>
      <c r="Q10" s="166" t="s">
        <v>295</v>
      </c>
      <c r="R10" s="167">
        <f>COUNTIFS(Başvuru!$D:$D,Q10,Başvuru!$A:$A,"&lt;&gt;"&amp;"",Başvuru!$F:$F,"&lt;&gt;"&amp;"")</f>
        <v>9</v>
      </c>
      <c r="S10" s="167">
        <f>RANK(R10,$R$6:$R$86,0)+COUNTIF($R$6:R10,R10)-1</f>
        <v>19</v>
      </c>
    </row>
    <row r="11" spans="2:19" ht="15" customHeight="1" x14ac:dyDescent="0.25">
      <c r="B11" s="168">
        <v>6</v>
      </c>
      <c r="C11" s="169" t="str">
        <f>IFERROR(INDEX($Q$6:$Q$86,MATCH(6,$S$6:$S$86,0)),"")</f>
        <v>Kardiyoloji Anabilim Dalı</v>
      </c>
      <c r="D11" s="170">
        <f>IF(C11="","",COUNTIFS(Başvuru!$D:$D,C11,Başvuru!$A:$A,"&lt;&gt;"&amp;"",Başvuru!$F:$F,"&lt;&gt;"&amp;""))</f>
        <v>19</v>
      </c>
      <c r="E11" s="168" t="str">
        <f>IF(C11="","-",IF(D11&gt;0,TEXT(D11/(COUNTIFS(Başvuru!$A:$A,"&lt;&gt;",Başvuru!$F:$F,"&lt;&gt;")-1)*100,"0.0")&amp;"%","-"))</f>
        <v>03%</v>
      </c>
      <c r="F11" s="171">
        <f>IF(C11="","",COUNTIFS(Başvuru!$D:$D,C11,Başvuru!$G:$G,"Bireysel Araştırma",Başvuru!$A:$A,"&lt;&gt;"&amp;"",Başvuru!$F:$F,"&lt;&gt;"&amp;""))</f>
        <v>16</v>
      </c>
      <c r="G11" s="171">
        <f>IF(C11="","",COUNTIFS(Başvuru!$D:$D,C11,Başvuru!$G:$G,"Uzmanlık Tezi",Başvuru!$A:$A,"&lt;&gt;"&amp;"",Başvuru!$F:$F,"&lt;&gt;"&amp;""))</f>
        <v>3</v>
      </c>
      <c r="H11" s="171">
        <f>IF(C11="","",COUNTIFS(Başvuru!$D:$D,C11,Başvuru!$G:$G,"Doktora Tezi",Başvuru!$A:$A,"&lt;&gt;"&amp;"",Başvuru!$F:$F,"&lt;&gt;"&amp;""))</f>
        <v>0</v>
      </c>
      <c r="I11" s="171">
        <f>IF(C11="","",COUNTIFS(Başvuru!$D:$D,C11,Başvuru!$G:$G,"Yüksek Lisans Tezi",Başvuru!$A:$A,"&lt;&gt;"&amp;"",Başvuru!$F:$F,"&lt;&gt;"&amp;""))</f>
        <v>0</v>
      </c>
      <c r="J11" s="172">
        <f>IF(C11="","",COUNTIFS(Başvuru!$D:$D,C11,Başvuru!$L:$L,"ONAY",Başvuru!$A:$A,"&lt;&gt;"&amp;"",Başvuru!$F:$F,"&lt;&gt;"&amp;""))</f>
        <v>12</v>
      </c>
      <c r="K11" s="173">
        <f>IF(C11="","",COUNTIFS(Başvuru!$D:$D,C11,Başvuru!$L:$L,"DÜZELTME",Başvuru!$A:$A,"&lt;&gt;"&amp;"",Başvuru!$F:$F,"&lt;&gt;"&amp;""))</f>
        <v>4</v>
      </c>
      <c r="L11" s="174">
        <f>IF(C11="","",COUNTIFS(Başvuru!$D:$D,C11,Başvuru!$L:$L,"KAEK",Başvuru!$A:$A,"&lt;&gt;"&amp;"",Başvuru!$F:$F,"&lt;&gt;"&amp;""))</f>
        <v>3</v>
      </c>
      <c r="M11" s="175">
        <f>IF(C11="","",COUNTIFS(Başvuru!$D:$D,C11,Başvuru!$L:$L,"GÖRÜŞ",Başvuru!$A:$A,"&lt;&gt;"&amp;"",Başvuru!$F:$F,"&lt;&gt;"&amp;""))</f>
        <v>0</v>
      </c>
      <c r="N11" s="176">
        <f>IF(C11="","",COUNTIFS(Başvuru!$D:$D,C11,Başvuru!$L:$L,"RET",Başvuru!$A:$A,"&lt;&gt;"&amp;"",Başvuru!$F:$F,"&lt;&gt;"&amp;""))</f>
        <v>0</v>
      </c>
      <c r="O11" s="177">
        <f>IF(C11="","",COUNTIFS(Başvuru!$D:$D,C11,Başvuru!$L:$L,"KAPSAM DIŞI",Başvuru!$A:$A,"&lt;&gt;"&amp;"",Başvuru!$F:$F,"&lt;&gt;"&amp;""))</f>
        <v>0</v>
      </c>
      <c r="P11" s="178">
        <f>IF(C11="","",COUNTIFS(Başvuru!$D:$D,C11,Başvuru!$L:$L,"GERİ ÇEKİLDİ",Başvuru!$A:$A,"&lt;&gt;"&amp;"",Başvuru!$F:$F,"&lt;&gt;"&amp;""))</f>
        <v>0</v>
      </c>
      <c r="Q11" s="166" t="s">
        <v>189</v>
      </c>
      <c r="R11" s="167">
        <f>COUNTIFS(Başvuru!$D:$D,Q11,Başvuru!$A:$A,"&lt;&gt;"&amp;"",Başvuru!$F:$F,"&lt;&gt;"&amp;"")</f>
        <v>10</v>
      </c>
      <c r="S11" s="167">
        <f>RANK(R11,$R$6:$R$86,0)+COUNTIF($R$6:R11,R11)-1</f>
        <v>16</v>
      </c>
    </row>
    <row r="12" spans="2:19" ht="15" customHeight="1" x14ac:dyDescent="0.25">
      <c r="B12" s="155">
        <v>7</v>
      </c>
      <c r="C12" s="156" t="str">
        <f>IFERROR(INDEX($Q$6:$Q$86,MATCH(7,$S$6:$S$86,0)),"")</f>
        <v>Klinik Eczacılık Anabilim Dalı</v>
      </c>
      <c r="D12" s="157">
        <f>IF(C12="","",COUNTIFS(Başvuru!$D:$D,C12,Başvuru!$A:$A,"&lt;&gt;"&amp;"",Başvuru!$F:$F,"&lt;&gt;"&amp;""))</f>
        <v>18</v>
      </c>
      <c r="E12" s="155" t="str">
        <f>IF(C12="","-",IF(D12&gt;0,TEXT(D12/(COUNTIFS(Başvuru!$A:$A,"&lt;&gt;",Başvuru!$F:$F,"&lt;&gt;")-1)*100,"0.0")&amp;"%","-"))</f>
        <v>03%</v>
      </c>
      <c r="F12" s="158">
        <f>IF(C12="","",COUNTIFS(Başvuru!$D:$D,C12,Başvuru!$G:$G,"Bireysel Araştırma",Başvuru!$A:$A,"&lt;&gt;"&amp;"",Başvuru!$F:$F,"&lt;&gt;"&amp;""))</f>
        <v>10</v>
      </c>
      <c r="G12" s="158">
        <f>IF(C12="","",COUNTIFS(Başvuru!$D:$D,C12,Başvuru!$G:$G,"Uzmanlık Tezi",Başvuru!$A:$A,"&lt;&gt;"&amp;"",Başvuru!$F:$F,"&lt;&gt;"&amp;""))</f>
        <v>3</v>
      </c>
      <c r="H12" s="158">
        <f>IF(C12="","",COUNTIFS(Başvuru!$D:$D,C12,Başvuru!$G:$G,"Doktora Tezi",Başvuru!$A:$A,"&lt;&gt;"&amp;"",Başvuru!$F:$F,"&lt;&gt;"&amp;""))</f>
        <v>3</v>
      </c>
      <c r="I12" s="158">
        <f>IF(C12="","",COUNTIFS(Başvuru!$D:$D,C12,Başvuru!$G:$G,"Yüksek Lisans Tezi",Başvuru!$A:$A,"&lt;&gt;"&amp;"",Başvuru!$F:$F,"&lt;&gt;"&amp;""))</f>
        <v>2</v>
      </c>
      <c r="J12" s="159">
        <f>IF(C12="","",COUNTIFS(Başvuru!$D:$D,C12,Başvuru!$L:$L,"ONAY",Başvuru!$A:$A,"&lt;&gt;"&amp;"",Başvuru!$F:$F,"&lt;&gt;"&amp;""))</f>
        <v>8</v>
      </c>
      <c r="K12" s="160">
        <f>IF(C12="","",COUNTIFS(Başvuru!$D:$D,C12,Başvuru!$L:$L,"DÜZELTME",Başvuru!$A:$A,"&lt;&gt;"&amp;"",Başvuru!$F:$F,"&lt;&gt;"&amp;""))</f>
        <v>9</v>
      </c>
      <c r="L12" s="161">
        <f>IF(C12="","",COUNTIFS(Başvuru!$D:$D,C12,Başvuru!$L:$L,"KAEK",Başvuru!$A:$A,"&lt;&gt;"&amp;"",Başvuru!$F:$F,"&lt;&gt;"&amp;""))</f>
        <v>0</v>
      </c>
      <c r="M12" s="162">
        <f>IF(C12="","",COUNTIFS(Başvuru!$D:$D,C12,Başvuru!$L:$L,"GÖRÜŞ",Başvuru!$A:$A,"&lt;&gt;"&amp;"",Başvuru!$F:$F,"&lt;&gt;"&amp;""))</f>
        <v>1</v>
      </c>
      <c r="N12" s="163">
        <f>IF(C12="","",COUNTIFS(Başvuru!$D:$D,C12,Başvuru!$L:$L,"RET",Başvuru!$A:$A,"&lt;&gt;"&amp;"",Başvuru!$F:$F,"&lt;&gt;"&amp;""))</f>
        <v>0</v>
      </c>
      <c r="O12" s="164">
        <f>IF(C12="","",COUNTIFS(Başvuru!$D:$D,C12,Başvuru!$L:$L,"KAPSAM DIŞI",Başvuru!$A:$A,"&lt;&gt;"&amp;"",Başvuru!$F:$F,"&lt;&gt;"&amp;""))</f>
        <v>0</v>
      </c>
      <c r="P12" s="165">
        <f>IF(C12="","",COUNTIFS(Başvuru!$D:$D,C12,Başvuru!$L:$L,"GERİ ÇEKİLDİ",Başvuru!$A:$A,"&lt;&gt;"&amp;"",Başvuru!$F:$F,"&lt;&gt;"&amp;""))</f>
        <v>0</v>
      </c>
      <c r="Q12" s="166" t="s">
        <v>229</v>
      </c>
      <c r="R12" s="167">
        <f>COUNTIFS(Başvuru!$D:$D,Q12,Başvuru!$A:$A,"&lt;&gt;"&amp;"",Başvuru!$F:$F,"&lt;&gt;"&amp;"")</f>
        <v>10</v>
      </c>
      <c r="S12" s="167">
        <f>RANK(R12,$R$6:$R$86,0)+COUNTIF($R$6:R12,R12)-1</f>
        <v>17</v>
      </c>
    </row>
    <row r="13" spans="2:19" ht="15" customHeight="1" x14ac:dyDescent="0.25">
      <c r="B13" s="168">
        <v>8</v>
      </c>
      <c r="C13" s="169" t="str">
        <f>IFERROR(INDEX($Q$6:$Q$86,MATCH(8,$S$6:$S$86,0)),"")</f>
        <v>Göz Hastalıkları Anabilim Dalı</v>
      </c>
      <c r="D13" s="170">
        <f>IF(C13="","",COUNTIFS(Başvuru!$D:$D,C13,Başvuru!$A:$A,"&lt;&gt;"&amp;"",Başvuru!$F:$F,"&lt;&gt;"&amp;""))</f>
        <v>16</v>
      </c>
      <c r="E13" s="168" t="str">
        <f>IF(C13="","-",IF(D13&gt;0,TEXT(D13/(COUNTIFS(Başvuru!$A:$A,"&lt;&gt;",Başvuru!$F:$F,"&lt;&gt;")-1)*100,"0.0")&amp;"%","-"))</f>
        <v>02%</v>
      </c>
      <c r="F13" s="171">
        <f>IF(C13="","",COUNTIFS(Başvuru!$D:$D,C13,Başvuru!$G:$G,"Bireysel Araştırma",Başvuru!$A:$A,"&lt;&gt;"&amp;"",Başvuru!$F:$F,"&lt;&gt;"&amp;""))</f>
        <v>16</v>
      </c>
      <c r="G13" s="171">
        <f>IF(C13="","",COUNTIFS(Başvuru!$D:$D,C13,Başvuru!$G:$G,"Uzmanlık Tezi",Başvuru!$A:$A,"&lt;&gt;"&amp;"",Başvuru!$F:$F,"&lt;&gt;"&amp;""))</f>
        <v>0</v>
      </c>
      <c r="H13" s="171">
        <f>IF(C13="","",COUNTIFS(Başvuru!$D:$D,C13,Başvuru!$G:$G,"Doktora Tezi",Başvuru!$A:$A,"&lt;&gt;"&amp;"",Başvuru!$F:$F,"&lt;&gt;"&amp;""))</f>
        <v>0</v>
      </c>
      <c r="I13" s="171">
        <f>IF(C13="","",COUNTIFS(Başvuru!$D:$D,C13,Başvuru!$G:$G,"Yüksek Lisans Tezi",Başvuru!$A:$A,"&lt;&gt;"&amp;"",Başvuru!$F:$F,"&lt;&gt;"&amp;""))</f>
        <v>0</v>
      </c>
      <c r="J13" s="172">
        <f>IF(C13="","",COUNTIFS(Başvuru!$D:$D,C13,Başvuru!$L:$L,"ONAY",Başvuru!$A:$A,"&lt;&gt;"&amp;"",Başvuru!$F:$F,"&lt;&gt;"&amp;""))</f>
        <v>8</v>
      </c>
      <c r="K13" s="173">
        <f>IF(C13="","",COUNTIFS(Başvuru!$D:$D,C13,Başvuru!$L:$L,"DÜZELTME",Başvuru!$A:$A,"&lt;&gt;"&amp;"",Başvuru!$F:$F,"&lt;&gt;"&amp;""))</f>
        <v>2</v>
      </c>
      <c r="L13" s="174">
        <f>IF(C13="","",COUNTIFS(Başvuru!$D:$D,C13,Başvuru!$L:$L,"KAEK",Başvuru!$A:$A,"&lt;&gt;"&amp;"",Başvuru!$F:$F,"&lt;&gt;"&amp;""))</f>
        <v>1</v>
      </c>
      <c r="M13" s="175">
        <f>IF(C13="","",COUNTIFS(Başvuru!$D:$D,C13,Başvuru!$L:$L,"GÖRÜŞ",Başvuru!$A:$A,"&lt;&gt;"&amp;"",Başvuru!$F:$F,"&lt;&gt;"&amp;""))</f>
        <v>0</v>
      </c>
      <c r="N13" s="176">
        <f>IF(C13="","",COUNTIFS(Başvuru!$D:$D,C13,Başvuru!$L:$L,"RET",Başvuru!$A:$A,"&lt;&gt;"&amp;"",Başvuru!$F:$F,"&lt;&gt;"&amp;""))</f>
        <v>1</v>
      </c>
      <c r="O13" s="177">
        <f>IF(C13="","",COUNTIFS(Başvuru!$D:$D,C13,Başvuru!$L:$L,"KAPSAM DIŞI",Başvuru!$A:$A,"&lt;&gt;"&amp;"",Başvuru!$F:$F,"&lt;&gt;"&amp;""))</f>
        <v>0</v>
      </c>
      <c r="P13" s="178">
        <f>IF(C13="","",COUNTIFS(Başvuru!$D:$D,C13,Başvuru!$L:$L,"GERİ ÇEKİLDİ",Başvuru!$A:$A,"&lt;&gt;"&amp;"",Başvuru!$F:$F,"&lt;&gt;"&amp;""))</f>
        <v>0</v>
      </c>
      <c r="Q13" s="166" t="s">
        <v>515</v>
      </c>
      <c r="R13" s="167">
        <f>COUNTIFS(Başvuru!$D:$D,Q13,Başvuru!$A:$A,"&lt;&gt;"&amp;"",Başvuru!$F:$F,"&lt;&gt;"&amp;"")</f>
        <v>8</v>
      </c>
      <c r="S13" s="167">
        <f>RANK(R13,$R$6:$R$86,0)+COUNTIF($R$6:R13,R13)-1</f>
        <v>20</v>
      </c>
    </row>
    <row r="14" spans="2:19" ht="15" customHeight="1" x14ac:dyDescent="0.25">
      <c r="B14" s="155">
        <v>9</v>
      </c>
      <c r="C14" s="156" t="str">
        <f>IFERROR(INDEX($Q$6:$Q$86,MATCH(9,$S$6:$S$86,0)),"")</f>
        <v>Göğüs Hastalıkları Anabilim Dalı</v>
      </c>
      <c r="D14" s="157">
        <f>IF(C14="","",COUNTIFS(Başvuru!$D:$D,C14,Başvuru!$A:$A,"&lt;&gt;"&amp;"",Başvuru!$F:$F,"&lt;&gt;"&amp;""))</f>
        <v>16</v>
      </c>
      <c r="E14" s="155" t="str">
        <f>IF(C14="","-",IF(D14&gt;0,TEXT(D14/(COUNTIFS(Başvuru!$A:$A,"&lt;&gt;",Başvuru!$F:$F,"&lt;&gt;")-1)*100,"0.0")&amp;"%","-"))</f>
        <v>02%</v>
      </c>
      <c r="F14" s="158">
        <f>IF(C14="","",COUNTIFS(Başvuru!$D:$D,C14,Başvuru!$G:$G,"Bireysel Araştırma",Başvuru!$A:$A,"&lt;&gt;"&amp;"",Başvuru!$F:$F,"&lt;&gt;"&amp;""))</f>
        <v>14</v>
      </c>
      <c r="G14" s="158">
        <f>IF(C14="","",COUNTIFS(Başvuru!$D:$D,C14,Başvuru!$G:$G,"Uzmanlık Tezi",Başvuru!$A:$A,"&lt;&gt;"&amp;"",Başvuru!$F:$F,"&lt;&gt;"&amp;""))</f>
        <v>2</v>
      </c>
      <c r="H14" s="158">
        <f>IF(C14="","",COUNTIFS(Başvuru!$D:$D,C14,Başvuru!$G:$G,"Doktora Tezi",Başvuru!$A:$A,"&lt;&gt;"&amp;"",Başvuru!$F:$F,"&lt;&gt;"&amp;""))</f>
        <v>0</v>
      </c>
      <c r="I14" s="158">
        <f>IF(C14="","",COUNTIFS(Başvuru!$D:$D,C14,Başvuru!$G:$G,"Yüksek Lisans Tezi",Başvuru!$A:$A,"&lt;&gt;"&amp;"",Başvuru!$F:$F,"&lt;&gt;"&amp;""))</f>
        <v>0</v>
      </c>
      <c r="J14" s="159">
        <f>IF(C14="","",COUNTIFS(Başvuru!$D:$D,C14,Başvuru!$L:$L,"ONAY",Başvuru!$A:$A,"&lt;&gt;"&amp;"",Başvuru!$F:$F,"&lt;&gt;"&amp;""))</f>
        <v>9</v>
      </c>
      <c r="K14" s="160">
        <f>IF(C14="","",COUNTIFS(Başvuru!$D:$D,C14,Başvuru!$L:$L,"DÜZELTME",Başvuru!$A:$A,"&lt;&gt;"&amp;"",Başvuru!$F:$F,"&lt;&gt;"&amp;""))</f>
        <v>6</v>
      </c>
      <c r="L14" s="161">
        <f>IF(C14="","",COUNTIFS(Başvuru!$D:$D,C14,Başvuru!$L:$L,"KAEK",Başvuru!$A:$A,"&lt;&gt;"&amp;"",Başvuru!$F:$F,"&lt;&gt;"&amp;""))</f>
        <v>0</v>
      </c>
      <c r="M14" s="162">
        <f>IF(C14="","",COUNTIFS(Başvuru!$D:$D,C14,Başvuru!$L:$L,"GÖRÜŞ",Başvuru!$A:$A,"&lt;&gt;"&amp;"",Başvuru!$F:$F,"&lt;&gt;"&amp;""))</f>
        <v>0</v>
      </c>
      <c r="N14" s="163">
        <f>IF(C14="","",COUNTIFS(Başvuru!$D:$D,C14,Başvuru!$L:$L,"RET",Başvuru!$A:$A,"&lt;&gt;"&amp;"",Başvuru!$F:$F,"&lt;&gt;"&amp;""))</f>
        <v>1</v>
      </c>
      <c r="O14" s="164">
        <f>IF(C14="","",COUNTIFS(Başvuru!$D:$D,C14,Başvuru!$L:$L,"KAPSAM DIŞI",Başvuru!$A:$A,"&lt;&gt;"&amp;"",Başvuru!$F:$F,"&lt;&gt;"&amp;""))</f>
        <v>0</v>
      </c>
      <c r="P14" s="165">
        <f>IF(C14="","",COUNTIFS(Başvuru!$D:$D,C14,Başvuru!$L:$L,"GERİ ÇEKİLDİ",Başvuru!$A:$A,"&lt;&gt;"&amp;"",Başvuru!$F:$F,"&lt;&gt;"&amp;""))</f>
        <v>0</v>
      </c>
      <c r="Q14" s="166" t="s">
        <v>494</v>
      </c>
      <c r="R14" s="167">
        <f>COUNTIFS(Başvuru!$D:$D,Q14,Başvuru!$A:$A,"&lt;&gt;"&amp;"",Başvuru!$F:$F,"&lt;&gt;"&amp;"")</f>
        <v>1</v>
      </c>
      <c r="S14" s="167">
        <f>RANK(R14,$R$6:$R$86,0)+COUNTIF($R$6:R14,R14)-1</f>
        <v>58</v>
      </c>
    </row>
    <row r="15" spans="2:19" ht="15" customHeight="1" x14ac:dyDescent="0.25">
      <c r="B15" s="168">
        <v>10</v>
      </c>
      <c r="C15" s="169" t="str">
        <f>IFERROR(INDEX($Q$6:$Q$86,MATCH(10,$S$6:$S$86,0)),"")</f>
        <v>Ortopedi ve Travmatoloji Anabilim Dalı</v>
      </c>
      <c r="D15" s="170">
        <f>IF(C15="","",COUNTIFS(Başvuru!$D:$D,C15,Başvuru!$A:$A,"&lt;&gt;"&amp;"",Başvuru!$F:$F,"&lt;&gt;"&amp;""))</f>
        <v>16</v>
      </c>
      <c r="E15" s="168" t="str">
        <f>IF(C15="","-",IF(D15&gt;0,TEXT(D15/(COUNTIFS(Başvuru!$A:$A,"&lt;&gt;",Başvuru!$F:$F,"&lt;&gt;")-1)*100,"0.0")&amp;"%","-"))</f>
        <v>02%</v>
      </c>
      <c r="F15" s="171">
        <f>IF(C15="","",COUNTIFS(Başvuru!$D:$D,C15,Başvuru!$G:$G,"Bireysel Araştırma",Başvuru!$A:$A,"&lt;&gt;"&amp;"",Başvuru!$F:$F,"&lt;&gt;"&amp;""))</f>
        <v>15</v>
      </c>
      <c r="G15" s="171">
        <f>IF(C15="","",COUNTIFS(Başvuru!$D:$D,C15,Başvuru!$G:$G,"Uzmanlık Tezi",Başvuru!$A:$A,"&lt;&gt;"&amp;"",Başvuru!$F:$F,"&lt;&gt;"&amp;""))</f>
        <v>0</v>
      </c>
      <c r="H15" s="171">
        <f>IF(C15="","",COUNTIFS(Başvuru!$D:$D,C15,Başvuru!$G:$G,"Doktora Tezi",Başvuru!$A:$A,"&lt;&gt;"&amp;"",Başvuru!$F:$F,"&lt;&gt;"&amp;""))</f>
        <v>0</v>
      </c>
      <c r="I15" s="171">
        <f>IF(C15="","",COUNTIFS(Başvuru!$D:$D,C15,Başvuru!$G:$G,"Yüksek Lisans Tezi",Başvuru!$A:$A,"&lt;&gt;"&amp;"",Başvuru!$F:$F,"&lt;&gt;"&amp;""))</f>
        <v>1</v>
      </c>
      <c r="J15" s="172">
        <f>IF(C15="","",COUNTIFS(Başvuru!$D:$D,C15,Başvuru!$L:$L,"ONAY",Başvuru!$A:$A,"&lt;&gt;"&amp;"",Başvuru!$F:$F,"&lt;&gt;"&amp;""))</f>
        <v>6</v>
      </c>
      <c r="K15" s="173">
        <f>IF(C15="","",COUNTIFS(Başvuru!$D:$D,C15,Başvuru!$L:$L,"DÜZELTME",Başvuru!$A:$A,"&lt;&gt;"&amp;"",Başvuru!$F:$F,"&lt;&gt;"&amp;""))</f>
        <v>8</v>
      </c>
      <c r="L15" s="174">
        <f>IF(C15="","",COUNTIFS(Başvuru!$D:$D,C15,Başvuru!$L:$L,"KAEK",Başvuru!$A:$A,"&lt;&gt;"&amp;"",Başvuru!$F:$F,"&lt;&gt;"&amp;""))</f>
        <v>1</v>
      </c>
      <c r="M15" s="175">
        <f>IF(C15="","",COUNTIFS(Başvuru!$D:$D,C15,Başvuru!$L:$L,"GÖRÜŞ",Başvuru!$A:$A,"&lt;&gt;"&amp;"",Başvuru!$F:$F,"&lt;&gt;"&amp;""))</f>
        <v>0</v>
      </c>
      <c r="N15" s="176">
        <f>IF(C15="","",COUNTIFS(Başvuru!$D:$D,C15,Başvuru!$L:$L,"RET",Başvuru!$A:$A,"&lt;&gt;"&amp;"",Başvuru!$F:$F,"&lt;&gt;"&amp;""))</f>
        <v>0</v>
      </c>
      <c r="O15" s="177">
        <f>IF(C15="","",COUNTIFS(Başvuru!$D:$D,C15,Başvuru!$L:$L,"KAPSAM DIŞI",Başvuru!$A:$A,"&lt;&gt;"&amp;"",Başvuru!$F:$F,"&lt;&gt;"&amp;""))</f>
        <v>1</v>
      </c>
      <c r="P15" s="178">
        <f>IF(C15="","",COUNTIFS(Başvuru!$D:$D,C15,Başvuru!$L:$L,"GERİ ÇEKİLDİ",Başvuru!$A:$A,"&lt;&gt;"&amp;"",Başvuru!$F:$F,"&lt;&gt;"&amp;""))</f>
        <v>0</v>
      </c>
      <c r="Q15" s="166" t="s">
        <v>2503</v>
      </c>
      <c r="R15" s="167">
        <f>COUNTIFS(Başvuru!$D:$D,Q15,Başvuru!$A:$A,"&lt;&gt;"&amp;"",Başvuru!$F:$F,"&lt;&gt;"&amp;"")</f>
        <v>3</v>
      </c>
      <c r="S15" s="167">
        <f>RANK(R15,$R$6:$R$86,0)+COUNTIF($R$6:R15,R15)-1</f>
        <v>39</v>
      </c>
    </row>
    <row r="16" spans="2:19" ht="15" customHeight="1" x14ac:dyDescent="0.25">
      <c r="B16" s="155">
        <v>11</v>
      </c>
      <c r="C16" s="156" t="str">
        <f>IFERROR(INDEX($Q$6:$Q$86,MATCH(11,$S$6:$S$86,0)),"")</f>
        <v>Kulak Burun Boğaz Anabilim Dalı</v>
      </c>
      <c r="D16" s="157">
        <f>IF(C16="","",COUNTIFS(Başvuru!$D:$D,C16,Başvuru!$A:$A,"&lt;&gt;"&amp;"",Başvuru!$F:$F,"&lt;&gt;"&amp;""))</f>
        <v>14</v>
      </c>
      <c r="E16" s="155" t="str">
        <f>IF(C16="","-",IF(D16&gt;0,TEXT(D16/(COUNTIFS(Başvuru!$A:$A,"&lt;&gt;",Başvuru!$F:$F,"&lt;&gt;")-1)*100,"0.0")&amp;"%","-"))</f>
        <v>02%</v>
      </c>
      <c r="F16" s="158">
        <f>IF(C16="","",COUNTIFS(Başvuru!$D:$D,C16,Başvuru!$G:$G,"Bireysel Araştırma",Başvuru!$A:$A,"&lt;&gt;"&amp;"",Başvuru!$F:$F,"&lt;&gt;"&amp;""))</f>
        <v>12</v>
      </c>
      <c r="G16" s="158">
        <f>IF(C16="","",COUNTIFS(Başvuru!$D:$D,C16,Başvuru!$G:$G,"Uzmanlık Tezi",Başvuru!$A:$A,"&lt;&gt;"&amp;"",Başvuru!$F:$F,"&lt;&gt;"&amp;""))</f>
        <v>2</v>
      </c>
      <c r="H16" s="158">
        <f>IF(C16="","",COUNTIFS(Başvuru!$D:$D,C16,Başvuru!$G:$G,"Doktora Tezi",Başvuru!$A:$A,"&lt;&gt;"&amp;"",Başvuru!$F:$F,"&lt;&gt;"&amp;""))</f>
        <v>0</v>
      </c>
      <c r="I16" s="158">
        <f>IF(C16="","",COUNTIFS(Başvuru!$D:$D,C16,Başvuru!$G:$G,"Yüksek Lisans Tezi",Başvuru!$A:$A,"&lt;&gt;"&amp;"",Başvuru!$F:$F,"&lt;&gt;"&amp;""))</f>
        <v>0</v>
      </c>
      <c r="J16" s="159">
        <f>IF(C16="","",COUNTIFS(Başvuru!$D:$D,C16,Başvuru!$L:$L,"ONAY",Başvuru!$A:$A,"&lt;&gt;"&amp;"",Başvuru!$F:$F,"&lt;&gt;"&amp;""))</f>
        <v>6</v>
      </c>
      <c r="K16" s="160">
        <f>IF(C16="","",COUNTIFS(Başvuru!$D:$D,C16,Başvuru!$L:$L,"DÜZELTME",Başvuru!$A:$A,"&lt;&gt;"&amp;"",Başvuru!$F:$F,"&lt;&gt;"&amp;""))</f>
        <v>4</v>
      </c>
      <c r="L16" s="161">
        <f>IF(C16="","",COUNTIFS(Başvuru!$D:$D,C16,Başvuru!$L:$L,"KAEK",Başvuru!$A:$A,"&lt;&gt;"&amp;"",Başvuru!$F:$F,"&lt;&gt;"&amp;""))</f>
        <v>0</v>
      </c>
      <c r="M16" s="162">
        <f>IF(C16="","",COUNTIFS(Başvuru!$D:$D,C16,Başvuru!$L:$L,"GÖRÜŞ",Başvuru!$A:$A,"&lt;&gt;"&amp;"",Başvuru!$F:$F,"&lt;&gt;"&amp;""))</f>
        <v>1</v>
      </c>
      <c r="N16" s="163">
        <f>IF(C16="","",COUNTIFS(Başvuru!$D:$D,C16,Başvuru!$L:$L,"RET",Başvuru!$A:$A,"&lt;&gt;"&amp;"",Başvuru!$F:$F,"&lt;&gt;"&amp;""))</f>
        <v>2</v>
      </c>
      <c r="O16" s="164">
        <f>IF(C16="","",COUNTIFS(Başvuru!$D:$D,C16,Başvuru!$L:$L,"KAPSAM DIŞI",Başvuru!$A:$A,"&lt;&gt;"&amp;"",Başvuru!$F:$F,"&lt;&gt;"&amp;""))</f>
        <v>0</v>
      </c>
      <c r="P16" s="165">
        <f>IF(C16="","",COUNTIFS(Başvuru!$D:$D,C16,Başvuru!$L:$L,"GERİ ÇEKİLDİ",Başvuru!$A:$A,"&lt;&gt;"&amp;"",Başvuru!$F:$F,"&lt;&gt;"&amp;""))</f>
        <v>0</v>
      </c>
      <c r="Q16" s="166" t="s">
        <v>2537</v>
      </c>
      <c r="R16" s="167">
        <f>COUNTIFS(Başvuru!$D:$D,Q16,Başvuru!$A:$A,"&lt;&gt;"&amp;"",Başvuru!$F:$F,"&lt;&gt;"&amp;"")</f>
        <v>1</v>
      </c>
      <c r="S16" s="167">
        <f>RANK(R16,$R$6:$R$86,0)+COUNTIF($R$6:R16,R16)-1</f>
        <v>59</v>
      </c>
    </row>
    <row r="17" spans="2:19" ht="15" customHeight="1" x14ac:dyDescent="0.25">
      <c r="B17" s="168">
        <v>12</v>
      </c>
      <c r="C17" s="169" t="str">
        <f>IFERROR(INDEX($Q$6:$Q$86,MATCH(12,$S$6:$S$86,0)),"")</f>
        <v>Çocuk ve Ergen Ruh Sağlığı ve Hastalıkları Anabilim Dalı</v>
      </c>
      <c r="D17" s="170">
        <f>IF(C17="","",COUNTIFS(Başvuru!$D:$D,C17,Başvuru!$A:$A,"&lt;&gt;"&amp;"",Başvuru!$F:$F,"&lt;&gt;"&amp;""))</f>
        <v>14</v>
      </c>
      <c r="E17" s="168" t="str">
        <f>IF(C17="","-",IF(D17&gt;0,TEXT(D17/(COUNTIFS(Başvuru!$A:$A,"&lt;&gt;",Başvuru!$F:$F,"&lt;&gt;")-1)*100,"0.0")&amp;"%","-"))</f>
        <v>02%</v>
      </c>
      <c r="F17" s="171">
        <f>IF(C17="","",COUNTIFS(Başvuru!$D:$D,C17,Başvuru!$G:$G,"Bireysel Araştırma",Başvuru!$A:$A,"&lt;&gt;"&amp;"",Başvuru!$F:$F,"&lt;&gt;"&amp;""))</f>
        <v>8</v>
      </c>
      <c r="G17" s="171">
        <f>IF(C17="","",COUNTIFS(Başvuru!$D:$D,C17,Başvuru!$G:$G,"Uzmanlık Tezi",Başvuru!$A:$A,"&lt;&gt;"&amp;"",Başvuru!$F:$F,"&lt;&gt;"&amp;""))</f>
        <v>6</v>
      </c>
      <c r="H17" s="171">
        <f>IF(C17="","",COUNTIFS(Başvuru!$D:$D,C17,Başvuru!$G:$G,"Doktora Tezi",Başvuru!$A:$A,"&lt;&gt;"&amp;"",Başvuru!$F:$F,"&lt;&gt;"&amp;""))</f>
        <v>0</v>
      </c>
      <c r="I17" s="171">
        <f>IF(C17="","",COUNTIFS(Başvuru!$D:$D,C17,Başvuru!$G:$G,"Yüksek Lisans Tezi",Başvuru!$A:$A,"&lt;&gt;"&amp;"",Başvuru!$F:$F,"&lt;&gt;"&amp;""))</f>
        <v>0</v>
      </c>
      <c r="J17" s="172">
        <f>IF(C17="","",COUNTIFS(Başvuru!$D:$D,C17,Başvuru!$L:$L,"ONAY",Başvuru!$A:$A,"&lt;&gt;"&amp;"",Başvuru!$F:$F,"&lt;&gt;"&amp;""))</f>
        <v>9</v>
      </c>
      <c r="K17" s="173">
        <f>IF(C17="","",COUNTIFS(Başvuru!$D:$D,C17,Başvuru!$L:$L,"DÜZELTME",Başvuru!$A:$A,"&lt;&gt;"&amp;"",Başvuru!$F:$F,"&lt;&gt;"&amp;""))</f>
        <v>5</v>
      </c>
      <c r="L17" s="174">
        <f>IF(C17="","",COUNTIFS(Başvuru!$D:$D,C17,Başvuru!$L:$L,"KAEK",Başvuru!$A:$A,"&lt;&gt;"&amp;"",Başvuru!$F:$F,"&lt;&gt;"&amp;""))</f>
        <v>0</v>
      </c>
      <c r="M17" s="175">
        <f>IF(C17="","",COUNTIFS(Başvuru!$D:$D,C17,Başvuru!$L:$L,"GÖRÜŞ",Başvuru!$A:$A,"&lt;&gt;"&amp;"",Başvuru!$F:$F,"&lt;&gt;"&amp;""))</f>
        <v>0</v>
      </c>
      <c r="N17" s="176">
        <f>IF(C17="","",COUNTIFS(Başvuru!$D:$D,C17,Başvuru!$L:$L,"RET",Başvuru!$A:$A,"&lt;&gt;"&amp;"",Başvuru!$F:$F,"&lt;&gt;"&amp;""))</f>
        <v>0</v>
      </c>
      <c r="O17" s="177">
        <f>IF(C17="","",COUNTIFS(Başvuru!$D:$D,C17,Başvuru!$L:$L,"KAPSAM DIŞI",Başvuru!$A:$A,"&lt;&gt;"&amp;"",Başvuru!$F:$F,"&lt;&gt;"&amp;""))</f>
        <v>0</v>
      </c>
      <c r="P17" s="178">
        <f>IF(C17="","",COUNTIFS(Başvuru!$D:$D,C17,Başvuru!$L:$L,"GERİ ÇEKİLDİ",Başvuru!$A:$A,"&lt;&gt;"&amp;"",Başvuru!$F:$F,"&lt;&gt;"&amp;""))</f>
        <v>0</v>
      </c>
      <c r="Q17" s="166" t="s">
        <v>1975</v>
      </c>
      <c r="R17" s="167">
        <f>COUNTIFS(Başvuru!$D:$D,Q17,Başvuru!$A:$A,"&lt;&gt;"&amp;"",Başvuru!$F:$F,"&lt;&gt;"&amp;"")</f>
        <v>2</v>
      </c>
      <c r="S17" s="167">
        <f>RANK(R17,$R$6:$R$86,0)+COUNTIF($R$6:R17,R17)-1</f>
        <v>46</v>
      </c>
    </row>
    <row r="18" spans="2:19" ht="15" customHeight="1" x14ac:dyDescent="0.25">
      <c r="B18" s="155">
        <v>13</v>
      </c>
      <c r="C18" s="156" t="str">
        <f>IFERROR(INDEX($Q$6:$Q$86,MATCH(13,$S$6:$S$86,0)),"")</f>
        <v>Çocuk Cerrahisi Anabilim Dalı</v>
      </c>
      <c r="D18" s="157">
        <f>IF(C18="","",COUNTIFS(Başvuru!$D:$D,C18,Başvuru!$A:$A,"&lt;&gt;"&amp;"",Başvuru!$F:$F,"&lt;&gt;"&amp;""))</f>
        <v>13</v>
      </c>
      <c r="E18" s="155" t="str">
        <f>IF(C18="","-",IF(D18&gt;0,TEXT(D18/(COUNTIFS(Başvuru!$A:$A,"&lt;&gt;",Başvuru!$F:$F,"&lt;&gt;")-1)*100,"0.0")&amp;"%","-"))</f>
        <v>02%</v>
      </c>
      <c r="F18" s="158">
        <f>IF(C18="","",COUNTIFS(Başvuru!$D:$D,C18,Başvuru!$G:$G,"Bireysel Araştırma",Başvuru!$A:$A,"&lt;&gt;"&amp;"",Başvuru!$F:$F,"&lt;&gt;"&amp;""))</f>
        <v>12</v>
      </c>
      <c r="G18" s="158">
        <f>IF(C18="","",COUNTIFS(Başvuru!$D:$D,C18,Başvuru!$G:$G,"Uzmanlık Tezi",Başvuru!$A:$A,"&lt;&gt;"&amp;"",Başvuru!$F:$F,"&lt;&gt;"&amp;""))</f>
        <v>1</v>
      </c>
      <c r="H18" s="158">
        <f>IF(C18="","",COUNTIFS(Başvuru!$D:$D,C18,Başvuru!$G:$G,"Doktora Tezi",Başvuru!$A:$A,"&lt;&gt;"&amp;"",Başvuru!$F:$F,"&lt;&gt;"&amp;""))</f>
        <v>0</v>
      </c>
      <c r="I18" s="158">
        <f>IF(C18="","",COUNTIFS(Başvuru!$D:$D,C18,Başvuru!$G:$G,"Yüksek Lisans Tezi",Başvuru!$A:$A,"&lt;&gt;"&amp;"",Başvuru!$F:$F,"&lt;&gt;"&amp;""))</f>
        <v>0</v>
      </c>
      <c r="J18" s="159">
        <f>IF(C18="","",COUNTIFS(Başvuru!$D:$D,C18,Başvuru!$L:$L,"ONAY",Başvuru!$A:$A,"&lt;&gt;"&amp;"",Başvuru!$F:$F,"&lt;&gt;"&amp;""))</f>
        <v>7</v>
      </c>
      <c r="K18" s="160">
        <f>IF(C18="","",COUNTIFS(Başvuru!$D:$D,C18,Başvuru!$L:$L,"DÜZELTME",Başvuru!$A:$A,"&lt;&gt;"&amp;"",Başvuru!$F:$F,"&lt;&gt;"&amp;""))</f>
        <v>6</v>
      </c>
      <c r="L18" s="161">
        <f>IF(C18="","",COUNTIFS(Başvuru!$D:$D,C18,Başvuru!$L:$L,"KAEK",Başvuru!$A:$A,"&lt;&gt;"&amp;"",Başvuru!$F:$F,"&lt;&gt;"&amp;""))</f>
        <v>0</v>
      </c>
      <c r="M18" s="162">
        <f>IF(C18="","",COUNTIFS(Başvuru!$D:$D,C18,Başvuru!$L:$L,"GÖRÜŞ",Başvuru!$A:$A,"&lt;&gt;"&amp;"",Başvuru!$F:$F,"&lt;&gt;"&amp;""))</f>
        <v>0</v>
      </c>
      <c r="N18" s="163">
        <f>IF(C18="","",COUNTIFS(Başvuru!$D:$D,C18,Başvuru!$L:$L,"RET",Başvuru!$A:$A,"&lt;&gt;"&amp;"",Başvuru!$F:$F,"&lt;&gt;"&amp;""))</f>
        <v>0</v>
      </c>
      <c r="O18" s="164">
        <f>IF(C18="","",COUNTIFS(Başvuru!$D:$D,C18,Başvuru!$L:$L,"KAPSAM DIŞI",Başvuru!$A:$A,"&lt;&gt;"&amp;"",Başvuru!$F:$F,"&lt;&gt;"&amp;""))</f>
        <v>0</v>
      </c>
      <c r="P18" s="165">
        <f>IF(C18="","",COUNTIFS(Başvuru!$D:$D,C18,Başvuru!$L:$L,"GERİ ÇEKİLDİ",Başvuru!$A:$A,"&lt;&gt;"&amp;"",Başvuru!$F:$F,"&lt;&gt;"&amp;""))</f>
        <v>0</v>
      </c>
      <c r="Q18" s="166" t="s">
        <v>802</v>
      </c>
      <c r="R18" s="167">
        <f>COUNTIFS(Başvuru!$D:$D,Q18,Başvuru!$A:$A,"&lt;&gt;"&amp;"",Başvuru!$F:$F,"&lt;&gt;"&amp;"")</f>
        <v>1</v>
      </c>
      <c r="S18" s="167">
        <f>RANK(R18,$R$6:$R$86,0)+COUNTIF($R$6:R18,R18)-1</f>
        <v>60</v>
      </c>
    </row>
    <row r="19" spans="2:19" ht="15" customHeight="1" x14ac:dyDescent="0.25">
      <c r="B19" s="168">
        <v>14</v>
      </c>
      <c r="C19" s="169" t="str">
        <f>IFERROR(INDEX($Q$6:$Q$86,MATCH(14,$S$6:$S$86,0)),"")</f>
        <v>Aile Hekimliği Anabilim Dalı</v>
      </c>
      <c r="D19" s="170">
        <f>IF(C19="","",COUNTIFS(Başvuru!$D:$D,C19,Başvuru!$A:$A,"&lt;&gt;"&amp;"",Başvuru!$F:$F,"&lt;&gt;"&amp;""))</f>
        <v>11</v>
      </c>
      <c r="E19" s="168" t="str">
        <f>IF(C19="","-",IF(D19&gt;0,TEXT(D19/(COUNTIFS(Başvuru!$A:$A,"&lt;&gt;",Başvuru!$F:$F,"&lt;&gt;")-1)*100,"0.0")&amp;"%","-"))</f>
        <v>02%</v>
      </c>
      <c r="F19" s="171">
        <f>IF(C19="","",COUNTIFS(Başvuru!$D:$D,C19,Başvuru!$G:$G,"Bireysel Araştırma",Başvuru!$A:$A,"&lt;&gt;"&amp;"",Başvuru!$F:$F,"&lt;&gt;"&amp;""))</f>
        <v>7</v>
      </c>
      <c r="G19" s="171">
        <f>IF(C19="","",COUNTIFS(Başvuru!$D:$D,C19,Başvuru!$G:$G,"Uzmanlık Tezi",Başvuru!$A:$A,"&lt;&gt;"&amp;"",Başvuru!$F:$F,"&lt;&gt;"&amp;""))</f>
        <v>4</v>
      </c>
      <c r="H19" s="171">
        <f>IF(C19="","",COUNTIFS(Başvuru!$D:$D,C19,Başvuru!$G:$G,"Doktora Tezi",Başvuru!$A:$A,"&lt;&gt;"&amp;"",Başvuru!$F:$F,"&lt;&gt;"&amp;""))</f>
        <v>0</v>
      </c>
      <c r="I19" s="171">
        <f>IF(C19="","",COUNTIFS(Başvuru!$D:$D,C19,Başvuru!$G:$G,"Yüksek Lisans Tezi",Başvuru!$A:$A,"&lt;&gt;"&amp;"",Başvuru!$F:$F,"&lt;&gt;"&amp;""))</f>
        <v>0</v>
      </c>
      <c r="J19" s="172">
        <f>IF(C19="","",COUNTIFS(Başvuru!$D:$D,C19,Başvuru!$L:$L,"ONAY",Başvuru!$A:$A,"&lt;&gt;"&amp;"",Başvuru!$F:$F,"&lt;&gt;"&amp;""))</f>
        <v>3</v>
      </c>
      <c r="K19" s="173">
        <f>IF(C19="","",COUNTIFS(Başvuru!$D:$D,C19,Başvuru!$L:$L,"DÜZELTME",Başvuru!$A:$A,"&lt;&gt;"&amp;"",Başvuru!$F:$F,"&lt;&gt;"&amp;""))</f>
        <v>5</v>
      </c>
      <c r="L19" s="174">
        <f>IF(C19="","",COUNTIFS(Başvuru!$D:$D,C19,Başvuru!$L:$L,"KAEK",Başvuru!$A:$A,"&lt;&gt;"&amp;"",Başvuru!$F:$F,"&lt;&gt;"&amp;""))</f>
        <v>0</v>
      </c>
      <c r="M19" s="175">
        <f>IF(C19="","",COUNTIFS(Başvuru!$D:$D,C19,Başvuru!$L:$L,"GÖRÜŞ",Başvuru!$A:$A,"&lt;&gt;"&amp;"",Başvuru!$F:$F,"&lt;&gt;"&amp;""))</f>
        <v>1</v>
      </c>
      <c r="N19" s="176">
        <f>IF(C19="","",COUNTIFS(Başvuru!$D:$D,C19,Başvuru!$L:$L,"RET",Başvuru!$A:$A,"&lt;&gt;"&amp;"",Başvuru!$F:$F,"&lt;&gt;"&amp;""))</f>
        <v>2</v>
      </c>
      <c r="O19" s="177">
        <f>IF(C19="","",COUNTIFS(Başvuru!$D:$D,C19,Başvuru!$L:$L,"KAPSAM DIŞI",Başvuru!$A:$A,"&lt;&gt;"&amp;"",Başvuru!$F:$F,"&lt;&gt;"&amp;""))</f>
        <v>0</v>
      </c>
      <c r="P19" s="178">
        <f>IF(C19="","",COUNTIFS(Başvuru!$D:$D,C19,Başvuru!$L:$L,"GERİ ÇEKİLDİ",Başvuru!$A:$A,"&lt;&gt;"&amp;"",Başvuru!$F:$F,"&lt;&gt;"&amp;""))</f>
        <v>0</v>
      </c>
      <c r="Q19" s="166" t="s">
        <v>1069</v>
      </c>
      <c r="R19" s="167">
        <f>COUNTIFS(Başvuru!$D:$D,Q19,Başvuru!$A:$A,"&lt;&gt;"&amp;"",Başvuru!$F:$F,"&lt;&gt;"&amp;"")</f>
        <v>2</v>
      </c>
      <c r="S19" s="167">
        <f>RANK(R19,$R$6:$R$86,0)+COUNTIF($R$6:R19,R19)-1</f>
        <v>47</v>
      </c>
    </row>
    <row r="20" spans="2:19" ht="15" customHeight="1" x14ac:dyDescent="0.25">
      <c r="B20" s="155">
        <v>15</v>
      </c>
      <c r="C20" s="156" t="str">
        <f>IFERROR(INDEX($Q$6:$Q$86,MATCH(15,$S$6:$S$86,0)),"")</f>
        <v>Deri ve Zührevi Hastalıklar Anabilim Dalı</v>
      </c>
      <c r="D20" s="157">
        <f>IF(C20="","",COUNTIFS(Başvuru!$D:$D,C20,Başvuru!$A:$A,"&lt;&gt;"&amp;"",Başvuru!$F:$F,"&lt;&gt;"&amp;""))</f>
        <v>11</v>
      </c>
      <c r="E20" s="155" t="str">
        <f>IF(C20="","-",IF(D20&gt;0,TEXT(D20/(COUNTIFS(Başvuru!$A:$A,"&lt;&gt;",Başvuru!$F:$F,"&lt;&gt;")-1)*100,"0.0")&amp;"%","-"))</f>
        <v>02%</v>
      </c>
      <c r="F20" s="158">
        <f>IF(C20="","",COUNTIFS(Başvuru!$D:$D,C20,Başvuru!$G:$G,"Bireysel Araştırma",Başvuru!$A:$A,"&lt;&gt;"&amp;"",Başvuru!$F:$F,"&lt;&gt;"&amp;""))</f>
        <v>7</v>
      </c>
      <c r="G20" s="158">
        <f>IF(C20="","",COUNTIFS(Başvuru!$D:$D,C20,Başvuru!$G:$G,"Uzmanlık Tezi",Başvuru!$A:$A,"&lt;&gt;"&amp;"",Başvuru!$F:$F,"&lt;&gt;"&amp;""))</f>
        <v>4</v>
      </c>
      <c r="H20" s="158">
        <f>IF(C20="","",COUNTIFS(Başvuru!$D:$D,C20,Başvuru!$G:$G,"Doktora Tezi",Başvuru!$A:$A,"&lt;&gt;"&amp;"",Başvuru!$F:$F,"&lt;&gt;"&amp;""))</f>
        <v>0</v>
      </c>
      <c r="I20" s="158">
        <f>IF(C20="","",COUNTIFS(Başvuru!$D:$D,C20,Başvuru!$G:$G,"Yüksek Lisans Tezi",Başvuru!$A:$A,"&lt;&gt;"&amp;"",Başvuru!$F:$F,"&lt;&gt;"&amp;""))</f>
        <v>0</v>
      </c>
      <c r="J20" s="159">
        <f>IF(C20="","",COUNTIFS(Başvuru!$D:$D,C20,Başvuru!$L:$L,"ONAY",Başvuru!$A:$A,"&lt;&gt;"&amp;"",Başvuru!$F:$F,"&lt;&gt;"&amp;""))</f>
        <v>6</v>
      </c>
      <c r="K20" s="160">
        <f>IF(C20="","",COUNTIFS(Başvuru!$D:$D,C20,Başvuru!$L:$L,"DÜZELTME",Başvuru!$A:$A,"&lt;&gt;"&amp;"",Başvuru!$F:$F,"&lt;&gt;"&amp;""))</f>
        <v>3</v>
      </c>
      <c r="L20" s="161">
        <f>IF(C20="","",COUNTIFS(Başvuru!$D:$D,C20,Başvuru!$L:$L,"KAEK",Başvuru!$A:$A,"&lt;&gt;"&amp;"",Başvuru!$F:$F,"&lt;&gt;"&amp;""))</f>
        <v>1</v>
      </c>
      <c r="M20" s="162">
        <f>IF(C20="","",COUNTIFS(Başvuru!$D:$D,C20,Başvuru!$L:$L,"GÖRÜŞ",Başvuru!$A:$A,"&lt;&gt;"&amp;"",Başvuru!$F:$F,"&lt;&gt;"&amp;""))</f>
        <v>1</v>
      </c>
      <c r="N20" s="163">
        <f>IF(C20="","",COUNTIFS(Başvuru!$D:$D,C20,Başvuru!$L:$L,"RET",Başvuru!$A:$A,"&lt;&gt;"&amp;"",Başvuru!$F:$F,"&lt;&gt;"&amp;""))</f>
        <v>0</v>
      </c>
      <c r="O20" s="164">
        <f>IF(C20="","",COUNTIFS(Başvuru!$D:$D,C20,Başvuru!$L:$L,"KAPSAM DIŞI",Başvuru!$A:$A,"&lt;&gt;"&amp;"",Başvuru!$F:$F,"&lt;&gt;"&amp;""))</f>
        <v>0</v>
      </c>
      <c r="P20" s="165">
        <f>IF(C20="","",COUNTIFS(Başvuru!$D:$D,C20,Başvuru!$L:$L,"GERİ ÇEKİLDİ",Başvuru!$A:$A,"&lt;&gt;"&amp;"",Başvuru!$F:$F,"&lt;&gt;"&amp;""))</f>
        <v>0</v>
      </c>
      <c r="Q20" s="166" t="s">
        <v>372</v>
      </c>
      <c r="R20" s="167">
        <f>COUNTIFS(Başvuru!$D:$D,Q20,Başvuru!$A:$A,"&lt;&gt;"&amp;"",Başvuru!$F:$F,"&lt;&gt;"&amp;"")</f>
        <v>11</v>
      </c>
      <c r="S20" s="167">
        <f>RANK(R20,$R$6:$R$86,0)+COUNTIF($R$6:R20,R20)-1</f>
        <v>15</v>
      </c>
    </row>
    <row r="21" spans="2:19" ht="15" customHeight="1" x14ac:dyDescent="0.25">
      <c r="B21" s="168">
        <v>16</v>
      </c>
      <c r="C21" s="169" t="str">
        <f>IFERROR(INDEX($Q$6:$Q$86,MATCH(16,$S$6:$S$86,0)),"")</f>
        <v>Anesteziyoloji ve Reanimasyon Anabilim Dalı</v>
      </c>
      <c r="D21" s="170">
        <f>IF(C21="","",COUNTIFS(Başvuru!$D:$D,C21,Başvuru!$A:$A,"&lt;&gt;"&amp;"",Başvuru!$F:$F,"&lt;&gt;"&amp;""))</f>
        <v>10</v>
      </c>
      <c r="E21" s="168" t="str">
        <f>IF(C21="","-",IF(D21&gt;0,TEXT(D21/(COUNTIFS(Başvuru!$A:$A,"&lt;&gt;",Başvuru!$F:$F,"&lt;&gt;")-1)*100,"0.0")&amp;"%","-"))</f>
        <v>01%</v>
      </c>
      <c r="F21" s="171">
        <f>IF(C21="","",COUNTIFS(Başvuru!$D:$D,C21,Başvuru!$G:$G,"Bireysel Araştırma",Başvuru!$A:$A,"&lt;&gt;"&amp;"",Başvuru!$F:$F,"&lt;&gt;"&amp;""))</f>
        <v>5</v>
      </c>
      <c r="G21" s="171">
        <f>IF(C21="","",COUNTIFS(Başvuru!$D:$D,C21,Başvuru!$G:$G,"Uzmanlık Tezi",Başvuru!$A:$A,"&lt;&gt;"&amp;"",Başvuru!$F:$F,"&lt;&gt;"&amp;""))</f>
        <v>5</v>
      </c>
      <c r="H21" s="171">
        <f>IF(C21="","",COUNTIFS(Başvuru!$D:$D,C21,Başvuru!$G:$G,"Doktora Tezi",Başvuru!$A:$A,"&lt;&gt;"&amp;"",Başvuru!$F:$F,"&lt;&gt;"&amp;""))</f>
        <v>0</v>
      </c>
      <c r="I21" s="171">
        <f>IF(C21="","",COUNTIFS(Başvuru!$D:$D,C21,Başvuru!$G:$G,"Yüksek Lisans Tezi",Başvuru!$A:$A,"&lt;&gt;"&amp;"",Başvuru!$F:$F,"&lt;&gt;"&amp;""))</f>
        <v>0</v>
      </c>
      <c r="J21" s="172">
        <f>IF(C21="","",COUNTIFS(Başvuru!$D:$D,C21,Başvuru!$L:$L,"ONAY",Başvuru!$A:$A,"&lt;&gt;"&amp;"",Başvuru!$F:$F,"&lt;&gt;"&amp;""))</f>
        <v>4</v>
      </c>
      <c r="K21" s="173">
        <f>IF(C21="","",COUNTIFS(Başvuru!$D:$D,C21,Başvuru!$L:$L,"DÜZELTME",Başvuru!$A:$A,"&lt;&gt;"&amp;"",Başvuru!$F:$F,"&lt;&gt;"&amp;""))</f>
        <v>4</v>
      </c>
      <c r="L21" s="174">
        <f>IF(C21="","",COUNTIFS(Başvuru!$D:$D,C21,Başvuru!$L:$L,"KAEK",Başvuru!$A:$A,"&lt;&gt;"&amp;"",Başvuru!$F:$F,"&lt;&gt;"&amp;""))</f>
        <v>1</v>
      </c>
      <c r="M21" s="175">
        <f>IF(C21="","",COUNTIFS(Başvuru!$D:$D,C21,Başvuru!$L:$L,"GÖRÜŞ",Başvuru!$A:$A,"&lt;&gt;"&amp;"",Başvuru!$F:$F,"&lt;&gt;"&amp;""))</f>
        <v>1</v>
      </c>
      <c r="N21" s="176">
        <f>IF(C21="","",COUNTIFS(Başvuru!$D:$D,C21,Başvuru!$L:$L,"RET",Başvuru!$A:$A,"&lt;&gt;"&amp;"",Başvuru!$F:$F,"&lt;&gt;"&amp;""))</f>
        <v>0</v>
      </c>
      <c r="O21" s="177">
        <f>IF(C21="","",COUNTIFS(Başvuru!$D:$D,C21,Başvuru!$L:$L,"KAPSAM DIŞI",Başvuru!$A:$A,"&lt;&gt;"&amp;"",Başvuru!$F:$F,"&lt;&gt;"&amp;""))</f>
        <v>0</v>
      </c>
      <c r="P21" s="178">
        <f>IF(C21="","",COUNTIFS(Başvuru!$D:$D,C21,Başvuru!$L:$L,"GERİ ÇEKİLDİ",Başvuru!$A:$A,"&lt;&gt;"&amp;"",Başvuru!$F:$F,"&lt;&gt;"&amp;""))</f>
        <v>0</v>
      </c>
      <c r="Q21" s="166" t="s">
        <v>1927</v>
      </c>
      <c r="R21" s="167">
        <f>COUNTIFS(Başvuru!$D:$D,Q21,Başvuru!$A:$A,"&lt;&gt;"&amp;"",Başvuru!$F:$F,"&lt;&gt;"&amp;"")</f>
        <v>2</v>
      </c>
      <c r="S21" s="167">
        <f>RANK(R21,$R$6:$R$86,0)+COUNTIF($R$6:R21,R21)-1</f>
        <v>48</v>
      </c>
    </row>
    <row r="22" spans="2:19" ht="15" customHeight="1" x14ac:dyDescent="0.25">
      <c r="B22" s="155">
        <v>17</v>
      </c>
      <c r="C22" s="156" t="str">
        <f>IFERROR(INDEX($Q$6:$Q$86,MATCH(17,$S$6:$S$86,0)),"")</f>
        <v>Ağız, Diş ve Çene Cerrahisi Anabilim Dalı</v>
      </c>
      <c r="D22" s="157">
        <f>IF(C22="","",COUNTIFS(Başvuru!$D:$D,C22,Başvuru!$A:$A,"&lt;&gt;"&amp;"",Başvuru!$F:$F,"&lt;&gt;"&amp;""))</f>
        <v>10</v>
      </c>
      <c r="E22" s="155" t="str">
        <f>IF(C22="","-",IF(D22&gt;0,TEXT(D22/(COUNTIFS(Başvuru!$A:$A,"&lt;&gt;",Başvuru!$F:$F,"&lt;&gt;")-1)*100,"0.0")&amp;"%","-"))</f>
        <v>01%</v>
      </c>
      <c r="F22" s="158">
        <f>IF(C22="","",COUNTIFS(Başvuru!$D:$D,C22,Başvuru!$G:$G,"Bireysel Araştırma",Başvuru!$A:$A,"&lt;&gt;"&amp;"",Başvuru!$F:$F,"&lt;&gt;"&amp;""))</f>
        <v>9</v>
      </c>
      <c r="G22" s="158">
        <f>IF(C22="","",COUNTIFS(Başvuru!$D:$D,C22,Başvuru!$G:$G,"Uzmanlık Tezi",Başvuru!$A:$A,"&lt;&gt;"&amp;"",Başvuru!$F:$F,"&lt;&gt;"&amp;""))</f>
        <v>1</v>
      </c>
      <c r="H22" s="158">
        <f>IF(C22="","",COUNTIFS(Başvuru!$D:$D,C22,Başvuru!$G:$G,"Doktora Tezi",Başvuru!$A:$A,"&lt;&gt;"&amp;"",Başvuru!$F:$F,"&lt;&gt;"&amp;""))</f>
        <v>0</v>
      </c>
      <c r="I22" s="158">
        <f>IF(C22="","",COUNTIFS(Başvuru!$D:$D,C22,Başvuru!$G:$G,"Yüksek Lisans Tezi",Başvuru!$A:$A,"&lt;&gt;"&amp;"",Başvuru!$F:$F,"&lt;&gt;"&amp;""))</f>
        <v>0</v>
      </c>
      <c r="J22" s="159">
        <f>IF(C22="","",COUNTIFS(Başvuru!$D:$D,C22,Başvuru!$L:$L,"ONAY",Başvuru!$A:$A,"&lt;&gt;"&amp;"",Başvuru!$F:$F,"&lt;&gt;"&amp;""))</f>
        <v>6</v>
      </c>
      <c r="K22" s="160">
        <f>IF(C22="","",COUNTIFS(Başvuru!$D:$D,C22,Başvuru!$L:$L,"DÜZELTME",Başvuru!$A:$A,"&lt;&gt;"&amp;"",Başvuru!$F:$F,"&lt;&gt;"&amp;""))</f>
        <v>3</v>
      </c>
      <c r="L22" s="161">
        <f>IF(C22="","",COUNTIFS(Başvuru!$D:$D,C22,Başvuru!$L:$L,"KAEK",Başvuru!$A:$A,"&lt;&gt;"&amp;"",Başvuru!$F:$F,"&lt;&gt;"&amp;""))</f>
        <v>0</v>
      </c>
      <c r="M22" s="162">
        <f>IF(C22="","",COUNTIFS(Başvuru!$D:$D,C22,Başvuru!$L:$L,"GÖRÜŞ",Başvuru!$A:$A,"&lt;&gt;"&amp;"",Başvuru!$F:$F,"&lt;&gt;"&amp;""))</f>
        <v>1</v>
      </c>
      <c r="N22" s="163">
        <f>IF(C22="","",COUNTIFS(Başvuru!$D:$D,C22,Başvuru!$L:$L,"RET",Başvuru!$A:$A,"&lt;&gt;"&amp;"",Başvuru!$F:$F,"&lt;&gt;"&amp;""))</f>
        <v>0</v>
      </c>
      <c r="O22" s="164">
        <f>IF(C22="","",COUNTIFS(Başvuru!$D:$D,C22,Başvuru!$L:$L,"KAPSAM DIŞI",Başvuru!$A:$A,"&lt;&gt;"&amp;"",Başvuru!$F:$F,"&lt;&gt;"&amp;""))</f>
        <v>0</v>
      </c>
      <c r="P22" s="165">
        <f>IF(C22="","",COUNTIFS(Başvuru!$D:$D,C22,Başvuru!$L:$L,"GERİ ÇEKİLDİ",Başvuru!$A:$A,"&lt;&gt;"&amp;"",Başvuru!$F:$F,"&lt;&gt;"&amp;""))</f>
        <v>0</v>
      </c>
      <c r="Q22" s="166" t="s">
        <v>118</v>
      </c>
      <c r="R22" s="167">
        <f>COUNTIFS(Başvuru!$D:$D,Q22,Başvuru!$A:$A,"&lt;&gt;"&amp;"",Başvuru!$F:$F,"&lt;&gt;"&amp;"")</f>
        <v>8</v>
      </c>
      <c r="S22" s="167">
        <f>RANK(R22,$R$6:$R$86,0)+COUNTIF($R$6:R22,R22)-1</f>
        <v>21</v>
      </c>
    </row>
    <row r="23" spans="2:19" ht="15" customHeight="1" x14ac:dyDescent="0.25">
      <c r="B23" s="168">
        <v>18</v>
      </c>
      <c r="C23" s="169" t="str">
        <f>IFERROR(INDEX($Q$6:$Q$86,MATCH(18,$S$6:$S$86,0)),"")</f>
        <v>Ortodonti Anabilim Dalı</v>
      </c>
      <c r="D23" s="170">
        <f>IF(C23="","",COUNTIFS(Başvuru!$D:$D,C23,Başvuru!$A:$A,"&lt;&gt;"&amp;"",Başvuru!$F:$F,"&lt;&gt;"&amp;""))</f>
        <v>10</v>
      </c>
      <c r="E23" s="168" t="str">
        <f>IF(C23="","-",IF(D23&gt;0,TEXT(D23/(COUNTIFS(Başvuru!$A:$A,"&lt;&gt;",Başvuru!$F:$F,"&lt;&gt;")-1)*100,"0.0")&amp;"%","-"))</f>
        <v>01%</v>
      </c>
      <c r="F23" s="171">
        <f>IF(C23="","",COUNTIFS(Başvuru!$D:$D,C23,Başvuru!$G:$G,"Bireysel Araştırma",Başvuru!$A:$A,"&lt;&gt;"&amp;"",Başvuru!$F:$F,"&lt;&gt;"&amp;""))</f>
        <v>10</v>
      </c>
      <c r="G23" s="171">
        <f>IF(C23="","",COUNTIFS(Başvuru!$D:$D,C23,Başvuru!$G:$G,"Uzmanlık Tezi",Başvuru!$A:$A,"&lt;&gt;"&amp;"",Başvuru!$F:$F,"&lt;&gt;"&amp;""))</f>
        <v>0</v>
      </c>
      <c r="H23" s="171">
        <f>IF(C23="","",COUNTIFS(Başvuru!$D:$D,C23,Başvuru!$G:$G,"Doktora Tezi",Başvuru!$A:$A,"&lt;&gt;"&amp;"",Başvuru!$F:$F,"&lt;&gt;"&amp;""))</f>
        <v>0</v>
      </c>
      <c r="I23" s="171">
        <f>IF(C23="","",COUNTIFS(Başvuru!$D:$D,C23,Başvuru!$G:$G,"Yüksek Lisans Tezi",Başvuru!$A:$A,"&lt;&gt;"&amp;"",Başvuru!$F:$F,"&lt;&gt;"&amp;""))</f>
        <v>0</v>
      </c>
      <c r="J23" s="172">
        <f>IF(C23="","",COUNTIFS(Başvuru!$D:$D,C23,Başvuru!$L:$L,"ONAY",Başvuru!$A:$A,"&lt;&gt;"&amp;"",Başvuru!$F:$F,"&lt;&gt;"&amp;""))</f>
        <v>6</v>
      </c>
      <c r="K23" s="173">
        <f>IF(C23="","",COUNTIFS(Başvuru!$D:$D,C23,Başvuru!$L:$L,"DÜZELTME",Başvuru!$A:$A,"&lt;&gt;"&amp;"",Başvuru!$F:$F,"&lt;&gt;"&amp;""))</f>
        <v>2</v>
      </c>
      <c r="L23" s="174">
        <f>IF(C23="","",COUNTIFS(Başvuru!$D:$D,C23,Başvuru!$L:$L,"KAEK",Başvuru!$A:$A,"&lt;&gt;"&amp;"",Başvuru!$F:$F,"&lt;&gt;"&amp;""))</f>
        <v>1</v>
      </c>
      <c r="M23" s="175">
        <f>IF(C23="","",COUNTIFS(Başvuru!$D:$D,C23,Başvuru!$L:$L,"GÖRÜŞ",Başvuru!$A:$A,"&lt;&gt;"&amp;"",Başvuru!$F:$F,"&lt;&gt;"&amp;""))</f>
        <v>0</v>
      </c>
      <c r="N23" s="176">
        <f>IF(C23="","",COUNTIFS(Başvuru!$D:$D,C23,Başvuru!$L:$L,"RET",Başvuru!$A:$A,"&lt;&gt;"&amp;"",Başvuru!$F:$F,"&lt;&gt;"&amp;""))</f>
        <v>1</v>
      </c>
      <c r="O23" s="177">
        <f>IF(C23="","",COUNTIFS(Başvuru!$D:$D,C23,Başvuru!$L:$L,"KAPSAM DIŞI",Başvuru!$A:$A,"&lt;&gt;"&amp;"",Başvuru!$F:$F,"&lt;&gt;"&amp;""))</f>
        <v>0</v>
      </c>
      <c r="P23" s="178">
        <f>IF(C23="","",COUNTIFS(Başvuru!$D:$D,C23,Başvuru!$L:$L,"GERİ ÇEKİLDİ",Başvuru!$A:$A,"&lt;&gt;"&amp;"",Başvuru!$F:$F,"&lt;&gt;"&amp;""))</f>
        <v>0</v>
      </c>
      <c r="Q23" s="166" t="s">
        <v>1199</v>
      </c>
      <c r="R23" s="167">
        <f>COUNTIFS(Başvuru!$D:$D,Q23,Başvuru!$A:$A,"&lt;&gt;"&amp;"",Başvuru!$F:$F,"&lt;&gt;"&amp;"")</f>
        <v>4</v>
      </c>
      <c r="S23" s="167">
        <f>RANK(R23,$R$6:$R$86,0)+COUNTIF($R$6:R23,R23)-1</f>
        <v>36</v>
      </c>
    </row>
    <row r="24" spans="2:19" ht="15" customHeight="1" x14ac:dyDescent="0.25">
      <c r="B24" s="155">
        <v>19</v>
      </c>
      <c r="C24" s="156" t="str">
        <f>IFERROR(INDEX($Q$6:$Q$86,MATCH(19,$S$6:$S$86,0)),"")</f>
        <v>Anatomi Anabilim Dalı</v>
      </c>
      <c r="D24" s="157">
        <f>IF(C24="","",COUNTIFS(Başvuru!$D:$D,C24,Başvuru!$A:$A,"&lt;&gt;"&amp;"",Başvuru!$F:$F,"&lt;&gt;"&amp;""))</f>
        <v>9</v>
      </c>
      <c r="E24" s="155" t="str">
        <f>IF(C24="","-",IF(D24&gt;0,TEXT(D24/(COUNTIFS(Başvuru!$A:$A,"&lt;&gt;",Başvuru!$F:$F,"&lt;&gt;")-1)*100,"0.0")&amp;"%","-"))</f>
        <v>01%</v>
      </c>
      <c r="F24" s="158">
        <f>IF(C24="","",COUNTIFS(Başvuru!$D:$D,C24,Başvuru!$G:$G,"Bireysel Araştırma",Başvuru!$A:$A,"&lt;&gt;"&amp;"",Başvuru!$F:$F,"&lt;&gt;"&amp;""))</f>
        <v>7</v>
      </c>
      <c r="G24" s="158">
        <f>IF(C24="","",COUNTIFS(Başvuru!$D:$D,C24,Başvuru!$G:$G,"Uzmanlık Tezi",Başvuru!$A:$A,"&lt;&gt;"&amp;"",Başvuru!$F:$F,"&lt;&gt;"&amp;""))</f>
        <v>0</v>
      </c>
      <c r="H24" s="158">
        <f>IF(C24="","",COUNTIFS(Başvuru!$D:$D,C24,Başvuru!$G:$G,"Doktora Tezi",Başvuru!$A:$A,"&lt;&gt;"&amp;"",Başvuru!$F:$F,"&lt;&gt;"&amp;""))</f>
        <v>1</v>
      </c>
      <c r="I24" s="158">
        <f>IF(C24="","",COUNTIFS(Başvuru!$D:$D,C24,Başvuru!$G:$G,"Yüksek Lisans Tezi",Başvuru!$A:$A,"&lt;&gt;"&amp;"",Başvuru!$F:$F,"&lt;&gt;"&amp;""))</f>
        <v>1</v>
      </c>
      <c r="J24" s="159">
        <f>IF(C24="","",COUNTIFS(Başvuru!$D:$D,C24,Başvuru!$L:$L,"ONAY",Başvuru!$A:$A,"&lt;&gt;"&amp;"",Başvuru!$F:$F,"&lt;&gt;"&amp;""))</f>
        <v>7</v>
      </c>
      <c r="K24" s="160">
        <f>IF(C24="","",COUNTIFS(Başvuru!$D:$D,C24,Başvuru!$L:$L,"DÜZELTME",Başvuru!$A:$A,"&lt;&gt;"&amp;"",Başvuru!$F:$F,"&lt;&gt;"&amp;""))</f>
        <v>2</v>
      </c>
      <c r="L24" s="161">
        <f>IF(C24="","",COUNTIFS(Başvuru!$D:$D,C24,Başvuru!$L:$L,"KAEK",Başvuru!$A:$A,"&lt;&gt;"&amp;"",Başvuru!$F:$F,"&lt;&gt;"&amp;""))</f>
        <v>0</v>
      </c>
      <c r="M24" s="162">
        <f>IF(C24="","",COUNTIFS(Başvuru!$D:$D,C24,Başvuru!$L:$L,"GÖRÜŞ",Başvuru!$A:$A,"&lt;&gt;"&amp;"",Başvuru!$F:$F,"&lt;&gt;"&amp;""))</f>
        <v>0</v>
      </c>
      <c r="N24" s="163">
        <f>IF(C24="","",COUNTIFS(Başvuru!$D:$D,C24,Başvuru!$L:$L,"RET",Başvuru!$A:$A,"&lt;&gt;"&amp;"",Başvuru!$F:$F,"&lt;&gt;"&amp;""))</f>
        <v>0</v>
      </c>
      <c r="O24" s="164">
        <f>IF(C24="","",COUNTIFS(Başvuru!$D:$D,C24,Başvuru!$L:$L,"KAPSAM DIŞI",Başvuru!$A:$A,"&lt;&gt;"&amp;"",Başvuru!$F:$F,"&lt;&gt;"&amp;""))</f>
        <v>0</v>
      </c>
      <c r="P24" s="165">
        <f>IF(C24="","",COUNTIFS(Başvuru!$D:$D,C24,Başvuru!$L:$L,"GERİ ÇEKİLDİ",Başvuru!$A:$A,"&lt;&gt;"&amp;"",Başvuru!$F:$F,"&lt;&gt;"&amp;""))</f>
        <v>0</v>
      </c>
      <c r="Q24" s="166" t="s">
        <v>756</v>
      </c>
      <c r="R24" s="167">
        <f>COUNTIFS(Başvuru!$D:$D,Q24,Başvuru!$A:$A,"&lt;&gt;"&amp;"",Başvuru!$F:$F,"&lt;&gt;"&amp;"")</f>
        <v>2</v>
      </c>
      <c r="S24" s="167">
        <f>RANK(R24,$R$6:$R$86,0)+COUNTIF($R$6:R24,R24)-1</f>
        <v>49</v>
      </c>
    </row>
    <row r="25" spans="2:19" ht="15" customHeight="1" x14ac:dyDescent="0.25">
      <c r="B25" s="168">
        <v>20</v>
      </c>
      <c r="C25" s="169" t="str">
        <f>IFERROR(INDEX($Q$6:$Q$86,MATCH(20,$S$6:$S$86,0)),"")</f>
        <v>Ağız, Diş ve Çene Radyolojisi Anabilim Dalı</v>
      </c>
      <c r="D25" s="170">
        <f>IF(C25="","",COUNTIFS(Başvuru!$D:$D,C25,Başvuru!$A:$A,"&lt;&gt;"&amp;"",Başvuru!$F:$F,"&lt;&gt;"&amp;""))</f>
        <v>8</v>
      </c>
      <c r="E25" s="168" t="str">
        <f>IF(C25="","-",IF(D25&gt;0,TEXT(D25/(COUNTIFS(Başvuru!$A:$A,"&lt;&gt;",Başvuru!$F:$F,"&lt;&gt;")-1)*100,"0.0")&amp;"%","-"))</f>
        <v>01%</v>
      </c>
      <c r="F25" s="171">
        <f>IF(C25="","",COUNTIFS(Başvuru!$D:$D,C25,Başvuru!$G:$G,"Bireysel Araştırma",Başvuru!$A:$A,"&lt;&gt;"&amp;"",Başvuru!$F:$F,"&lt;&gt;"&amp;""))</f>
        <v>3</v>
      </c>
      <c r="G25" s="171">
        <f>IF(C25="","",COUNTIFS(Başvuru!$D:$D,C25,Başvuru!$G:$G,"Uzmanlık Tezi",Başvuru!$A:$A,"&lt;&gt;"&amp;"",Başvuru!$F:$F,"&lt;&gt;"&amp;""))</f>
        <v>5</v>
      </c>
      <c r="H25" s="171">
        <f>IF(C25="","",COUNTIFS(Başvuru!$D:$D,C25,Başvuru!$G:$G,"Doktora Tezi",Başvuru!$A:$A,"&lt;&gt;"&amp;"",Başvuru!$F:$F,"&lt;&gt;"&amp;""))</f>
        <v>0</v>
      </c>
      <c r="I25" s="171">
        <f>IF(C25="","",COUNTIFS(Başvuru!$D:$D,C25,Başvuru!$G:$G,"Yüksek Lisans Tezi",Başvuru!$A:$A,"&lt;&gt;"&amp;"",Başvuru!$F:$F,"&lt;&gt;"&amp;""))</f>
        <v>0</v>
      </c>
      <c r="J25" s="172">
        <f>IF(C25="","",COUNTIFS(Başvuru!$D:$D,C25,Başvuru!$L:$L,"ONAY",Başvuru!$A:$A,"&lt;&gt;"&amp;"",Başvuru!$F:$F,"&lt;&gt;"&amp;""))</f>
        <v>5</v>
      </c>
      <c r="K25" s="173">
        <f>IF(C25="","",COUNTIFS(Başvuru!$D:$D,C25,Başvuru!$L:$L,"DÜZELTME",Başvuru!$A:$A,"&lt;&gt;"&amp;"",Başvuru!$F:$F,"&lt;&gt;"&amp;""))</f>
        <v>1</v>
      </c>
      <c r="L25" s="174">
        <f>IF(C25="","",COUNTIFS(Başvuru!$D:$D,C25,Başvuru!$L:$L,"KAEK",Başvuru!$A:$A,"&lt;&gt;"&amp;"",Başvuru!$F:$F,"&lt;&gt;"&amp;""))</f>
        <v>0</v>
      </c>
      <c r="M25" s="175">
        <f>IF(C25="","",COUNTIFS(Başvuru!$D:$D,C25,Başvuru!$L:$L,"GÖRÜŞ",Başvuru!$A:$A,"&lt;&gt;"&amp;"",Başvuru!$F:$F,"&lt;&gt;"&amp;""))</f>
        <v>0</v>
      </c>
      <c r="N25" s="176">
        <f>IF(C25="","",COUNTIFS(Başvuru!$D:$D,C25,Başvuru!$L:$L,"RET",Başvuru!$A:$A,"&lt;&gt;"&amp;"",Başvuru!$F:$F,"&lt;&gt;"&amp;""))</f>
        <v>0</v>
      </c>
      <c r="O25" s="177">
        <f>IF(C25="","",COUNTIFS(Başvuru!$D:$D,C25,Başvuru!$L:$L,"KAPSAM DIŞI",Başvuru!$A:$A,"&lt;&gt;"&amp;"",Başvuru!$F:$F,"&lt;&gt;"&amp;""))</f>
        <v>0</v>
      </c>
      <c r="P25" s="178">
        <f>IF(C25="","",COUNTIFS(Başvuru!$D:$D,C25,Başvuru!$L:$L,"GERİ ÇEKİLDİ",Başvuru!$A:$A,"&lt;&gt;"&amp;"",Başvuru!$F:$F,"&lt;&gt;"&amp;""))</f>
        <v>0</v>
      </c>
      <c r="Q25" s="166" t="s">
        <v>535</v>
      </c>
      <c r="R25" s="167">
        <f>COUNTIFS(Başvuru!$D:$D,Q25,Başvuru!$A:$A,"&lt;&gt;"&amp;"",Başvuru!$F:$F,"&lt;&gt;"&amp;"")</f>
        <v>2</v>
      </c>
      <c r="S25" s="167">
        <f>RANK(R25,$R$6:$R$86,0)+COUNTIF($R$6:R25,R25)-1</f>
        <v>50</v>
      </c>
    </row>
    <row r="26" spans="2:19" ht="15" customHeight="1" x14ac:dyDescent="0.25">
      <c r="B26" s="155">
        <v>21</v>
      </c>
      <c r="C26" s="156" t="str">
        <f>IFERROR(INDEX($Q$6:$Q$86,MATCH(21,$S$6:$S$86,0)),"")</f>
        <v>Endodonti Anabilim Dalı</v>
      </c>
      <c r="D26" s="157">
        <f>IF(C26="","",COUNTIFS(Başvuru!$D:$D,C26,Başvuru!$A:$A,"&lt;&gt;"&amp;"",Başvuru!$F:$F,"&lt;&gt;"&amp;""))</f>
        <v>8</v>
      </c>
      <c r="E26" s="155" t="str">
        <f>IF(C26="","-",IF(D26&gt;0,TEXT(D26/(COUNTIFS(Başvuru!$A:$A,"&lt;&gt;",Başvuru!$F:$F,"&lt;&gt;")-1)*100,"0.0")&amp;"%","-"))</f>
        <v>01%</v>
      </c>
      <c r="F26" s="158">
        <f>IF(C26="","",COUNTIFS(Başvuru!$D:$D,C26,Başvuru!$G:$G,"Bireysel Araştırma",Başvuru!$A:$A,"&lt;&gt;"&amp;"",Başvuru!$F:$F,"&lt;&gt;"&amp;""))</f>
        <v>4</v>
      </c>
      <c r="G26" s="158">
        <f>IF(C26="","",COUNTIFS(Başvuru!$D:$D,C26,Başvuru!$G:$G,"Uzmanlık Tezi",Başvuru!$A:$A,"&lt;&gt;"&amp;"",Başvuru!$F:$F,"&lt;&gt;"&amp;""))</f>
        <v>3</v>
      </c>
      <c r="H26" s="158">
        <f>IF(C26="","",COUNTIFS(Başvuru!$D:$D,C26,Başvuru!$G:$G,"Doktora Tezi",Başvuru!$A:$A,"&lt;&gt;"&amp;"",Başvuru!$F:$F,"&lt;&gt;"&amp;""))</f>
        <v>1</v>
      </c>
      <c r="I26" s="158">
        <f>IF(C26="","",COUNTIFS(Başvuru!$D:$D,C26,Başvuru!$G:$G,"Yüksek Lisans Tezi",Başvuru!$A:$A,"&lt;&gt;"&amp;"",Başvuru!$F:$F,"&lt;&gt;"&amp;""))</f>
        <v>0</v>
      </c>
      <c r="J26" s="159">
        <f>IF(C26="","",COUNTIFS(Başvuru!$D:$D,C26,Başvuru!$L:$L,"ONAY",Başvuru!$A:$A,"&lt;&gt;"&amp;"",Başvuru!$F:$F,"&lt;&gt;"&amp;""))</f>
        <v>7</v>
      </c>
      <c r="K26" s="160">
        <f>IF(C26="","",COUNTIFS(Başvuru!$D:$D,C26,Başvuru!$L:$L,"DÜZELTME",Başvuru!$A:$A,"&lt;&gt;"&amp;"",Başvuru!$F:$F,"&lt;&gt;"&amp;""))</f>
        <v>0</v>
      </c>
      <c r="L26" s="161">
        <f>IF(C26="","",COUNTIFS(Başvuru!$D:$D,C26,Başvuru!$L:$L,"KAEK",Başvuru!$A:$A,"&lt;&gt;"&amp;"",Başvuru!$F:$F,"&lt;&gt;"&amp;""))</f>
        <v>0</v>
      </c>
      <c r="M26" s="162">
        <f>IF(C26="","",COUNTIFS(Başvuru!$D:$D,C26,Başvuru!$L:$L,"GÖRÜŞ",Başvuru!$A:$A,"&lt;&gt;"&amp;"",Başvuru!$F:$F,"&lt;&gt;"&amp;""))</f>
        <v>0</v>
      </c>
      <c r="N26" s="163">
        <f>IF(C26="","",COUNTIFS(Başvuru!$D:$D,C26,Başvuru!$L:$L,"RET",Başvuru!$A:$A,"&lt;&gt;"&amp;"",Başvuru!$F:$F,"&lt;&gt;"&amp;""))</f>
        <v>1</v>
      </c>
      <c r="O26" s="164">
        <f>IF(C26="","",COUNTIFS(Başvuru!$D:$D,C26,Başvuru!$L:$L,"KAPSAM DIŞI",Başvuru!$A:$A,"&lt;&gt;"&amp;"",Başvuru!$F:$F,"&lt;&gt;"&amp;""))</f>
        <v>0</v>
      </c>
      <c r="P26" s="165">
        <f>IF(C26="","",COUNTIFS(Başvuru!$D:$D,C26,Başvuru!$L:$L,"GERİ ÇEKİLDİ",Başvuru!$A:$A,"&lt;&gt;"&amp;"",Başvuru!$F:$F,"&lt;&gt;"&amp;""))</f>
        <v>0</v>
      </c>
      <c r="Q26" s="166" t="s">
        <v>101</v>
      </c>
      <c r="R26" s="167">
        <f>COUNTIFS(Başvuru!$D:$D,Q26,Başvuru!$A:$A,"&lt;&gt;"&amp;"",Başvuru!$F:$F,"&lt;&gt;"&amp;"")</f>
        <v>1</v>
      </c>
      <c r="S26" s="167">
        <f>RANK(R26,$R$6:$R$86,0)+COUNTIF($R$6:R26,R26)-1</f>
        <v>61</v>
      </c>
    </row>
    <row r="27" spans="2:19" ht="15" customHeight="1" x14ac:dyDescent="0.25">
      <c r="B27" s="168">
        <v>22</v>
      </c>
      <c r="C27" s="169" t="str">
        <f>IFERROR(INDEX($Q$6:$Q$86,MATCH(22,$S$6:$S$86,0)),"")</f>
        <v>Üroloji Anabilim Dalı</v>
      </c>
      <c r="D27" s="170">
        <f>IF(C27="","",COUNTIFS(Başvuru!$D:$D,C27,Başvuru!$A:$A,"&lt;&gt;"&amp;"",Başvuru!$F:$F,"&lt;&gt;"&amp;""))</f>
        <v>8</v>
      </c>
      <c r="E27" s="168" t="str">
        <f>IF(C27="","-",IF(D27&gt;0,TEXT(D27/(COUNTIFS(Başvuru!$A:$A,"&lt;&gt;",Başvuru!$F:$F,"&lt;&gt;")-1)*100,"0.0")&amp;"%","-"))</f>
        <v>01%</v>
      </c>
      <c r="F27" s="171">
        <f>IF(C27="","",COUNTIFS(Başvuru!$D:$D,C27,Başvuru!$G:$G,"Bireysel Araştırma",Başvuru!$A:$A,"&lt;&gt;"&amp;"",Başvuru!$F:$F,"&lt;&gt;"&amp;""))</f>
        <v>8</v>
      </c>
      <c r="G27" s="171">
        <f>IF(C27="","",COUNTIFS(Başvuru!$D:$D,C27,Başvuru!$G:$G,"Uzmanlık Tezi",Başvuru!$A:$A,"&lt;&gt;"&amp;"",Başvuru!$F:$F,"&lt;&gt;"&amp;""))</f>
        <v>0</v>
      </c>
      <c r="H27" s="171">
        <f>IF(C27="","",COUNTIFS(Başvuru!$D:$D,C27,Başvuru!$G:$G,"Doktora Tezi",Başvuru!$A:$A,"&lt;&gt;"&amp;"",Başvuru!$F:$F,"&lt;&gt;"&amp;""))</f>
        <v>0</v>
      </c>
      <c r="I27" s="171">
        <f>IF(C27="","",COUNTIFS(Başvuru!$D:$D,C27,Başvuru!$G:$G,"Yüksek Lisans Tezi",Başvuru!$A:$A,"&lt;&gt;"&amp;"",Başvuru!$F:$F,"&lt;&gt;"&amp;""))</f>
        <v>0</v>
      </c>
      <c r="J27" s="172">
        <f>IF(C27="","",COUNTIFS(Başvuru!$D:$D,C27,Başvuru!$L:$L,"ONAY",Başvuru!$A:$A,"&lt;&gt;"&amp;"",Başvuru!$F:$F,"&lt;&gt;"&amp;""))</f>
        <v>5</v>
      </c>
      <c r="K27" s="173">
        <f>IF(C27="","",COUNTIFS(Başvuru!$D:$D,C27,Başvuru!$L:$L,"DÜZELTME",Başvuru!$A:$A,"&lt;&gt;"&amp;"",Başvuru!$F:$F,"&lt;&gt;"&amp;""))</f>
        <v>2</v>
      </c>
      <c r="L27" s="174">
        <f>IF(C27="","",COUNTIFS(Başvuru!$D:$D,C27,Başvuru!$L:$L,"KAEK",Başvuru!$A:$A,"&lt;&gt;"&amp;"",Başvuru!$F:$F,"&lt;&gt;"&amp;""))</f>
        <v>0</v>
      </c>
      <c r="M27" s="175">
        <f>IF(C27="","",COUNTIFS(Başvuru!$D:$D,C27,Başvuru!$L:$L,"GÖRÜŞ",Başvuru!$A:$A,"&lt;&gt;"&amp;"",Başvuru!$F:$F,"&lt;&gt;"&amp;""))</f>
        <v>0</v>
      </c>
      <c r="N27" s="176">
        <f>IF(C27="","",COUNTIFS(Başvuru!$D:$D,C27,Başvuru!$L:$L,"RET",Başvuru!$A:$A,"&lt;&gt;"&amp;"",Başvuru!$F:$F,"&lt;&gt;"&amp;""))</f>
        <v>0</v>
      </c>
      <c r="O27" s="177">
        <f>IF(C27="","",COUNTIFS(Başvuru!$D:$D,C27,Başvuru!$L:$L,"KAPSAM DIŞI",Başvuru!$A:$A,"&lt;&gt;"&amp;"",Başvuru!$F:$F,"&lt;&gt;"&amp;""))</f>
        <v>0</v>
      </c>
      <c r="P27" s="178">
        <f>IF(C27="","",COUNTIFS(Başvuru!$D:$D,C27,Başvuru!$L:$L,"GERİ ÇEKİLDİ",Başvuru!$A:$A,"&lt;&gt;"&amp;"",Başvuru!$F:$F,"&lt;&gt;"&amp;""))</f>
        <v>0</v>
      </c>
      <c r="Q27" s="166" t="s">
        <v>378</v>
      </c>
      <c r="R27" s="167">
        <f>COUNTIFS(Başvuru!$D:$D,Q27,Başvuru!$A:$A,"&lt;&gt;"&amp;"",Başvuru!$F:$F,"&lt;&gt;"&amp;"")</f>
        <v>7</v>
      </c>
      <c r="S27" s="167">
        <f>RANK(R27,$R$6:$R$86,0)+COUNTIF($R$6:R27,R27)-1</f>
        <v>23</v>
      </c>
    </row>
    <row r="28" spans="2:19" ht="15" customHeight="1" x14ac:dyDescent="0.25">
      <c r="B28" s="155">
        <v>23</v>
      </c>
      <c r="C28" s="156" t="str">
        <f>IFERROR(INDEX($Q$6:$Q$86,MATCH(23,$S$6:$S$86,0)),"")</f>
        <v>Fiziksel Tıp ve Rehabilitasyon Anabilim Dalı</v>
      </c>
      <c r="D28" s="157">
        <f>IF(C28="","",COUNTIFS(Başvuru!$D:$D,C28,Başvuru!$A:$A,"&lt;&gt;"&amp;"",Başvuru!$F:$F,"&lt;&gt;"&amp;""))</f>
        <v>7</v>
      </c>
      <c r="E28" s="155" t="str">
        <f>IF(C28="","-",IF(D28&gt;0,TEXT(D28/(COUNTIFS(Başvuru!$A:$A,"&lt;&gt;",Başvuru!$F:$F,"&lt;&gt;")-1)*100,"0.0")&amp;"%","-"))</f>
        <v>01%</v>
      </c>
      <c r="F28" s="158">
        <f>IF(C28="","",COUNTIFS(Başvuru!$D:$D,C28,Başvuru!$G:$G,"Bireysel Araştırma",Başvuru!$A:$A,"&lt;&gt;"&amp;"",Başvuru!$F:$F,"&lt;&gt;"&amp;""))</f>
        <v>4</v>
      </c>
      <c r="G28" s="158">
        <f>IF(C28="","",COUNTIFS(Başvuru!$D:$D,C28,Başvuru!$G:$G,"Uzmanlık Tezi",Başvuru!$A:$A,"&lt;&gt;"&amp;"",Başvuru!$F:$F,"&lt;&gt;"&amp;""))</f>
        <v>3</v>
      </c>
      <c r="H28" s="158">
        <f>IF(C28="","",COUNTIFS(Başvuru!$D:$D,C28,Başvuru!$G:$G,"Doktora Tezi",Başvuru!$A:$A,"&lt;&gt;"&amp;"",Başvuru!$F:$F,"&lt;&gt;"&amp;""))</f>
        <v>0</v>
      </c>
      <c r="I28" s="158">
        <f>IF(C28="","",COUNTIFS(Başvuru!$D:$D,C28,Başvuru!$G:$G,"Yüksek Lisans Tezi",Başvuru!$A:$A,"&lt;&gt;"&amp;"",Başvuru!$F:$F,"&lt;&gt;"&amp;""))</f>
        <v>0</v>
      </c>
      <c r="J28" s="159">
        <f>IF(C28="","",COUNTIFS(Başvuru!$D:$D,C28,Başvuru!$L:$L,"ONAY",Başvuru!$A:$A,"&lt;&gt;"&amp;"",Başvuru!$F:$F,"&lt;&gt;"&amp;""))</f>
        <v>2</v>
      </c>
      <c r="K28" s="160">
        <f>IF(C28="","",COUNTIFS(Başvuru!$D:$D,C28,Başvuru!$L:$L,"DÜZELTME",Başvuru!$A:$A,"&lt;&gt;"&amp;"",Başvuru!$F:$F,"&lt;&gt;"&amp;""))</f>
        <v>2</v>
      </c>
      <c r="L28" s="161">
        <f>IF(C28="","",COUNTIFS(Başvuru!$D:$D,C28,Başvuru!$L:$L,"KAEK",Başvuru!$A:$A,"&lt;&gt;"&amp;"",Başvuru!$F:$F,"&lt;&gt;"&amp;""))</f>
        <v>0</v>
      </c>
      <c r="M28" s="162">
        <f>IF(C28="","",COUNTIFS(Başvuru!$D:$D,C28,Başvuru!$L:$L,"GÖRÜŞ",Başvuru!$A:$A,"&lt;&gt;"&amp;"",Başvuru!$F:$F,"&lt;&gt;"&amp;""))</f>
        <v>0</v>
      </c>
      <c r="N28" s="163">
        <f>IF(C28="","",COUNTIFS(Başvuru!$D:$D,C28,Başvuru!$L:$L,"RET",Başvuru!$A:$A,"&lt;&gt;"&amp;"",Başvuru!$F:$F,"&lt;&gt;"&amp;""))</f>
        <v>2</v>
      </c>
      <c r="O28" s="164">
        <f>IF(C28="","",COUNTIFS(Başvuru!$D:$D,C28,Başvuru!$L:$L,"KAPSAM DIŞI",Başvuru!$A:$A,"&lt;&gt;"&amp;"",Başvuru!$F:$F,"&lt;&gt;"&amp;""))</f>
        <v>0</v>
      </c>
      <c r="P28" s="165">
        <f>IF(C28="","",COUNTIFS(Başvuru!$D:$D,C28,Başvuru!$L:$L,"GERİ ÇEKİLDİ",Başvuru!$A:$A,"&lt;&gt;"&amp;"",Başvuru!$F:$F,"&lt;&gt;"&amp;""))</f>
        <v>0</v>
      </c>
      <c r="Q28" s="166" t="s">
        <v>923</v>
      </c>
      <c r="R28" s="167">
        <f>COUNTIFS(Başvuru!$D:$D,Q28,Başvuru!$A:$A,"&lt;&gt;"&amp;"",Başvuru!$F:$F,"&lt;&gt;"&amp;"")</f>
        <v>2</v>
      </c>
      <c r="S28" s="167">
        <f>RANK(R28,$R$6:$R$86,0)+COUNTIF($R$6:R28,R28)-1</f>
        <v>51</v>
      </c>
    </row>
    <row r="29" spans="2:19" ht="15" customHeight="1" x14ac:dyDescent="0.25">
      <c r="B29" s="168">
        <v>24</v>
      </c>
      <c r="C29" s="169" t="str">
        <f>IFERROR(INDEX($Q$6:$Q$86,MATCH(24,$S$6:$S$86,0)),"")</f>
        <v>Periodontoloji Anabilim Dalı</v>
      </c>
      <c r="D29" s="170">
        <f>IF(C29="","",COUNTIFS(Başvuru!$D:$D,C29,Başvuru!$A:$A,"&lt;&gt;"&amp;"",Başvuru!$F:$F,"&lt;&gt;"&amp;""))</f>
        <v>7</v>
      </c>
      <c r="E29" s="168" t="str">
        <f>IF(C29="","-",IF(D29&gt;0,TEXT(D29/(COUNTIFS(Başvuru!$A:$A,"&lt;&gt;",Başvuru!$F:$F,"&lt;&gt;")-1)*100,"0.0")&amp;"%","-"))</f>
        <v>01%</v>
      </c>
      <c r="F29" s="171">
        <f>IF(C29="","",COUNTIFS(Başvuru!$D:$D,C29,Başvuru!$G:$G,"Bireysel Araştırma",Başvuru!$A:$A,"&lt;&gt;"&amp;"",Başvuru!$F:$F,"&lt;&gt;"&amp;""))</f>
        <v>3</v>
      </c>
      <c r="G29" s="171">
        <f>IF(C29="","",COUNTIFS(Başvuru!$D:$D,C29,Başvuru!$G:$G,"Uzmanlık Tezi",Başvuru!$A:$A,"&lt;&gt;"&amp;"",Başvuru!$F:$F,"&lt;&gt;"&amp;""))</f>
        <v>4</v>
      </c>
      <c r="H29" s="171">
        <f>IF(C29="","",COUNTIFS(Başvuru!$D:$D,C29,Başvuru!$G:$G,"Doktora Tezi",Başvuru!$A:$A,"&lt;&gt;"&amp;"",Başvuru!$F:$F,"&lt;&gt;"&amp;""))</f>
        <v>0</v>
      </c>
      <c r="I29" s="171">
        <f>IF(C29="","",COUNTIFS(Başvuru!$D:$D,C29,Başvuru!$G:$G,"Yüksek Lisans Tezi",Başvuru!$A:$A,"&lt;&gt;"&amp;"",Başvuru!$F:$F,"&lt;&gt;"&amp;""))</f>
        <v>0</v>
      </c>
      <c r="J29" s="172">
        <f>IF(C29="","",COUNTIFS(Başvuru!$D:$D,C29,Başvuru!$L:$L,"ONAY",Başvuru!$A:$A,"&lt;&gt;"&amp;"",Başvuru!$F:$F,"&lt;&gt;"&amp;""))</f>
        <v>3</v>
      </c>
      <c r="K29" s="173">
        <f>IF(C29="","",COUNTIFS(Başvuru!$D:$D,C29,Başvuru!$L:$L,"DÜZELTME",Başvuru!$A:$A,"&lt;&gt;"&amp;"",Başvuru!$F:$F,"&lt;&gt;"&amp;""))</f>
        <v>4</v>
      </c>
      <c r="L29" s="174">
        <f>IF(C29="","",COUNTIFS(Başvuru!$D:$D,C29,Başvuru!$L:$L,"KAEK",Başvuru!$A:$A,"&lt;&gt;"&amp;"",Başvuru!$F:$F,"&lt;&gt;"&amp;""))</f>
        <v>0</v>
      </c>
      <c r="M29" s="175">
        <f>IF(C29="","",COUNTIFS(Başvuru!$D:$D,C29,Başvuru!$L:$L,"GÖRÜŞ",Başvuru!$A:$A,"&lt;&gt;"&amp;"",Başvuru!$F:$F,"&lt;&gt;"&amp;""))</f>
        <v>0</v>
      </c>
      <c r="N29" s="176">
        <f>IF(C29="","",COUNTIFS(Başvuru!$D:$D,C29,Başvuru!$L:$L,"RET",Başvuru!$A:$A,"&lt;&gt;"&amp;"",Başvuru!$F:$F,"&lt;&gt;"&amp;""))</f>
        <v>0</v>
      </c>
      <c r="O29" s="177">
        <f>IF(C29="","",COUNTIFS(Başvuru!$D:$D,C29,Başvuru!$L:$L,"KAPSAM DIŞI",Başvuru!$A:$A,"&lt;&gt;"&amp;"",Başvuru!$F:$F,"&lt;&gt;"&amp;""))</f>
        <v>0</v>
      </c>
      <c r="P29" s="178">
        <f>IF(C29="","",COUNTIFS(Başvuru!$D:$D,C29,Başvuru!$L:$L,"GERİ ÇEKİLDİ",Başvuru!$A:$A,"&lt;&gt;"&amp;"",Başvuru!$F:$F,"&lt;&gt;"&amp;""))</f>
        <v>0</v>
      </c>
      <c r="Q29" s="166" t="s">
        <v>1853</v>
      </c>
      <c r="R29" s="167">
        <f>COUNTIFS(Başvuru!$D:$D,Q29,Başvuru!$A:$A,"&lt;&gt;"&amp;"",Başvuru!$F:$F,"&lt;&gt;"&amp;"")</f>
        <v>1</v>
      </c>
      <c r="S29" s="167">
        <f>RANK(R29,$R$6:$R$86,0)+COUNTIF($R$6:R29,R29)-1</f>
        <v>62</v>
      </c>
    </row>
    <row r="30" spans="2:19" ht="15" customHeight="1" x14ac:dyDescent="0.25">
      <c r="B30" s="155">
        <v>25</v>
      </c>
      <c r="C30" s="156" t="str">
        <f>IFERROR(INDEX($Q$6:$Q$86,MATCH(25,$S$6:$S$86,0)),"")</f>
        <v>Sağlık Yönetimi Anabilim Dalı</v>
      </c>
      <c r="D30" s="157">
        <f>IF(C30="","",COUNTIFS(Başvuru!$D:$D,C30,Başvuru!$A:$A,"&lt;&gt;"&amp;"",Başvuru!$F:$F,"&lt;&gt;"&amp;""))</f>
        <v>7</v>
      </c>
      <c r="E30" s="155" t="str">
        <f>IF(C30="","-",IF(D30&gt;0,TEXT(D30/(COUNTIFS(Başvuru!$A:$A,"&lt;&gt;",Başvuru!$F:$F,"&lt;&gt;")-1)*100,"0.0")&amp;"%","-"))</f>
        <v>01%</v>
      </c>
      <c r="F30" s="158">
        <f>IF(C30="","",COUNTIFS(Başvuru!$D:$D,C30,Başvuru!$G:$G,"Bireysel Araştırma",Başvuru!$A:$A,"&lt;&gt;"&amp;"",Başvuru!$F:$F,"&lt;&gt;"&amp;""))</f>
        <v>1</v>
      </c>
      <c r="G30" s="158">
        <f>IF(C30="","",COUNTIFS(Başvuru!$D:$D,C30,Başvuru!$G:$G,"Uzmanlık Tezi",Başvuru!$A:$A,"&lt;&gt;"&amp;"",Başvuru!$F:$F,"&lt;&gt;"&amp;""))</f>
        <v>0</v>
      </c>
      <c r="H30" s="158">
        <f>IF(C30="","",COUNTIFS(Başvuru!$D:$D,C30,Başvuru!$G:$G,"Doktora Tezi",Başvuru!$A:$A,"&lt;&gt;"&amp;"",Başvuru!$F:$F,"&lt;&gt;"&amp;""))</f>
        <v>6</v>
      </c>
      <c r="I30" s="158">
        <f>IF(C30="","",COUNTIFS(Başvuru!$D:$D,C30,Başvuru!$G:$G,"Yüksek Lisans Tezi",Başvuru!$A:$A,"&lt;&gt;"&amp;"",Başvuru!$F:$F,"&lt;&gt;"&amp;""))</f>
        <v>0</v>
      </c>
      <c r="J30" s="159">
        <f>IF(C30="","",COUNTIFS(Başvuru!$D:$D,C30,Başvuru!$L:$L,"ONAY",Başvuru!$A:$A,"&lt;&gt;"&amp;"",Başvuru!$F:$F,"&lt;&gt;"&amp;""))</f>
        <v>2</v>
      </c>
      <c r="K30" s="160">
        <f>IF(C30="","",COUNTIFS(Başvuru!$D:$D,C30,Başvuru!$L:$L,"DÜZELTME",Başvuru!$A:$A,"&lt;&gt;"&amp;"",Başvuru!$F:$F,"&lt;&gt;"&amp;""))</f>
        <v>4</v>
      </c>
      <c r="L30" s="161">
        <f>IF(C30="","",COUNTIFS(Başvuru!$D:$D,C30,Başvuru!$L:$L,"KAEK",Başvuru!$A:$A,"&lt;&gt;"&amp;"",Başvuru!$F:$F,"&lt;&gt;"&amp;""))</f>
        <v>0</v>
      </c>
      <c r="M30" s="162">
        <f>IF(C30="","",COUNTIFS(Başvuru!$D:$D,C30,Başvuru!$L:$L,"GÖRÜŞ",Başvuru!$A:$A,"&lt;&gt;"&amp;"",Başvuru!$F:$F,"&lt;&gt;"&amp;""))</f>
        <v>1</v>
      </c>
      <c r="N30" s="163">
        <f>IF(C30="","",COUNTIFS(Başvuru!$D:$D,C30,Başvuru!$L:$L,"RET",Başvuru!$A:$A,"&lt;&gt;"&amp;"",Başvuru!$F:$F,"&lt;&gt;"&amp;""))</f>
        <v>0</v>
      </c>
      <c r="O30" s="164">
        <f>IF(C30="","",COUNTIFS(Başvuru!$D:$D,C30,Başvuru!$L:$L,"KAPSAM DIŞI",Başvuru!$A:$A,"&lt;&gt;"&amp;"",Başvuru!$F:$F,"&lt;&gt;"&amp;""))</f>
        <v>0</v>
      </c>
      <c r="P30" s="165">
        <f>IF(C30="","",COUNTIFS(Başvuru!$D:$D,C30,Başvuru!$L:$L,"GERİ ÇEKİLDİ",Başvuru!$A:$A,"&lt;&gt;"&amp;"",Başvuru!$F:$F,"&lt;&gt;"&amp;""))</f>
        <v>0</v>
      </c>
      <c r="Q30" s="166" t="s">
        <v>203</v>
      </c>
      <c r="R30" s="167">
        <f>COUNTIFS(Başvuru!$D:$D,Q30,Başvuru!$A:$A,"&lt;&gt;"&amp;"",Başvuru!$F:$F,"&lt;&gt;"&amp;"")</f>
        <v>16</v>
      </c>
      <c r="S30" s="167">
        <f>RANK(R30,$R$6:$R$86,0)+COUNTIF($R$6:R30,R30)-1</f>
        <v>8</v>
      </c>
    </row>
    <row r="31" spans="2:19" ht="15" customHeight="1" x14ac:dyDescent="0.25">
      <c r="B31" s="168">
        <v>26</v>
      </c>
      <c r="C31" s="169" t="str">
        <f>IFERROR(INDEX($Q$6:$Q$86,MATCH(26,$S$6:$S$86,0)),"")</f>
        <v>Hareket ve Antrenman Bilimleri Anabilim Dalı</v>
      </c>
      <c r="D31" s="170">
        <f>IF(C31="","",COUNTIFS(Başvuru!$D:$D,C31,Başvuru!$A:$A,"&lt;&gt;"&amp;"",Başvuru!$F:$F,"&lt;&gt;"&amp;""))</f>
        <v>6</v>
      </c>
      <c r="E31" s="168" t="str">
        <f>IF(C31="","-",IF(D31&gt;0,TEXT(D31/(COUNTIFS(Başvuru!$A:$A,"&lt;&gt;",Başvuru!$F:$F,"&lt;&gt;")-1)*100,"0.0")&amp;"%","-"))</f>
        <v>01%</v>
      </c>
      <c r="F31" s="171">
        <f>IF(C31="","",COUNTIFS(Başvuru!$D:$D,C31,Başvuru!$G:$G,"Bireysel Araştırma",Başvuru!$A:$A,"&lt;&gt;"&amp;"",Başvuru!$F:$F,"&lt;&gt;"&amp;""))</f>
        <v>2</v>
      </c>
      <c r="G31" s="171">
        <f>IF(C31="","",COUNTIFS(Başvuru!$D:$D,C31,Başvuru!$G:$G,"Uzmanlık Tezi",Başvuru!$A:$A,"&lt;&gt;"&amp;"",Başvuru!$F:$F,"&lt;&gt;"&amp;""))</f>
        <v>0</v>
      </c>
      <c r="H31" s="171">
        <f>IF(C31="","",COUNTIFS(Başvuru!$D:$D,C31,Başvuru!$G:$G,"Doktora Tezi",Başvuru!$A:$A,"&lt;&gt;"&amp;"",Başvuru!$F:$F,"&lt;&gt;"&amp;""))</f>
        <v>1</v>
      </c>
      <c r="I31" s="171">
        <f>IF(C31="","",COUNTIFS(Başvuru!$D:$D,C31,Başvuru!$G:$G,"Yüksek Lisans Tezi",Başvuru!$A:$A,"&lt;&gt;"&amp;"",Başvuru!$F:$F,"&lt;&gt;"&amp;""))</f>
        <v>3</v>
      </c>
      <c r="J31" s="172">
        <f>IF(C31="","",COUNTIFS(Başvuru!$D:$D,C31,Başvuru!$L:$L,"ONAY",Başvuru!$A:$A,"&lt;&gt;"&amp;"",Başvuru!$F:$F,"&lt;&gt;"&amp;""))</f>
        <v>4</v>
      </c>
      <c r="K31" s="173">
        <f>IF(C31="","",COUNTIFS(Başvuru!$D:$D,C31,Başvuru!$L:$L,"DÜZELTME",Başvuru!$A:$A,"&lt;&gt;"&amp;"",Başvuru!$F:$F,"&lt;&gt;"&amp;""))</f>
        <v>2</v>
      </c>
      <c r="L31" s="174">
        <f>IF(C31="","",COUNTIFS(Başvuru!$D:$D,C31,Başvuru!$L:$L,"KAEK",Başvuru!$A:$A,"&lt;&gt;"&amp;"",Başvuru!$F:$F,"&lt;&gt;"&amp;""))</f>
        <v>0</v>
      </c>
      <c r="M31" s="175">
        <f>IF(C31="","",COUNTIFS(Başvuru!$D:$D,C31,Başvuru!$L:$L,"GÖRÜŞ",Başvuru!$A:$A,"&lt;&gt;"&amp;"",Başvuru!$F:$F,"&lt;&gt;"&amp;""))</f>
        <v>0</v>
      </c>
      <c r="N31" s="176">
        <f>IF(C31="","",COUNTIFS(Başvuru!$D:$D,C31,Başvuru!$L:$L,"RET",Başvuru!$A:$A,"&lt;&gt;"&amp;"",Başvuru!$F:$F,"&lt;&gt;"&amp;""))</f>
        <v>0</v>
      </c>
      <c r="O31" s="177">
        <f>IF(C31="","",COUNTIFS(Başvuru!$D:$D,C31,Başvuru!$L:$L,"KAPSAM DIŞI",Başvuru!$A:$A,"&lt;&gt;"&amp;"",Başvuru!$F:$F,"&lt;&gt;"&amp;""))</f>
        <v>0</v>
      </c>
      <c r="P31" s="178">
        <f>IF(C31="","",COUNTIFS(Başvuru!$D:$D,C31,Başvuru!$L:$L,"GERİ ÇEKİLDİ",Başvuru!$A:$A,"&lt;&gt;"&amp;"",Başvuru!$F:$F,"&lt;&gt;"&amp;""))</f>
        <v>0</v>
      </c>
      <c r="Q31" s="166" t="s">
        <v>196</v>
      </c>
      <c r="R31" s="167">
        <f>COUNTIFS(Başvuru!$D:$D,Q31,Başvuru!$A:$A,"&lt;&gt;"&amp;"",Başvuru!$F:$F,"&lt;&gt;"&amp;"")</f>
        <v>5</v>
      </c>
      <c r="S31" s="167">
        <f>RANK(R31,$R$6:$R$86,0)+COUNTIF($R$6:R31,R31)-1</f>
        <v>33</v>
      </c>
    </row>
    <row r="32" spans="2:19" ht="15" customHeight="1" x14ac:dyDescent="0.25">
      <c r="B32" s="155">
        <v>27</v>
      </c>
      <c r="C32" s="156" t="str">
        <f>IFERROR(INDEX($Q$6:$Q$86,MATCH(27,$S$6:$S$86,0)),"")</f>
        <v>Nükleer Tıp Anabilim Dalı</v>
      </c>
      <c r="D32" s="157">
        <f>IF(C32="","",COUNTIFS(Başvuru!$D:$D,C32,Başvuru!$A:$A,"&lt;&gt;"&amp;"",Başvuru!$F:$F,"&lt;&gt;"&amp;""))</f>
        <v>6</v>
      </c>
      <c r="E32" s="155" t="str">
        <f>IF(C32="","-",IF(D32&gt;0,TEXT(D32/(COUNTIFS(Başvuru!$A:$A,"&lt;&gt;",Başvuru!$F:$F,"&lt;&gt;")-1)*100,"0.0")&amp;"%","-"))</f>
        <v>01%</v>
      </c>
      <c r="F32" s="158">
        <f>IF(C32="","",COUNTIFS(Başvuru!$D:$D,C32,Başvuru!$G:$G,"Bireysel Araştırma",Başvuru!$A:$A,"&lt;&gt;"&amp;"",Başvuru!$F:$F,"&lt;&gt;"&amp;""))</f>
        <v>4</v>
      </c>
      <c r="G32" s="158">
        <f>IF(C32="","",COUNTIFS(Başvuru!$D:$D,C32,Başvuru!$G:$G,"Uzmanlık Tezi",Başvuru!$A:$A,"&lt;&gt;"&amp;"",Başvuru!$F:$F,"&lt;&gt;"&amp;""))</f>
        <v>2</v>
      </c>
      <c r="H32" s="158">
        <f>IF(C32="","",COUNTIFS(Başvuru!$D:$D,C32,Başvuru!$G:$G,"Doktora Tezi",Başvuru!$A:$A,"&lt;&gt;"&amp;"",Başvuru!$F:$F,"&lt;&gt;"&amp;""))</f>
        <v>0</v>
      </c>
      <c r="I32" s="158">
        <f>IF(C32="","",COUNTIFS(Başvuru!$D:$D,C32,Başvuru!$G:$G,"Yüksek Lisans Tezi",Başvuru!$A:$A,"&lt;&gt;"&amp;"",Başvuru!$F:$F,"&lt;&gt;"&amp;""))</f>
        <v>0</v>
      </c>
      <c r="J32" s="159">
        <f>IF(C32="","",COUNTIFS(Başvuru!$D:$D,C32,Başvuru!$L:$L,"ONAY",Başvuru!$A:$A,"&lt;&gt;"&amp;"",Başvuru!$F:$F,"&lt;&gt;"&amp;""))</f>
        <v>5</v>
      </c>
      <c r="K32" s="160">
        <f>IF(C32="","",COUNTIFS(Başvuru!$D:$D,C32,Başvuru!$L:$L,"DÜZELTME",Başvuru!$A:$A,"&lt;&gt;"&amp;"",Başvuru!$F:$F,"&lt;&gt;"&amp;""))</f>
        <v>0</v>
      </c>
      <c r="L32" s="161">
        <f>IF(C32="","",COUNTIFS(Başvuru!$D:$D,C32,Başvuru!$L:$L,"KAEK",Başvuru!$A:$A,"&lt;&gt;"&amp;"",Başvuru!$F:$F,"&lt;&gt;"&amp;""))</f>
        <v>0</v>
      </c>
      <c r="M32" s="162">
        <f>IF(C32="","",COUNTIFS(Başvuru!$D:$D,C32,Başvuru!$L:$L,"GÖRÜŞ",Başvuru!$A:$A,"&lt;&gt;"&amp;"",Başvuru!$F:$F,"&lt;&gt;"&amp;""))</f>
        <v>0</v>
      </c>
      <c r="N32" s="163">
        <f>IF(C32="","",COUNTIFS(Başvuru!$D:$D,C32,Başvuru!$L:$L,"RET",Başvuru!$A:$A,"&lt;&gt;"&amp;"",Başvuru!$F:$F,"&lt;&gt;"&amp;""))</f>
        <v>1</v>
      </c>
      <c r="O32" s="164">
        <f>IF(C32="","",COUNTIFS(Başvuru!$D:$D,C32,Başvuru!$L:$L,"KAPSAM DIŞI",Başvuru!$A:$A,"&lt;&gt;"&amp;"",Başvuru!$F:$F,"&lt;&gt;"&amp;""))</f>
        <v>0</v>
      </c>
      <c r="P32" s="165">
        <f>IF(C32="","",COUNTIFS(Başvuru!$D:$D,C32,Başvuru!$L:$L,"GERİ ÇEKİLDİ",Başvuru!$A:$A,"&lt;&gt;"&amp;"",Başvuru!$F:$F,"&lt;&gt;"&amp;""))</f>
        <v>0</v>
      </c>
      <c r="Q32" s="166" t="s">
        <v>175</v>
      </c>
      <c r="R32" s="167">
        <f>COUNTIFS(Başvuru!$D:$D,Q32,Başvuru!$A:$A,"&lt;&gt;"&amp;"",Başvuru!$F:$F,"&lt;&gt;"&amp;"")</f>
        <v>16</v>
      </c>
      <c r="S32" s="167">
        <f>RANK(R32,$R$6:$R$86,0)+COUNTIF($R$6:R32,R32)-1</f>
        <v>9</v>
      </c>
    </row>
    <row r="33" spans="2:19" ht="15" customHeight="1" x14ac:dyDescent="0.25">
      <c r="B33" s="168">
        <v>28</v>
      </c>
      <c r="C33" s="169" t="str">
        <f>IFERROR(INDEX($Q$6:$Q$86,MATCH(28,$S$6:$S$86,0)),"")</f>
        <v>Plastik, Rekonstrüktif ve Estetik Cerrahi Anabilim Dalı</v>
      </c>
      <c r="D33" s="170">
        <f>IF(C33="","",COUNTIFS(Başvuru!$D:$D,C33,Başvuru!$A:$A,"&lt;&gt;"&amp;"",Başvuru!$F:$F,"&lt;&gt;"&amp;""))</f>
        <v>6</v>
      </c>
      <c r="E33" s="168" t="str">
        <f>IF(C33="","-",IF(D33&gt;0,TEXT(D33/(COUNTIFS(Başvuru!$A:$A,"&lt;&gt;",Başvuru!$F:$F,"&lt;&gt;")-1)*100,"0.0")&amp;"%","-"))</f>
        <v>01%</v>
      </c>
      <c r="F33" s="171">
        <f>IF(C33="","",COUNTIFS(Başvuru!$D:$D,C33,Başvuru!$G:$G,"Bireysel Araştırma",Başvuru!$A:$A,"&lt;&gt;"&amp;"",Başvuru!$F:$F,"&lt;&gt;"&amp;""))</f>
        <v>4</v>
      </c>
      <c r="G33" s="171">
        <f>IF(C33="","",COUNTIFS(Başvuru!$D:$D,C33,Başvuru!$G:$G,"Uzmanlık Tezi",Başvuru!$A:$A,"&lt;&gt;"&amp;"",Başvuru!$F:$F,"&lt;&gt;"&amp;""))</f>
        <v>2</v>
      </c>
      <c r="H33" s="171">
        <f>IF(C33="","",COUNTIFS(Başvuru!$D:$D,C33,Başvuru!$G:$G,"Doktora Tezi",Başvuru!$A:$A,"&lt;&gt;"&amp;"",Başvuru!$F:$F,"&lt;&gt;"&amp;""))</f>
        <v>0</v>
      </c>
      <c r="I33" s="171">
        <f>IF(C33="","",COUNTIFS(Başvuru!$D:$D,C33,Başvuru!$G:$G,"Yüksek Lisans Tezi",Başvuru!$A:$A,"&lt;&gt;"&amp;"",Başvuru!$F:$F,"&lt;&gt;"&amp;""))</f>
        <v>0</v>
      </c>
      <c r="J33" s="172">
        <f>IF(C33="","",COUNTIFS(Başvuru!$D:$D,C33,Başvuru!$L:$L,"ONAY",Başvuru!$A:$A,"&lt;&gt;"&amp;"",Başvuru!$F:$F,"&lt;&gt;"&amp;""))</f>
        <v>3</v>
      </c>
      <c r="K33" s="173">
        <f>IF(C33="","",COUNTIFS(Başvuru!$D:$D,C33,Başvuru!$L:$L,"DÜZELTME",Başvuru!$A:$A,"&lt;&gt;"&amp;"",Başvuru!$F:$F,"&lt;&gt;"&amp;""))</f>
        <v>1</v>
      </c>
      <c r="L33" s="174">
        <f>IF(C33="","",COUNTIFS(Başvuru!$D:$D,C33,Başvuru!$L:$L,"KAEK",Başvuru!$A:$A,"&lt;&gt;"&amp;"",Başvuru!$F:$F,"&lt;&gt;"&amp;""))</f>
        <v>1</v>
      </c>
      <c r="M33" s="175">
        <f>IF(C33="","",COUNTIFS(Başvuru!$D:$D,C33,Başvuru!$L:$L,"GÖRÜŞ",Başvuru!$A:$A,"&lt;&gt;"&amp;"",Başvuru!$F:$F,"&lt;&gt;"&amp;""))</f>
        <v>0</v>
      </c>
      <c r="N33" s="176">
        <f>IF(C33="","",COUNTIFS(Başvuru!$D:$D,C33,Başvuru!$L:$L,"RET",Başvuru!$A:$A,"&lt;&gt;"&amp;"",Başvuru!$F:$F,"&lt;&gt;"&amp;""))</f>
        <v>0</v>
      </c>
      <c r="O33" s="177">
        <f>IF(C33="","",COUNTIFS(Başvuru!$D:$D,C33,Başvuru!$L:$L,"KAPSAM DIŞI",Başvuru!$A:$A,"&lt;&gt;"&amp;"",Başvuru!$F:$F,"&lt;&gt;"&amp;""))</f>
        <v>0</v>
      </c>
      <c r="P33" s="178">
        <f>IF(C33="","",COUNTIFS(Başvuru!$D:$D,C33,Başvuru!$L:$L,"GERİ ÇEKİLDİ",Başvuru!$A:$A,"&lt;&gt;"&amp;"",Başvuru!$F:$F,"&lt;&gt;"&amp;""))</f>
        <v>0</v>
      </c>
      <c r="Q33" s="179" t="s">
        <v>850</v>
      </c>
      <c r="R33" s="167">
        <f>COUNTIFS(Başvuru!$D:$D,Q33,Başvuru!$A:$A,"&lt;&gt;"&amp;"",Başvuru!$F:$F,"&lt;&gt;"&amp;"")</f>
        <v>2</v>
      </c>
      <c r="S33" s="167">
        <f>RANK(R33,$R$6:$R$86,0)+COUNTIF($R$6:R33,R33)-1</f>
        <v>52</v>
      </c>
    </row>
    <row r="34" spans="2:19" ht="15" customHeight="1" x14ac:dyDescent="0.25">
      <c r="B34" s="155">
        <v>29</v>
      </c>
      <c r="C34" s="156" t="str">
        <f>IFERROR(INDEX($Q$6:$Q$86,MATCH(29,$S$6:$S$86,0)),"")</f>
        <v>Protetik Diş Tedavisi Anabilim Dalı</v>
      </c>
      <c r="D34" s="157">
        <f>IF(C34="","",COUNTIFS(Başvuru!$D:$D,C34,Başvuru!$A:$A,"&lt;&gt;"&amp;"",Başvuru!$F:$F,"&lt;&gt;"&amp;""))</f>
        <v>6</v>
      </c>
      <c r="E34" s="155" t="str">
        <f>IF(C34="","-",IF(D34&gt;0,TEXT(D34/(COUNTIFS(Başvuru!$A:$A,"&lt;&gt;",Başvuru!$F:$F,"&lt;&gt;")-1)*100,"0.0")&amp;"%","-"))</f>
        <v>01%</v>
      </c>
      <c r="F34" s="158">
        <f>IF(C34="","",COUNTIFS(Başvuru!$D:$D,C34,Başvuru!$G:$G,"Bireysel Araştırma",Başvuru!$A:$A,"&lt;&gt;"&amp;"",Başvuru!$F:$F,"&lt;&gt;"&amp;""))</f>
        <v>3</v>
      </c>
      <c r="G34" s="158">
        <f>IF(C34="","",COUNTIFS(Başvuru!$D:$D,C34,Başvuru!$G:$G,"Uzmanlık Tezi",Başvuru!$A:$A,"&lt;&gt;"&amp;"",Başvuru!$F:$F,"&lt;&gt;"&amp;""))</f>
        <v>3</v>
      </c>
      <c r="H34" s="158">
        <f>IF(C34="","",COUNTIFS(Başvuru!$D:$D,C34,Başvuru!$G:$G,"Doktora Tezi",Başvuru!$A:$A,"&lt;&gt;"&amp;"",Başvuru!$F:$F,"&lt;&gt;"&amp;""))</f>
        <v>0</v>
      </c>
      <c r="I34" s="158">
        <f>IF(C34="","",COUNTIFS(Başvuru!$D:$D,C34,Başvuru!$G:$G,"Yüksek Lisans Tezi",Başvuru!$A:$A,"&lt;&gt;"&amp;"",Başvuru!$F:$F,"&lt;&gt;"&amp;""))</f>
        <v>0</v>
      </c>
      <c r="J34" s="159">
        <f>IF(C34="","",COUNTIFS(Başvuru!$D:$D,C34,Başvuru!$L:$L,"ONAY",Başvuru!$A:$A,"&lt;&gt;"&amp;"",Başvuru!$F:$F,"&lt;&gt;"&amp;""))</f>
        <v>4</v>
      </c>
      <c r="K34" s="160">
        <f>IF(C34="","",COUNTIFS(Başvuru!$D:$D,C34,Başvuru!$L:$L,"DÜZELTME",Başvuru!$A:$A,"&lt;&gt;"&amp;"",Başvuru!$F:$F,"&lt;&gt;"&amp;""))</f>
        <v>0</v>
      </c>
      <c r="L34" s="161">
        <f>IF(C34="","",COUNTIFS(Başvuru!$D:$D,C34,Başvuru!$L:$L,"KAEK",Başvuru!$A:$A,"&lt;&gt;"&amp;"",Başvuru!$F:$F,"&lt;&gt;"&amp;""))</f>
        <v>0</v>
      </c>
      <c r="M34" s="162">
        <f>IF(C34="","",COUNTIFS(Başvuru!$D:$D,C34,Başvuru!$L:$L,"GÖRÜŞ",Başvuru!$A:$A,"&lt;&gt;"&amp;"",Başvuru!$F:$F,"&lt;&gt;"&amp;""))</f>
        <v>2</v>
      </c>
      <c r="N34" s="163">
        <f>IF(C34="","",COUNTIFS(Başvuru!$D:$D,C34,Başvuru!$L:$L,"RET",Başvuru!$A:$A,"&lt;&gt;"&amp;"",Başvuru!$F:$F,"&lt;&gt;"&amp;""))</f>
        <v>0</v>
      </c>
      <c r="O34" s="164">
        <f>IF(C34="","",COUNTIFS(Başvuru!$D:$D,C34,Başvuru!$L:$L,"KAPSAM DIŞI",Başvuru!$A:$A,"&lt;&gt;"&amp;"",Başvuru!$F:$F,"&lt;&gt;"&amp;""))</f>
        <v>0</v>
      </c>
      <c r="P34" s="165">
        <f>IF(C34="","",COUNTIFS(Başvuru!$D:$D,C34,Başvuru!$L:$L,"GERİ ÇEKİLDİ",Başvuru!$A:$A,"&lt;&gt;"&amp;"",Başvuru!$F:$F,"&lt;&gt;"&amp;""))</f>
        <v>0</v>
      </c>
      <c r="Q34" s="166" t="s">
        <v>1104</v>
      </c>
      <c r="R34" s="167">
        <f>COUNTIFS(Başvuru!$D:$D,Q34,Başvuru!$A:$A,"&lt;&gt;"&amp;"",Başvuru!$F:$F,"&lt;&gt;"&amp;"")</f>
        <v>2</v>
      </c>
      <c r="S34" s="167">
        <f>RANK(R34,$R$6:$R$86,0)+COUNTIF($R$6:R34,R34)-1</f>
        <v>53</v>
      </c>
    </row>
    <row r="35" spans="2:19" ht="15" customHeight="1" x14ac:dyDescent="0.25">
      <c r="B35" s="168">
        <v>30</v>
      </c>
      <c r="C35" s="169" t="str">
        <f>IFERROR(INDEX($Q$6:$Q$86,MATCH(30,$S$6:$S$86,0)),"")</f>
        <v>Ruh Sağlığı ve Hastalıkları Anabilim Dalı</v>
      </c>
      <c r="D35" s="170">
        <f>IF(C35="","",COUNTIFS(Başvuru!$D:$D,C35,Başvuru!$A:$A,"&lt;&gt;"&amp;"",Başvuru!$F:$F,"&lt;&gt;"&amp;""))</f>
        <v>6</v>
      </c>
      <c r="E35" s="168" t="str">
        <f>IF(C35="","-",IF(D35&gt;0,TEXT(D35/(COUNTIFS(Başvuru!$A:$A,"&lt;&gt;",Başvuru!$F:$F,"&lt;&gt;")-1)*100,"0.0")&amp;"%","-"))</f>
        <v>01%</v>
      </c>
      <c r="F35" s="171">
        <f>IF(C35="","",COUNTIFS(Başvuru!$D:$D,C35,Başvuru!$G:$G,"Bireysel Araştırma",Başvuru!$A:$A,"&lt;&gt;"&amp;"",Başvuru!$F:$F,"&lt;&gt;"&amp;""))</f>
        <v>4</v>
      </c>
      <c r="G35" s="171">
        <f>IF(C35="","",COUNTIFS(Başvuru!$D:$D,C35,Başvuru!$G:$G,"Uzmanlık Tezi",Başvuru!$A:$A,"&lt;&gt;"&amp;"",Başvuru!$F:$F,"&lt;&gt;"&amp;""))</f>
        <v>2</v>
      </c>
      <c r="H35" s="171">
        <f>IF(C35="","",COUNTIFS(Başvuru!$D:$D,C35,Başvuru!$G:$G,"Doktora Tezi",Başvuru!$A:$A,"&lt;&gt;"&amp;"",Başvuru!$F:$F,"&lt;&gt;"&amp;""))</f>
        <v>0</v>
      </c>
      <c r="I35" s="171">
        <f>IF(C35="","",COUNTIFS(Başvuru!$D:$D,C35,Başvuru!$G:$G,"Yüksek Lisans Tezi",Başvuru!$A:$A,"&lt;&gt;"&amp;"",Başvuru!$F:$F,"&lt;&gt;"&amp;""))</f>
        <v>0</v>
      </c>
      <c r="J35" s="172">
        <f>IF(C35="","",COUNTIFS(Başvuru!$D:$D,C35,Başvuru!$L:$L,"ONAY",Başvuru!$A:$A,"&lt;&gt;"&amp;"",Başvuru!$F:$F,"&lt;&gt;"&amp;""))</f>
        <v>1</v>
      </c>
      <c r="K35" s="173">
        <f>IF(C35="","",COUNTIFS(Başvuru!$D:$D,C35,Başvuru!$L:$L,"DÜZELTME",Başvuru!$A:$A,"&lt;&gt;"&amp;"",Başvuru!$F:$F,"&lt;&gt;"&amp;""))</f>
        <v>5</v>
      </c>
      <c r="L35" s="174">
        <f>IF(C35="","",COUNTIFS(Başvuru!$D:$D,C35,Başvuru!$L:$L,"KAEK",Başvuru!$A:$A,"&lt;&gt;"&amp;"",Başvuru!$F:$F,"&lt;&gt;"&amp;""))</f>
        <v>0</v>
      </c>
      <c r="M35" s="175">
        <f>IF(C35="","",COUNTIFS(Başvuru!$D:$D,C35,Başvuru!$L:$L,"GÖRÜŞ",Başvuru!$A:$A,"&lt;&gt;"&amp;"",Başvuru!$F:$F,"&lt;&gt;"&amp;""))</f>
        <v>0</v>
      </c>
      <c r="N35" s="176">
        <f>IF(C35="","",COUNTIFS(Başvuru!$D:$D,C35,Başvuru!$L:$L,"RET",Başvuru!$A:$A,"&lt;&gt;"&amp;"",Başvuru!$F:$F,"&lt;&gt;"&amp;""))</f>
        <v>0</v>
      </c>
      <c r="O35" s="177">
        <f>IF(C35="","",COUNTIFS(Başvuru!$D:$D,C35,Başvuru!$L:$L,"KAPSAM DIŞI",Başvuru!$A:$A,"&lt;&gt;"&amp;"",Başvuru!$F:$F,"&lt;&gt;"&amp;""))</f>
        <v>0</v>
      </c>
      <c r="P35" s="178">
        <f>IF(C35="","",COUNTIFS(Başvuru!$D:$D,C35,Başvuru!$L:$L,"GERİ ÇEKİLDİ",Başvuru!$A:$A,"&lt;&gt;"&amp;"",Başvuru!$F:$F,"&lt;&gt;"&amp;""))</f>
        <v>0</v>
      </c>
      <c r="Q35" s="166" t="s">
        <v>2269</v>
      </c>
      <c r="R35" s="167">
        <f>COUNTIFS(Başvuru!$D:$D,Q35,Başvuru!$A:$A,"&lt;&gt;"&amp;"",Başvuru!$F:$F,"&lt;&gt;"&amp;"")</f>
        <v>1</v>
      </c>
      <c r="S35" s="167">
        <f>RANK(R35,$R$6:$R$86,0)+COUNTIF($R$6:R35,R35)-1</f>
        <v>63</v>
      </c>
    </row>
    <row r="36" spans="2:19" ht="15" customHeight="1" x14ac:dyDescent="0.25">
      <c r="B36" s="155">
        <v>31</v>
      </c>
      <c r="C36" s="156" t="str">
        <f>IFERROR(INDEX($Q$6:$Q$86,MATCH(31,$S$6:$S$86,0)),"")</f>
        <v>Sosyal Hizmet Anabilim Dalı</v>
      </c>
      <c r="D36" s="157">
        <f>IF(C36="","",COUNTIFS(Başvuru!$D:$D,C36,Başvuru!$A:$A,"&lt;&gt;"&amp;"",Başvuru!$F:$F,"&lt;&gt;"&amp;""))</f>
        <v>6</v>
      </c>
      <c r="E36" s="155" t="str">
        <f>IF(C36="","-",IF(D36&gt;0,TEXT(D36/(COUNTIFS(Başvuru!$A:$A,"&lt;&gt;",Başvuru!$F:$F,"&lt;&gt;")-1)*100,"0.0")&amp;"%","-"))</f>
        <v>01%</v>
      </c>
      <c r="F36" s="158">
        <f>IF(C36="","",COUNTIFS(Başvuru!$D:$D,C36,Başvuru!$G:$G,"Bireysel Araştırma",Başvuru!$A:$A,"&lt;&gt;"&amp;"",Başvuru!$F:$F,"&lt;&gt;"&amp;""))</f>
        <v>1</v>
      </c>
      <c r="G36" s="158">
        <f>IF(C36="","",COUNTIFS(Başvuru!$D:$D,C36,Başvuru!$G:$G,"Uzmanlık Tezi",Başvuru!$A:$A,"&lt;&gt;"&amp;"",Başvuru!$F:$F,"&lt;&gt;"&amp;""))</f>
        <v>0</v>
      </c>
      <c r="H36" s="158">
        <f>IF(C36="","",COUNTIFS(Başvuru!$D:$D,C36,Başvuru!$G:$G,"Doktora Tezi",Başvuru!$A:$A,"&lt;&gt;"&amp;"",Başvuru!$F:$F,"&lt;&gt;"&amp;""))</f>
        <v>5</v>
      </c>
      <c r="I36" s="158">
        <f>IF(C36="","",COUNTIFS(Başvuru!$D:$D,C36,Başvuru!$G:$G,"Yüksek Lisans Tezi",Başvuru!$A:$A,"&lt;&gt;"&amp;"",Başvuru!$F:$F,"&lt;&gt;"&amp;""))</f>
        <v>0</v>
      </c>
      <c r="J36" s="159">
        <f>IF(C36="","",COUNTIFS(Başvuru!$D:$D,C36,Başvuru!$L:$L,"ONAY",Başvuru!$A:$A,"&lt;&gt;"&amp;"",Başvuru!$F:$F,"&lt;&gt;"&amp;""))</f>
        <v>4</v>
      </c>
      <c r="K36" s="160">
        <f>IF(C36="","",COUNTIFS(Başvuru!$D:$D,C36,Başvuru!$L:$L,"DÜZELTME",Başvuru!$A:$A,"&lt;&gt;"&amp;"",Başvuru!$F:$F,"&lt;&gt;"&amp;""))</f>
        <v>2</v>
      </c>
      <c r="L36" s="161">
        <f>IF(C36="","",COUNTIFS(Başvuru!$D:$D,C36,Başvuru!$L:$L,"KAEK",Başvuru!$A:$A,"&lt;&gt;"&amp;"",Başvuru!$F:$F,"&lt;&gt;"&amp;""))</f>
        <v>0</v>
      </c>
      <c r="M36" s="162">
        <f>IF(C36="","",COUNTIFS(Başvuru!$D:$D,C36,Başvuru!$L:$L,"GÖRÜŞ",Başvuru!$A:$A,"&lt;&gt;"&amp;"",Başvuru!$F:$F,"&lt;&gt;"&amp;""))</f>
        <v>0</v>
      </c>
      <c r="N36" s="163">
        <f>IF(C36="","",COUNTIFS(Başvuru!$D:$D,C36,Başvuru!$L:$L,"RET",Başvuru!$A:$A,"&lt;&gt;"&amp;"",Başvuru!$F:$F,"&lt;&gt;"&amp;""))</f>
        <v>0</v>
      </c>
      <c r="O36" s="164">
        <f>IF(C36="","",COUNTIFS(Başvuru!$D:$D,C36,Başvuru!$L:$L,"KAPSAM DIŞI",Başvuru!$A:$A,"&lt;&gt;"&amp;"",Başvuru!$F:$F,"&lt;&gt;"&amp;""))</f>
        <v>0</v>
      </c>
      <c r="P36" s="165">
        <f>IF(C36="","",COUNTIFS(Başvuru!$D:$D,C36,Başvuru!$L:$L,"GERİ ÇEKİLDİ",Başvuru!$A:$A,"&lt;&gt;"&amp;"",Başvuru!$F:$F,"&lt;&gt;"&amp;""))</f>
        <v>0</v>
      </c>
      <c r="Q36" s="166" t="s">
        <v>356</v>
      </c>
      <c r="R36" s="167">
        <f>COUNTIFS(Başvuru!$D:$D,Q36,Başvuru!$A:$A,"&lt;&gt;"&amp;"",Başvuru!$F:$F,"&lt;&gt;"&amp;"")</f>
        <v>5</v>
      </c>
      <c r="S36" s="167">
        <f>RANK(R36,$R$6:$R$86,0)+COUNTIF($R$6:R36,R36)-1</f>
        <v>34</v>
      </c>
    </row>
    <row r="37" spans="2:19" ht="15" customHeight="1" x14ac:dyDescent="0.25">
      <c r="B37" s="168">
        <v>32</v>
      </c>
      <c r="C37" s="169" t="str">
        <f>IFERROR(INDEX($Q$6:$Q$86,MATCH(32,$S$6:$S$86,0)),"")</f>
        <v>Tıbbi Patoloji Anabilim Dalı</v>
      </c>
      <c r="D37" s="170">
        <f>IF(C37="","",COUNTIFS(Başvuru!$D:$D,C37,Başvuru!$A:$A,"&lt;&gt;"&amp;"",Başvuru!$F:$F,"&lt;&gt;"&amp;""))</f>
        <v>6</v>
      </c>
      <c r="E37" s="168" t="str">
        <f>IF(C37="","-",IF(D37&gt;0,TEXT(D37/(COUNTIFS(Başvuru!$A:$A,"&lt;&gt;",Başvuru!$F:$F,"&lt;&gt;")-1)*100,"0.0")&amp;"%","-"))</f>
        <v>01%</v>
      </c>
      <c r="F37" s="171">
        <f>IF(C37="","",COUNTIFS(Başvuru!$D:$D,C37,Başvuru!$G:$G,"Bireysel Araştırma",Başvuru!$A:$A,"&lt;&gt;"&amp;"",Başvuru!$F:$F,"&lt;&gt;"&amp;""))</f>
        <v>5</v>
      </c>
      <c r="G37" s="171">
        <f>IF(C37="","",COUNTIFS(Başvuru!$D:$D,C37,Başvuru!$G:$G,"Uzmanlık Tezi",Başvuru!$A:$A,"&lt;&gt;"&amp;"",Başvuru!$F:$F,"&lt;&gt;"&amp;""))</f>
        <v>1</v>
      </c>
      <c r="H37" s="171">
        <f>IF(C37="","",COUNTIFS(Başvuru!$D:$D,C37,Başvuru!$G:$G,"Doktora Tezi",Başvuru!$A:$A,"&lt;&gt;"&amp;"",Başvuru!$F:$F,"&lt;&gt;"&amp;""))</f>
        <v>0</v>
      </c>
      <c r="I37" s="171">
        <f>IF(C37="","",COUNTIFS(Başvuru!$D:$D,C37,Başvuru!$G:$G,"Yüksek Lisans Tezi",Başvuru!$A:$A,"&lt;&gt;"&amp;"",Başvuru!$F:$F,"&lt;&gt;"&amp;""))</f>
        <v>0</v>
      </c>
      <c r="J37" s="172">
        <f>IF(C37="","",COUNTIFS(Başvuru!$D:$D,C37,Başvuru!$L:$L,"ONAY",Başvuru!$A:$A,"&lt;&gt;"&amp;"",Başvuru!$F:$F,"&lt;&gt;"&amp;""))</f>
        <v>4</v>
      </c>
      <c r="K37" s="173">
        <f>IF(C37="","",COUNTIFS(Başvuru!$D:$D,C37,Başvuru!$L:$L,"DÜZELTME",Başvuru!$A:$A,"&lt;&gt;"&amp;"",Başvuru!$F:$F,"&lt;&gt;"&amp;""))</f>
        <v>2</v>
      </c>
      <c r="L37" s="174">
        <f>IF(C37="","",COUNTIFS(Başvuru!$D:$D,C37,Başvuru!$L:$L,"KAEK",Başvuru!$A:$A,"&lt;&gt;"&amp;"",Başvuru!$F:$F,"&lt;&gt;"&amp;""))</f>
        <v>0</v>
      </c>
      <c r="M37" s="175">
        <f>IF(C37="","",COUNTIFS(Başvuru!$D:$D,C37,Başvuru!$L:$L,"GÖRÜŞ",Başvuru!$A:$A,"&lt;&gt;"&amp;"",Başvuru!$F:$F,"&lt;&gt;"&amp;""))</f>
        <v>0</v>
      </c>
      <c r="N37" s="176">
        <f>IF(C37="","",COUNTIFS(Başvuru!$D:$D,C37,Başvuru!$L:$L,"RET",Başvuru!$A:$A,"&lt;&gt;"&amp;"",Başvuru!$F:$F,"&lt;&gt;"&amp;""))</f>
        <v>0</v>
      </c>
      <c r="O37" s="177">
        <f>IF(C37="","",COUNTIFS(Başvuru!$D:$D,C37,Başvuru!$L:$L,"KAPSAM DIŞI",Başvuru!$A:$A,"&lt;&gt;"&amp;"",Başvuru!$F:$F,"&lt;&gt;"&amp;""))</f>
        <v>0</v>
      </c>
      <c r="P37" s="178">
        <f>IF(C37="","",COUNTIFS(Başvuru!$D:$D,C37,Başvuru!$L:$L,"GERİ ÇEKİLDİ",Başvuru!$A:$A,"&lt;&gt;"&amp;"",Başvuru!$F:$F,"&lt;&gt;"&amp;""))</f>
        <v>0</v>
      </c>
      <c r="Q37" s="166" t="s">
        <v>693</v>
      </c>
      <c r="R37" s="167">
        <f>COUNTIFS(Başvuru!$D:$D,Q37,Başvuru!$A:$A,"&lt;&gt;"&amp;"",Başvuru!$F:$F,"&lt;&gt;"&amp;"")</f>
        <v>6</v>
      </c>
      <c r="S37" s="167">
        <f>RANK(R37,$R$6:$R$86,0)+COUNTIF($R$6:R37,R37)-1</f>
        <v>26</v>
      </c>
    </row>
    <row r="38" spans="2:19" ht="15" customHeight="1" x14ac:dyDescent="0.25">
      <c r="B38" s="155">
        <v>33</v>
      </c>
      <c r="C38" s="156" t="str">
        <f>IFERROR(INDEX($Q$6:$Q$86,MATCH(33,$S$6:$S$86,0)),"")</f>
        <v>Göğüs Cerrahisi Anabilim Dalı</v>
      </c>
      <c r="D38" s="157">
        <f>IF(C38="","",COUNTIFS(Başvuru!$D:$D,C38,Başvuru!$A:$A,"&lt;&gt;"&amp;"",Başvuru!$F:$F,"&lt;&gt;"&amp;""))</f>
        <v>5</v>
      </c>
      <c r="E38" s="155" t="str">
        <f>IF(C38="","-",IF(D38&gt;0,TEXT(D38/(COUNTIFS(Başvuru!$A:$A,"&lt;&gt;",Başvuru!$F:$F,"&lt;&gt;")-1)*100,"0.0")&amp;"%","-"))</f>
        <v>01%</v>
      </c>
      <c r="F38" s="158">
        <f>IF(C38="","",COUNTIFS(Başvuru!$D:$D,C38,Başvuru!$G:$G,"Bireysel Araştırma",Başvuru!$A:$A,"&lt;&gt;"&amp;"",Başvuru!$F:$F,"&lt;&gt;"&amp;""))</f>
        <v>5</v>
      </c>
      <c r="G38" s="158">
        <f>IF(C38="","",COUNTIFS(Başvuru!$D:$D,C38,Başvuru!$G:$G,"Uzmanlık Tezi",Başvuru!$A:$A,"&lt;&gt;"&amp;"",Başvuru!$F:$F,"&lt;&gt;"&amp;""))</f>
        <v>0</v>
      </c>
      <c r="H38" s="158">
        <f>IF(C38="","",COUNTIFS(Başvuru!$D:$D,C38,Başvuru!$G:$G,"Doktora Tezi",Başvuru!$A:$A,"&lt;&gt;"&amp;"",Başvuru!$F:$F,"&lt;&gt;"&amp;""))</f>
        <v>0</v>
      </c>
      <c r="I38" s="158">
        <f>IF(C38="","",COUNTIFS(Başvuru!$D:$D,C38,Başvuru!$G:$G,"Yüksek Lisans Tezi",Başvuru!$A:$A,"&lt;&gt;"&amp;"",Başvuru!$F:$F,"&lt;&gt;"&amp;""))</f>
        <v>0</v>
      </c>
      <c r="J38" s="159">
        <f>IF(C38="","",COUNTIFS(Başvuru!$D:$D,C38,Başvuru!$L:$L,"ONAY",Başvuru!$A:$A,"&lt;&gt;"&amp;"",Başvuru!$F:$F,"&lt;&gt;"&amp;""))</f>
        <v>4</v>
      </c>
      <c r="K38" s="160">
        <f>IF(C38="","",COUNTIFS(Başvuru!$D:$D,C38,Başvuru!$L:$L,"DÜZELTME",Başvuru!$A:$A,"&lt;&gt;"&amp;"",Başvuru!$F:$F,"&lt;&gt;"&amp;""))</f>
        <v>1</v>
      </c>
      <c r="L38" s="161">
        <f>IF(C38="","",COUNTIFS(Başvuru!$D:$D,C38,Başvuru!$L:$L,"KAEK",Başvuru!$A:$A,"&lt;&gt;"&amp;"",Başvuru!$F:$F,"&lt;&gt;"&amp;""))</f>
        <v>0</v>
      </c>
      <c r="M38" s="162">
        <f>IF(C38="","",COUNTIFS(Başvuru!$D:$D,C38,Başvuru!$L:$L,"GÖRÜŞ",Başvuru!$A:$A,"&lt;&gt;"&amp;"",Başvuru!$F:$F,"&lt;&gt;"&amp;""))</f>
        <v>0</v>
      </c>
      <c r="N38" s="163">
        <f>IF(C38="","",COUNTIFS(Başvuru!$D:$D,C38,Başvuru!$L:$L,"RET",Başvuru!$A:$A,"&lt;&gt;"&amp;"",Başvuru!$F:$F,"&lt;&gt;"&amp;""))</f>
        <v>0</v>
      </c>
      <c r="O38" s="164">
        <f>IF(C38="","",COUNTIFS(Başvuru!$D:$D,C38,Başvuru!$L:$L,"KAPSAM DIŞI",Başvuru!$A:$A,"&lt;&gt;"&amp;"",Başvuru!$F:$F,"&lt;&gt;"&amp;""))</f>
        <v>0</v>
      </c>
      <c r="P38" s="165">
        <f>IF(C38="","",COUNTIFS(Başvuru!$D:$D,C38,Başvuru!$L:$L,"GERİ ÇEKİLDİ",Başvuru!$A:$A,"&lt;&gt;"&amp;"",Başvuru!$F:$F,"&lt;&gt;"&amp;""))</f>
        <v>0</v>
      </c>
      <c r="Q38" s="166" t="s">
        <v>153</v>
      </c>
      <c r="R38" s="167">
        <f>COUNTIFS(Başvuru!$D:$D,Q38,Başvuru!$A:$A,"&lt;&gt;"&amp;"",Başvuru!$F:$F,"&lt;&gt;"&amp;"")</f>
        <v>5</v>
      </c>
      <c r="S38" s="167">
        <f>RANK(R38,$R$6:$R$86,0)+COUNTIF($R$6:R38,R38)-1</f>
        <v>35</v>
      </c>
    </row>
    <row r="39" spans="2:19" ht="15" customHeight="1" x14ac:dyDescent="0.25">
      <c r="B39" s="168">
        <v>34</v>
      </c>
      <c r="C39" s="169" t="str">
        <f>IFERROR(INDEX($Q$6:$Q$86,MATCH(34,$S$6:$S$86,0)),"")</f>
        <v>Halk Sağlığı Anabilim Dalı</v>
      </c>
      <c r="D39" s="170">
        <f>IF(C39="","",COUNTIFS(Başvuru!$D:$D,C39,Başvuru!$A:$A,"&lt;&gt;"&amp;"",Başvuru!$F:$F,"&lt;&gt;"&amp;""))</f>
        <v>5</v>
      </c>
      <c r="E39" s="168" t="str">
        <f>IF(C39="","-",IF(D39&gt;0,TEXT(D39/(COUNTIFS(Başvuru!$A:$A,"&lt;&gt;",Başvuru!$F:$F,"&lt;&gt;")-1)*100,"0.0")&amp;"%","-"))</f>
        <v>01%</v>
      </c>
      <c r="F39" s="171">
        <f>IF(C39="","",COUNTIFS(Başvuru!$D:$D,C39,Başvuru!$G:$G,"Bireysel Araştırma",Başvuru!$A:$A,"&lt;&gt;"&amp;"",Başvuru!$F:$F,"&lt;&gt;"&amp;""))</f>
        <v>2</v>
      </c>
      <c r="G39" s="171">
        <f>IF(C39="","",COUNTIFS(Başvuru!$D:$D,C39,Başvuru!$G:$G,"Uzmanlık Tezi",Başvuru!$A:$A,"&lt;&gt;"&amp;"",Başvuru!$F:$F,"&lt;&gt;"&amp;""))</f>
        <v>2</v>
      </c>
      <c r="H39" s="171">
        <f>IF(C39="","",COUNTIFS(Başvuru!$D:$D,C39,Başvuru!$G:$G,"Doktora Tezi",Başvuru!$A:$A,"&lt;&gt;"&amp;"",Başvuru!$F:$F,"&lt;&gt;"&amp;""))</f>
        <v>1</v>
      </c>
      <c r="I39" s="171">
        <f>IF(C39="","",COUNTIFS(Başvuru!$D:$D,C39,Başvuru!$G:$G,"Yüksek Lisans Tezi",Başvuru!$A:$A,"&lt;&gt;"&amp;"",Başvuru!$F:$F,"&lt;&gt;"&amp;""))</f>
        <v>0</v>
      </c>
      <c r="J39" s="172">
        <f>IF(C39="","",COUNTIFS(Başvuru!$D:$D,C39,Başvuru!$L:$L,"ONAY",Başvuru!$A:$A,"&lt;&gt;"&amp;"",Başvuru!$F:$F,"&lt;&gt;"&amp;""))</f>
        <v>5</v>
      </c>
      <c r="K39" s="173">
        <f>IF(C39="","",COUNTIFS(Başvuru!$D:$D,C39,Başvuru!$L:$L,"DÜZELTME",Başvuru!$A:$A,"&lt;&gt;"&amp;"",Başvuru!$F:$F,"&lt;&gt;"&amp;""))</f>
        <v>0</v>
      </c>
      <c r="L39" s="174">
        <f>IF(C39="","",COUNTIFS(Başvuru!$D:$D,C39,Başvuru!$L:$L,"KAEK",Başvuru!$A:$A,"&lt;&gt;"&amp;"",Başvuru!$F:$F,"&lt;&gt;"&amp;""))</f>
        <v>0</v>
      </c>
      <c r="M39" s="175">
        <f>IF(C39="","",COUNTIFS(Başvuru!$D:$D,C39,Başvuru!$L:$L,"GÖRÜŞ",Başvuru!$A:$A,"&lt;&gt;"&amp;"",Başvuru!$F:$F,"&lt;&gt;"&amp;""))</f>
        <v>0</v>
      </c>
      <c r="N39" s="176">
        <f>IF(C39="","",COUNTIFS(Başvuru!$D:$D,C39,Başvuru!$L:$L,"RET",Başvuru!$A:$A,"&lt;&gt;"&amp;"",Başvuru!$F:$F,"&lt;&gt;"&amp;""))</f>
        <v>0</v>
      </c>
      <c r="O39" s="177">
        <f>IF(C39="","",COUNTIFS(Başvuru!$D:$D,C39,Başvuru!$L:$L,"KAPSAM DIŞI",Başvuru!$A:$A,"&lt;&gt;"&amp;"",Başvuru!$F:$F,"&lt;&gt;"&amp;""))</f>
        <v>0</v>
      </c>
      <c r="P39" s="178">
        <f>IF(C39="","",COUNTIFS(Başvuru!$D:$D,C39,Başvuru!$L:$L,"GERİ ÇEKİLDİ",Başvuru!$A:$A,"&lt;&gt;"&amp;"",Başvuru!$F:$F,"&lt;&gt;"&amp;""))</f>
        <v>0</v>
      </c>
      <c r="Q39" s="166" t="s">
        <v>244</v>
      </c>
      <c r="R39" s="167">
        <f>COUNTIFS(Başvuru!$D:$D,Q39,Başvuru!$A:$A,"&lt;&gt;"&amp;"",Başvuru!$F:$F,"&lt;&gt;"&amp;"")</f>
        <v>30</v>
      </c>
      <c r="S39" s="167">
        <f>RANK(R39,$R$6:$R$86,0)+COUNTIF($R$6:R39,R39)-1</f>
        <v>3</v>
      </c>
    </row>
    <row r="40" spans="2:19" ht="15" customHeight="1" x14ac:dyDescent="0.25">
      <c r="B40" s="155">
        <v>35</v>
      </c>
      <c r="C40" s="156" t="str">
        <f>IFERROR(INDEX($Q$6:$Q$86,MATCH(35,$S$6:$S$86,0)),"")</f>
        <v>Histoloji ve Embriyoloji Anabilim Dalı</v>
      </c>
      <c r="D40" s="157">
        <f>IF(C40="","",COUNTIFS(Başvuru!$D:$D,C40,Başvuru!$A:$A,"&lt;&gt;"&amp;"",Başvuru!$F:$F,"&lt;&gt;"&amp;""))</f>
        <v>5</v>
      </c>
      <c r="E40" s="155" t="str">
        <f>IF(C40="","-",IF(D40&gt;0,TEXT(D40/(COUNTIFS(Başvuru!$A:$A,"&lt;&gt;",Başvuru!$F:$F,"&lt;&gt;")-1)*100,"0.0")&amp;"%","-"))</f>
        <v>01%</v>
      </c>
      <c r="F40" s="158">
        <f>IF(C40="","",COUNTIFS(Başvuru!$D:$D,C40,Başvuru!$G:$G,"Bireysel Araştırma",Başvuru!$A:$A,"&lt;&gt;"&amp;"",Başvuru!$F:$F,"&lt;&gt;"&amp;""))</f>
        <v>1</v>
      </c>
      <c r="G40" s="158">
        <f>IF(C40="","",COUNTIFS(Başvuru!$D:$D,C40,Başvuru!$G:$G,"Uzmanlık Tezi",Başvuru!$A:$A,"&lt;&gt;"&amp;"",Başvuru!$F:$F,"&lt;&gt;"&amp;""))</f>
        <v>4</v>
      </c>
      <c r="H40" s="158">
        <f>IF(C40="","",COUNTIFS(Başvuru!$D:$D,C40,Başvuru!$G:$G,"Doktora Tezi",Başvuru!$A:$A,"&lt;&gt;"&amp;"",Başvuru!$F:$F,"&lt;&gt;"&amp;""))</f>
        <v>0</v>
      </c>
      <c r="I40" s="158">
        <f>IF(C40="","",COUNTIFS(Başvuru!$D:$D,C40,Başvuru!$G:$G,"Yüksek Lisans Tezi",Başvuru!$A:$A,"&lt;&gt;"&amp;"",Başvuru!$F:$F,"&lt;&gt;"&amp;""))</f>
        <v>0</v>
      </c>
      <c r="J40" s="159">
        <f>IF(C40="","",COUNTIFS(Başvuru!$D:$D,C40,Başvuru!$L:$L,"ONAY",Başvuru!$A:$A,"&lt;&gt;"&amp;"",Başvuru!$F:$F,"&lt;&gt;"&amp;""))</f>
        <v>0</v>
      </c>
      <c r="K40" s="160">
        <f>IF(C40="","",COUNTIFS(Başvuru!$D:$D,C40,Başvuru!$L:$L,"DÜZELTME",Başvuru!$A:$A,"&lt;&gt;"&amp;"",Başvuru!$F:$F,"&lt;&gt;"&amp;""))</f>
        <v>3</v>
      </c>
      <c r="L40" s="161">
        <f>IF(C40="","",COUNTIFS(Başvuru!$D:$D,C40,Başvuru!$L:$L,"KAEK",Başvuru!$A:$A,"&lt;&gt;"&amp;"",Başvuru!$F:$F,"&lt;&gt;"&amp;""))</f>
        <v>0</v>
      </c>
      <c r="M40" s="162">
        <f>IF(C40="","",COUNTIFS(Başvuru!$D:$D,C40,Başvuru!$L:$L,"GÖRÜŞ",Başvuru!$A:$A,"&lt;&gt;"&amp;"",Başvuru!$F:$F,"&lt;&gt;"&amp;""))</f>
        <v>0</v>
      </c>
      <c r="N40" s="163">
        <f>IF(C40="","",COUNTIFS(Başvuru!$D:$D,C40,Başvuru!$L:$L,"RET",Başvuru!$A:$A,"&lt;&gt;"&amp;"",Başvuru!$F:$F,"&lt;&gt;"&amp;""))</f>
        <v>0</v>
      </c>
      <c r="O40" s="164">
        <f>IF(C40="","",COUNTIFS(Başvuru!$D:$D,C40,Başvuru!$L:$L,"KAPSAM DIŞI",Başvuru!$A:$A,"&lt;&gt;"&amp;"",Başvuru!$F:$F,"&lt;&gt;"&amp;""))</f>
        <v>2</v>
      </c>
      <c r="P40" s="165">
        <f>IF(C40="","",COUNTIFS(Başvuru!$D:$D,C40,Başvuru!$L:$L,"GERİ ÇEKİLDİ",Başvuru!$A:$A,"&lt;&gt;"&amp;"",Başvuru!$F:$F,"&lt;&gt;"&amp;""))</f>
        <v>0</v>
      </c>
      <c r="Q40" s="166" t="s">
        <v>251</v>
      </c>
      <c r="R40" s="167">
        <f>COUNTIFS(Başvuru!$D:$D,Q40,Başvuru!$A:$A,"&lt;&gt;"&amp;"",Başvuru!$F:$F,"&lt;&gt;"&amp;"")</f>
        <v>19</v>
      </c>
      <c r="S40" s="167">
        <f>RANK(R40,$R$6:$R$86,0)+COUNTIF($R$6:R40,R40)-1</f>
        <v>6</v>
      </c>
    </row>
    <row r="41" spans="2:19" ht="15" customHeight="1" x14ac:dyDescent="0.25">
      <c r="B41" s="168">
        <v>36</v>
      </c>
      <c r="C41" s="169" t="str">
        <f>IFERROR(INDEX($Q$6:$Q$86,MATCH(36,$S$6:$S$86,0)),"")</f>
        <v>Enfeksiyon Hastalıkları ve Klinik Mikrobiyoloji Anabilim Dalı</v>
      </c>
      <c r="D41" s="170">
        <f>IF(C41="","",COUNTIFS(Başvuru!$D:$D,C41,Başvuru!$A:$A,"&lt;&gt;"&amp;"",Başvuru!$F:$F,"&lt;&gt;"&amp;""))</f>
        <v>4</v>
      </c>
      <c r="E41" s="168" t="str">
        <f>IF(C41="","-",IF(D41&gt;0,TEXT(D41/(COUNTIFS(Başvuru!$A:$A,"&lt;&gt;",Başvuru!$F:$F,"&lt;&gt;")-1)*100,"0.0")&amp;"%","-"))</f>
        <v>01%</v>
      </c>
      <c r="F41" s="171">
        <f>IF(C41="","",COUNTIFS(Başvuru!$D:$D,C41,Başvuru!$G:$G,"Bireysel Araştırma",Başvuru!$A:$A,"&lt;&gt;"&amp;"",Başvuru!$F:$F,"&lt;&gt;"&amp;""))</f>
        <v>2</v>
      </c>
      <c r="G41" s="171">
        <f>IF(C41="","",COUNTIFS(Başvuru!$D:$D,C41,Başvuru!$G:$G,"Uzmanlık Tezi",Başvuru!$A:$A,"&lt;&gt;"&amp;"",Başvuru!$F:$F,"&lt;&gt;"&amp;""))</f>
        <v>2</v>
      </c>
      <c r="H41" s="171">
        <f>IF(C41="","",COUNTIFS(Başvuru!$D:$D,C41,Başvuru!$G:$G,"Doktora Tezi",Başvuru!$A:$A,"&lt;&gt;"&amp;"",Başvuru!$F:$F,"&lt;&gt;"&amp;""))</f>
        <v>0</v>
      </c>
      <c r="I41" s="171">
        <f>IF(C41="","",COUNTIFS(Başvuru!$D:$D,C41,Başvuru!$G:$G,"Yüksek Lisans Tezi",Başvuru!$A:$A,"&lt;&gt;"&amp;"",Başvuru!$F:$F,"&lt;&gt;"&amp;""))</f>
        <v>0</v>
      </c>
      <c r="J41" s="172">
        <f>IF(C41="","",COUNTIFS(Başvuru!$D:$D,C41,Başvuru!$L:$L,"ONAY",Başvuru!$A:$A,"&lt;&gt;"&amp;"",Başvuru!$F:$F,"&lt;&gt;"&amp;""))</f>
        <v>4</v>
      </c>
      <c r="K41" s="173">
        <f>IF(C41="","",COUNTIFS(Başvuru!$D:$D,C41,Başvuru!$L:$L,"DÜZELTME",Başvuru!$A:$A,"&lt;&gt;"&amp;"",Başvuru!$F:$F,"&lt;&gt;"&amp;""))</f>
        <v>0</v>
      </c>
      <c r="L41" s="174">
        <f>IF(C41="","",COUNTIFS(Başvuru!$D:$D,C41,Başvuru!$L:$L,"KAEK",Başvuru!$A:$A,"&lt;&gt;"&amp;"",Başvuru!$F:$F,"&lt;&gt;"&amp;""))</f>
        <v>0</v>
      </c>
      <c r="M41" s="175">
        <f>IF(C41="","",COUNTIFS(Başvuru!$D:$D,C41,Başvuru!$L:$L,"GÖRÜŞ",Başvuru!$A:$A,"&lt;&gt;"&amp;"",Başvuru!$F:$F,"&lt;&gt;"&amp;""))</f>
        <v>0</v>
      </c>
      <c r="N41" s="176">
        <f>IF(C41="","",COUNTIFS(Başvuru!$D:$D,C41,Başvuru!$L:$L,"RET",Başvuru!$A:$A,"&lt;&gt;"&amp;"",Başvuru!$F:$F,"&lt;&gt;"&amp;""))</f>
        <v>0</v>
      </c>
      <c r="O41" s="177">
        <f>IF(C41="","",COUNTIFS(Başvuru!$D:$D,C41,Başvuru!$L:$L,"KAPSAM DIŞI",Başvuru!$A:$A,"&lt;&gt;"&amp;"",Başvuru!$F:$F,"&lt;&gt;"&amp;""))</f>
        <v>0</v>
      </c>
      <c r="P41" s="178">
        <f>IF(C41="","",COUNTIFS(Başvuru!$D:$D,C41,Başvuru!$L:$L,"GERİ ÇEKİLDİ",Başvuru!$A:$A,"&lt;&gt;"&amp;"",Başvuru!$F:$F,"&lt;&gt;"&amp;""))</f>
        <v>0</v>
      </c>
      <c r="Q41" s="166" t="s">
        <v>428</v>
      </c>
      <c r="R41" s="167">
        <f>COUNTIFS(Başvuru!$D:$D,Q41,Başvuru!$A:$A,"&lt;&gt;"&amp;"",Başvuru!$F:$F,"&lt;&gt;"&amp;"")</f>
        <v>18</v>
      </c>
      <c r="S41" s="167">
        <f>RANK(R41,$R$6:$R$86,0)+COUNTIF($R$6:R41,R41)-1</f>
        <v>7</v>
      </c>
    </row>
    <row r="42" spans="2:19" ht="15" customHeight="1" x14ac:dyDescent="0.25">
      <c r="B42" s="155">
        <v>37</v>
      </c>
      <c r="C42" s="156" t="str">
        <f>IFERROR(INDEX($Q$6:$Q$86,MATCH(37,$S$6:$S$86,0)),"")</f>
        <v>Kök Hücre Bilimleri Anabilim Dalı</v>
      </c>
      <c r="D42" s="157">
        <f>IF(C42="","",COUNTIFS(Başvuru!$D:$D,C42,Başvuru!$A:$A,"&lt;&gt;"&amp;"",Başvuru!$F:$F,"&lt;&gt;"&amp;""))</f>
        <v>4</v>
      </c>
      <c r="E42" s="155" t="str">
        <f>IF(C42="","-",IF(D42&gt;0,TEXT(D42/(COUNTIFS(Başvuru!$A:$A,"&lt;&gt;",Başvuru!$F:$F,"&lt;&gt;")-1)*100,"0.0")&amp;"%","-"))</f>
        <v>01%</v>
      </c>
      <c r="F42" s="158">
        <f>IF(C42="","",COUNTIFS(Başvuru!$D:$D,C42,Başvuru!$G:$G,"Bireysel Araştırma",Başvuru!$A:$A,"&lt;&gt;"&amp;"",Başvuru!$F:$F,"&lt;&gt;"&amp;""))</f>
        <v>2</v>
      </c>
      <c r="G42" s="158">
        <f>IF(C42="","",COUNTIFS(Başvuru!$D:$D,C42,Başvuru!$G:$G,"Uzmanlık Tezi",Başvuru!$A:$A,"&lt;&gt;"&amp;"",Başvuru!$F:$F,"&lt;&gt;"&amp;""))</f>
        <v>0</v>
      </c>
      <c r="H42" s="158">
        <f>IF(C42="","",COUNTIFS(Başvuru!$D:$D,C42,Başvuru!$G:$G,"Doktora Tezi",Başvuru!$A:$A,"&lt;&gt;"&amp;"",Başvuru!$F:$F,"&lt;&gt;"&amp;""))</f>
        <v>0</v>
      </c>
      <c r="I42" s="158">
        <f>IF(C42="","",COUNTIFS(Başvuru!$D:$D,C42,Başvuru!$G:$G,"Yüksek Lisans Tezi",Başvuru!$A:$A,"&lt;&gt;"&amp;"",Başvuru!$F:$F,"&lt;&gt;"&amp;""))</f>
        <v>2</v>
      </c>
      <c r="J42" s="159">
        <f>IF(C42="","",COUNTIFS(Başvuru!$D:$D,C42,Başvuru!$L:$L,"ONAY",Başvuru!$A:$A,"&lt;&gt;"&amp;"",Başvuru!$F:$F,"&lt;&gt;"&amp;""))</f>
        <v>4</v>
      </c>
      <c r="K42" s="160">
        <f>IF(C42="","",COUNTIFS(Başvuru!$D:$D,C42,Başvuru!$L:$L,"DÜZELTME",Başvuru!$A:$A,"&lt;&gt;"&amp;"",Başvuru!$F:$F,"&lt;&gt;"&amp;""))</f>
        <v>0</v>
      </c>
      <c r="L42" s="161">
        <f>IF(C42="","",COUNTIFS(Başvuru!$D:$D,C42,Başvuru!$L:$L,"KAEK",Başvuru!$A:$A,"&lt;&gt;"&amp;"",Başvuru!$F:$F,"&lt;&gt;"&amp;""))</f>
        <v>0</v>
      </c>
      <c r="M42" s="162">
        <f>IF(C42="","",COUNTIFS(Başvuru!$D:$D,C42,Başvuru!$L:$L,"GÖRÜŞ",Başvuru!$A:$A,"&lt;&gt;"&amp;"",Başvuru!$F:$F,"&lt;&gt;"&amp;""))</f>
        <v>0</v>
      </c>
      <c r="N42" s="163">
        <f>IF(C42="","",COUNTIFS(Başvuru!$D:$D,C42,Başvuru!$L:$L,"RET",Başvuru!$A:$A,"&lt;&gt;"&amp;"",Başvuru!$F:$F,"&lt;&gt;"&amp;""))</f>
        <v>0</v>
      </c>
      <c r="O42" s="164">
        <f>IF(C42="","",COUNTIFS(Başvuru!$D:$D,C42,Başvuru!$L:$L,"KAPSAM DIŞI",Başvuru!$A:$A,"&lt;&gt;"&amp;"",Başvuru!$F:$F,"&lt;&gt;"&amp;""))</f>
        <v>0</v>
      </c>
      <c r="P42" s="165">
        <f>IF(C42="","",COUNTIFS(Başvuru!$D:$D,C42,Başvuru!$L:$L,"GERİ ÇEKİLDİ",Başvuru!$A:$A,"&lt;&gt;"&amp;"",Başvuru!$F:$F,"&lt;&gt;"&amp;""))</f>
        <v>0</v>
      </c>
      <c r="Q42" s="166" t="s">
        <v>2159</v>
      </c>
      <c r="R42" s="167">
        <f>COUNTIFS(Başvuru!$D:$D,Q42,Başvuru!$A:$A,"&lt;&gt;"&amp;"",Başvuru!$F:$F,"&lt;&gt;"&amp;"")</f>
        <v>1</v>
      </c>
      <c r="S42" s="167">
        <f>RANK(R42,$R$6:$R$86,0)+COUNTIF($R$6:R42,R42)-1</f>
        <v>64</v>
      </c>
    </row>
    <row r="43" spans="2:19" ht="15" customHeight="1" x14ac:dyDescent="0.25">
      <c r="B43" s="168">
        <v>38</v>
      </c>
      <c r="C43" s="169" t="str">
        <f>IFERROR(INDEX($Q$6:$Q$86,MATCH(38,$S$6:$S$86,0)),"")</f>
        <v>Spor Hekimliği Anabilim Dalı</v>
      </c>
      <c r="D43" s="170">
        <f>IF(C43="","",COUNTIFS(Başvuru!$D:$D,C43,Başvuru!$A:$A,"&lt;&gt;"&amp;"",Başvuru!$F:$F,"&lt;&gt;"&amp;""))</f>
        <v>4</v>
      </c>
      <c r="E43" s="168" t="str">
        <f>IF(C43="","-",IF(D43&gt;0,TEXT(D43/(COUNTIFS(Başvuru!$A:$A,"&lt;&gt;",Başvuru!$F:$F,"&lt;&gt;")-1)*100,"0.0")&amp;"%","-"))</f>
        <v>01%</v>
      </c>
      <c r="F43" s="171">
        <f>IF(C43="","",COUNTIFS(Başvuru!$D:$D,C43,Başvuru!$G:$G,"Bireysel Araştırma",Başvuru!$A:$A,"&lt;&gt;"&amp;"",Başvuru!$F:$F,"&lt;&gt;"&amp;""))</f>
        <v>4</v>
      </c>
      <c r="G43" s="171">
        <f>IF(C43="","",COUNTIFS(Başvuru!$D:$D,C43,Başvuru!$G:$G,"Uzmanlık Tezi",Başvuru!$A:$A,"&lt;&gt;"&amp;"",Başvuru!$F:$F,"&lt;&gt;"&amp;""))</f>
        <v>0</v>
      </c>
      <c r="H43" s="171">
        <f>IF(C43="","",COUNTIFS(Başvuru!$D:$D,C43,Başvuru!$G:$G,"Doktora Tezi",Başvuru!$A:$A,"&lt;&gt;"&amp;"",Başvuru!$F:$F,"&lt;&gt;"&amp;""))</f>
        <v>0</v>
      </c>
      <c r="I43" s="171">
        <f>IF(C43="","",COUNTIFS(Başvuru!$D:$D,C43,Başvuru!$G:$G,"Yüksek Lisans Tezi",Başvuru!$A:$A,"&lt;&gt;"&amp;"",Başvuru!$F:$F,"&lt;&gt;"&amp;""))</f>
        <v>0</v>
      </c>
      <c r="J43" s="172">
        <f>IF(C43="","",COUNTIFS(Başvuru!$D:$D,C43,Başvuru!$L:$L,"ONAY",Başvuru!$A:$A,"&lt;&gt;"&amp;"",Başvuru!$F:$F,"&lt;&gt;"&amp;""))</f>
        <v>2</v>
      </c>
      <c r="K43" s="173">
        <f>IF(C43="","",COUNTIFS(Başvuru!$D:$D,C43,Başvuru!$L:$L,"DÜZELTME",Başvuru!$A:$A,"&lt;&gt;"&amp;"",Başvuru!$F:$F,"&lt;&gt;"&amp;""))</f>
        <v>1</v>
      </c>
      <c r="L43" s="174">
        <f>IF(C43="","",COUNTIFS(Başvuru!$D:$D,C43,Başvuru!$L:$L,"KAEK",Başvuru!$A:$A,"&lt;&gt;"&amp;"",Başvuru!$F:$F,"&lt;&gt;"&amp;""))</f>
        <v>0</v>
      </c>
      <c r="M43" s="175">
        <f>IF(C43="","",COUNTIFS(Başvuru!$D:$D,C43,Başvuru!$L:$L,"GÖRÜŞ",Başvuru!$A:$A,"&lt;&gt;"&amp;"",Başvuru!$F:$F,"&lt;&gt;"&amp;""))</f>
        <v>0</v>
      </c>
      <c r="N43" s="176">
        <f>IF(C43="","",COUNTIFS(Başvuru!$D:$D,C43,Başvuru!$L:$L,"RET",Başvuru!$A:$A,"&lt;&gt;"&amp;"",Başvuru!$F:$F,"&lt;&gt;"&amp;""))</f>
        <v>0</v>
      </c>
      <c r="O43" s="177">
        <f>IF(C43="","",COUNTIFS(Başvuru!$D:$D,C43,Başvuru!$L:$L,"KAPSAM DIŞI",Başvuru!$A:$A,"&lt;&gt;"&amp;"",Başvuru!$F:$F,"&lt;&gt;"&amp;""))</f>
        <v>0</v>
      </c>
      <c r="P43" s="178">
        <f>IF(C43="","",COUNTIFS(Başvuru!$D:$D,C43,Başvuru!$L:$L,"GERİ ÇEKİLDİ",Başvuru!$A:$A,"&lt;&gt;"&amp;"",Başvuru!$F:$F,"&lt;&gt;"&amp;""))</f>
        <v>0</v>
      </c>
      <c r="Q43" s="166" t="s">
        <v>320</v>
      </c>
      <c r="R43" s="167">
        <f>COUNTIFS(Başvuru!$D:$D,Q43,Başvuru!$A:$A,"&lt;&gt;"&amp;"",Başvuru!$F:$F,"&lt;&gt;"&amp;"")</f>
        <v>14</v>
      </c>
      <c r="S43" s="167">
        <f>RANK(R43,$R$6:$R$86,0)+COUNTIF($R$6:R43,R43)-1</f>
        <v>11</v>
      </c>
    </row>
    <row r="44" spans="2:19" ht="15" customHeight="1" x14ac:dyDescent="0.25">
      <c r="B44" s="155">
        <v>39</v>
      </c>
      <c r="C44" s="156" t="str">
        <f>IFERROR(INDEX($Q$6:$Q$86,MATCH(39,$S$6:$S$86,0)),"")</f>
        <v>Beyin ve Sinir Cerrahisi Anabilim Dalı</v>
      </c>
      <c r="D44" s="157">
        <f>IF(C44="","",COUNTIFS(Başvuru!$D:$D,C44,Başvuru!$A:$A,"&lt;&gt;"&amp;"",Başvuru!$F:$F,"&lt;&gt;"&amp;""))</f>
        <v>3</v>
      </c>
      <c r="E44" s="155" t="str">
        <f>IF(C44="","-",IF(D44&gt;0,TEXT(D44/(COUNTIFS(Başvuru!$A:$A,"&lt;&gt;",Başvuru!$F:$F,"&lt;&gt;")-1)*100,"0.0")&amp;"%","-"))</f>
        <v>00%</v>
      </c>
      <c r="F44" s="158">
        <f>IF(C44="","",COUNTIFS(Başvuru!$D:$D,C44,Başvuru!$G:$G,"Bireysel Araştırma",Başvuru!$A:$A,"&lt;&gt;"&amp;"",Başvuru!$F:$F,"&lt;&gt;"&amp;""))</f>
        <v>1</v>
      </c>
      <c r="G44" s="158">
        <f>IF(C44="","",COUNTIFS(Başvuru!$D:$D,C44,Başvuru!$G:$G,"Uzmanlık Tezi",Başvuru!$A:$A,"&lt;&gt;"&amp;"",Başvuru!$F:$F,"&lt;&gt;"&amp;""))</f>
        <v>1</v>
      </c>
      <c r="H44" s="158">
        <f>IF(C44="","",COUNTIFS(Başvuru!$D:$D,C44,Başvuru!$G:$G,"Doktora Tezi",Başvuru!$A:$A,"&lt;&gt;"&amp;"",Başvuru!$F:$F,"&lt;&gt;"&amp;""))</f>
        <v>0</v>
      </c>
      <c r="I44" s="158">
        <f>IF(C44="","",COUNTIFS(Başvuru!$D:$D,C44,Başvuru!$G:$G,"Yüksek Lisans Tezi",Başvuru!$A:$A,"&lt;&gt;"&amp;"",Başvuru!$F:$F,"&lt;&gt;"&amp;""))</f>
        <v>1</v>
      </c>
      <c r="J44" s="159">
        <f>IF(C44="","",COUNTIFS(Başvuru!$D:$D,C44,Başvuru!$L:$L,"ONAY",Başvuru!$A:$A,"&lt;&gt;"&amp;"",Başvuru!$F:$F,"&lt;&gt;"&amp;""))</f>
        <v>1</v>
      </c>
      <c r="K44" s="160">
        <f>IF(C44="","",COUNTIFS(Başvuru!$D:$D,C44,Başvuru!$L:$L,"DÜZELTME",Başvuru!$A:$A,"&lt;&gt;"&amp;"",Başvuru!$F:$F,"&lt;&gt;"&amp;""))</f>
        <v>1</v>
      </c>
      <c r="L44" s="161">
        <f>IF(C44="","",COUNTIFS(Başvuru!$D:$D,C44,Başvuru!$L:$L,"KAEK",Başvuru!$A:$A,"&lt;&gt;"&amp;"",Başvuru!$F:$F,"&lt;&gt;"&amp;""))</f>
        <v>0</v>
      </c>
      <c r="M44" s="162">
        <f>IF(C44="","",COUNTIFS(Başvuru!$D:$D,C44,Başvuru!$L:$L,"GÖRÜŞ",Başvuru!$A:$A,"&lt;&gt;"&amp;"",Başvuru!$F:$F,"&lt;&gt;"&amp;""))</f>
        <v>0</v>
      </c>
      <c r="N44" s="163">
        <f>IF(C44="","",COUNTIFS(Başvuru!$D:$D,C44,Başvuru!$L:$L,"RET",Başvuru!$A:$A,"&lt;&gt;"&amp;"",Başvuru!$F:$F,"&lt;&gt;"&amp;""))</f>
        <v>0</v>
      </c>
      <c r="O44" s="164">
        <f>IF(C44="","",COUNTIFS(Başvuru!$D:$D,C44,Başvuru!$L:$L,"KAPSAM DIŞI",Başvuru!$A:$A,"&lt;&gt;"&amp;"",Başvuru!$F:$F,"&lt;&gt;"&amp;""))</f>
        <v>0</v>
      </c>
      <c r="P44" s="165">
        <f>IF(C44="","",COUNTIFS(Başvuru!$D:$D,C44,Başvuru!$L:$L,"GERİ ÇEKİLDİ",Başvuru!$A:$A,"&lt;&gt;"&amp;"",Başvuru!$F:$F,"&lt;&gt;"&amp;""))</f>
        <v>0</v>
      </c>
      <c r="Q44" s="166" t="s">
        <v>1193</v>
      </c>
      <c r="R44" s="167">
        <f>COUNTIFS(Başvuru!$D:$D,Q44,Başvuru!$A:$A,"&lt;&gt;"&amp;"",Başvuru!$F:$F,"&lt;&gt;"&amp;"")</f>
        <v>4</v>
      </c>
      <c r="S44" s="167">
        <f>RANK(R44,$R$6:$R$86,0)+COUNTIF($R$6:R44,R44)-1</f>
        <v>37</v>
      </c>
    </row>
    <row r="45" spans="2:19" ht="15" customHeight="1" x14ac:dyDescent="0.25">
      <c r="B45" s="168">
        <v>40</v>
      </c>
      <c r="C45" s="169" t="str">
        <f>IFERROR(INDEX($Q$6:$Q$86,MATCH(40,$S$6:$S$86,0)),"")</f>
        <v>Pediatrik Temel Bilimler Anabilim Dalı</v>
      </c>
      <c r="D45" s="170">
        <f>IF(C45="","",COUNTIFS(Başvuru!$D:$D,C45,Başvuru!$A:$A,"&lt;&gt;"&amp;"",Başvuru!$F:$F,"&lt;&gt;"&amp;""))</f>
        <v>3</v>
      </c>
      <c r="E45" s="168" t="str">
        <f>IF(C45="","-",IF(D45&gt;0,TEXT(D45/(COUNTIFS(Başvuru!$A:$A,"&lt;&gt;",Başvuru!$F:$F,"&lt;&gt;")-1)*100,"0.0")&amp;"%","-"))</f>
        <v>00%</v>
      </c>
      <c r="F45" s="171">
        <f>IF(C45="","",COUNTIFS(Başvuru!$D:$D,C45,Başvuru!$G:$G,"Bireysel Araştırma",Başvuru!$A:$A,"&lt;&gt;"&amp;"",Başvuru!$F:$F,"&lt;&gt;"&amp;""))</f>
        <v>1</v>
      </c>
      <c r="G45" s="171">
        <f>IF(C45="","",COUNTIFS(Başvuru!$D:$D,C45,Başvuru!$G:$G,"Uzmanlık Tezi",Başvuru!$A:$A,"&lt;&gt;"&amp;"",Başvuru!$F:$F,"&lt;&gt;"&amp;""))</f>
        <v>0</v>
      </c>
      <c r="H45" s="171">
        <f>IF(C45="","",COUNTIFS(Başvuru!$D:$D,C45,Başvuru!$G:$G,"Doktora Tezi",Başvuru!$A:$A,"&lt;&gt;"&amp;"",Başvuru!$F:$F,"&lt;&gt;"&amp;""))</f>
        <v>0</v>
      </c>
      <c r="I45" s="171">
        <f>IF(C45="","",COUNTIFS(Başvuru!$D:$D,C45,Başvuru!$G:$G,"Yüksek Lisans Tezi",Başvuru!$A:$A,"&lt;&gt;"&amp;"",Başvuru!$F:$F,"&lt;&gt;"&amp;""))</f>
        <v>2</v>
      </c>
      <c r="J45" s="172">
        <f>IF(C45="","",COUNTIFS(Başvuru!$D:$D,C45,Başvuru!$L:$L,"ONAY",Başvuru!$A:$A,"&lt;&gt;"&amp;"",Başvuru!$F:$F,"&lt;&gt;"&amp;""))</f>
        <v>0</v>
      </c>
      <c r="K45" s="173">
        <f>IF(C45="","",COUNTIFS(Başvuru!$D:$D,C45,Başvuru!$L:$L,"DÜZELTME",Başvuru!$A:$A,"&lt;&gt;"&amp;"",Başvuru!$F:$F,"&lt;&gt;"&amp;""))</f>
        <v>3</v>
      </c>
      <c r="L45" s="174">
        <f>IF(C45="","",COUNTIFS(Başvuru!$D:$D,C45,Başvuru!$L:$L,"KAEK",Başvuru!$A:$A,"&lt;&gt;"&amp;"",Başvuru!$F:$F,"&lt;&gt;"&amp;""))</f>
        <v>0</v>
      </c>
      <c r="M45" s="175">
        <f>IF(C45="","",COUNTIFS(Başvuru!$D:$D,C45,Başvuru!$L:$L,"GÖRÜŞ",Başvuru!$A:$A,"&lt;&gt;"&amp;"",Başvuru!$F:$F,"&lt;&gt;"&amp;""))</f>
        <v>0</v>
      </c>
      <c r="N45" s="176">
        <f>IF(C45="","",COUNTIFS(Başvuru!$D:$D,C45,Başvuru!$L:$L,"RET",Başvuru!$A:$A,"&lt;&gt;"&amp;"",Başvuru!$F:$F,"&lt;&gt;"&amp;""))</f>
        <v>0</v>
      </c>
      <c r="O45" s="177">
        <f>IF(C45="","",COUNTIFS(Başvuru!$D:$D,C45,Başvuru!$L:$L,"KAPSAM DIŞI",Başvuru!$A:$A,"&lt;&gt;"&amp;"",Başvuru!$F:$F,"&lt;&gt;"&amp;""))</f>
        <v>0</v>
      </c>
      <c r="P45" s="178">
        <f>IF(C45="","",COUNTIFS(Başvuru!$D:$D,C45,Başvuru!$L:$L,"GERİ ÇEKİLDİ",Başvuru!$A:$A,"&lt;&gt;"&amp;"",Başvuru!$F:$F,"&lt;&gt;"&amp;""))</f>
        <v>0</v>
      </c>
      <c r="Q45" s="179" t="s">
        <v>91</v>
      </c>
      <c r="R45" s="167">
        <f>COUNTIFS(Başvuru!$D:$D,Q45,Başvuru!$A:$A,"&lt;&gt;"&amp;"",Başvuru!$F:$F,"&lt;&gt;"&amp;"")</f>
        <v>2</v>
      </c>
      <c r="S45" s="167">
        <f>RANK(R45,$R$6:$R$86,0)+COUNTIF($R$6:R45,R45)-1</f>
        <v>54</v>
      </c>
    </row>
    <row r="46" spans="2:19" ht="15" customHeight="1" x14ac:dyDescent="0.25">
      <c r="B46" s="155">
        <v>41</v>
      </c>
      <c r="C46" s="156" t="str">
        <f>IFERROR(INDEX($Q$6:$Q$86,MATCH(41,$S$6:$S$86,0)),"")</f>
        <v>Pedodonti Anabilim Dalı</v>
      </c>
      <c r="D46" s="157">
        <f>IF(C46="","",COUNTIFS(Başvuru!$D:$D,C46,Başvuru!$A:$A,"&lt;&gt;"&amp;"",Başvuru!$F:$F,"&lt;&gt;"&amp;""))</f>
        <v>3</v>
      </c>
      <c r="E46" s="155" t="str">
        <f>IF(C46="","-",IF(D46&gt;0,TEXT(D46/(COUNTIFS(Başvuru!$A:$A,"&lt;&gt;",Başvuru!$F:$F,"&lt;&gt;")-1)*100,"0.0")&amp;"%","-"))</f>
        <v>00%</v>
      </c>
      <c r="F46" s="158">
        <f>IF(C46="","",COUNTIFS(Başvuru!$D:$D,C46,Başvuru!$G:$G,"Bireysel Araştırma",Başvuru!$A:$A,"&lt;&gt;"&amp;"",Başvuru!$F:$F,"&lt;&gt;"&amp;""))</f>
        <v>1</v>
      </c>
      <c r="G46" s="158">
        <f>IF(C46="","",COUNTIFS(Başvuru!$D:$D,C46,Başvuru!$G:$G,"Uzmanlık Tezi",Başvuru!$A:$A,"&lt;&gt;"&amp;"",Başvuru!$F:$F,"&lt;&gt;"&amp;""))</f>
        <v>2</v>
      </c>
      <c r="H46" s="158">
        <f>IF(C46="","",COUNTIFS(Başvuru!$D:$D,C46,Başvuru!$G:$G,"Doktora Tezi",Başvuru!$A:$A,"&lt;&gt;"&amp;"",Başvuru!$F:$F,"&lt;&gt;"&amp;""))</f>
        <v>0</v>
      </c>
      <c r="I46" s="158">
        <f>IF(C46="","",COUNTIFS(Başvuru!$D:$D,C46,Başvuru!$G:$G,"Yüksek Lisans Tezi",Başvuru!$A:$A,"&lt;&gt;"&amp;"",Başvuru!$F:$F,"&lt;&gt;"&amp;""))</f>
        <v>0</v>
      </c>
      <c r="J46" s="159">
        <f>IF(C46="","",COUNTIFS(Başvuru!$D:$D,C46,Başvuru!$L:$L,"ONAY",Başvuru!$A:$A,"&lt;&gt;"&amp;"",Başvuru!$F:$F,"&lt;&gt;"&amp;""))</f>
        <v>2</v>
      </c>
      <c r="K46" s="160">
        <f>IF(C46="","",COUNTIFS(Başvuru!$D:$D,C46,Başvuru!$L:$L,"DÜZELTME",Başvuru!$A:$A,"&lt;&gt;"&amp;"",Başvuru!$F:$F,"&lt;&gt;"&amp;""))</f>
        <v>0</v>
      </c>
      <c r="L46" s="161">
        <f>IF(C46="","",COUNTIFS(Başvuru!$D:$D,C46,Başvuru!$L:$L,"KAEK",Başvuru!$A:$A,"&lt;&gt;"&amp;"",Başvuru!$F:$F,"&lt;&gt;"&amp;""))</f>
        <v>0</v>
      </c>
      <c r="M46" s="162">
        <f>IF(C46="","",COUNTIFS(Başvuru!$D:$D,C46,Başvuru!$L:$L,"GÖRÜŞ",Başvuru!$A:$A,"&lt;&gt;"&amp;"",Başvuru!$F:$F,"&lt;&gt;"&amp;""))</f>
        <v>0</v>
      </c>
      <c r="N46" s="163">
        <f>IF(C46="","",COUNTIFS(Başvuru!$D:$D,C46,Başvuru!$L:$L,"RET",Başvuru!$A:$A,"&lt;&gt;"&amp;"",Başvuru!$F:$F,"&lt;&gt;"&amp;""))</f>
        <v>0</v>
      </c>
      <c r="O46" s="164">
        <f>IF(C46="","",COUNTIFS(Başvuru!$D:$D,C46,Başvuru!$L:$L,"KAPSAM DIŞI",Başvuru!$A:$A,"&lt;&gt;"&amp;"",Başvuru!$F:$F,"&lt;&gt;"&amp;""))</f>
        <v>0</v>
      </c>
      <c r="P46" s="165">
        <f>IF(C46="","",COUNTIFS(Başvuru!$D:$D,C46,Başvuru!$L:$L,"GERİ ÇEKİLDİ",Başvuru!$A:$A,"&lt;&gt;"&amp;"",Başvuru!$F:$F,"&lt;&gt;"&amp;""))</f>
        <v>0</v>
      </c>
      <c r="Q46" s="166" t="s">
        <v>74</v>
      </c>
      <c r="R46" s="167">
        <f>COUNTIFS(Başvuru!$D:$D,Q46,Başvuru!$A:$A,"&lt;&gt;"&amp;"",Başvuru!$F:$F,"&lt;&gt;"&amp;"")</f>
        <v>1</v>
      </c>
      <c r="S46" s="167">
        <f>RANK(R46,$R$6:$R$86,0)+COUNTIF($R$6:R46,R46)-1</f>
        <v>65</v>
      </c>
    </row>
    <row r="47" spans="2:19" ht="15" customHeight="1" x14ac:dyDescent="0.25">
      <c r="B47" s="168">
        <v>42</v>
      </c>
      <c r="C47" s="169" t="str">
        <f>IFERROR(INDEX($Q$6:$Q$86,MATCH(42,$S$6:$S$86,0)),"")</f>
        <v>Restoratif Diş Tedavisi Anabilim Dalı</v>
      </c>
      <c r="D47" s="170">
        <f>IF(C47="","",COUNTIFS(Başvuru!$D:$D,C47,Başvuru!$A:$A,"&lt;&gt;"&amp;"",Başvuru!$F:$F,"&lt;&gt;"&amp;""))</f>
        <v>3</v>
      </c>
      <c r="E47" s="168" t="str">
        <f>IF(C47="","-",IF(D47&gt;0,TEXT(D47/(COUNTIFS(Başvuru!$A:$A,"&lt;&gt;",Başvuru!$F:$F,"&lt;&gt;")-1)*100,"0.0")&amp;"%","-"))</f>
        <v>00%</v>
      </c>
      <c r="F47" s="171">
        <f>IF(C47="","",COUNTIFS(Başvuru!$D:$D,C47,Başvuru!$G:$G,"Bireysel Araştırma",Başvuru!$A:$A,"&lt;&gt;"&amp;"",Başvuru!$F:$F,"&lt;&gt;"&amp;""))</f>
        <v>3</v>
      </c>
      <c r="G47" s="171">
        <f>IF(C47="","",COUNTIFS(Başvuru!$D:$D,C47,Başvuru!$G:$G,"Uzmanlık Tezi",Başvuru!$A:$A,"&lt;&gt;"&amp;"",Başvuru!$F:$F,"&lt;&gt;"&amp;""))</f>
        <v>0</v>
      </c>
      <c r="H47" s="171">
        <f>IF(C47="","",COUNTIFS(Başvuru!$D:$D,C47,Başvuru!$G:$G,"Doktora Tezi",Başvuru!$A:$A,"&lt;&gt;"&amp;"",Başvuru!$F:$F,"&lt;&gt;"&amp;""))</f>
        <v>0</v>
      </c>
      <c r="I47" s="171">
        <f>IF(C47="","",COUNTIFS(Başvuru!$D:$D,C47,Başvuru!$G:$G,"Yüksek Lisans Tezi",Başvuru!$A:$A,"&lt;&gt;"&amp;"",Başvuru!$F:$F,"&lt;&gt;"&amp;""))</f>
        <v>0</v>
      </c>
      <c r="J47" s="172">
        <f>IF(C47="","",COUNTIFS(Başvuru!$D:$D,C47,Başvuru!$L:$L,"ONAY",Başvuru!$A:$A,"&lt;&gt;"&amp;"",Başvuru!$F:$F,"&lt;&gt;"&amp;""))</f>
        <v>2</v>
      </c>
      <c r="K47" s="173">
        <f>IF(C47="","",COUNTIFS(Başvuru!$D:$D,C47,Başvuru!$L:$L,"DÜZELTME",Başvuru!$A:$A,"&lt;&gt;"&amp;"",Başvuru!$F:$F,"&lt;&gt;"&amp;""))</f>
        <v>1</v>
      </c>
      <c r="L47" s="174">
        <f>IF(C47="","",COUNTIFS(Başvuru!$D:$D,C47,Başvuru!$L:$L,"KAEK",Başvuru!$A:$A,"&lt;&gt;"&amp;"",Başvuru!$F:$F,"&lt;&gt;"&amp;""))</f>
        <v>0</v>
      </c>
      <c r="M47" s="175">
        <f>IF(C47="","",COUNTIFS(Başvuru!$D:$D,C47,Başvuru!$L:$L,"GÖRÜŞ",Başvuru!$A:$A,"&lt;&gt;"&amp;"",Başvuru!$F:$F,"&lt;&gt;"&amp;""))</f>
        <v>0</v>
      </c>
      <c r="N47" s="176">
        <f>IF(C47="","",COUNTIFS(Başvuru!$D:$D,C47,Başvuru!$L:$L,"RET",Başvuru!$A:$A,"&lt;&gt;"&amp;"",Başvuru!$F:$F,"&lt;&gt;"&amp;""))</f>
        <v>0</v>
      </c>
      <c r="O47" s="177">
        <f>IF(C47="","",COUNTIFS(Başvuru!$D:$D,C47,Başvuru!$L:$L,"KAPSAM DIŞI",Başvuru!$A:$A,"&lt;&gt;"&amp;"",Başvuru!$F:$F,"&lt;&gt;"&amp;""))</f>
        <v>0</v>
      </c>
      <c r="P47" s="178">
        <f>IF(C47="","",COUNTIFS(Başvuru!$D:$D,C47,Başvuru!$L:$L,"GERİ ÇEKİLDİ",Başvuru!$A:$A,"&lt;&gt;"&amp;"",Başvuru!$F:$F,"&lt;&gt;"&amp;""))</f>
        <v>0</v>
      </c>
      <c r="Q47" s="166" t="s">
        <v>395</v>
      </c>
      <c r="R47" s="167">
        <f>COUNTIFS(Başvuru!$D:$D,Q47,Başvuru!$A:$A,"&lt;&gt;"&amp;"",Başvuru!$F:$F,"&lt;&gt;"&amp;"")</f>
        <v>21</v>
      </c>
      <c r="S47" s="167">
        <f>RANK(R47,$R$6:$R$86,0)+COUNTIF($R$6:R47,R47)-1</f>
        <v>5</v>
      </c>
    </row>
    <row r="48" spans="2:19" ht="15" customHeight="1" x14ac:dyDescent="0.25">
      <c r="B48" s="155">
        <v>43</v>
      </c>
      <c r="C48" s="156" t="str">
        <f>IFERROR(INDEX($Q$6:$Q$86,MATCH(43,$S$6:$S$86,0)),"")</f>
        <v>Tıbbi Biyokimya Anabilim Dalı</v>
      </c>
      <c r="D48" s="157">
        <f>IF(C48="","",COUNTIFS(Başvuru!$D:$D,C48,Başvuru!$A:$A,"&lt;&gt;"&amp;"",Başvuru!$F:$F,"&lt;&gt;"&amp;""))</f>
        <v>3</v>
      </c>
      <c r="E48" s="155" t="str">
        <f>IF(C48="","-",IF(D48&gt;0,TEXT(D48/(COUNTIFS(Başvuru!$A:$A,"&lt;&gt;",Başvuru!$F:$F,"&lt;&gt;")-1)*100,"0.0")&amp;"%","-"))</f>
        <v>00%</v>
      </c>
      <c r="F48" s="158">
        <f>IF(C48="","",COUNTIFS(Başvuru!$D:$D,C48,Başvuru!$G:$G,"Bireysel Araştırma",Başvuru!$A:$A,"&lt;&gt;"&amp;"",Başvuru!$F:$F,"&lt;&gt;"&amp;""))</f>
        <v>1</v>
      </c>
      <c r="G48" s="158">
        <f>IF(C48="","",COUNTIFS(Başvuru!$D:$D,C48,Başvuru!$G:$G,"Uzmanlık Tezi",Başvuru!$A:$A,"&lt;&gt;"&amp;"",Başvuru!$F:$F,"&lt;&gt;"&amp;""))</f>
        <v>2</v>
      </c>
      <c r="H48" s="158">
        <f>IF(C48="","",COUNTIFS(Başvuru!$D:$D,C48,Başvuru!$G:$G,"Doktora Tezi",Başvuru!$A:$A,"&lt;&gt;"&amp;"",Başvuru!$F:$F,"&lt;&gt;"&amp;""))</f>
        <v>0</v>
      </c>
      <c r="I48" s="158">
        <f>IF(C48="","",COUNTIFS(Başvuru!$D:$D,C48,Başvuru!$G:$G,"Yüksek Lisans Tezi",Başvuru!$A:$A,"&lt;&gt;"&amp;"",Başvuru!$F:$F,"&lt;&gt;"&amp;""))</f>
        <v>0</v>
      </c>
      <c r="J48" s="159">
        <f>IF(C48="","",COUNTIFS(Başvuru!$D:$D,C48,Başvuru!$L:$L,"ONAY",Başvuru!$A:$A,"&lt;&gt;"&amp;"",Başvuru!$F:$F,"&lt;&gt;"&amp;""))</f>
        <v>0</v>
      </c>
      <c r="K48" s="160">
        <f>IF(C48="","",COUNTIFS(Başvuru!$D:$D,C48,Başvuru!$L:$L,"DÜZELTME",Başvuru!$A:$A,"&lt;&gt;"&amp;"",Başvuru!$F:$F,"&lt;&gt;"&amp;""))</f>
        <v>2</v>
      </c>
      <c r="L48" s="161">
        <f>IF(C48="","",COUNTIFS(Başvuru!$D:$D,C48,Başvuru!$L:$L,"KAEK",Başvuru!$A:$A,"&lt;&gt;"&amp;"",Başvuru!$F:$F,"&lt;&gt;"&amp;""))</f>
        <v>0</v>
      </c>
      <c r="M48" s="162">
        <f>IF(C48="","",COUNTIFS(Başvuru!$D:$D,C48,Başvuru!$L:$L,"GÖRÜŞ",Başvuru!$A:$A,"&lt;&gt;"&amp;"",Başvuru!$F:$F,"&lt;&gt;"&amp;""))</f>
        <v>0</v>
      </c>
      <c r="N48" s="163">
        <f>IF(C48="","",COUNTIFS(Başvuru!$D:$D,C48,Başvuru!$L:$L,"RET",Başvuru!$A:$A,"&lt;&gt;"&amp;"",Başvuru!$F:$F,"&lt;&gt;"&amp;""))</f>
        <v>1</v>
      </c>
      <c r="O48" s="164">
        <f>IF(C48="","",COUNTIFS(Başvuru!$D:$D,C48,Başvuru!$L:$L,"KAPSAM DIŞI",Başvuru!$A:$A,"&lt;&gt;"&amp;"",Başvuru!$F:$F,"&lt;&gt;"&amp;""))</f>
        <v>0</v>
      </c>
      <c r="P48" s="165">
        <f>IF(C48="","",COUNTIFS(Başvuru!$D:$D,C48,Başvuru!$L:$L,"GERİ ÇEKİLDİ",Başvuru!$A:$A,"&lt;&gt;"&amp;"",Başvuru!$F:$F,"&lt;&gt;"&amp;""))</f>
        <v>0</v>
      </c>
      <c r="Q48" s="166" t="s">
        <v>307</v>
      </c>
      <c r="R48" s="167">
        <f>COUNTIFS(Başvuru!$D:$D,Q48,Başvuru!$A:$A,"&lt;&gt;"&amp;"",Başvuru!$F:$F,"&lt;&gt;"&amp;"")</f>
        <v>6</v>
      </c>
      <c r="S48" s="167">
        <f>RANK(R48,$R$6:$R$86,0)+COUNTIF($R$6:R48,R48)-1</f>
        <v>27</v>
      </c>
    </row>
    <row r="49" spans="2:19" ht="15" customHeight="1" x14ac:dyDescent="0.25">
      <c r="B49" s="168">
        <v>44</v>
      </c>
      <c r="C49" s="169" t="str">
        <f>IFERROR(INDEX($Q$6:$Q$86,MATCH(44,$S$6:$S$86,0)),"")</f>
        <v>Tıp Eğitimi ve Bilişimi Anabilim Dalı</v>
      </c>
      <c r="D49" s="170">
        <f>IF(C49="","",COUNTIFS(Başvuru!$D:$D,C49,Başvuru!$A:$A,"&lt;&gt;"&amp;"",Başvuru!$F:$F,"&lt;&gt;"&amp;""))</f>
        <v>3</v>
      </c>
      <c r="E49" s="168" t="str">
        <f>IF(C49="","-",IF(D49&gt;0,TEXT(D49/(COUNTIFS(Başvuru!$A:$A,"&lt;&gt;",Başvuru!$F:$F,"&lt;&gt;")-1)*100,"0.0")&amp;"%","-"))</f>
        <v>00%</v>
      </c>
      <c r="F49" s="171">
        <f>IF(C49="","",COUNTIFS(Başvuru!$D:$D,C49,Başvuru!$G:$G,"Bireysel Araştırma",Başvuru!$A:$A,"&lt;&gt;"&amp;"",Başvuru!$F:$F,"&lt;&gt;"&amp;""))</f>
        <v>1</v>
      </c>
      <c r="G49" s="171">
        <f>IF(C49="","",COUNTIFS(Başvuru!$D:$D,C49,Başvuru!$G:$G,"Uzmanlık Tezi",Başvuru!$A:$A,"&lt;&gt;"&amp;"",Başvuru!$F:$F,"&lt;&gt;"&amp;""))</f>
        <v>0</v>
      </c>
      <c r="H49" s="171">
        <f>IF(C49="","",COUNTIFS(Başvuru!$D:$D,C49,Başvuru!$G:$G,"Doktora Tezi",Başvuru!$A:$A,"&lt;&gt;"&amp;"",Başvuru!$F:$F,"&lt;&gt;"&amp;""))</f>
        <v>1</v>
      </c>
      <c r="I49" s="171">
        <f>IF(C49="","",COUNTIFS(Başvuru!$D:$D,C49,Başvuru!$G:$G,"Yüksek Lisans Tezi",Başvuru!$A:$A,"&lt;&gt;"&amp;"",Başvuru!$F:$F,"&lt;&gt;"&amp;""))</f>
        <v>1</v>
      </c>
      <c r="J49" s="172">
        <f>IF(C49="","",COUNTIFS(Başvuru!$D:$D,C49,Başvuru!$L:$L,"ONAY",Başvuru!$A:$A,"&lt;&gt;"&amp;"",Başvuru!$F:$F,"&lt;&gt;"&amp;""))</f>
        <v>2</v>
      </c>
      <c r="K49" s="173">
        <f>IF(C49="","",COUNTIFS(Başvuru!$D:$D,C49,Başvuru!$L:$L,"DÜZELTME",Başvuru!$A:$A,"&lt;&gt;"&amp;"",Başvuru!$F:$F,"&lt;&gt;"&amp;""))</f>
        <v>1</v>
      </c>
      <c r="L49" s="174">
        <f>IF(C49="","",COUNTIFS(Başvuru!$D:$D,C49,Başvuru!$L:$L,"KAEK",Başvuru!$A:$A,"&lt;&gt;"&amp;"",Başvuru!$F:$F,"&lt;&gt;"&amp;""))</f>
        <v>0</v>
      </c>
      <c r="M49" s="175">
        <f>IF(C49="","",COUNTIFS(Başvuru!$D:$D,C49,Başvuru!$L:$L,"GÖRÜŞ",Başvuru!$A:$A,"&lt;&gt;"&amp;"",Başvuru!$F:$F,"&lt;&gt;"&amp;""))</f>
        <v>0</v>
      </c>
      <c r="N49" s="176">
        <f>IF(C49="","",COUNTIFS(Başvuru!$D:$D,C49,Başvuru!$L:$L,"RET",Başvuru!$A:$A,"&lt;&gt;"&amp;"",Başvuru!$F:$F,"&lt;&gt;"&amp;""))</f>
        <v>0</v>
      </c>
      <c r="O49" s="177">
        <f>IF(C49="","",COUNTIFS(Başvuru!$D:$D,C49,Başvuru!$L:$L,"KAPSAM DIŞI",Başvuru!$A:$A,"&lt;&gt;"&amp;"",Başvuru!$F:$F,"&lt;&gt;"&amp;""))</f>
        <v>0</v>
      </c>
      <c r="P49" s="178">
        <f>IF(C49="","",COUNTIFS(Başvuru!$D:$D,C49,Başvuru!$L:$L,"GERİ ÇEKİLDİ",Başvuru!$A:$A,"&lt;&gt;"&amp;"",Başvuru!$F:$F,"&lt;&gt;"&amp;""))</f>
        <v>0</v>
      </c>
      <c r="Q49" s="166" t="s">
        <v>327</v>
      </c>
      <c r="R49" s="167">
        <f>COUNTIFS(Başvuru!$D:$D,Q49,Başvuru!$A:$A,"&lt;&gt;"&amp;"",Başvuru!$F:$F,"&lt;&gt;"&amp;"")</f>
        <v>10</v>
      </c>
      <c r="S49" s="167">
        <f>RANK(R49,$R$6:$R$86,0)+COUNTIF($R$6:R49,R49)-1</f>
        <v>18</v>
      </c>
    </row>
    <row r="50" spans="2:19" ht="15" customHeight="1" x14ac:dyDescent="0.25">
      <c r="B50" s="155">
        <v>45</v>
      </c>
      <c r="C50" s="156" t="str">
        <f>IFERROR(INDEX($Q$6:$Q$86,MATCH(45,$S$6:$S$86,0)),"")</f>
        <v>Adli Tıp Anabilim Dalı</v>
      </c>
      <c r="D50" s="157">
        <f>IF(C50="","",COUNTIFS(Başvuru!$D:$D,C50,Başvuru!$A:$A,"&lt;&gt;"&amp;"",Başvuru!$F:$F,"&lt;&gt;"&amp;""))</f>
        <v>2</v>
      </c>
      <c r="E50" s="155" t="str">
        <f>IF(C50="","-",IF(D50&gt;0,TEXT(D50/(COUNTIFS(Başvuru!$A:$A,"&lt;&gt;",Başvuru!$F:$F,"&lt;&gt;")-1)*100,"0.0")&amp;"%","-"))</f>
        <v>00%</v>
      </c>
      <c r="F50" s="158">
        <f>IF(C50="","",COUNTIFS(Başvuru!$D:$D,C50,Başvuru!$G:$G,"Bireysel Araştırma",Başvuru!$A:$A,"&lt;&gt;"&amp;"",Başvuru!$F:$F,"&lt;&gt;"&amp;""))</f>
        <v>1</v>
      </c>
      <c r="G50" s="158">
        <f>IF(C50="","",COUNTIFS(Başvuru!$D:$D,C50,Başvuru!$G:$G,"Uzmanlık Tezi",Başvuru!$A:$A,"&lt;&gt;"&amp;"",Başvuru!$F:$F,"&lt;&gt;"&amp;""))</f>
        <v>1</v>
      </c>
      <c r="H50" s="158">
        <f>IF(C50="","",COUNTIFS(Başvuru!$D:$D,C50,Başvuru!$G:$G,"Doktora Tezi",Başvuru!$A:$A,"&lt;&gt;"&amp;"",Başvuru!$F:$F,"&lt;&gt;"&amp;""))</f>
        <v>0</v>
      </c>
      <c r="I50" s="158">
        <f>IF(C50="","",COUNTIFS(Başvuru!$D:$D,C50,Başvuru!$G:$G,"Yüksek Lisans Tezi",Başvuru!$A:$A,"&lt;&gt;"&amp;"",Başvuru!$F:$F,"&lt;&gt;"&amp;""))</f>
        <v>0</v>
      </c>
      <c r="J50" s="159">
        <f>IF(C50="","",COUNTIFS(Başvuru!$D:$D,C50,Başvuru!$L:$L,"ONAY",Başvuru!$A:$A,"&lt;&gt;"&amp;"",Başvuru!$F:$F,"&lt;&gt;"&amp;""))</f>
        <v>2</v>
      </c>
      <c r="K50" s="160">
        <f>IF(C50="","",COUNTIFS(Başvuru!$D:$D,C50,Başvuru!$L:$L,"DÜZELTME",Başvuru!$A:$A,"&lt;&gt;"&amp;"",Başvuru!$F:$F,"&lt;&gt;"&amp;""))</f>
        <v>0</v>
      </c>
      <c r="L50" s="161">
        <f>IF(C50="","",COUNTIFS(Başvuru!$D:$D,C50,Başvuru!$L:$L,"KAEK",Başvuru!$A:$A,"&lt;&gt;"&amp;"",Başvuru!$F:$F,"&lt;&gt;"&amp;""))</f>
        <v>0</v>
      </c>
      <c r="M50" s="162">
        <f>IF(C50="","",COUNTIFS(Başvuru!$D:$D,C50,Başvuru!$L:$L,"GÖRÜŞ",Başvuru!$A:$A,"&lt;&gt;"&amp;"",Başvuru!$F:$F,"&lt;&gt;"&amp;""))</f>
        <v>0</v>
      </c>
      <c r="N50" s="163">
        <f>IF(C50="","",COUNTIFS(Başvuru!$D:$D,C50,Başvuru!$L:$L,"RET",Başvuru!$A:$A,"&lt;&gt;"&amp;"",Başvuru!$F:$F,"&lt;&gt;"&amp;""))</f>
        <v>0</v>
      </c>
      <c r="O50" s="164">
        <f>IF(C50="","",COUNTIFS(Başvuru!$D:$D,C50,Başvuru!$L:$L,"KAPSAM DIŞI",Başvuru!$A:$A,"&lt;&gt;"&amp;"",Başvuru!$F:$F,"&lt;&gt;"&amp;""))</f>
        <v>0</v>
      </c>
      <c r="P50" s="165">
        <f>IF(C50="","",COUNTIFS(Başvuru!$D:$D,C50,Başvuru!$L:$L,"GERİ ÇEKİLDİ",Başvuru!$A:$A,"&lt;&gt;"&amp;"",Başvuru!$F:$F,"&lt;&gt;"&amp;""))</f>
        <v>0</v>
      </c>
      <c r="Q50" s="166" t="s">
        <v>422</v>
      </c>
      <c r="R50" s="167">
        <f>COUNTIFS(Başvuru!$D:$D,Q50,Başvuru!$A:$A,"&lt;&gt;"&amp;"",Başvuru!$F:$F,"&lt;&gt;"&amp;"")</f>
        <v>16</v>
      </c>
      <c r="S50" s="167">
        <f>RANK(R50,$R$6:$R$86,0)+COUNTIF($R$6:R50,R50)-1</f>
        <v>10</v>
      </c>
    </row>
    <row r="51" spans="2:19" ht="15" customHeight="1" x14ac:dyDescent="0.25">
      <c r="B51" s="168">
        <v>46</v>
      </c>
      <c r="C51" s="180" t="str">
        <f>IFERROR(INDEX($Q$6:$Q$86,MATCH(46,$S$6:$S$86,0)),"")</f>
        <v>Biyofizik Anabilim Dalı</v>
      </c>
      <c r="D51" s="170">
        <f>IF(C51="","",COUNTIFS(Başvuru!$D:$D,C51,Başvuru!$A:$A,"&lt;&gt;"&amp;"",Başvuru!$F:$F,"&lt;&gt;"&amp;""))</f>
        <v>2</v>
      </c>
      <c r="E51" s="168" t="str">
        <f>IF(C51="","-",IF(D51&gt;0,TEXT(D51/(COUNTIFS(Başvuru!$A:$A,"&lt;&gt;",Başvuru!$F:$F,"&lt;&gt;")-1)*100,"0.0")&amp;"%","-"))</f>
        <v>00%</v>
      </c>
      <c r="F51" s="171">
        <f>IF(C51="","",COUNTIFS(Başvuru!$D:$D,C51,Başvuru!$G:$G,"Bireysel Araştırma",Başvuru!$A:$A,"&lt;&gt;"&amp;"",Başvuru!$F:$F,"&lt;&gt;"&amp;""))</f>
        <v>1</v>
      </c>
      <c r="G51" s="171">
        <f>IF(C51="","",COUNTIFS(Başvuru!$D:$D,C51,Başvuru!$G:$G,"Uzmanlık Tezi",Başvuru!$A:$A,"&lt;&gt;"&amp;"",Başvuru!$F:$F,"&lt;&gt;"&amp;""))</f>
        <v>0</v>
      </c>
      <c r="H51" s="171">
        <f>IF(C51="","",COUNTIFS(Başvuru!$D:$D,C51,Başvuru!$G:$G,"Doktora Tezi",Başvuru!$A:$A,"&lt;&gt;"&amp;"",Başvuru!$F:$F,"&lt;&gt;"&amp;""))</f>
        <v>1</v>
      </c>
      <c r="I51" s="171">
        <f>IF(C51="","",COUNTIFS(Başvuru!$D:$D,C51,Başvuru!$G:$G,"Yüksek Lisans Tezi",Başvuru!$A:$A,"&lt;&gt;"&amp;"",Başvuru!$F:$F,"&lt;&gt;"&amp;""))</f>
        <v>0</v>
      </c>
      <c r="J51" s="172">
        <f>IF(C51="","",COUNTIFS(Başvuru!$D:$D,C51,Başvuru!$L:$L,"ONAY",Başvuru!$A:$A,"&lt;&gt;"&amp;"",Başvuru!$F:$F,"&lt;&gt;"&amp;""))</f>
        <v>2</v>
      </c>
      <c r="K51" s="173">
        <f>IF(C51="","",COUNTIFS(Başvuru!$D:$D,C51,Başvuru!$L:$L,"DÜZELTME",Başvuru!$A:$A,"&lt;&gt;"&amp;"",Başvuru!$F:$F,"&lt;&gt;"&amp;""))</f>
        <v>0</v>
      </c>
      <c r="L51" s="174">
        <f>IF(C51="","",COUNTIFS(Başvuru!$D:$D,C51,Başvuru!$L:$L,"KAEK",Başvuru!$A:$A,"&lt;&gt;"&amp;"",Başvuru!$F:$F,"&lt;&gt;"&amp;""))</f>
        <v>0</v>
      </c>
      <c r="M51" s="175">
        <f>IF(C51="","",COUNTIFS(Başvuru!$D:$D,C51,Başvuru!$L:$L,"GÖRÜŞ",Başvuru!$A:$A,"&lt;&gt;"&amp;"",Başvuru!$F:$F,"&lt;&gt;"&amp;""))</f>
        <v>0</v>
      </c>
      <c r="N51" s="176">
        <f>IF(C51="","",COUNTIFS(Başvuru!$D:$D,C51,Başvuru!$L:$L,"RET",Başvuru!$A:$A,"&lt;&gt;"&amp;"",Başvuru!$F:$F,"&lt;&gt;"&amp;""))</f>
        <v>0</v>
      </c>
      <c r="O51" s="177">
        <f>IF(C51="","",COUNTIFS(Başvuru!$D:$D,C51,Başvuru!$L:$L,"KAPSAM DIŞI",Başvuru!$A:$A,"&lt;&gt;"&amp;"",Başvuru!$F:$F,"&lt;&gt;"&amp;""))</f>
        <v>0</v>
      </c>
      <c r="P51" s="178">
        <f>IF(C51="","",COUNTIFS(Başvuru!$D:$D,C51,Başvuru!$L:$L,"GERİ ÇEKİLDİ",Başvuru!$A:$A,"&lt;&gt;"&amp;"",Başvuru!$F:$F,"&lt;&gt;"&amp;""))</f>
        <v>0</v>
      </c>
      <c r="Q51" s="166" t="s">
        <v>729</v>
      </c>
      <c r="R51" s="167">
        <f>COUNTIFS(Başvuru!$D:$D,Q51,Başvuru!$A:$A,"&lt;&gt;"&amp;"",Başvuru!$F:$F,"&lt;&gt;"&amp;"")</f>
        <v>3</v>
      </c>
      <c r="S51" s="167">
        <f>RANK(R51,$R$6:$R$86,0)+COUNTIF($R$6:R51,R51)-1</f>
        <v>40</v>
      </c>
    </row>
    <row r="52" spans="2:19" ht="15" customHeight="1" x14ac:dyDescent="0.25">
      <c r="B52" s="155">
        <v>47</v>
      </c>
      <c r="C52" s="156" t="str">
        <f>IFERROR(INDEX($Q$6:$Q$86,MATCH(47,$S$6:$S$86,0)),"")</f>
        <v>Biyoistatistik Anabilim Dalı</v>
      </c>
      <c r="D52" s="157">
        <f>IF(C52="","",COUNTIFS(Başvuru!$D:$D,C52,Başvuru!$A:$A,"&lt;&gt;"&amp;"",Başvuru!$F:$F,"&lt;&gt;"&amp;""))</f>
        <v>2</v>
      </c>
      <c r="E52" s="155" t="str">
        <f>IF(C52="","-",IF(D52&gt;0,TEXT(D52/(COUNTIFS(Başvuru!$A:$A,"&lt;&gt;",Başvuru!$F:$F,"&lt;&gt;")-1)*100,"0.0")&amp;"%","-"))</f>
        <v>00%</v>
      </c>
      <c r="F52" s="158">
        <f>IF(C52="","",COUNTIFS(Başvuru!$D:$D,C52,Başvuru!$G:$G,"Bireysel Araştırma",Başvuru!$A:$A,"&lt;&gt;"&amp;"",Başvuru!$F:$F,"&lt;&gt;"&amp;""))</f>
        <v>1</v>
      </c>
      <c r="G52" s="158">
        <f>IF(C52="","",COUNTIFS(Başvuru!$D:$D,C52,Başvuru!$G:$G,"Uzmanlık Tezi",Başvuru!$A:$A,"&lt;&gt;"&amp;"",Başvuru!$F:$F,"&lt;&gt;"&amp;""))</f>
        <v>0</v>
      </c>
      <c r="H52" s="158">
        <f>IF(C52="","",COUNTIFS(Başvuru!$D:$D,C52,Başvuru!$G:$G,"Doktora Tezi",Başvuru!$A:$A,"&lt;&gt;"&amp;"",Başvuru!$F:$F,"&lt;&gt;"&amp;""))</f>
        <v>1</v>
      </c>
      <c r="I52" s="158">
        <f>IF(C52="","",COUNTIFS(Başvuru!$D:$D,C52,Başvuru!$G:$G,"Yüksek Lisans Tezi",Başvuru!$A:$A,"&lt;&gt;"&amp;"",Başvuru!$F:$F,"&lt;&gt;"&amp;""))</f>
        <v>0</v>
      </c>
      <c r="J52" s="159">
        <f>IF(C52="","",COUNTIFS(Başvuru!$D:$D,C52,Başvuru!$L:$L,"ONAY",Başvuru!$A:$A,"&lt;&gt;"&amp;"",Başvuru!$F:$F,"&lt;&gt;"&amp;""))</f>
        <v>1</v>
      </c>
      <c r="K52" s="160">
        <f>IF(C52="","",COUNTIFS(Başvuru!$D:$D,C52,Başvuru!$L:$L,"DÜZELTME",Başvuru!$A:$A,"&lt;&gt;"&amp;"",Başvuru!$F:$F,"&lt;&gt;"&amp;""))</f>
        <v>0</v>
      </c>
      <c r="L52" s="161">
        <f>IF(C52="","",COUNTIFS(Başvuru!$D:$D,C52,Başvuru!$L:$L,"KAEK",Başvuru!$A:$A,"&lt;&gt;"&amp;"",Başvuru!$F:$F,"&lt;&gt;"&amp;""))</f>
        <v>0</v>
      </c>
      <c r="M52" s="162">
        <f>IF(C52="","",COUNTIFS(Başvuru!$D:$D,C52,Başvuru!$L:$L,"GÖRÜŞ",Başvuru!$A:$A,"&lt;&gt;"&amp;"",Başvuru!$F:$F,"&lt;&gt;"&amp;""))</f>
        <v>1</v>
      </c>
      <c r="N52" s="163">
        <f>IF(C52="","",COUNTIFS(Başvuru!$D:$D,C52,Başvuru!$L:$L,"RET",Başvuru!$A:$A,"&lt;&gt;"&amp;"",Başvuru!$F:$F,"&lt;&gt;"&amp;""))</f>
        <v>0</v>
      </c>
      <c r="O52" s="164">
        <f>IF(C52="","",COUNTIFS(Başvuru!$D:$D,C52,Başvuru!$L:$L,"KAPSAM DIŞI",Başvuru!$A:$A,"&lt;&gt;"&amp;"",Başvuru!$F:$F,"&lt;&gt;"&amp;""))</f>
        <v>0</v>
      </c>
      <c r="P52" s="165">
        <f>IF(C52="","",COUNTIFS(Başvuru!$D:$D,C52,Başvuru!$L:$L,"GERİ ÇEKİLDİ",Başvuru!$A:$A,"&lt;&gt;"&amp;"",Başvuru!$F:$F,"&lt;&gt;"&amp;""))</f>
        <v>0</v>
      </c>
      <c r="Q52" s="166" t="s">
        <v>1627</v>
      </c>
      <c r="R52" s="167">
        <f>COUNTIFS(Başvuru!$D:$D,Q52,Başvuru!$A:$A,"&lt;&gt;"&amp;"",Başvuru!$F:$F,"&lt;&gt;"&amp;"")</f>
        <v>3</v>
      </c>
      <c r="S52" s="167">
        <f>RANK(R52,$R$6:$R$86,0)+COUNTIF($R$6:R52,R52)-1</f>
        <v>41</v>
      </c>
    </row>
    <row r="53" spans="2:19" ht="15" customHeight="1" x14ac:dyDescent="0.25">
      <c r="B53" s="168">
        <v>48</v>
      </c>
      <c r="C53" s="180" t="str">
        <f>IFERROR(INDEX($Q$6:$Q$86,MATCH(48,$S$6:$S$86,0)),"")</f>
        <v>Egzersizde Beslenme ve Metabolizma Anabilim Dalı</v>
      </c>
      <c r="D53" s="170">
        <f>IF(C53="","",COUNTIFS(Başvuru!$D:$D,C53,Başvuru!$A:$A,"&lt;&gt;"&amp;"",Başvuru!$F:$F,"&lt;&gt;"&amp;""))</f>
        <v>2</v>
      </c>
      <c r="E53" s="168" t="str">
        <f>IF(C53="","-",IF(D53&gt;0,TEXT(D53/(COUNTIFS(Başvuru!$A:$A,"&lt;&gt;",Başvuru!$F:$F,"&lt;&gt;")-1)*100,"0.0")&amp;"%","-"))</f>
        <v>00%</v>
      </c>
      <c r="F53" s="171">
        <f>IF(C53="","",COUNTIFS(Başvuru!$D:$D,C53,Başvuru!$G:$G,"Bireysel Araştırma",Başvuru!$A:$A,"&lt;&gt;"&amp;"",Başvuru!$F:$F,"&lt;&gt;"&amp;""))</f>
        <v>1</v>
      </c>
      <c r="G53" s="171">
        <f>IF(C53="","",COUNTIFS(Başvuru!$D:$D,C53,Başvuru!$G:$G,"Uzmanlık Tezi",Başvuru!$A:$A,"&lt;&gt;"&amp;"",Başvuru!$F:$F,"&lt;&gt;"&amp;""))</f>
        <v>0</v>
      </c>
      <c r="H53" s="171">
        <f>IF(C53="","",COUNTIFS(Başvuru!$D:$D,C53,Başvuru!$G:$G,"Doktora Tezi",Başvuru!$A:$A,"&lt;&gt;"&amp;"",Başvuru!$F:$F,"&lt;&gt;"&amp;""))</f>
        <v>0</v>
      </c>
      <c r="I53" s="171">
        <f>IF(C53="","",COUNTIFS(Başvuru!$D:$D,C53,Başvuru!$G:$G,"Yüksek Lisans Tezi",Başvuru!$A:$A,"&lt;&gt;"&amp;"",Başvuru!$F:$F,"&lt;&gt;"&amp;""))</f>
        <v>1</v>
      </c>
      <c r="J53" s="172">
        <f>IF(C53="","",COUNTIFS(Başvuru!$D:$D,C53,Başvuru!$L:$L,"ONAY",Başvuru!$A:$A,"&lt;&gt;"&amp;"",Başvuru!$F:$F,"&lt;&gt;"&amp;""))</f>
        <v>1</v>
      </c>
      <c r="K53" s="173">
        <f>IF(C53="","",COUNTIFS(Başvuru!$D:$D,C53,Başvuru!$L:$L,"DÜZELTME",Başvuru!$A:$A,"&lt;&gt;"&amp;"",Başvuru!$F:$F,"&lt;&gt;"&amp;""))</f>
        <v>1</v>
      </c>
      <c r="L53" s="174">
        <f>IF(C53="","",COUNTIFS(Başvuru!$D:$D,C53,Başvuru!$L:$L,"KAEK",Başvuru!$A:$A,"&lt;&gt;"&amp;"",Başvuru!$F:$F,"&lt;&gt;"&amp;""))</f>
        <v>0</v>
      </c>
      <c r="M53" s="175">
        <f>IF(C53="","",COUNTIFS(Başvuru!$D:$D,C53,Başvuru!$L:$L,"GÖRÜŞ",Başvuru!$A:$A,"&lt;&gt;"&amp;"",Başvuru!$F:$F,"&lt;&gt;"&amp;""))</f>
        <v>0</v>
      </c>
      <c r="N53" s="176">
        <f>IF(C53="","",COUNTIFS(Başvuru!$D:$D,C53,Başvuru!$L:$L,"RET",Başvuru!$A:$A,"&lt;&gt;"&amp;"",Başvuru!$F:$F,"&lt;&gt;"&amp;""))</f>
        <v>0</v>
      </c>
      <c r="O53" s="177">
        <f>IF(C53="","",COUNTIFS(Başvuru!$D:$D,C53,Başvuru!$L:$L,"KAPSAM DIŞI",Başvuru!$A:$A,"&lt;&gt;"&amp;"",Başvuru!$F:$F,"&lt;&gt;"&amp;""))</f>
        <v>0</v>
      </c>
      <c r="P53" s="178">
        <f>IF(C53="","",COUNTIFS(Başvuru!$D:$D,C53,Başvuru!$L:$L,"GERİ ÇEKİLDİ",Başvuru!$A:$A,"&lt;&gt;"&amp;"",Başvuru!$F:$F,"&lt;&gt;"&amp;""))</f>
        <v>0</v>
      </c>
      <c r="Q53" s="166" t="s">
        <v>570</v>
      </c>
      <c r="R53" s="167">
        <f>COUNTIFS(Başvuru!$D:$D,Q53,Başvuru!$A:$A,"&lt;&gt;"&amp;"",Başvuru!$F:$F,"&lt;&gt;"&amp;"")</f>
        <v>7</v>
      </c>
      <c r="S53" s="167">
        <f>RANK(R53,$R$6:$R$86,0)+COUNTIF($R$6:R53,R53)-1</f>
        <v>24</v>
      </c>
    </row>
    <row r="54" spans="2:19" ht="15" customHeight="1" x14ac:dyDescent="0.25">
      <c r="B54" s="155">
        <v>49</v>
      </c>
      <c r="C54" s="156" t="str">
        <f>IFERROR(INDEX($Q$6:$Q$86,MATCH(49,$S$6:$S$86,0)),"")</f>
        <v>Farmasötik Mikrobiyoloji Anabilim Dalı</v>
      </c>
      <c r="D54" s="157">
        <f>IF(C54="","",COUNTIFS(Başvuru!$D:$D,C54,Başvuru!$A:$A,"&lt;&gt;"&amp;"",Başvuru!$F:$F,"&lt;&gt;"&amp;""))</f>
        <v>2</v>
      </c>
      <c r="E54" s="155" t="str">
        <f>IF(C54="","-",IF(D54&gt;0,TEXT(D54/(COUNTIFS(Başvuru!$A:$A,"&lt;&gt;",Başvuru!$F:$F,"&lt;&gt;")-1)*100,"0.0")&amp;"%","-"))</f>
        <v>00%</v>
      </c>
      <c r="F54" s="158">
        <f>IF(C54="","",COUNTIFS(Başvuru!$D:$D,C54,Başvuru!$G:$G,"Bireysel Araştırma",Başvuru!$A:$A,"&lt;&gt;"&amp;"",Başvuru!$F:$F,"&lt;&gt;"&amp;""))</f>
        <v>1</v>
      </c>
      <c r="G54" s="158">
        <f>IF(C54="","",COUNTIFS(Başvuru!$D:$D,C54,Başvuru!$G:$G,"Uzmanlık Tezi",Başvuru!$A:$A,"&lt;&gt;"&amp;"",Başvuru!$F:$F,"&lt;&gt;"&amp;""))</f>
        <v>0</v>
      </c>
      <c r="H54" s="158">
        <f>IF(C54="","",COUNTIFS(Başvuru!$D:$D,C54,Başvuru!$G:$G,"Doktora Tezi",Başvuru!$A:$A,"&lt;&gt;"&amp;"",Başvuru!$F:$F,"&lt;&gt;"&amp;""))</f>
        <v>1</v>
      </c>
      <c r="I54" s="158">
        <f>IF(C54="","",COUNTIFS(Başvuru!$D:$D,C54,Başvuru!$G:$G,"Yüksek Lisans Tezi",Başvuru!$A:$A,"&lt;&gt;"&amp;"",Başvuru!$F:$F,"&lt;&gt;"&amp;""))</f>
        <v>0</v>
      </c>
      <c r="J54" s="159">
        <f>IF(C54="","",COUNTIFS(Başvuru!$D:$D,C54,Başvuru!$L:$L,"ONAY",Başvuru!$A:$A,"&lt;&gt;"&amp;"",Başvuru!$F:$F,"&lt;&gt;"&amp;""))</f>
        <v>0</v>
      </c>
      <c r="K54" s="160">
        <f>IF(C54="","",COUNTIFS(Başvuru!$D:$D,C54,Başvuru!$L:$L,"DÜZELTME",Başvuru!$A:$A,"&lt;&gt;"&amp;"",Başvuru!$F:$F,"&lt;&gt;"&amp;""))</f>
        <v>2</v>
      </c>
      <c r="L54" s="161">
        <f>IF(C54="","",COUNTIFS(Başvuru!$D:$D,C54,Başvuru!$L:$L,"KAEK",Başvuru!$A:$A,"&lt;&gt;"&amp;"",Başvuru!$F:$F,"&lt;&gt;"&amp;""))</f>
        <v>0</v>
      </c>
      <c r="M54" s="162">
        <f>IF(C54="","",COUNTIFS(Başvuru!$D:$D,C54,Başvuru!$L:$L,"GÖRÜŞ",Başvuru!$A:$A,"&lt;&gt;"&amp;"",Başvuru!$F:$F,"&lt;&gt;"&amp;""))</f>
        <v>0</v>
      </c>
      <c r="N54" s="163">
        <f>IF(C54="","",COUNTIFS(Başvuru!$D:$D,C54,Başvuru!$L:$L,"RET",Başvuru!$A:$A,"&lt;&gt;"&amp;"",Başvuru!$F:$F,"&lt;&gt;"&amp;""))</f>
        <v>0</v>
      </c>
      <c r="O54" s="164">
        <f>IF(C54="","",COUNTIFS(Başvuru!$D:$D,C54,Başvuru!$L:$L,"KAPSAM DIŞI",Başvuru!$A:$A,"&lt;&gt;"&amp;"",Başvuru!$F:$F,"&lt;&gt;"&amp;""))</f>
        <v>0</v>
      </c>
      <c r="P54" s="165">
        <f>IF(C54="","",COUNTIFS(Başvuru!$D:$D,C54,Başvuru!$L:$L,"GERİ ÇEKİLDİ",Başvuru!$A:$A,"&lt;&gt;"&amp;"",Başvuru!$F:$F,"&lt;&gt;"&amp;""))</f>
        <v>0</v>
      </c>
      <c r="Q54" s="166" t="s">
        <v>1174</v>
      </c>
      <c r="R54" s="167">
        <f>COUNTIFS(Başvuru!$D:$D,Q54,Başvuru!$A:$A,"&lt;&gt;"&amp;"",Başvuru!$F:$F,"&lt;&gt;"&amp;"")</f>
        <v>6</v>
      </c>
      <c r="S54" s="167">
        <f>RANK(R54,$R$6:$R$86,0)+COUNTIF($R$6:R54,R54)-1</f>
        <v>28</v>
      </c>
    </row>
    <row r="55" spans="2:19" ht="15" customHeight="1" x14ac:dyDescent="0.25">
      <c r="B55" s="168">
        <v>50</v>
      </c>
      <c r="C55" s="169" t="str">
        <f>IFERROR(INDEX($Q$6:$Q$86,MATCH(50,$S$6:$S$86,0)),"")</f>
        <v>Farmasötik Toksikoloji Anabilim Dalı</v>
      </c>
      <c r="D55" s="170">
        <f>IF(C55="","",COUNTIFS(Başvuru!$D:$D,C55,Başvuru!$A:$A,"&lt;&gt;"&amp;"",Başvuru!$F:$F,"&lt;&gt;"&amp;""))</f>
        <v>2</v>
      </c>
      <c r="E55" s="168" t="str">
        <f>IF(C55="","-",IF(D55&gt;0,TEXT(D55/(COUNTIFS(Başvuru!$A:$A,"&lt;&gt;",Başvuru!$F:$F,"&lt;&gt;")-1)*100,"0.0")&amp;"%","-"))</f>
        <v>00%</v>
      </c>
      <c r="F55" s="171">
        <f>IF(C55="","",COUNTIFS(Başvuru!$D:$D,C55,Başvuru!$G:$G,"Bireysel Araştırma",Başvuru!$A:$A,"&lt;&gt;"&amp;"",Başvuru!$F:$F,"&lt;&gt;"&amp;""))</f>
        <v>1</v>
      </c>
      <c r="G55" s="171">
        <f>IF(C55="","",COUNTIFS(Başvuru!$D:$D,C55,Başvuru!$G:$G,"Uzmanlık Tezi",Başvuru!$A:$A,"&lt;&gt;"&amp;"",Başvuru!$F:$F,"&lt;&gt;"&amp;""))</f>
        <v>0</v>
      </c>
      <c r="H55" s="171">
        <f>IF(C55="","",COUNTIFS(Başvuru!$D:$D,C55,Başvuru!$G:$G,"Doktora Tezi",Başvuru!$A:$A,"&lt;&gt;"&amp;"",Başvuru!$F:$F,"&lt;&gt;"&amp;""))</f>
        <v>1</v>
      </c>
      <c r="I55" s="171">
        <f>IF(C55="","",COUNTIFS(Başvuru!$D:$D,C55,Başvuru!$G:$G,"Yüksek Lisans Tezi",Başvuru!$A:$A,"&lt;&gt;"&amp;"",Başvuru!$F:$F,"&lt;&gt;"&amp;""))</f>
        <v>0</v>
      </c>
      <c r="J55" s="172">
        <f>IF(C55="","",COUNTIFS(Başvuru!$D:$D,C55,Başvuru!$L:$L,"ONAY",Başvuru!$A:$A,"&lt;&gt;"&amp;"",Başvuru!$F:$F,"&lt;&gt;"&amp;""))</f>
        <v>0</v>
      </c>
      <c r="K55" s="173">
        <f>IF(C55="","",COUNTIFS(Başvuru!$D:$D,C55,Başvuru!$L:$L,"DÜZELTME",Başvuru!$A:$A,"&lt;&gt;"&amp;"",Başvuru!$F:$F,"&lt;&gt;"&amp;""))</f>
        <v>1</v>
      </c>
      <c r="L55" s="174">
        <f>IF(C55="","",COUNTIFS(Başvuru!$D:$D,C55,Başvuru!$L:$L,"KAEK",Başvuru!$A:$A,"&lt;&gt;"&amp;"",Başvuru!$F:$F,"&lt;&gt;"&amp;""))</f>
        <v>0</v>
      </c>
      <c r="M55" s="175">
        <f>IF(C55="","",COUNTIFS(Başvuru!$D:$D,C55,Başvuru!$L:$L,"GÖRÜŞ",Başvuru!$A:$A,"&lt;&gt;"&amp;"",Başvuru!$F:$F,"&lt;&gt;"&amp;""))</f>
        <v>1</v>
      </c>
      <c r="N55" s="176">
        <f>IF(C55="","",COUNTIFS(Başvuru!$D:$D,C55,Başvuru!$L:$L,"RET",Başvuru!$A:$A,"&lt;&gt;"&amp;"",Başvuru!$F:$F,"&lt;&gt;"&amp;""))</f>
        <v>0</v>
      </c>
      <c r="O55" s="177">
        <f>IF(C55="","",COUNTIFS(Başvuru!$D:$D,C55,Başvuru!$L:$L,"KAPSAM DIŞI",Başvuru!$A:$A,"&lt;&gt;"&amp;"",Başvuru!$F:$F,"&lt;&gt;"&amp;""))</f>
        <v>0</v>
      </c>
      <c r="P55" s="178">
        <f>IF(C55="","",COUNTIFS(Başvuru!$D:$D,C55,Başvuru!$L:$L,"GERİ ÇEKİLDİ",Başvuru!$A:$A,"&lt;&gt;"&amp;"",Başvuru!$F:$F,"&lt;&gt;"&amp;""))</f>
        <v>0</v>
      </c>
      <c r="Q55" s="166" t="s">
        <v>445</v>
      </c>
      <c r="R55" s="167">
        <f>COUNTIFS(Başvuru!$D:$D,Q55,Başvuru!$A:$A,"&lt;&gt;"&amp;"",Başvuru!$F:$F,"&lt;&gt;"&amp;"")</f>
        <v>6</v>
      </c>
      <c r="S55" s="167">
        <f>RANK(R55,$R$6:$R$86,0)+COUNTIF($R$6:R55,R55)-1</f>
        <v>29</v>
      </c>
    </row>
    <row r="56" spans="2:19" ht="15" customHeight="1" x14ac:dyDescent="0.25">
      <c r="B56" s="155">
        <v>51</v>
      </c>
      <c r="C56" s="181" t="str">
        <f>IFERROR(INDEX($Q$6:$Q$86,MATCH(51,$S$6:$S$86,0)),"")</f>
        <v>Fizyoloji Anabilim Dalı</v>
      </c>
      <c r="D56" s="157">
        <f>IF(C56="","",COUNTIFS(Başvuru!$D:$D,C56,Başvuru!$A:$A,"&lt;&gt;"&amp;"",Başvuru!$F:$F,"&lt;&gt;"&amp;""))</f>
        <v>2</v>
      </c>
      <c r="E56" s="155" t="str">
        <f>IF(C56="","-",IF(D56&gt;0,TEXT(D56/(COUNTIFS(Başvuru!$A:$A,"&lt;&gt;",Başvuru!$F:$F,"&lt;&gt;")-1)*100,"0.0")&amp;"%","-"))</f>
        <v>00%</v>
      </c>
      <c r="F56" s="158">
        <f>IF(C56="","",COUNTIFS(Başvuru!$D:$D,C56,Başvuru!$G:$G,"Bireysel Araştırma",Başvuru!$A:$A,"&lt;&gt;"&amp;"",Başvuru!$F:$F,"&lt;&gt;"&amp;""))</f>
        <v>2</v>
      </c>
      <c r="G56" s="158">
        <f>IF(C56="","",COUNTIFS(Başvuru!$D:$D,C56,Başvuru!$G:$G,"Uzmanlık Tezi",Başvuru!$A:$A,"&lt;&gt;"&amp;"",Başvuru!$F:$F,"&lt;&gt;"&amp;""))</f>
        <v>0</v>
      </c>
      <c r="H56" s="158">
        <f>IF(C56="","",COUNTIFS(Başvuru!$D:$D,C56,Başvuru!$G:$G,"Doktora Tezi",Başvuru!$A:$A,"&lt;&gt;"&amp;"",Başvuru!$F:$F,"&lt;&gt;"&amp;""))</f>
        <v>0</v>
      </c>
      <c r="I56" s="158">
        <f>IF(C56="","",COUNTIFS(Başvuru!$D:$D,C56,Başvuru!$G:$G,"Yüksek Lisans Tezi",Başvuru!$A:$A,"&lt;&gt;"&amp;"",Başvuru!$F:$F,"&lt;&gt;"&amp;""))</f>
        <v>0</v>
      </c>
      <c r="J56" s="159">
        <f>IF(C56="","",COUNTIFS(Başvuru!$D:$D,C56,Başvuru!$L:$L,"ONAY",Başvuru!$A:$A,"&lt;&gt;"&amp;"",Başvuru!$F:$F,"&lt;&gt;"&amp;""))</f>
        <v>0</v>
      </c>
      <c r="K56" s="160">
        <f>IF(C56="","",COUNTIFS(Başvuru!$D:$D,C56,Başvuru!$L:$L,"DÜZELTME",Başvuru!$A:$A,"&lt;&gt;"&amp;"",Başvuru!$F:$F,"&lt;&gt;"&amp;""))</f>
        <v>2</v>
      </c>
      <c r="L56" s="161">
        <f>IF(C56="","",COUNTIFS(Başvuru!$D:$D,C56,Başvuru!$L:$L,"KAEK",Başvuru!$A:$A,"&lt;&gt;"&amp;"",Başvuru!$F:$F,"&lt;&gt;"&amp;""))</f>
        <v>0</v>
      </c>
      <c r="M56" s="162">
        <f>IF(C56="","",COUNTIFS(Başvuru!$D:$D,C56,Başvuru!$L:$L,"GÖRÜŞ",Başvuru!$A:$A,"&lt;&gt;"&amp;"",Başvuru!$F:$F,"&lt;&gt;"&amp;""))</f>
        <v>0</v>
      </c>
      <c r="N56" s="163">
        <f>IF(C56="","",COUNTIFS(Başvuru!$D:$D,C56,Başvuru!$L:$L,"RET",Başvuru!$A:$A,"&lt;&gt;"&amp;"",Başvuru!$F:$F,"&lt;&gt;"&amp;""))</f>
        <v>0</v>
      </c>
      <c r="O56" s="164">
        <f>IF(C56="","",COUNTIFS(Başvuru!$D:$D,C56,Başvuru!$L:$L,"KAPSAM DIŞI",Başvuru!$A:$A,"&lt;&gt;"&amp;"",Başvuru!$F:$F,"&lt;&gt;"&amp;""))</f>
        <v>0</v>
      </c>
      <c r="P56" s="165">
        <f>IF(C56="","",COUNTIFS(Başvuru!$D:$D,C56,Başvuru!$L:$L,"GERİ ÇEKİLDİ",Başvuru!$A:$A,"&lt;&gt;"&amp;"",Başvuru!$F:$F,"&lt;&gt;"&amp;""))</f>
        <v>0</v>
      </c>
      <c r="Q56" s="166" t="s">
        <v>82</v>
      </c>
      <c r="R56" s="167">
        <f>COUNTIFS(Başvuru!$D:$D,Q56,Başvuru!$A:$A,"&lt;&gt;"&amp;"",Başvuru!$F:$F,"&lt;&gt;"&amp;"")</f>
        <v>22</v>
      </c>
      <c r="S56" s="167">
        <f>RANK(R56,$R$6:$R$86,0)+COUNTIF($R$6:R56,R56)-1</f>
        <v>4</v>
      </c>
    </row>
    <row r="57" spans="2:19" ht="15" customHeight="1" x14ac:dyDescent="0.25">
      <c r="B57" s="168">
        <v>52</v>
      </c>
      <c r="C57" s="180" t="str">
        <f>IFERROR(INDEX($Q$6:$Q$86,MATCH(52,$S$6:$S$86,0)),"")</f>
        <v>Gülhane Sağlık Bilimleri Üniversitesi
Hemşirelik Fakültesi
Doğum ve Kadın Hastalıkları Hemşireliği Anabilim Dalı</v>
      </c>
      <c r="D57" s="170">
        <f>IF(C57="","",COUNTIFS(Başvuru!$D:$D,C57,Başvuru!$A:$A,"&lt;&gt;"&amp;"",Başvuru!$F:$F,"&lt;&gt;"&amp;""))</f>
        <v>2</v>
      </c>
      <c r="E57" s="168" t="str">
        <f>IF(C57="","-",IF(D57&gt;0,TEXT(D57/(COUNTIFS(Başvuru!$A:$A,"&lt;&gt;",Başvuru!$F:$F,"&lt;&gt;")-1)*100,"0.0")&amp;"%","-"))</f>
        <v>00%</v>
      </c>
      <c r="F57" s="171">
        <f>IF(C57="","",COUNTIFS(Başvuru!$D:$D,C57,Başvuru!$G:$G,"Bireysel Araştırma",Başvuru!$A:$A,"&lt;&gt;"&amp;"",Başvuru!$F:$F,"&lt;&gt;"&amp;""))</f>
        <v>2</v>
      </c>
      <c r="G57" s="171">
        <f>IF(C57="","",COUNTIFS(Başvuru!$D:$D,C57,Başvuru!$G:$G,"Uzmanlık Tezi",Başvuru!$A:$A,"&lt;&gt;"&amp;"",Başvuru!$F:$F,"&lt;&gt;"&amp;""))</f>
        <v>0</v>
      </c>
      <c r="H57" s="171">
        <f>IF(C57="","",COUNTIFS(Başvuru!$D:$D,C57,Başvuru!$G:$G,"Doktora Tezi",Başvuru!$A:$A,"&lt;&gt;"&amp;"",Başvuru!$F:$F,"&lt;&gt;"&amp;""))</f>
        <v>0</v>
      </c>
      <c r="I57" s="171">
        <f>IF(C57="","",COUNTIFS(Başvuru!$D:$D,C57,Başvuru!$G:$G,"Yüksek Lisans Tezi",Başvuru!$A:$A,"&lt;&gt;"&amp;"",Başvuru!$F:$F,"&lt;&gt;"&amp;""))</f>
        <v>0</v>
      </c>
      <c r="J57" s="172">
        <f>IF(C57="","",COUNTIFS(Başvuru!$D:$D,C57,Başvuru!$L:$L,"ONAY",Başvuru!$A:$A,"&lt;&gt;"&amp;"",Başvuru!$F:$F,"&lt;&gt;"&amp;""))</f>
        <v>1</v>
      </c>
      <c r="K57" s="173">
        <f>IF(C57="","",COUNTIFS(Başvuru!$D:$D,C57,Başvuru!$L:$L,"DÜZELTME",Başvuru!$A:$A,"&lt;&gt;"&amp;"",Başvuru!$F:$F,"&lt;&gt;"&amp;""))</f>
        <v>1</v>
      </c>
      <c r="L57" s="174">
        <f>IF(C57="","",COUNTIFS(Başvuru!$D:$D,C57,Başvuru!$L:$L,"KAEK",Başvuru!$A:$A,"&lt;&gt;"&amp;"",Başvuru!$F:$F,"&lt;&gt;"&amp;""))</f>
        <v>0</v>
      </c>
      <c r="M57" s="175">
        <f>IF(C57="","",COUNTIFS(Başvuru!$D:$D,C57,Başvuru!$L:$L,"GÖRÜŞ",Başvuru!$A:$A,"&lt;&gt;"&amp;"",Başvuru!$F:$F,"&lt;&gt;"&amp;""))</f>
        <v>0</v>
      </c>
      <c r="N57" s="176">
        <f>IF(C57="","",COUNTIFS(Başvuru!$D:$D,C57,Başvuru!$L:$L,"RET",Başvuru!$A:$A,"&lt;&gt;"&amp;"",Başvuru!$F:$F,"&lt;&gt;"&amp;""))</f>
        <v>0</v>
      </c>
      <c r="O57" s="177">
        <f>IF(C57="","",COUNTIFS(Başvuru!$D:$D,C57,Başvuru!$L:$L,"KAPSAM DIŞI",Başvuru!$A:$A,"&lt;&gt;"&amp;"",Başvuru!$F:$F,"&lt;&gt;"&amp;""))</f>
        <v>0</v>
      </c>
      <c r="P57" s="178">
        <f>IF(C57="","",COUNTIFS(Başvuru!$D:$D,C57,Başvuru!$L:$L,"GERİ ÇEKİLDİ",Başvuru!$A:$A,"&lt;&gt;"&amp;"",Başvuru!$F:$F,"&lt;&gt;"&amp;""))</f>
        <v>0</v>
      </c>
      <c r="Q57" s="166" t="s">
        <v>1022</v>
      </c>
      <c r="R57" s="167">
        <f>COUNTIFS(Başvuru!$D:$D,Q57,Başvuru!$A:$A,"&lt;&gt;"&amp;"",Başvuru!$F:$F,"&lt;&gt;"&amp;"")</f>
        <v>3</v>
      </c>
      <c r="S57" s="167">
        <f>RANK(R57,$R$6:$R$86,0)+COUNTIF($R$6:R57,R57)-1</f>
        <v>42</v>
      </c>
    </row>
    <row r="58" spans="2:19" ht="15" customHeight="1" x14ac:dyDescent="0.25">
      <c r="B58" s="155">
        <v>53</v>
      </c>
      <c r="C58" s="181" t="str">
        <f>IFERROR(INDEX($Q$6:$Q$86,MATCH(53,$S$6:$S$86,0)),"")</f>
        <v>Gıda Bilimleri Anabilim Dalı</v>
      </c>
      <c r="D58" s="157">
        <f>IF(C58="","",COUNTIFS(Başvuru!$D:$D,C58,Başvuru!$A:$A,"&lt;&gt;"&amp;"",Başvuru!$F:$F,"&lt;&gt;"&amp;""))</f>
        <v>2</v>
      </c>
      <c r="E58" s="155" t="str">
        <f>IF(C58="","-",IF(D58&gt;0,TEXT(D58/(COUNTIFS(Başvuru!$A:$A,"&lt;&gt;",Başvuru!$F:$F,"&lt;&gt;")-1)*100,"0.0")&amp;"%","-"))</f>
        <v>00%</v>
      </c>
      <c r="F58" s="158">
        <f>IF(C58="","",COUNTIFS(Başvuru!$D:$D,C58,Başvuru!$G:$G,"Bireysel Araştırma",Başvuru!$A:$A,"&lt;&gt;"&amp;"",Başvuru!$F:$F,"&lt;&gt;"&amp;""))</f>
        <v>1</v>
      </c>
      <c r="G58" s="158">
        <f>IF(C58="","",COUNTIFS(Başvuru!$D:$D,C58,Başvuru!$G:$G,"Uzmanlık Tezi",Başvuru!$A:$A,"&lt;&gt;"&amp;"",Başvuru!$F:$F,"&lt;&gt;"&amp;""))</f>
        <v>0</v>
      </c>
      <c r="H58" s="158">
        <f>IF(C58="","",COUNTIFS(Başvuru!$D:$D,C58,Başvuru!$G:$G,"Doktora Tezi",Başvuru!$A:$A,"&lt;&gt;"&amp;"",Başvuru!$F:$F,"&lt;&gt;"&amp;""))</f>
        <v>0</v>
      </c>
      <c r="I58" s="158">
        <f>IF(C58="","",COUNTIFS(Başvuru!$D:$D,C58,Başvuru!$G:$G,"Yüksek Lisans Tezi",Başvuru!$A:$A,"&lt;&gt;"&amp;"",Başvuru!$F:$F,"&lt;&gt;"&amp;""))</f>
        <v>1</v>
      </c>
      <c r="J58" s="159">
        <f>IF(C58="","",COUNTIFS(Başvuru!$D:$D,C58,Başvuru!$L:$L,"ONAY",Başvuru!$A:$A,"&lt;&gt;"&amp;"",Başvuru!$F:$F,"&lt;&gt;"&amp;""))</f>
        <v>1</v>
      </c>
      <c r="K58" s="160">
        <f>IF(C58="","",COUNTIFS(Başvuru!$D:$D,C58,Başvuru!$L:$L,"DÜZELTME",Başvuru!$A:$A,"&lt;&gt;"&amp;"",Başvuru!$F:$F,"&lt;&gt;"&amp;""))</f>
        <v>1</v>
      </c>
      <c r="L58" s="161">
        <f>IF(C58="","",COUNTIFS(Başvuru!$D:$D,C58,Başvuru!$L:$L,"KAEK",Başvuru!$A:$A,"&lt;&gt;"&amp;"",Başvuru!$F:$F,"&lt;&gt;"&amp;""))</f>
        <v>0</v>
      </c>
      <c r="M58" s="162">
        <f>IF(C58="","",COUNTIFS(Başvuru!$D:$D,C58,Başvuru!$L:$L,"GÖRÜŞ",Başvuru!$A:$A,"&lt;&gt;"&amp;"",Başvuru!$F:$F,"&lt;&gt;"&amp;""))</f>
        <v>0</v>
      </c>
      <c r="N58" s="163">
        <f>IF(C58="","",COUNTIFS(Başvuru!$D:$D,C58,Başvuru!$L:$L,"RET",Başvuru!$A:$A,"&lt;&gt;"&amp;"",Başvuru!$F:$F,"&lt;&gt;"&amp;""))</f>
        <v>0</v>
      </c>
      <c r="O58" s="164">
        <f>IF(C58="","",COUNTIFS(Başvuru!$D:$D,C58,Başvuru!$L:$L,"KAPSAM DIŞI",Başvuru!$A:$A,"&lt;&gt;"&amp;"",Başvuru!$F:$F,"&lt;&gt;"&amp;""))</f>
        <v>0</v>
      </c>
      <c r="P58" s="165">
        <f>IF(C58="","",COUNTIFS(Başvuru!$D:$D,C58,Başvuru!$L:$L,"GERİ ÇEKİLDİ",Başvuru!$A:$A,"&lt;&gt;"&amp;"",Başvuru!$F:$F,"&lt;&gt;"&amp;""))</f>
        <v>0</v>
      </c>
      <c r="Q58" s="166" t="s">
        <v>461</v>
      </c>
      <c r="R58" s="167">
        <f>COUNTIFS(Başvuru!$D:$D,Q58,Başvuru!$A:$A,"&lt;&gt;"&amp;"",Başvuru!$F:$F,"&lt;&gt;"&amp;"")</f>
        <v>6</v>
      </c>
      <c r="S58" s="167">
        <f>RANK(R58,$R$6:$R$86,0)+COUNTIF($R$6:R58,R58)-1</f>
        <v>30</v>
      </c>
    </row>
    <row r="59" spans="2:19" ht="15" customHeight="1" x14ac:dyDescent="0.25">
      <c r="B59" s="168">
        <v>54</v>
      </c>
      <c r="C59" s="180" t="str">
        <f>IFERROR(INDEX($Q$6:$Q$86,MATCH(54,$S$6:$S$86,0)),"")</f>
        <v>Lokman Hekim Üniversitesi
Sağlık Hizmetleri Meslek Yüksekokulu</v>
      </c>
      <c r="D59" s="170">
        <f>IF(C59="","",COUNTIFS(Başvuru!$D:$D,C59,Başvuru!$A:$A,"&lt;&gt;"&amp;"",Başvuru!$F:$F,"&lt;&gt;"&amp;""))</f>
        <v>2</v>
      </c>
      <c r="E59" s="168" t="str">
        <f>IF(C59="","-",IF(D59&gt;0,TEXT(D59/(COUNTIFS(Başvuru!$A:$A,"&lt;&gt;",Başvuru!$F:$F,"&lt;&gt;")-1)*100,"0.0")&amp;"%","-"))</f>
        <v>00%</v>
      </c>
      <c r="F59" s="171">
        <f>IF(C59="","",COUNTIFS(Başvuru!$D:$D,C59,Başvuru!$G:$G,"Bireysel Araştırma",Başvuru!$A:$A,"&lt;&gt;"&amp;"",Başvuru!$F:$F,"&lt;&gt;"&amp;""))</f>
        <v>0</v>
      </c>
      <c r="G59" s="171">
        <f>IF(C59="","",COUNTIFS(Başvuru!$D:$D,C59,Başvuru!$G:$G,"Uzmanlık Tezi",Başvuru!$A:$A,"&lt;&gt;"&amp;"",Başvuru!$F:$F,"&lt;&gt;"&amp;""))</f>
        <v>0</v>
      </c>
      <c r="H59" s="171">
        <f>IF(C59="","",COUNTIFS(Başvuru!$D:$D,C59,Başvuru!$G:$G,"Doktora Tezi",Başvuru!$A:$A,"&lt;&gt;"&amp;"",Başvuru!$F:$F,"&lt;&gt;"&amp;""))</f>
        <v>1</v>
      </c>
      <c r="I59" s="171">
        <f>IF(C59="","",COUNTIFS(Başvuru!$D:$D,C59,Başvuru!$G:$G,"Yüksek Lisans Tezi",Başvuru!$A:$A,"&lt;&gt;"&amp;"",Başvuru!$F:$F,"&lt;&gt;"&amp;""))</f>
        <v>1</v>
      </c>
      <c r="J59" s="172">
        <f>IF(C59="","",COUNTIFS(Başvuru!$D:$D,C59,Başvuru!$L:$L,"ONAY",Başvuru!$A:$A,"&lt;&gt;"&amp;"",Başvuru!$F:$F,"&lt;&gt;"&amp;""))</f>
        <v>0</v>
      </c>
      <c r="K59" s="173">
        <f>IF(C59="","",COUNTIFS(Başvuru!$D:$D,C59,Başvuru!$L:$L,"DÜZELTME",Başvuru!$A:$A,"&lt;&gt;"&amp;"",Başvuru!$F:$F,"&lt;&gt;"&amp;""))</f>
        <v>1</v>
      </c>
      <c r="L59" s="174">
        <f>IF(C59="","",COUNTIFS(Başvuru!$D:$D,C59,Başvuru!$L:$L,"KAEK",Başvuru!$A:$A,"&lt;&gt;"&amp;"",Başvuru!$F:$F,"&lt;&gt;"&amp;""))</f>
        <v>0</v>
      </c>
      <c r="M59" s="175">
        <f>IF(C59="","",COUNTIFS(Başvuru!$D:$D,C59,Başvuru!$L:$L,"GÖRÜŞ",Başvuru!$A:$A,"&lt;&gt;"&amp;"",Başvuru!$F:$F,"&lt;&gt;"&amp;""))</f>
        <v>0</v>
      </c>
      <c r="N59" s="176">
        <f>IF(C59="","",COUNTIFS(Başvuru!$D:$D,C59,Başvuru!$L:$L,"RET",Başvuru!$A:$A,"&lt;&gt;"&amp;"",Başvuru!$F:$F,"&lt;&gt;"&amp;""))</f>
        <v>1</v>
      </c>
      <c r="O59" s="177">
        <f>IF(C59="","",COUNTIFS(Başvuru!$D:$D,C59,Başvuru!$L:$L,"KAPSAM DIŞI",Başvuru!$A:$A,"&lt;&gt;"&amp;"",Başvuru!$F:$F,"&lt;&gt;"&amp;""))</f>
        <v>0</v>
      </c>
      <c r="P59" s="178">
        <f>IF(C59="","",COUNTIFS(Başvuru!$D:$D,C59,Başvuru!$L:$L,"GERİ ÇEKİLDİ",Başvuru!$A:$A,"&lt;&gt;"&amp;"",Başvuru!$F:$F,"&lt;&gt;"&amp;""))</f>
        <v>0</v>
      </c>
      <c r="Q59" s="166" t="s">
        <v>384</v>
      </c>
      <c r="R59" s="167">
        <f>COUNTIFS(Başvuru!$D:$D,Q59,Başvuru!$A:$A,"&lt;&gt;"&amp;"",Başvuru!$F:$F,"&lt;&gt;"&amp;"")</f>
        <v>1</v>
      </c>
      <c r="S59" s="167">
        <f>RANK(R59,$R$6:$R$86,0)+COUNTIF($R$6:R59,R59)-1</f>
        <v>66</v>
      </c>
    </row>
    <row r="60" spans="2:19" ht="15" customHeight="1" x14ac:dyDescent="0.25">
      <c r="B60" s="155">
        <v>55</v>
      </c>
      <c r="C60" s="156" t="str">
        <f>IFERROR(INDEX($Q$6:$Q$86,MATCH(55,$S$6:$S$86,0)),"")</f>
        <v>Tıbbi Mikrobiyoloji Anabilim Dalı</v>
      </c>
      <c r="D60" s="157">
        <f>IF(C60="","",COUNTIFS(Başvuru!$D:$D,C60,Başvuru!$A:$A,"&lt;&gt;"&amp;"",Başvuru!$F:$F,"&lt;&gt;"&amp;""))</f>
        <v>2</v>
      </c>
      <c r="E60" s="155" t="str">
        <f>IF(C60="","-",IF(D60&gt;0,TEXT(D60/(COUNTIFS(Başvuru!$A:$A,"&lt;&gt;",Başvuru!$F:$F,"&lt;&gt;")-1)*100,"0.0")&amp;"%","-"))</f>
        <v>00%</v>
      </c>
      <c r="F60" s="158">
        <f>IF(C60="","",COUNTIFS(Başvuru!$D:$D,C60,Başvuru!$G:$G,"Bireysel Araştırma",Başvuru!$A:$A,"&lt;&gt;"&amp;"",Başvuru!$F:$F,"&lt;&gt;"&amp;""))</f>
        <v>1</v>
      </c>
      <c r="G60" s="158">
        <f>IF(C60="","",COUNTIFS(Başvuru!$D:$D,C60,Başvuru!$G:$G,"Uzmanlık Tezi",Başvuru!$A:$A,"&lt;&gt;"&amp;"",Başvuru!$F:$F,"&lt;&gt;"&amp;""))</f>
        <v>0</v>
      </c>
      <c r="H60" s="158">
        <f>IF(C60="","",COUNTIFS(Başvuru!$D:$D,C60,Başvuru!$G:$G,"Doktora Tezi",Başvuru!$A:$A,"&lt;&gt;"&amp;"",Başvuru!$F:$F,"&lt;&gt;"&amp;""))</f>
        <v>1</v>
      </c>
      <c r="I60" s="158">
        <f>IF(C60="","",COUNTIFS(Başvuru!$D:$D,C60,Başvuru!$G:$G,"Yüksek Lisans Tezi",Başvuru!$A:$A,"&lt;&gt;"&amp;"",Başvuru!$F:$F,"&lt;&gt;"&amp;""))</f>
        <v>0</v>
      </c>
      <c r="J60" s="159">
        <f>IF(C60="","",COUNTIFS(Başvuru!$D:$D,C60,Başvuru!$L:$L,"ONAY",Başvuru!$A:$A,"&lt;&gt;"&amp;"",Başvuru!$F:$F,"&lt;&gt;"&amp;""))</f>
        <v>1</v>
      </c>
      <c r="K60" s="160">
        <f>IF(C60="","",COUNTIFS(Başvuru!$D:$D,C60,Başvuru!$L:$L,"DÜZELTME",Başvuru!$A:$A,"&lt;&gt;"&amp;"",Başvuru!$F:$F,"&lt;&gt;"&amp;""))</f>
        <v>1</v>
      </c>
      <c r="L60" s="161">
        <f>IF(C60="","",COUNTIFS(Başvuru!$D:$D,C60,Başvuru!$L:$L,"KAEK",Başvuru!$A:$A,"&lt;&gt;"&amp;"",Başvuru!$F:$F,"&lt;&gt;"&amp;""))</f>
        <v>0</v>
      </c>
      <c r="M60" s="162">
        <f>IF(C60="","",COUNTIFS(Başvuru!$D:$D,C60,Başvuru!$L:$L,"GÖRÜŞ",Başvuru!$A:$A,"&lt;&gt;"&amp;"",Başvuru!$F:$F,"&lt;&gt;"&amp;""))</f>
        <v>0</v>
      </c>
      <c r="N60" s="163">
        <f>IF(C60="","",COUNTIFS(Başvuru!$D:$D,C60,Başvuru!$L:$L,"RET",Başvuru!$A:$A,"&lt;&gt;"&amp;"",Başvuru!$F:$F,"&lt;&gt;"&amp;""))</f>
        <v>0</v>
      </c>
      <c r="O60" s="164">
        <f>IF(C60="","",COUNTIFS(Başvuru!$D:$D,C60,Başvuru!$L:$L,"KAPSAM DIŞI",Başvuru!$A:$A,"&lt;&gt;"&amp;"",Başvuru!$F:$F,"&lt;&gt;"&amp;""))</f>
        <v>0</v>
      </c>
      <c r="P60" s="165">
        <f>IF(C60="","",COUNTIFS(Başvuru!$D:$D,C60,Başvuru!$L:$L,"GERİ ÇEKİLDİ",Başvuru!$A:$A,"&lt;&gt;"&amp;"",Başvuru!$F:$F,"&lt;&gt;"&amp;""))</f>
        <v>0</v>
      </c>
      <c r="Q60" s="166" t="s">
        <v>64</v>
      </c>
      <c r="R60" s="167">
        <f>COUNTIFS(Başvuru!$D:$D,Q60,Başvuru!$A:$A,"&lt;&gt;"&amp;"",Başvuru!$F:$F,"&lt;&gt;"&amp;"")</f>
        <v>1</v>
      </c>
      <c r="S60" s="167">
        <f>RANK(R60,$R$6:$R$86,0)+COUNTIF($R$6:R60,R60)-1</f>
        <v>67</v>
      </c>
    </row>
    <row r="61" spans="2:19" ht="15" customHeight="1" x14ac:dyDescent="0.25">
      <c r="B61" s="168">
        <v>56</v>
      </c>
      <c r="C61" s="180" t="str">
        <f>IFERROR(INDEX($Q$6:$Q$86,MATCH(56,$S$6:$S$86,0)),"")</f>
        <v>Amasya Üniversitesi
Hemşirelik Fakültesi
İç Hastalıkları Hemşireliği Anabilim Dalı</v>
      </c>
      <c r="D61" s="170">
        <f>IF(C61="","",COUNTIFS(Başvuru!$D:$D,C61,Başvuru!$A:$A,"&lt;&gt;"&amp;"",Başvuru!$F:$F,"&lt;&gt;"&amp;""))</f>
        <v>1</v>
      </c>
      <c r="E61" s="168" t="str">
        <f>IF(C61="","-",IF(D61&gt;0,TEXT(D61/(COUNTIFS(Başvuru!$A:$A,"&lt;&gt;",Başvuru!$F:$F,"&lt;&gt;")-1)*100,"0.0")&amp;"%","-"))</f>
        <v>00%</v>
      </c>
      <c r="F61" s="171">
        <f>IF(C61="","",COUNTIFS(Başvuru!$D:$D,C61,Başvuru!$G:$G,"Bireysel Araştırma",Başvuru!$A:$A,"&lt;&gt;"&amp;"",Başvuru!$F:$F,"&lt;&gt;"&amp;""))</f>
        <v>0</v>
      </c>
      <c r="G61" s="171">
        <f>IF(C61="","",COUNTIFS(Başvuru!$D:$D,C61,Başvuru!$G:$G,"Uzmanlık Tezi",Başvuru!$A:$A,"&lt;&gt;"&amp;"",Başvuru!$F:$F,"&lt;&gt;"&amp;""))</f>
        <v>0</v>
      </c>
      <c r="H61" s="171">
        <f>IF(C61="","",COUNTIFS(Başvuru!$D:$D,C61,Başvuru!$G:$G,"Doktora Tezi",Başvuru!$A:$A,"&lt;&gt;"&amp;"",Başvuru!$F:$F,"&lt;&gt;"&amp;""))</f>
        <v>0</v>
      </c>
      <c r="I61" s="171">
        <f>IF(C61="","",COUNTIFS(Başvuru!$D:$D,C61,Başvuru!$G:$G,"Yüksek Lisans Tezi",Başvuru!$A:$A,"&lt;&gt;"&amp;"",Başvuru!$F:$F,"&lt;&gt;"&amp;""))</f>
        <v>1</v>
      </c>
      <c r="J61" s="172">
        <f>IF(C61="","",COUNTIFS(Başvuru!$D:$D,C61,Başvuru!$L:$L,"ONAY",Başvuru!$A:$A,"&lt;&gt;"&amp;"",Başvuru!$F:$F,"&lt;&gt;"&amp;""))</f>
        <v>0</v>
      </c>
      <c r="K61" s="173">
        <f>IF(C61="","",COUNTIFS(Başvuru!$D:$D,C61,Başvuru!$L:$L,"DÜZELTME",Başvuru!$A:$A,"&lt;&gt;"&amp;"",Başvuru!$F:$F,"&lt;&gt;"&amp;""))</f>
        <v>0</v>
      </c>
      <c r="L61" s="174">
        <f>IF(C61="","",COUNTIFS(Başvuru!$D:$D,C61,Başvuru!$L:$L,"KAEK",Başvuru!$A:$A,"&lt;&gt;"&amp;"",Başvuru!$F:$F,"&lt;&gt;"&amp;""))</f>
        <v>1</v>
      </c>
      <c r="M61" s="175">
        <f>IF(C61="","",COUNTIFS(Başvuru!$D:$D,C61,Başvuru!$L:$L,"GÖRÜŞ",Başvuru!$A:$A,"&lt;&gt;"&amp;"",Başvuru!$F:$F,"&lt;&gt;"&amp;""))</f>
        <v>0</v>
      </c>
      <c r="N61" s="176">
        <f>IF(C61="","",COUNTIFS(Başvuru!$D:$D,C61,Başvuru!$L:$L,"RET",Başvuru!$A:$A,"&lt;&gt;"&amp;"",Başvuru!$F:$F,"&lt;&gt;"&amp;""))</f>
        <v>0</v>
      </c>
      <c r="O61" s="177">
        <f>IF(C61="","",COUNTIFS(Başvuru!$D:$D,C61,Başvuru!$L:$L,"KAPSAM DIŞI",Başvuru!$A:$A,"&lt;&gt;"&amp;"",Başvuru!$F:$F,"&lt;&gt;"&amp;""))</f>
        <v>0</v>
      </c>
      <c r="P61" s="178">
        <f>IF(C61="","",COUNTIFS(Başvuru!$D:$D,C61,Başvuru!$L:$L,"GERİ ÇEKİLDİ",Başvuru!$A:$A,"&lt;&gt;"&amp;"",Başvuru!$F:$F,"&lt;&gt;"&amp;""))</f>
        <v>0</v>
      </c>
      <c r="Q61" s="166" t="s">
        <v>2301</v>
      </c>
      <c r="R61" s="167">
        <f>COUNTIFS(Başvuru!$D:$D,Q61,Başvuru!$A:$A,"&lt;&gt;"&amp;"",Başvuru!$F:$F,"&lt;&gt;"&amp;"")</f>
        <v>1</v>
      </c>
      <c r="S61" s="167">
        <f>RANK(R61,$R$6:$R$86,0)+COUNTIF($R$6:R61,R61)-1</f>
        <v>68</v>
      </c>
    </row>
    <row r="62" spans="2:19" ht="15" customHeight="1" x14ac:dyDescent="0.25">
      <c r="B62" s="155">
        <v>57</v>
      </c>
      <c r="C62" s="156" t="str">
        <f>IFERROR(INDEX($Q$6:$Q$86,MATCH(57,$S$6:$S$86,0)),"")</f>
        <v>Analitik Kimya Anabilim Dalı</v>
      </c>
      <c r="D62" s="157">
        <f>IF(C62="","",COUNTIFS(Başvuru!$D:$D,C62,Başvuru!$A:$A,"&lt;&gt;"&amp;"",Başvuru!$F:$F,"&lt;&gt;"&amp;""))</f>
        <v>1</v>
      </c>
      <c r="E62" s="155" t="str">
        <f>IF(C62="","-",IF(D62&gt;0,TEXT(D62/(COUNTIFS(Başvuru!$A:$A,"&lt;&gt;",Başvuru!$F:$F,"&lt;&gt;")-1)*100,"0.0")&amp;"%","-"))</f>
        <v>00%</v>
      </c>
      <c r="F62" s="158">
        <f>IF(C62="","",COUNTIFS(Başvuru!$D:$D,C62,Başvuru!$G:$G,"Bireysel Araştırma",Başvuru!$A:$A,"&lt;&gt;"&amp;"",Başvuru!$F:$F,"&lt;&gt;"&amp;""))</f>
        <v>1</v>
      </c>
      <c r="G62" s="158">
        <f>IF(C62="","",COUNTIFS(Başvuru!$D:$D,C62,Başvuru!$G:$G,"Uzmanlık Tezi",Başvuru!$A:$A,"&lt;&gt;"&amp;"",Başvuru!$F:$F,"&lt;&gt;"&amp;""))</f>
        <v>0</v>
      </c>
      <c r="H62" s="158">
        <f>IF(C62="","",COUNTIFS(Başvuru!$D:$D,C62,Başvuru!$G:$G,"Doktora Tezi",Başvuru!$A:$A,"&lt;&gt;"&amp;"",Başvuru!$F:$F,"&lt;&gt;"&amp;""))</f>
        <v>0</v>
      </c>
      <c r="I62" s="158">
        <f>IF(C62="","",COUNTIFS(Başvuru!$D:$D,C62,Başvuru!$G:$G,"Yüksek Lisans Tezi",Başvuru!$A:$A,"&lt;&gt;"&amp;"",Başvuru!$F:$F,"&lt;&gt;"&amp;""))</f>
        <v>0</v>
      </c>
      <c r="J62" s="159">
        <f>IF(C62="","",COUNTIFS(Başvuru!$D:$D,C62,Başvuru!$L:$L,"ONAY",Başvuru!$A:$A,"&lt;&gt;"&amp;"",Başvuru!$F:$F,"&lt;&gt;"&amp;""))</f>
        <v>0</v>
      </c>
      <c r="K62" s="160">
        <f>IF(C62="","",COUNTIFS(Başvuru!$D:$D,C62,Başvuru!$L:$L,"DÜZELTME",Başvuru!$A:$A,"&lt;&gt;"&amp;"",Başvuru!$F:$F,"&lt;&gt;"&amp;""))</f>
        <v>0</v>
      </c>
      <c r="L62" s="161">
        <f>IF(C62="","",COUNTIFS(Başvuru!$D:$D,C62,Başvuru!$L:$L,"KAEK",Başvuru!$A:$A,"&lt;&gt;"&amp;"",Başvuru!$F:$F,"&lt;&gt;"&amp;""))</f>
        <v>0</v>
      </c>
      <c r="M62" s="162">
        <f>IF(C62="","",COUNTIFS(Başvuru!$D:$D,C62,Başvuru!$L:$L,"GÖRÜŞ",Başvuru!$A:$A,"&lt;&gt;"&amp;"",Başvuru!$F:$F,"&lt;&gt;"&amp;""))</f>
        <v>1</v>
      </c>
      <c r="N62" s="163">
        <f>IF(C62="","",COUNTIFS(Başvuru!$D:$D,C62,Başvuru!$L:$L,"RET",Başvuru!$A:$A,"&lt;&gt;"&amp;"",Başvuru!$F:$F,"&lt;&gt;"&amp;""))</f>
        <v>0</v>
      </c>
      <c r="O62" s="164">
        <f>IF(C62="","",COUNTIFS(Başvuru!$D:$D,C62,Başvuru!$L:$L,"KAPSAM DIŞI",Başvuru!$A:$A,"&lt;&gt;"&amp;"",Başvuru!$F:$F,"&lt;&gt;"&amp;""))</f>
        <v>0</v>
      </c>
      <c r="P62" s="165">
        <f>IF(C62="","",COUNTIFS(Başvuru!$D:$D,C62,Başvuru!$L:$L,"GERİ ÇEKİLDİ",Başvuru!$A:$A,"&lt;&gt;"&amp;"",Başvuru!$F:$F,"&lt;&gt;"&amp;""))</f>
        <v>0</v>
      </c>
      <c r="Q62" s="166" t="s">
        <v>215</v>
      </c>
      <c r="R62" s="167">
        <f>COUNTIFS(Başvuru!$D:$D,Q62,Başvuru!$A:$A,"&lt;&gt;"&amp;"",Başvuru!$F:$F,"&lt;&gt;"&amp;"")</f>
        <v>7</v>
      </c>
      <c r="S62" s="167">
        <f>RANK(R62,$R$6:$R$86,0)+COUNTIF($R$6:R62,R62)-1</f>
        <v>25</v>
      </c>
    </row>
    <row r="63" spans="2:19" ht="15" customHeight="1" x14ac:dyDescent="0.25">
      <c r="B63" s="168">
        <v>58</v>
      </c>
      <c r="C63" s="169" t="str">
        <f>IFERROR(INDEX($Q$6:$Q$86,MATCH(58,$S$6:$S$86,0)),"")</f>
        <v>Barcelona Institute for Global Health</v>
      </c>
      <c r="D63" s="170">
        <f>IF(C63="","",COUNTIFS(Başvuru!$D:$D,C63,Başvuru!$A:$A,"&lt;&gt;"&amp;"",Başvuru!$F:$F,"&lt;&gt;"&amp;""))</f>
        <v>1</v>
      </c>
      <c r="E63" s="168" t="str">
        <f>IF(C63="","-",IF(D63&gt;0,TEXT(D63/(COUNTIFS(Başvuru!$A:$A,"&lt;&gt;",Başvuru!$F:$F,"&lt;&gt;")-1)*100,"0.0")&amp;"%","-"))</f>
        <v>00%</v>
      </c>
      <c r="F63" s="171">
        <f>IF(C63="","",COUNTIFS(Başvuru!$D:$D,C63,Başvuru!$G:$G,"Bireysel Araştırma",Başvuru!$A:$A,"&lt;&gt;"&amp;"",Başvuru!$F:$F,"&lt;&gt;"&amp;""))</f>
        <v>1</v>
      </c>
      <c r="G63" s="171">
        <f>IF(C63="","",COUNTIFS(Başvuru!$D:$D,C63,Başvuru!$G:$G,"Uzmanlık Tezi",Başvuru!$A:$A,"&lt;&gt;"&amp;"",Başvuru!$F:$F,"&lt;&gt;"&amp;""))</f>
        <v>0</v>
      </c>
      <c r="H63" s="171">
        <f>IF(C63="","",COUNTIFS(Başvuru!$D:$D,C63,Başvuru!$G:$G,"Doktora Tezi",Başvuru!$A:$A,"&lt;&gt;"&amp;"",Başvuru!$F:$F,"&lt;&gt;"&amp;""))</f>
        <v>0</v>
      </c>
      <c r="I63" s="171">
        <f>IF(C63="","",COUNTIFS(Başvuru!$D:$D,C63,Başvuru!$G:$G,"Yüksek Lisans Tezi",Başvuru!$A:$A,"&lt;&gt;"&amp;"",Başvuru!$F:$F,"&lt;&gt;"&amp;""))</f>
        <v>0</v>
      </c>
      <c r="J63" s="172">
        <f>IF(C63="","",COUNTIFS(Başvuru!$D:$D,C63,Başvuru!$L:$L,"ONAY",Başvuru!$A:$A,"&lt;&gt;"&amp;"",Başvuru!$F:$F,"&lt;&gt;"&amp;""))</f>
        <v>0</v>
      </c>
      <c r="K63" s="173">
        <f>IF(C63="","",COUNTIFS(Başvuru!$D:$D,C63,Başvuru!$L:$L,"DÜZELTME",Başvuru!$A:$A,"&lt;&gt;"&amp;"",Başvuru!$F:$F,"&lt;&gt;"&amp;""))</f>
        <v>1</v>
      </c>
      <c r="L63" s="174">
        <f>IF(C63="","",COUNTIFS(Başvuru!$D:$D,C63,Başvuru!$L:$L,"KAEK",Başvuru!$A:$A,"&lt;&gt;"&amp;"",Başvuru!$F:$F,"&lt;&gt;"&amp;""))</f>
        <v>0</v>
      </c>
      <c r="M63" s="175">
        <f>IF(C63="","",COUNTIFS(Başvuru!$D:$D,C63,Başvuru!$L:$L,"GÖRÜŞ",Başvuru!$A:$A,"&lt;&gt;"&amp;"",Başvuru!$F:$F,"&lt;&gt;"&amp;""))</f>
        <v>0</v>
      </c>
      <c r="N63" s="176">
        <f>IF(C63="","",COUNTIFS(Başvuru!$D:$D,C63,Başvuru!$L:$L,"RET",Başvuru!$A:$A,"&lt;&gt;"&amp;"",Başvuru!$F:$F,"&lt;&gt;"&amp;""))</f>
        <v>0</v>
      </c>
      <c r="O63" s="177">
        <f>IF(C63="","",COUNTIFS(Başvuru!$D:$D,C63,Başvuru!$L:$L,"KAPSAM DIŞI",Başvuru!$A:$A,"&lt;&gt;"&amp;"",Başvuru!$F:$F,"&lt;&gt;"&amp;""))</f>
        <v>0</v>
      </c>
      <c r="P63" s="178">
        <f>IF(C63="","",COUNTIFS(Başvuru!$D:$D,C63,Başvuru!$L:$L,"GERİ ÇEKİLDİ",Başvuru!$A:$A,"&lt;&gt;"&amp;"",Başvuru!$F:$F,"&lt;&gt;"&amp;""))</f>
        <v>0</v>
      </c>
      <c r="Q63" s="166" t="s">
        <v>615</v>
      </c>
      <c r="R63" s="167">
        <f>COUNTIFS(Başvuru!$D:$D,Q63,Başvuru!$A:$A,"&lt;&gt;"&amp;"",Başvuru!$F:$F,"&lt;&gt;"&amp;"")</f>
        <v>6</v>
      </c>
      <c r="S63" s="167">
        <f>RANK(R63,$R$6:$R$86,0)+COUNTIF($R$6:R63,R63)-1</f>
        <v>31</v>
      </c>
    </row>
    <row r="64" spans="2:19" ht="15" customHeight="1" x14ac:dyDescent="0.25">
      <c r="B64" s="155">
        <v>59</v>
      </c>
      <c r="C64" s="156" t="str">
        <f>IFERROR(INDEX($Q$6:$Q$86,MATCH(59,$S$6:$S$86,0)),"")</f>
        <v>Bilişim ve Enformasyon Teknolojileri Anabilim Dalı</v>
      </c>
      <c r="D64" s="157">
        <f>IF(C64="","",COUNTIFS(Başvuru!$D:$D,C64,Başvuru!$A:$A,"&lt;&gt;"&amp;"",Başvuru!$F:$F,"&lt;&gt;"&amp;""))</f>
        <v>1</v>
      </c>
      <c r="E64" s="155" t="str">
        <f>IF(C64="","-",IF(D64&gt;0,TEXT(D64/(COUNTIFS(Başvuru!$A:$A,"&lt;&gt;",Başvuru!$F:$F,"&lt;&gt;")-1)*100,"0.0")&amp;"%","-"))</f>
        <v>00%</v>
      </c>
      <c r="F64" s="158">
        <f>IF(C64="","",COUNTIFS(Başvuru!$D:$D,C64,Başvuru!$G:$G,"Bireysel Araştırma",Başvuru!$A:$A,"&lt;&gt;"&amp;"",Başvuru!$F:$F,"&lt;&gt;"&amp;""))</f>
        <v>0</v>
      </c>
      <c r="G64" s="158">
        <f>IF(C64="","",COUNTIFS(Başvuru!$D:$D,C64,Başvuru!$G:$G,"Uzmanlık Tezi",Başvuru!$A:$A,"&lt;&gt;"&amp;"",Başvuru!$F:$F,"&lt;&gt;"&amp;""))</f>
        <v>0</v>
      </c>
      <c r="H64" s="158">
        <f>IF(C64="","",COUNTIFS(Başvuru!$D:$D,C64,Başvuru!$G:$G,"Doktora Tezi",Başvuru!$A:$A,"&lt;&gt;"&amp;"",Başvuru!$F:$F,"&lt;&gt;"&amp;""))</f>
        <v>0</v>
      </c>
      <c r="I64" s="158">
        <f>IF(C64="","",COUNTIFS(Başvuru!$D:$D,C64,Başvuru!$G:$G,"Yüksek Lisans Tezi",Başvuru!$A:$A,"&lt;&gt;"&amp;"",Başvuru!$F:$F,"&lt;&gt;"&amp;""))</f>
        <v>1</v>
      </c>
      <c r="J64" s="159">
        <f>IF(C64="","",COUNTIFS(Başvuru!$D:$D,C64,Başvuru!$L:$L,"ONAY",Başvuru!$A:$A,"&lt;&gt;"&amp;"",Başvuru!$F:$F,"&lt;&gt;"&amp;""))</f>
        <v>0</v>
      </c>
      <c r="K64" s="160">
        <f>IF(C64="","",COUNTIFS(Başvuru!$D:$D,C64,Başvuru!$L:$L,"DÜZELTME",Başvuru!$A:$A,"&lt;&gt;"&amp;"",Başvuru!$F:$F,"&lt;&gt;"&amp;""))</f>
        <v>1</v>
      </c>
      <c r="L64" s="161">
        <f>IF(C64="","",COUNTIFS(Başvuru!$D:$D,C64,Başvuru!$L:$L,"KAEK",Başvuru!$A:$A,"&lt;&gt;"&amp;"",Başvuru!$F:$F,"&lt;&gt;"&amp;""))</f>
        <v>0</v>
      </c>
      <c r="M64" s="162">
        <f>IF(C64="","",COUNTIFS(Başvuru!$D:$D,C64,Başvuru!$L:$L,"GÖRÜŞ",Başvuru!$A:$A,"&lt;&gt;"&amp;"",Başvuru!$F:$F,"&lt;&gt;"&amp;""))</f>
        <v>0</v>
      </c>
      <c r="N64" s="163">
        <f>IF(C64="","",COUNTIFS(Başvuru!$D:$D,C64,Başvuru!$L:$L,"RET",Başvuru!$A:$A,"&lt;&gt;"&amp;"",Başvuru!$F:$F,"&lt;&gt;"&amp;""))</f>
        <v>0</v>
      </c>
      <c r="O64" s="164">
        <f>IF(C64="","",COUNTIFS(Başvuru!$D:$D,C64,Başvuru!$L:$L,"KAPSAM DIŞI",Başvuru!$A:$A,"&lt;&gt;"&amp;"",Başvuru!$F:$F,"&lt;&gt;"&amp;""))</f>
        <v>0</v>
      </c>
      <c r="P64" s="165">
        <f>IF(C64="","",COUNTIFS(Başvuru!$D:$D,C64,Başvuru!$L:$L,"GERİ ÇEKİLDİ",Başvuru!$A:$A,"&lt;&gt;"&amp;"",Başvuru!$F:$F,"&lt;&gt;"&amp;""))</f>
        <v>0</v>
      </c>
      <c r="Q64" s="166" t="s">
        <v>509</v>
      </c>
      <c r="R64" s="167">
        <f>COUNTIFS(Başvuru!$D:$D,Q64,Başvuru!$A:$A,"&lt;&gt;"&amp;"",Başvuru!$F:$F,"&lt;&gt;"&amp;"")</f>
        <v>1</v>
      </c>
      <c r="S64" s="167">
        <f>RANK(R64,$R$6:$R$86,0)+COUNTIF($R$6:R64,R64)-1</f>
        <v>69</v>
      </c>
    </row>
    <row r="65" spans="2:19" ht="15" customHeight="1" x14ac:dyDescent="0.25">
      <c r="B65" s="168">
        <v>60</v>
      </c>
      <c r="C65" s="169" t="str">
        <f>IFERROR(INDEX($Q$6:$Q$86,MATCH(60,$S$6:$S$86,0)),"")</f>
        <v>Biyoinformatik Anabilim Dalı</v>
      </c>
      <c r="D65" s="170">
        <f>IF(C65="","",COUNTIFS(Başvuru!$D:$D,C65,Başvuru!$A:$A,"&lt;&gt;"&amp;"",Başvuru!$F:$F,"&lt;&gt;"&amp;""))</f>
        <v>1</v>
      </c>
      <c r="E65" s="168" t="str">
        <f>IF(C65="","-",IF(D65&gt;0,TEXT(D65/(COUNTIFS(Başvuru!$A:$A,"&lt;&gt;",Başvuru!$F:$F,"&lt;&gt;")-1)*100,"0.0")&amp;"%","-"))</f>
        <v>00%</v>
      </c>
      <c r="F65" s="171">
        <f>IF(C65="","",COUNTIFS(Başvuru!$D:$D,C65,Başvuru!$G:$G,"Bireysel Araştırma",Başvuru!$A:$A,"&lt;&gt;"&amp;"",Başvuru!$F:$F,"&lt;&gt;"&amp;""))</f>
        <v>0</v>
      </c>
      <c r="G65" s="171">
        <f>IF(C65="","",COUNTIFS(Başvuru!$D:$D,C65,Başvuru!$G:$G,"Uzmanlık Tezi",Başvuru!$A:$A,"&lt;&gt;"&amp;"",Başvuru!$F:$F,"&lt;&gt;"&amp;""))</f>
        <v>0</v>
      </c>
      <c r="H65" s="171">
        <f>IF(C65="","",COUNTIFS(Başvuru!$D:$D,C65,Başvuru!$G:$G,"Doktora Tezi",Başvuru!$A:$A,"&lt;&gt;"&amp;"",Başvuru!$F:$F,"&lt;&gt;"&amp;""))</f>
        <v>0</v>
      </c>
      <c r="I65" s="171">
        <f>IF(C65="","",COUNTIFS(Başvuru!$D:$D,C65,Başvuru!$G:$G,"Yüksek Lisans Tezi",Başvuru!$A:$A,"&lt;&gt;"&amp;"",Başvuru!$F:$F,"&lt;&gt;"&amp;""))</f>
        <v>1</v>
      </c>
      <c r="J65" s="172">
        <f>IF(C65="","",COUNTIFS(Başvuru!$D:$D,C65,Başvuru!$L:$L,"ONAY",Başvuru!$A:$A,"&lt;&gt;"&amp;"",Başvuru!$F:$F,"&lt;&gt;"&amp;""))</f>
        <v>1</v>
      </c>
      <c r="K65" s="173">
        <f>IF(C65="","",COUNTIFS(Başvuru!$D:$D,C65,Başvuru!$L:$L,"DÜZELTME",Başvuru!$A:$A,"&lt;&gt;"&amp;"",Başvuru!$F:$F,"&lt;&gt;"&amp;""))</f>
        <v>0</v>
      </c>
      <c r="L65" s="174">
        <f>IF(C65="","",COUNTIFS(Başvuru!$D:$D,C65,Başvuru!$L:$L,"KAEK",Başvuru!$A:$A,"&lt;&gt;"&amp;"",Başvuru!$F:$F,"&lt;&gt;"&amp;""))</f>
        <v>0</v>
      </c>
      <c r="M65" s="175">
        <f>IF(C65="","",COUNTIFS(Başvuru!$D:$D,C65,Başvuru!$L:$L,"GÖRÜŞ",Başvuru!$A:$A,"&lt;&gt;"&amp;"",Başvuru!$F:$F,"&lt;&gt;"&amp;""))</f>
        <v>0</v>
      </c>
      <c r="N65" s="176">
        <f>IF(C65="","",COUNTIFS(Başvuru!$D:$D,C65,Başvuru!$L:$L,"RET",Başvuru!$A:$A,"&lt;&gt;"&amp;"",Başvuru!$F:$F,"&lt;&gt;"&amp;""))</f>
        <v>0</v>
      </c>
      <c r="O65" s="177">
        <f>IF(C65="","",COUNTIFS(Başvuru!$D:$D,C65,Başvuru!$L:$L,"KAPSAM DIŞI",Başvuru!$A:$A,"&lt;&gt;"&amp;"",Başvuru!$F:$F,"&lt;&gt;"&amp;""))</f>
        <v>0</v>
      </c>
      <c r="P65" s="178">
        <f>IF(C65="","",COUNTIFS(Başvuru!$D:$D,C65,Başvuru!$L:$L,"GERİ ÇEKİLDİ",Başvuru!$A:$A,"&lt;&gt;"&amp;"",Başvuru!$F:$F,"&lt;&gt;"&amp;""))</f>
        <v>0</v>
      </c>
      <c r="Q65" s="166" t="s">
        <v>168</v>
      </c>
      <c r="R65" s="167">
        <f>COUNTIFS(Başvuru!$D:$D,Q65,Başvuru!$A:$A,"&lt;&gt;"&amp;"",Başvuru!$F:$F,"&lt;&gt;"&amp;"")</f>
        <v>4</v>
      </c>
      <c r="S65" s="167">
        <f>RANK(R65,$R$6:$R$86,0)+COUNTIF($R$6:R65,R65)-1</f>
        <v>38</v>
      </c>
    </row>
    <row r="66" spans="2:19" ht="15" customHeight="1" x14ac:dyDescent="0.25">
      <c r="B66" s="155">
        <v>61</v>
      </c>
      <c r="C66" s="156" t="str">
        <f>IFERROR(INDEX($Q$6:$Q$86,MATCH(61,$S$6:$S$86,0)),"")</f>
        <v>Fizikokimya Anabilim Dalı</v>
      </c>
      <c r="D66" s="157">
        <f>IF(C66="","",COUNTIFS(Başvuru!$D:$D,C66,Başvuru!$A:$A,"&lt;&gt;"&amp;"",Başvuru!$F:$F,"&lt;&gt;"&amp;""))</f>
        <v>1</v>
      </c>
      <c r="E66" s="155" t="str">
        <f>IF(C66="","-",IF(D66&gt;0,TEXT(D66/(COUNTIFS(Başvuru!$A:$A,"&lt;&gt;",Başvuru!$F:$F,"&lt;&gt;")-1)*100,"0.0")&amp;"%","-"))</f>
        <v>00%</v>
      </c>
      <c r="F66" s="158">
        <f>IF(C66="","",COUNTIFS(Başvuru!$D:$D,C66,Başvuru!$G:$G,"Bireysel Araştırma",Başvuru!$A:$A,"&lt;&gt;"&amp;"",Başvuru!$F:$F,"&lt;&gt;"&amp;""))</f>
        <v>0</v>
      </c>
      <c r="G66" s="158">
        <f>IF(C66="","",COUNTIFS(Başvuru!$D:$D,C66,Başvuru!$G:$G,"Uzmanlık Tezi",Başvuru!$A:$A,"&lt;&gt;"&amp;"",Başvuru!$F:$F,"&lt;&gt;"&amp;""))</f>
        <v>0</v>
      </c>
      <c r="H66" s="158">
        <f>IF(C66="","",COUNTIFS(Başvuru!$D:$D,C66,Başvuru!$G:$G,"Doktora Tezi",Başvuru!$A:$A,"&lt;&gt;"&amp;"",Başvuru!$F:$F,"&lt;&gt;"&amp;""))</f>
        <v>1</v>
      </c>
      <c r="I66" s="158">
        <f>IF(C66="","",COUNTIFS(Başvuru!$D:$D,C66,Başvuru!$G:$G,"Yüksek Lisans Tezi",Başvuru!$A:$A,"&lt;&gt;"&amp;"",Başvuru!$F:$F,"&lt;&gt;"&amp;""))</f>
        <v>0</v>
      </c>
      <c r="J66" s="159">
        <f>IF(C66="","",COUNTIFS(Başvuru!$D:$D,C66,Başvuru!$L:$L,"ONAY",Başvuru!$A:$A,"&lt;&gt;"&amp;"",Başvuru!$F:$F,"&lt;&gt;"&amp;""))</f>
        <v>0</v>
      </c>
      <c r="K66" s="160">
        <f>IF(C66="","",COUNTIFS(Başvuru!$D:$D,C66,Başvuru!$L:$L,"DÜZELTME",Başvuru!$A:$A,"&lt;&gt;"&amp;"",Başvuru!$F:$F,"&lt;&gt;"&amp;""))</f>
        <v>1</v>
      </c>
      <c r="L66" s="161">
        <f>IF(C66="","",COUNTIFS(Başvuru!$D:$D,C66,Başvuru!$L:$L,"KAEK",Başvuru!$A:$A,"&lt;&gt;"&amp;"",Başvuru!$F:$F,"&lt;&gt;"&amp;""))</f>
        <v>0</v>
      </c>
      <c r="M66" s="162">
        <f>IF(C66="","",COUNTIFS(Başvuru!$D:$D,C66,Başvuru!$L:$L,"GÖRÜŞ",Başvuru!$A:$A,"&lt;&gt;"&amp;"",Başvuru!$F:$F,"&lt;&gt;"&amp;""))</f>
        <v>0</v>
      </c>
      <c r="N66" s="163">
        <f>IF(C66="","",COUNTIFS(Başvuru!$D:$D,C66,Başvuru!$L:$L,"RET",Başvuru!$A:$A,"&lt;&gt;"&amp;"",Başvuru!$F:$F,"&lt;&gt;"&amp;""))</f>
        <v>0</v>
      </c>
      <c r="O66" s="164">
        <f>IF(C66="","",COUNTIFS(Başvuru!$D:$D,C66,Başvuru!$L:$L,"KAPSAM DIŞI",Başvuru!$A:$A,"&lt;&gt;"&amp;"",Başvuru!$F:$F,"&lt;&gt;"&amp;""))</f>
        <v>0</v>
      </c>
      <c r="P66" s="165">
        <f>IF(C66="","",COUNTIFS(Başvuru!$D:$D,C66,Başvuru!$L:$L,"GERİ ÇEKİLDİ",Başvuru!$A:$A,"&lt;&gt;"&amp;"",Başvuru!$F:$F,"&lt;&gt;"&amp;""))</f>
        <v>0</v>
      </c>
      <c r="Q66" s="166" t="s">
        <v>1696</v>
      </c>
      <c r="R66" s="167">
        <f>COUNTIFS(Başvuru!$D:$D,Q66,Başvuru!$A:$A,"&lt;&gt;"&amp;"",Başvuru!$F:$F,"&lt;&gt;"&amp;"")</f>
        <v>3</v>
      </c>
      <c r="S66" s="167">
        <f>RANK(R66,$R$6:$R$86,0)+COUNTIF($R$6:R66,R66)-1</f>
        <v>43</v>
      </c>
    </row>
    <row r="67" spans="2:19" ht="15" customHeight="1" x14ac:dyDescent="0.25">
      <c r="B67" s="168">
        <v>62</v>
      </c>
      <c r="C67" s="169" t="str">
        <f>IFERROR(INDEX($Q$6:$Q$86,MATCH(62,$S$6:$S$86,0)),"")</f>
        <v>Genel Cerrahi Anabilim Dalı</v>
      </c>
      <c r="D67" s="170">
        <f>IF(C67="","",COUNTIFS(Başvuru!$D:$D,C67,Başvuru!$A:$A,"&lt;&gt;"&amp;"",Başvuru!$F:$F,"&lt;&gt;"&amp;""))</f>
        <v>1</v>
      </c>
      <c r="E67" s="168" t="str">
        <f>IF(C67="","-",IF(D67&gt;0,TEXT(D67/(COUNTIFS(Başvuru!$A:$A,"&lt;&gt;",Başvuru!$F:$F,"&lt;&gt;")-1)*100,"0.0")&amp;"%","-"))</f>
        <v>00%</v>
      </c>
      <c r="F67" s="171">
        <f>IF(C67="","",COUNTIFS(Başvuru!$D:$D,C67,Başvuru!$G:$G,"Bireysel Araştırma",Başvuru!$A:$A,"&lt;&gt;"&amp;"",Başvuru!$F:$F,"&lt;&gt;"&amp;""))</f>
        <v>1</v>
      </c>
      <c r="G67" s="171">
        <f>IF(C67="","",COUNTIFS(Başvuru!$D:$D,C67,Başvuru!$G:$G,"Uzmanlık Tezi",Başvuru!$A:$A,"&lt;&gt;"&amp;"",Başvuru!$F:$F,"&lt;&gt;"&amp;""))</f>
        <v>0</v>
      </c>
      <c r="H67" s="171">
        <f>IF(C67="","",COUNTIFS(Başvuru!$D:$D,C67,Başvuru!$G:$G,"Doktora Tezi",Başvuru!$A:$A,"&lt;&gt;"&amp;"",Başvuru!$F:$F,"&lt;&gt;"&amp;""))</f>
        <v>0</v>
      </c>
      <c r="I67" s="171">
        <f>IF(C67="","",COUNTIFS(Başvuru!$D:$D,C67,Başvuru!$G:$G,"Yüksek Lisans Tezi",Başvuru!$A:$A,"&lt;&gt;"&amp;"",Başvuru!$F:$F,"&lt;&gt;"&amp;""))</f>
        <v>0</v>
      </c>
      <c r="J67" s="172">
        <f>IF(C67="","",COUNTIFS(Başvuru!$D:$D,C67,Başvuru!$L:$L,"ONAY",Başvuru!$A:$A,"&lt;&gt;"&amp;"",Başvuru!$F:$F,"&lt;&gt;"&amp;""))</f>
        <v>1</v>
      </c>
      <c r="K67" s="173">
        <f>IF(C67="","",COUNTIFS(Başvuru!$D:$D,C67,Başvuru!$L:$L,"DÜZELTME",Başvuru!$A:$A,"&lt;&gt;"&amp;"",Başvuru!$F:$F,"&lt;&gt;"&amp;""))</f>
        <v>0</v>
      </c>
      <c r="L67" s="174">
        <f>IF(C67="","",COUNTIFS(Başvuru!$D:$D,C67,Başvuru!$L:$L,"KAEK",Başvuru!$A:$A,"&lt;&gt;"&amp;"",Başvuru!$F:$F,"&lt;&gt;"&amp;""))</f>
        <v>0</v>
      </c>
      <c r="M67" s="175">
        <f>IF(C67="","",COUNTIFS(Başvuru!$D:$D,C67,Başvuru!$L:$L,"GÖRÜŞ",Başvuru!$A:$A,"&lt;&gt;"&amp;"",Başvuru!$F:$F,"&lt;&gt;"&amp;""))</f>
        <v>0</v>
      </c>
      <c r="N67" s="176">
        <f>IF(C67="","",COUNTIFS(Başvuru!$D:$D,C67,Başvuru!$L:$L,"RET",Başvuru!$A:$A,"&lt;&gt;"&amp;"",Başvuru!$F:$F,"&lt;&gt;"&amp;""))</f>
        <v>0</v>
      </c>
      <c r="O67" s="177">
        <f>IF(C67="","",COUNTIFS(Başvuru!$D:$D,C67,Başvuru!$L:$L,"KAPSAM DIŞI",Başvuru!$A:$A,"&lt;&gt;"&amp;"",Başvuru!$F:$F,"&lt;&gt;"&amp;""))</f>
        <v>0</v>
      </c>
      <c r="P67" s="178">
        <f>IF(C67="","",COUNTIFS(Başvuru!$D:$D,C67,Başvuru!$L:$L,"GERİ ÇEKİLDİ",Başvuru!$A:$A,"&lt;&gt;"&amp;"",Başvuru!$F:$F,"&lt;&gt;"&amp;""))</f>
        <v>0</v>
      </c>
      <c r="Q67" s="166" t="s">
        <v>2211</v>
      </c>
      <c r="R67" s="167">
        <f>COUNTIFS(Başvuru!$D:$D,Q67,Başvuru!$A:$A,"&lt;&gt;"&amp;"",Başvuru!$F:$F,"&lt;&gt;"&amp;"")</f>
        <v>1</v>
      </c>
      <c r="S67" s="167">
        <f>RANK(R67,$R$6:$R$86,0)+COUNTIF($R$6:R67,R67)-1</f>
        <v>70</v>
      </c>
    </row>
    <row r="68" spans="2:19" ht="15" customHeight="1" x14ac:dyDescent="0.25">
      <c r="B68" s="155">
        <v>63</v>
      </c>
      <c r="C68" s="156" t="str">
        <f>IFERROR(INDEX($Q$6:$Q$86,MATCH(63,$S$6:$S$86,0)),"")</f>
        <v>Gıda Mühendisliği Anabilim Dalı</v>
      </c>
      <c r="D68" s="157">
        <f>IF(C68="","",COUNTIFS(Başvuru!$D:$D,C68,Başvuru!$A:$A,"&lt;&gt;"&amp;"",Başvuru!$F:$F,"&lt;&gt;"&amp;""))</f>
        <v>1</v>
      </c>
      <c r="E68" s="155" t="str">
        <f>IF(C68="","-",IF(D68&gt;0,TEXT(D68/(COUNTIFS(Başvuru!$A:$A,"&lt;&gt;",Başvuru!$F:$F,"&lt;&gt;")-1)*100,"0.0")&amp;"%","-"))</f>
        <v>00%</v>
      </c>
      <c r="F68" s="158">
        <f>IF(C68="","",COUNTIFS(Başvuru!$D:$D,C68,Başvuru!$G:$G,"Bireysel Araştırma",Başvuru!$A:$A,"&lt;&gt;"&amp;"",Başvuru!$F:$F,"&lt;&gt;"&amp;""))</f>
        <v>0</v>
      </c>
      <c r="G68" s="158">
        <f>IF(C68="","",COUNTIFS(Başvuru!$D:$D,C68,Başvuru!$G:$G,"Uzmanlık Tezi",Başvuru!$A:$A,"&lt;&gt;"&amp;"",Başvuru!$F:$F,"&lt;&gt;"&amp;""))</f>
        <v>0</v>
      </c>
      <c r="H68" s="158">
        <f>IF(C68="","",COUNTIFS(Başvuru!$D:$D,C68,Başvuru!$G:$G,"Doktora Tezi",Başvuru!$A:$A,"&lt;&gt;"&amp;"",Başvuru!$F:$F,"&lt;&gt;"&amp;""))</f>
        <v>0</v>
      </c>
      <c r="I68" s="158">
        <f>IF(C68="","",COUNTIFS(Başvuru!$D:$D,C68,Başvuru!$G:$G,"Yüksek Lisans Tezi",Başvuru!$A:$A,"&lt;&gt;"&amp;"",Başvuru!$F:$F,"&lt;&gt;"&amp;""))</f>
        <v>1</v>
      </c>
      <c r="J68" s="159">
        <f>IF(C68="","",COUNTIFS(Başvuru!$D:$D,C68,Başvuru!$L:$L,"ONAY",Başvuru!$A:$A,"&lt;&gt;"&amp;"",Başvuru!$F:$F,"&lt;&gt;"&amp;""))</f>
        <v>0</v>
      </c>
      <c r="K68" s="160">
        <f>IF(C68="","",COUNTIFS(Başvuru!$D:$D,C68,Başvuru!$L:$L,"DÜZELTME",Başvuru!$A:$A,"&lt;&gt;"&amp;"",Başvuru!$F:$F,"&lt;&gt;"&amp;""))</f>
        <v>1</v>
      </c>
      <c r="L68" s="161">
        <f>IF(C68="","",COUNTIFS(Başvuru!$D:$D,C68,Başvuru!$L:$L,"KAEK",Başvuru!$A:$A,"&lt;&gt;"&amp;"",Başvuru!$F:$F,"&lt;&gt;"&amp;""))</f>
        <v>0</v>
      </c>
      <c r="M68" s="162">
        <f>IF(C68="","",COUNTIFS(Başvuru!$D:$D,C68,Başvuru!$L:$L,"GÖRÜŞ",Başvuru!$A:$A,"&lt;&gt;"&amp;"",Başvuru!$F:$F,"&lt;&gt;"&amp;""))</f>
        <v>0</v>
      </c>
      <c r="N68" s="163">
        <f>IF(C68="","",COUNTIFS(Başvuru!$D:$D,C68,Başvuru!$L:$L,"RET",Başvuru!$A:$A,"&lt;&gt;"&amp;"",Başvuru!$F:$F,"&lt;&gt;"&amp;""))</f>
        <v>0</v>
      </c>
      <c r="O68" s="164">
        <f>IF(C68="","",COUNTIFS(Başvuru!$D:$D,C68,Başvuru!$L:$L,"KAPSAM DIŞI",Başvuru!$A:$A,"&lt;&gt;"&amp;"",Başvuru!$F:$F,"&lt;&gt;"&amp;""))</f>
        <v>0</v>
      </c>
      <c r="P68" s="165">
        <f>IF(C68="","",COUNTIFS(Başvuru!$D:$D,C68,Başvuru!$L:$L,"GERİ ÇEKİLDİ",Başvuru!$A:$A,"&lt;&gt;"&amp;"",Başvuru!$F:$F,"&lt;&gt;"&amp;""))</f>
        <v>0</v>
      </c>
      <c r="Q68" s="166" t="s">
        <v>1498</v>
      </c>
      <c r="R68" s="167">
        <f>COUNTIFS(Başvuru!$D:$D,Q68,Başvuru!$A:$A,"&lt;&gt;"&amp;"",Başvuru!$F:$F,"&lt;&gt;"&amp;"")</f>
        <v>1</v>
      </c>
      <c r="S68" s="167">
        <f>RANK(R68,$R$6:$R$86,0)+COUNTIF($R$6:R68,R68)-1</f>
        <v>71</v>
      </c>
    </row>
    <row r="69" spans="2:19" ht="15" customHeight="1" x14ac:dyDescent="0.25">
      <c r="B69" s="168">
        <v>64</v>
      </c>
      <c r="C69" s="169" t="str">
        <f>IFERROR(INDEX($Q$6:$Q$86,MATCH(64,$S$6:$S$86,0)),"")</f>
        <v>Klinik Psikoloji Anabilim Dalı</v>
      </c>
      <c r="D69" s="170">
        <f>IF(C69="","",COUNTIFS(Başvuru!$D:$D,C69,Başvuru!$A:$A,"&lt;&gt;"&amp;"",Başvuru!$F:$F,"&lt;&gt;"&amp;""))</f>
        <v>1</v>
      </c>
      <c r="E69" s="168" t="str">
        <f>IF(C69="","-",IF(D69&gt;0,TEXT(D69/(COUNTIFS(Başvuru!$A:$A,"&lt;&gt;",Başvuru!$F:$F,"&lt;&gt;")-1)*100,"0.0")&amp;"%","-"))</f>
        <v>00%</v>
      </c>
      <c r="F69" s="171">
        <f>IF(C69="","",COUNTIFS(Başvuru!$D:$D,C69,Başvuru!$G:$G,"Bireysel Araştırma",Başvuru!$A:$A,"&lt;&gt;"&amp;"",Başvuru!$F:$F,"&lt;&gt;"&amp;""))</f>
        <v>0</v>
      </c>
      <c r="G69" s="171">
        <f>IF(C69="","",COUNTIFS(Başvuru!$D:$D,C69,Başvuru!$G:$G,"Uzmanlık Tezi",Başvuru!$A:$A,"&lt;&gt;"&amp;"",Başvuru!$F:$F,"&lt;&gt;"&amp;""))</f>
        <v>0</v>
      </c>
      <c r="H69" s="171">
        <f>IF(C69="","",COUNTIFS(Başvuru!$D:$D,C69,Başvuru!$G:$G,"Doktora Tezi",Başvuru!$A:$A,"&lt;&gt;"&amp;"",Başvuru!$F:$F,"&lt;&gt;"&amp;""))</f>
        <v>1</v>
      </c>
      <c r="I69" s="171">
        <f>IF(C69="","",COUNTIFS(Başvuru!$D:$D,C69,Başvuru!$G:$G,"Yüksek Lisans Tezi",Başvuru!$A:$A,"&lt;&gt;"&amp;"",Başvuru!$F:$F,"&lt;&gt;"&amp;""))</f>
        <v>0</v>
      </c>
      <c r="J69" s="172">
        <f>IF(C69="","",COUNTIFS(Başvuru!$D:$D,C69,Başvuru!$L:$L,"ONAY",Başvuru!$A:$A,"&lt;&gt;"&amp;"",Başvuru!$F:$F,"&lt;&gt;"&amp;""))</f>
        <v>1</v>
      </c>
      <c r="K69" s="173">
        <f>IF(C69="","",COUNTIFS(Başvuru!$D:$D,C69,Başvuru!$L:$L,"DÜZELTME",Başvuru!$A:$A,"&lt;&gt;"&amp;"",Başvuru!$F:$F,"&lt;&gt;"&amp;""))</f>
        <v>0</v>
      </c>
      <c r="L69" s="174">
        <f>IF(C69="","",COUNTIFS(Başvuru!$D:$D,C69,Başvuru!$L:$L,"KAEK",Başvuru!$A:$A,"&lt;&gt;"&amp;"",Başvuru!$F:$F,"&lt;&gt;"&amp;""))</f>
        <v>0</v>
      </c>
      <c r="M69" s="175">
        <f>IF(C69="","",COUNTIFS(Başvuru!$D:$D,C69,Başvuru!$L:$L,"GÖRÜŞ",Başvuru!$A:$A,"&lt;&gt;"&amp;"",Başvuru!$F:$F,"&lt;&gt;"&amp;""))</f>
        <v>0</v>
      </c>
      <c r="N69" s="176">
        <f>IF(C69="","",COUNTIFS(Başvuru!$D:$D,C69,Başvuru!$L:$L,"RET",Başvuru!$A:$A,"&lt;&gt;"&amp;"",Başvuru!$F:$F,"&lt;&gt;"&amp;""))</f>
        <v>0</v>
      </c>
      <c r="O69" s="177">
        <f>IF(C69="","",COUNTIFS(Başvuru!$D:$D,C69,Başvuru!$L:$L,"KAPSAM DIŞI",Başvuru!$A:$A,"&lt;&gt;"&amp;"",Başvuru!$F:$F,"&lt;&gt;"&amp;""))</f>
        <v>0</v>
      </c>
      <c r="P69" s="178">
        <f>IF(C69="","",COUNTIFS(Başvuru!$D:$D,C69,Başvuru!$L:$L,"GERİ ÇEKİLDİ",Başvuru!$A:$A,"&lt;&gt;"&amp;"",Başvuru!$F:$F,"&lt;&gt;"&amp;""))</f>
        <v>0</v>
      </c>
      <c r="Q69" s="166" t="s">
        <v>718</v>
      </c>
      <c r="R69" s="167">
        <f>COUNTIFS(Başvuru!$D:$D,Q69,Başvuru!$A:$A,"&lt;&gt;"&amp;"",Başvuru!$F:$F,"&lt;&gt;"&amp;"")</f>
        <v>1</v>
      </c>
      <c r="S69" s="167">
        <f>RANK(R69,$R$6:$R$86,0)+COUNTIF($R$6:R69,R69)-1</f>
        <v>72</v>
      </c>
    </row>
    <row r="70" spans="2:19" ht="15" customHeight="1" x14ac:dyDescent="0.25">
      <c r="B70" s="155">
        <v>65</v>
      </c>
      <c r="C70" s="156" t="str">
        <f>IFERROR(INDEX($Q$6:$Q$86,MATCH(65,$S$6:$S$86,0)),"")</f>
        <v>Moleküler Biyoloji Anabilim Dalı</v>
      </c>
      <c r="D70" s="157">
        <f>IF(C70="","",COUNTIFS(Başvuru!$D:$D,C70,Başvuru!$A:$A,"&lt;&gt;"&amp;"",Başvuru!$F:$F,"&lt;&gt;"&amp;""))</f>
        <v>1</v>
      </c>
      <c r="E70" s="155" t="str">
        <f>IF(C70="","-",IF(D70&gt;0,TEXT(D70/(COUNTIFS(Başvuru!$A:$A,"&lt;&gt;",Başvuru!$F:$F,"&lt;&gt;")-1)*100,"0.0")&amp;"%","-"))</f>
        <v>00%</v>
      </c>
      <c r="F70" s="158">
        <f>IF(C70="","",COUNTIFS(Başvuru!$D:$D,C70,Başvuru!$G:$G,"Bireysel Araştırma",Başvuru!$A:$A,"&lt;&gt;"&amp;"",Başvuru!$F:$F,"&lt;&gt;"&amp;""))</f>
        <v>1</v>
      </c>
      <c r="G70" s="158">
        <f>IF(C70="","",COUNTIFS(Başvuru!$D:$D,C70,Başvuru!$G:$G,"Uzmanlık Tezi",Başvuru!$A:$A,"&lt;&gt;"&amp;"",Başvuru!$F:$F,"&lt;&gt;"&amp;""))</f>
        <v>0</v>
      </c>
      <c r="H70" s="158">
        <f>IF(C70="","",COUNTIFS(Başvuru!$D:$D,C70,Başvuru!$G:$G,"Doktora Tezi",Başvuru!$A:$A,"&lt;&gt;"&amp;"",Başvuru!$F:$F,"&lt;&gt;"&amp;""))</f>
        <v>0</v>
      </c>
      <c r="I70" s="158">
        <f>IF(C70="","",COUNTIFS(Başvuru!$D:$D,C70,Başvuru!$G:$G,"Yüksek Lisans Tezi",Başvuru!$A:$A,"&lt;&gt;"&amp;"",Başvuru!$F:$F,"&lt;&gt;"&amp;""))</f>
        <v>0</v>
      </c>
      <c r="J70" s="159">
        <f>IF(C70="","",COUNTIFS(Başvuru!$D:$D,C70,Başvuru!$L:$L,"ONAY",Başvuru!$A:$A,"&lt;&gt;"&amp;"",Başvuru!$F:$F,"&lt;&gt;"&amp;""))</f>
        <v>1</v>
      </c>
      <c r="K70" s="160">
        <f>IF(C70="","",COUNTIFS(Başvuru!$D:$D,C70,Başvuru!$L:$L,"DÜZELTME",Başvuru!$A:$A,"&lt;&gt;"&amp;"",Başvuru!$F:$F,"&lt;&gt;"&amp;""))</f>
        <v>0</v>
      </c>
      <c r="L70" s="161">
        <f>IF(C70="","",COUNTIFS(Başvuru!$D:$D,C70,Başvuru!$L:$L,"KAEK",Başvuru!$A:$A,"&lt;&gt;"&amp;"",Başvuru!$F:$F,"&lt;&gt;"&amp;""))</f>
        <v>0</v>
      </c>
      <c r="M70" s="162">
        <f>IF(C70="","",COUNTIFS(Başvuru!$D:$D,C70,Başvuru!$L:$L,"GÖRÜŞ",Başvuru!$A:$A,"&lt;&gt;"&amp;"",Başvuru!$F:$F,"&lt;&gt;"&amp;""))</f>
        <v>0</v>
      </c>
      <c r="N70" s="163">
        <f>IF(C70="","",COUNTIFS(Başvuru!$D:$D,C70,Başvuru!$L:$L,"RET",Başvuru!$A:$A,"&lt;&gt;"&amp;"",Başvuru!$F:$F,"&lt;&gt;"&amp;""))</f>
        <v>0</v>
      </c>
      <c r="O70" s="164">
        <f>IF(C70="","",COUNTIFS(Başvuru!$D:$D,C70,Başvuru!$L:$L,"KAPSAM DIŞI",Başvuru!$A:$A,"&lt;&gt;"&amp;"",Başvuru!$F:$F,"&lt;&gt;"&amp;""))</f>
        <v>0</v>
      </c>
      <c r="P70" s="165">
        <f>IF(C70="","",COUNTIFS(Başvuru!$D:$D,C70,Başvuru!$L:$L,"GERİ ÇEKİLDİ",Başvuru!$A:$A,"&lt;&gt;"&amp;"",Başvuru!$F:$F,"&lt;&gt;"&amp;""))</f>
        <v>0</v>
      </c>
      <c r="Q70" s="166" t="s">
        <v>140</v>
      </c>
      <c r="R70" s="167">
        <f>COUNTIFS(Başvuru!$D:$D,Q70,Başvuru!$A:$A,"&lt;&gt;"&amp;"",Başvuru!$F:$F,"&lt;&gt;"&amp;"")</f>
        <v>2</v>
      </c>
      <c r="S70" s="167">
        <f>RANK(R70,$R$6:$R$86,0)+COUNTIF($R$6:R70,R70)-1</f>
        <v>55</v>
      </c>
    </row>
    <row r="71" spans="2:19" ht="15" customHeight="1" x14ac:dyDescent="0.25">
      <c r="B71" s="168">
        <v>66</v>
      </c>
      <c r="C71" s="169" t="str">
        <f>IFERROR(INDEX($Q$6:$Q$86,MATCH(66,$S$6:$S$86,0)),"")</f>
        <v>Sağlık Araştırmaları Anabilim Dalı</v>
      </c>
      <c r="D71" s="170">
        <f>IF(C71="","",COUNTIFS(Başvuru!$D:$D,C71,Başvuru!$A:$A,"&lt;&gt;"&amp;"",Başvuru!$F:$F,"&lt;&gt;"&amp;""))</f>
        <v>1</v>
      </c>
      <c r="E71" s="168" t="str">
        <f>IF(C71="","-",IF(D71&gt;0,TEXT(D71/(COUNTIFS(Başvuru!$A:$A,"&lt;&gt;",Başvuru!$F:$F,"&lt;&gt;")-1)*100,"0.0")&amp;"%","-"))</f>
        <v>00%</v>
      </c>
      <c r="F71" s="171">
        <f>IF(C71="","",COUNTIFS(Başvuru!$D:$D,C71,Başvuru!$G:$G,"Bireysel Araştırma",Başvuru!$A:$A,"&lt;&gt;"&amp;"",Başvuru!$F:$F,"&lt;&gt;"&amp;""))</f>
        <v>1</v>
      </c>
      <c r="G71" s="171">
        <f>IF(C71="","",COUNTIFS(Başvuru!$D:$D,C71,Başvuru!$G:$G,"Uzmanlık Tezi",Başvuru!$A:$A,"&lt;&gt;"&amp;"",Başvuru!$F:$F,"&lt;&gt;"&amp;""))</f>
        <v>0</v>
      </c>
      <c r="H71" s="171">
        <f>IF(C71="","",COUNTIFS(Başvuru!$D:$D,C71,Başvuru!$G:$G,"Doktora Tezi",Başvuru!$A:$A,"&lt;&gt;"&amp;"",Başvuru!$F:$F,"&lt;&gt;"&amp;""))</f>
        <v>0</v>
      </c>
      <c r="I71" s="171">
        <f>IF(C71="","",COUNTIFS(Başvuru!$D:$D,C71,Başvuru!$G:$G,"Yüksek Lisans Tezi",Başvuru!$A:$A,"&lt;&gt;"&amp;"",Başvuru!$F:$F,"&lt;&gt;"&amp;""))</f>
        <v>0</v>
      </c>
      <c r="J71" s="172">
        <f>IF(C71="","",COUNTIFS(Başvuru!$D:$D,C71,Başvuru!$L:$L,"ONAY",Başvuru!$A:$A,"&lt;&gt;"&amp;"",Başvuru!$F:$F,"&lt;&gt;"&amp;""))</f>
        <v>0</v>
      </c>
      <c r="K71" s="173">
        <f>IF(C71="","",COUNTIFS(Başvuru!$D:$D,C71,Başvuru!$L:$L,"DÜZELTME",Başvuru!$A:$A,"&lt;&gt;"&amp;"",Başvuru!$F:$F,"&lt;&gt;"&amp;""))</f>
        <v>1</v>
      </c>
      <c r="L71" s="174">
        <f>IF(C71="","",COUNTIFS(Başvuru!$D:$D,C71,Başvuru!$L:$L,"KAEK",Başvuru!$A:$A,"&lt;&gt;"&amp;"",Başvuru!$F:$F,"&lt;&gt;"&amp;""))</f>
        <v>0</v>
      </c>
      <c r="M71" s="175">
        <f>IF(C71="","",COUNTIFS(Başvuru!$D:$D,C71,Başvuru!$L:$L,"GÖRÜŞ",Başvuru!$A:$A,"&lt;&gt;"&amp;"",Başvuru!$F:$F,"&lt;&gt;"&amp;""))</f>
        <v>0</v>
      </c>
      <c r="N71" s="176">
        <f>IF(C71="","",COUNTIFS(Başvuru!$D:$D,C71,Başvuru!$L:$L,"RET",Başvuru!$A:$A,"&lt;&gt;"&amp;"",Başvuru!$F:$F,"&lt;&gt;"&amp;""))</f>
        <v>0</v>
      </c>
      <c r="O71" s="177">
        <f>IF(C71="","",COUNTIFS(Başvuru!$D:$D,C71,Başvuru!$L:$L,"KAPSAM DIŞI",Başvuru!$A:$A,"&lt;&gt;"&amp;"",Başvuru!$F:$F,"&lt;&gt;"&amp;""))</f>
        <v>0</v>
      </c>
      <c r="P71" s="178">
        <f>IF(C71="","",COUNTIFS(Başvuru!$D:$D,C71,Başvuru!$L:$L,"GERİ ÇEKİLDİ",Başvuru!$A:$A,"&lt;&gt;"&amp;"",Başvuru!$F:$F,"&lt;&gt;"&amp;""))</f>
        <v>0</v>
      </c>
      <c r="Q71" s="166" t="s">
        <v>1524</v>
      </c>
      <c r="R71" s="167">
        <f>COUNTIFS(Başvuru!$D:$D,Q71,Başvuru!$A:$A,"&lt;&gt;"&amp;"",Başvuru!$F:$F,"&lt;&gt;"&amp;"")</f>
        <v>6</v>
      </c>
      <c r="S71" s="167">
        <f>RANK(R71,$R$6:$R$86,0)+COUNTIF($R$6:R71,R71)-1</f>
        <v>32</v>
      </c>
    </row>
    <row r="72" spans="2:19" ht="15" customHeight="1" x14ac:dyDescent="0.25">
      <c r="B72" s="155">
        <v>67</v>
      </c>
      <c r="C72" s="156" t="str">
        <f>IFERROR(INDEX($Q$6:$Q$86,MATCH(67,$S$6:$S$86,0)),"")</f>
        <v>Sağlık Bilimleri Enstitüsü</v>
      </c>
      <c r="D72" s="157">
        <f>IF(C72="","",COUNTIFS(Başvuru!$D:$D,C72,Başvuru!$A:$A,"&lt;&gt;"&amp;"",Başvuru!$F:$F,"&lt;&gt;"&amp;""))</f>
        <v>1</v>
      </c>
      <c r="E72" s="155" t="str">
        <f>IF(C72="","-",IF(D72&gt;0,TEXT(D72/(COUNTIFS(Başvuru!$A:$A,"&lt;&gt;",Başvuru!$F:$F,"&lt;&gt;")-1)*100,"0.0")&amp;"%","-"))</f>
        <v>00%</v>
      </c>
      <c r="F72" s="158">
        <f>IF(C72="","",COUNTIFS(Başvuru!$D:$D,C72,Başvuru!$G:$G,"Bireysel Araştırma",Başvuru!$A:$A,"&lt;&gt;"&amp;"",Başvuru!$F:$F,"&lt;&gt;"&amp;""))</f>
        <v>1</v>
      </c>
      <c r="G72" s="158">
        <f>IF(C72="","",COUNTIFS(Başvuru!$D:$D,C72,Başvuru!$G:$G,"Uzmanlık Tezi",Başvuru!$A:$A,"&lt;&gt;"&amp;"",Başvuru!$F:$F,"&lt;&gt;"&amp;""))</f>
        <v>0</v>
      </c>
      <c r="H72" s="158">
        <f>IF(C72="","",COUNTIFS(Başvuru!$D:$D,C72,Başvuru!$G:$G,"Doktora Tezi",Başvuru!$A:$A,"&lt;&gt;"&amp;"",Başvuru!$F:$F,"&lt;&gt;"&amp;""))</f>
        <v>0</v>
      </c>
      <c r="I72" s="158">
        <f>IF(C72="","",COUNTIFS(Başvuru!$D:$D,C72,Başvuru!$G:$G,"Yüksek Lisans Tezi",Başvuru!$A:$A,"&lt;&gt;"&amp;"",Başvuru!$F:$F,"&lt;&gt;"&amp;""))</f>
        <v>0</v>
      </c>
      <c r="J72" s="159">
        <f>IF(C72="","",COUNTIFS(Başvuru!$D:$D,C72,Başvuru!$L:$L,"ONAY",Başvuru!$A:$A,"&lt;&gt;"&amp;"",Başvuru!$F:$F,"&lt;&gt;"&amp;""))</f>
        <v>1</v>
      </c>
      <c r="K72" s="160">
        <f>IF(C72="","",COUNTIFS(Başvuru!$D:$D,C72,Başvuru!$L:$L,"DÜZELTME",Başvuru!$A:$A,"&lt;&gt;"&amp;"",Başvuru!$F:$F,"&lt;&gt;"&amp;""))</f>
        <v>0</v>
      </c>
      <c r="L72" s="161">
        <f>IF(C72="","",COUNTIFS(Başvuru!$D:$D,C72,Başvuru!$L:$L,"KAEK",Başvuru!$A:$A,"&lt;&gt;"&amp;"",Başvuru!$F:$F,"&lt;&gt;"&amp;""))</f>
        <v>0</v>
      </c>
      <c r="M72" s="162">
        <f>IF(C72="","",COUNTIFS(Başvuru!$D:$D,C72,Başvuru!$L:$L,"GÖRÜŞ",Başvuru!$A:$A,"&lt;&gt;"&amp;"",Başvuru!$F:$F,"&lt;&gt;"&amp;""))</f>
        <v>0</v>
      </c>
      <c r="N72" s="163">
        <f>IF(C72="","",COUNTIFS(Başvuru!$D:$D,C72,Başvuru!$L:$L,"RET",Başvuru!$A:$A,"&lt;&gt;"&amp;"",Başvuru!$F:$F,"&lt;&gt;"&amp;""))</f>
        <v>0</v>
      </c>
      <c r="O72" s="164">
        <f>IF(C72="","",COUNTIFS(Başvuru!$D:$D,C72,Başvuru!$L:$L,"KAPSAM DIŞI",Başvuru!$A:$A,"&lt;&gt;"&amp;"",Başvuru!$F:$F,"&lt;&gt;"&amp;""))</f>
        <v>0</v>
      </c>
      <c r="P72" s="165">
        <f>IF(C72="","",COUNTIFS(Başvuru!$D:$D,C72,Başvuru!$L:$L,"GERİ ÇEKİLDİ",Başvuru!$A:$A,"&lt;&gt;"&amp;"",Başvuru!$F:$F,"&lt;&gt;"&amp;""))</f>
        <v>0</v>
      </c>
      <c r="Q72" s="166" t="s">
        <v>161</v>
      </c>
      <c r="R72" s="167">
        <f>COUNTIFS(Başvuru!$D:$D,Q72,Başvuru!$A:$A,"&lt;&gt;"&amp;"",Başvuru!$F:$F,"&lt;&gt;"&amp;"")</f>
        <v>3</v>
      </c>
      <c r="S72" s="167">
        <f>RANK(R72,$R$6:$R$86,0)+COUNTIF($R$6:R72,R72)-1</f>
        <v>44</v>
      </c>
    </row>
    <row r="73" spans="2:19" ht="15" customHeight="1" x14ac:dyDescent="0.25">
      <c r="B73" s="168">
        <v>68</v>
      </c>
      <c r="C73" s="169" t="str">
        <f>IFERROR(INDEX($Q$6:$Q$86,MATCH(68,$S$6:$S$86,0)),"")</f>
        <v>Sağlık Bilişimi Anabilim Dalı</v>
      </c>
      <c r="D73" s="170">
        <f>IF(C73="","",COUNTIFS(Başvuru!$D:$D,C73,Başvuru!$A:$A,"&lt;&gt;"&amp;"",Başvuru!$F:$F,"&lt;&gt;"&amp;""))</f>
        <v>1</v>
      </c>
      <c r="E73" s="168" t="str">
        <f>IF(C73="","-",IF(D73&gt;0,TEXT(D73/(COUNTIFS(Başvuru!$A:$A,"&lt;&gt;",Başvuru!$F:$F,"&lt;&gt;")-1)*100,"0.0")&amp;"%","-"))</f>
        <v>00%</v>
      </c>
      <c r="F73" s="171">
        <f>IF(C73="","",COUNTIFS(Başvuru!$D:$D,C73,Başvuru!$G:$G,"Bireysel Araştırma",Başvuru!$A:$A,"&lt;&gt;"&amp;"",Başvuru!$F:$F,"&lt;&gt;"&amp;""))</f>
        <v>0</v>
      </c>
      <c r="G73" s="171">
        <f>IF(C73="","",COUNTIFS(Başvuru!$D:$D,C73,Başvuru!$G:$G,"Uzmanlık Tezi",Başvuru!$A:$A,"&lt;&gt;"&amp;"",Başvuru!$F:$F,"&lt;&gt;"&amp;""))</f>
        <v>0</v>
      </c>
      <c r="H73" s="171">
        <f>IF(C73="","",COUNTIFS(Başvuru!$D:$D,C73,Başvuru!$G:$G,"Doktora Tezi",Başvuru!$A:$A,"&lt;&gt;"&amp;"",Başvuru!$F:$F,"&lt;&gt;"&amp;""))</f>
        <v>1</v>
      </c>
      <c r="I73" s="171">
        <f>IF(C73="","",COUNTIFS(Başvuru!$D:$D,C73,Başvuru!$G:$G,"Yüksek Lisans Tezi",Başvuru!$A:$A,"&lt;&gt;"&amp;"",Başvuru!$F:$F,"&lt;&gt;"&amp;""))</f>
        <v>0</v>
      </c>
      <c r="J73" s="172">
        <f>IF(C73="","",COUNTIFS(Başvuru!$D:$D,C73,Başvuru!$L:$L,"ONAY",Başvuru!$A:$A,"&lt;&gt;"&amp;"",Başvuru!$F:$F,"&lt;&gt;"&amp;""))</f>
        <v>1</v>
      </c>
      <c r="K73" s="173">
        <f>IF(C73="","",COUNTIFS(Başvuru!$D:$D,C73,Başvuru!$L:$L,"DÜZELTME",Başvuru!$A:$A,"&lt;&gt;"&amp;"",Başvuru!$F:$F,"&lt;&gt;"&amp;""))</f>
        <v>0</v>
      </c>
      <c r="L73" s="174">
        <f>IF(C73="","",COUNTIFS(Başvuru!$D:$D,C73,Başvuru!$L:$L,"KAEK",Başvuru!$A:$A,"&lt;&gt;"&amp;"",Başvuru!$F:$F,"&lt;&gt;"&amp;""))</f>
        <v>0</v>
      </c>
      <c r="M73" s="175">
        <f>IF(C73="","",COUNTIFS(Başvuru!$D:$D,C73,Başvuru!$L:$L,"GÖRÜŞ",Başvuru!$A:$A,"&lt;&gt;"&amp;"",Başvuru!$F:$F,"&lt;&gt;"&amp;""))</f>
        <v>0</v>
      </c>
      <c r="N73" s="176">
        <f>IF(C73="","",COUNTIFS(Başvuru!$D:$D,C73,Başvuru!$L:$L,"RET",Başvuru!$A:$A,"&lt;&gt;"&amp;"",Başvuru!$F:$F,"&lt;&gt;"&amp;""))</f>
        <v>0</v>
      </c>
      <c r="O73" s="177">
        <f>IF(C73="","",COUNTIFS(Başvuru!$D:$D,C73,Başvuru!$L:$L,"KAPSAM DIŞI",Başvuru!$A:$A,"&lt;&gt;"&amp;"",Başvuru!$F:$F,"&lt;&gt;"&amp;""))</f>
        <v>0</v>
      </c>
      <c r="P73" s="178">
        <f>IF(C73="","",COUNTIFS(Başvuru!$D:$D,C73,Başvuru!$L:$L,"GERİ ÇEKİLDİ",Başvuru!$A:$A,"&lt;&gt;"&amp;"",Başvuru!$F:$F,"&lt;&gt;"&amp;""))</f>
        <v>0</v>
      </c>
      <c r="Q73" s="166" t="s">
        <v>416</v>
      </c>
      <c r="R73" s="167">
        <f>COUNTIFS(Başvuru!$D:$D,Q73,Başvuru!$A:$A,"&lt;&gt;"&amp;"",Başvuru!$F:$F,"&lt;&gt;"&amp;"")</f>
        <v>13</v>
      </c>
      <c r="S73" s="167">
        <f>RANK(R73,$R$6:$R$86,0)+COUNTIF($R$6:R73,R73)-1</f>
        <v>13</v>
      </c>
    </row>
    <row r="74" spans="2:19" ht="15" customHeight="1" x14ac:dyDescent="0.25">
      <c r="B74" s="155">
        <v>69</v>
      </c>
      <c r="C74" s="156" t="str">
        <f>IFERROR(INDEX($Q$6:$Q$86,MATCH(69,$S$6:$S$86,0)),"")</f>
        <v>Sosyal Pediatri Anabilim Dalı</v>
      </c>
      <c r="D74" s="157">
        <f>IF(C74="","",COUNTIFS(Başvuru!$D:$D,C74,Başvuru!$A:$A,"&lt;&gt;"&amp;"",Başvuru!$F:$F,"&lt;&gt;"&amp;""))</f>
        <v>1</v>
      </c>
      <c r="E74" s="155" t="str">
        <f>IF(C74="","-",IF(D74&gt;0,TEXT(D74/(COUNTIFS(Başvuru!$A:$A,"&lt;&gt;",Başvuru!$F:$F,"&lt;&gt;")-1)*100,"0.0")&amp;"%","-"))</f>
        <v>00%</v>
      </c>
      <c r="F74" s="158">
        <f>IF(C74="","",COUNTIFS(Başvuru!$D:$D,C74,Başvuru!$G:$G,"Bireysel Araştırma",Başvuru!$A:$A,"&lt;&gt;"&amp;"",Başvuru!$F:$F,"&lt;&gt;"&amp;""))</f>
        <v>0</v>
      </c>
      <c r="G74" s="158">
        <f>IF(C74="","",COUNTIFS(Başvuru!$D:$D,C74,Başvuru!$G:$G,"Uzmanlık Tezi",Başvuru!$A:$A,"&lt;&gt;"&amp;"",Başvuru!$F:$F,"&lt;&gt;"&amp;""))</f>
        <v>0</v>
      </c>
      <c r="H74" s="158">
        <f>IF(C74="","",COUNTIFS(Başvuru!$D:$D,C74,Başvuru!$G:$G,"Doktora Tezi",Başvuru!$A:$A,"&lt;&gt;"&amp;"",Başvuru!$F:$F,"&lt;&gt;"&amp;""))</f>
        <v>1</v>
      </c>
      <c r="I74" s="158">
        <f>IF(C74="","",COUNTIFS(Başvuru!$D:$D,C74,Başvuru!$G:$G,"Yüksek Lisans Tezi",Başvuru!$A:$A,"&lt;&gt;"&amp;"",Başvuru!$F:$F,"&lt;&gt;"&amp;""))</f>
        <v>0</v>
      </c>
      <c r="J74" s="159">
        <f>IF(C74="","",COUNTIFS(Başvuru!$D:$D,C74,Başvuru!$L:$L,"ONAY",Başvuru!$A:$A,"&lt;&gt;"&amp;"",Başvuru!$F:$F,"&lt;&gt;"&amp;""))</f>
        <v>1</v>
      </c>
      <c r="K74" s="160">
        <f>IF(C74="","",COUNTIFS(Başvuru!$D:$D,C74,Başvuru!$L:$L,"DÜZELTME",Başvuru!$A:$A,"&lt;&gt;"&amp;"",Başvuru!$F:$F,"&lt;&gt;"&amp;""))</f>
        <v>0</v>
      </c>
      <c r="L74" s="161">
        <f>IF(C74="","",COUNTIFS(Başvuru!$D:$D,C74,Başvuru!$L:$L,"KAEK",Başvuru!$A:$A,"&lt;&gt;"&amp;"",Başvuru!$F:$F,"&lt;&gt;"&amp;""))</f>
        <v>0</v>
      </c>
      <c r="M74" s="162">
        <f>IF(C74="","",COUNTIFS(Başvuru!$D:$D,C74,Başvuru!$L:$L,"GÖRÜŞ",Başvuru!$A:$A,"&lt;&gt;"&amp;"",Başvuru!$F:$F,"&lt;&gt;"&amp;""))</f>
        <v>0</v>
      </c>
      <c r="N74" s="163">
        <f>IF(C74="","",COUNTIFS(Başvuru!$D:$D,C74,Başvuru!$L:$L,"RET",Başvuru!$A:$A,"&lt;&gt;"&amp;"",Başvuru!$F:$F,"&lt;&gt;"&amp;""))</f>
        <v>0</v>
      </c>
      <c r="O74" s="164">
        <f>IF(C74="","",COUNTIFS(Başvuru!$D:$D,C74,Başvuru!$L:$L,"KAPSAM DIŞI",Başvuru!$A:$A,"&lt;&gt;"&amp;"",Başvuru!$F:$F,"&lt;&gt;"&amp;""))</f>
        <v>0</v>
      </c>
      <c r="P74" s="165">
        <f>IF(C74="","",COUNTIFS(Başvuru!$D:$D,C74,Başvuru!$L:$L,"GERİ ÇEKİLDİ",Başvuru!$A:$A,"&lt;&gt;"&amp;"",Başvuru!$F:$F,"&lt;&gt;"&amp;""))</f>
        <v>0</v>
      </c>
      <c r="Q74" s="166" t="s">
        <v>1223</v>
      </c>
      <c r="R74" s="167">
        <f>COUNTIFS(Başvuru!$D:$D,Q74,Başvuru!$A:$A,"&lt;&gt;"&amp;"",Başvuru!$F:$F,"&lt;&gt;"&amp;"")</f>
        <v>1</v>
      </c>
      <c r="S74" s="167">
        <f>RANK(R74,$R$6:$R$86,0)+COUNTIF($R$6:R74,R74)-1</f>
        <v>73</v>
      </c>
    </row>
    <row r="75" spans="2:19" ht="15" customHeight="1" x14ac:dyDescent="0.25">
      <c r="B75" s="168">
        <v>70</v>
      </c>
      <c r="C75" s="169" t="str">
        <f>IFERROR(INDEX($Q$6:$Q$86,MATCH(70,$S$6:$S$86,0)),"")</f>
        <v>Tıbbi Farmakoloji Anabilim Dalı</v>
      </c>
      <c r="D75" s="170">
        <f>IF(C75="","",COUNTIFS(Başvuru!$D:$D,C75,Başvuru!$A:$A,"&lt;&gt;"&amp;"",Başvuru!$F:$F,"&lt;&gt;"&amp;""))</f>
        <v>1</v>
      </c>
      <c r="E75" s="168" t="str">
        <f>IF(C75="","-",IF(D75&gt;0,TEXT(D75/(COUNTIFS(Başvuru!$A:$A,"&lt;&gt;",Başvuru!$F:$F,"&lt;&gt;")-1)*100,"0.0")&amp;"%","-"))</f>
        <v>00%</v>
      </c>
      <c r="F75" s="171">
        <f>IF(C75="","",COUNTIFS(Başvuru!$D:$D,C75,Başvuru!$G:$G,"Bireysel Araştırma",Başvuru!$A:$A,"&lt;&gt;"&amp;"",Başvuru!$F:$F,"&lt;&gt;"&amp;""))</f>
        <v>0</v>
      </c>
      <c r="G75" s="171">
        <f>IF(C75="","",COUNTIFS(Başvuru!$D:$D,C75,Başvuru!$G:$G,"Uzmanlık Tezi",Başvuru!$A:$A,"&lt;&gt;"&amp;"",Başvuru!$F:$F,"&lt;&gt;"&amp;""))</f>
        <v>1</v>
      </c>
      <c r="H75" s="171">
        <f>IF(C75="","",COUNTIFS(Başvuru!$D:$D,C75,Başvuru!$G:$G,"Doktora Tezi",Başvuru!$A:$A,"&lt;&gt;"&amp;"",Başvuru!$F:$F,"&lt;&gt;"&amp;""))</f>
        <v>0</v>
      </c>
      <c r="I75" s="171">
        <f>IF(C75="","",COUNTIFS(Başvuru!$D:$D,C75,Başvuru!$G:$G,"Yüksek Lisans Tezi",Başvuru!$A:$A,"&lt;&gt;"&amp;"",Başvuru!$F:$F,"&lt;&gt;"&amp;""))</f>
        <v>0</v>
      </c>
      <c r="J75" s="172">
        <f>IF(C75="","",COUNTIFS(Başvuru!$D:$D,C75,Başvuru!$L:$L,"ONAY",Başvuru!$A:$A,"&lt;&gt;"&amp;"",Başvuru!$F:$F,"&lt;&gt;"&amp;""))</f>
        <v>1</v>
      </c>
      <c r="K75" s="173">
        <f>IF(C75="","",COUNTIFS(Başvuru!$D:$D,C75,Başvuru!$L:$L,"DÜZELTME",Başvuru!$A:$A,"&lt;&gt;"&amp;"",Başvuru!$F:$F,"&lt;&gt;"&amp;""))</f>
        <v>0</v>
      </c>
      <c r="L75" s="174">
        <f>IF(C75="","",COUNTIFS(Başvuru!$D:$D,C75,Başvuru!$L:$L,"KAEK",Başvuru!$A:$A,"&lt;&gt;"&amp;"",Başvuru!$F:$F,"&lt;&gt;"&amp;""))</f>
        <v>0</v>
      </c>
      <c r="M75" s="175">
        <f>IF(C75="","",COUNTIFS(Başvuru!$D:$D,C75,Başvuru!$L:$L,"GÖRÜŞ",Başvuru!$A:$A,"&lt;&gt;"&amp;"",Başvuru!$F:$F,"&lt;&gt;"&amp;""))</f>
        <v>0</v>
      </c>
      <c r="N75" s="176">
        <f>IF(C75="","",COUNTIFS(Başvuru!$D:$D,C75,Başvuru!$L:$L,"RET",Başvuru!$A:$A,"&lt;&gt;"&amp;"",Başvuru!$F:$F,"&lt;&gt;"&amp;""))</f>
        <v>0</v>
      </c>
      <c r="O75" s="177">
        <f>IF(C75="","",COUNTIFS(Başvuru!$D:$D,C75,Başvuru!$L:$L,"KAPSAM DIŞI",Başvuru!$A:$A,"&lt;&gt;"&amp;"",Başvuru!$F:$F,"&lt;&gt;"&amp;""))</f>
        <v>0</v>
      </c>
      <c r="P75" s="178">
        <f>IF(C75="","",COUNTIFS(Başvuru!$D:$D,C75,Başvuru!$L:$L,"GERİ ÇEKİLDİ",Başvuru!$A:$A,"&lt;&gt;"&amp;"",Başvuru!$F:$F,"&lt;&gt;"&amp;""))</f>
        <v>0</v>
      </c>
      <c r="Q75" s="166" t="s">
        <v>237</v>
      </c>
      <c r="R75" s="167">
        <f>COUNTIFS(Başvuru!$D:$D,Q75,Başvuru!$A:$A,"&lt;&gt;"&amp;"",Başvuru!$F:$F,"&lt;&gt;"&amp;"")</f>
        <v>113</v>
      </c>
      <c r="S75" s="167">
        <f>RANK(R75,$R$6:$R$86,0)+COUNTIF($R$6:R75,R75)-1</f>
        <v>2</v>
      </c>
    </row>
    <row r="76" spans="2:19" ht="15" customHeight="1" x14ac:dyDescent="0.25">
      <c r="B76" s="155">
        <v>71</v>
      </c>
      <c r="C76" s="156" t="str">
        <f>IFERROR(INDEX($Q$6:$Q$86,MATCH(71,$S$6:$S$86,0)),"")</f>
        <v>Tıbbi Genetik Anabilim Dalı</v>
      </c>
      <c r="D76" s="157">
        <f>IF(C76="","",COUNTIFS(Başvuru!$D:$D,C76,Başvuru!$A:$A,"&lt;&gt;"&amp;"",Başvuru!$F:$F,"&lt;&gt;"&amp;""))</f>
        <v>1</v>
      </c>
      <c r="E76" s="155" t="str">
        <f>IF(C76="","-",IF(D76&gt;0,TEXT(D76/(COUNTIFS(Başvuru!$A:$A,"&lt;&gt;",Başvuru!$F:$F,"&lt;&gt;")-1)*100,"0.0")&amp;"%","-"))</f>
        <v>00%</v>
      </c>
      <c r="F76" s="158">
        <f>IF(C76="","",COUNTIFS(Başvuru!$D:$D,C76,Başvuru!$G:$G,"Bireysel Araştırma",Başvuru!$A:$A,"&lt;&gt;"&amp;"",Başvuru!$F:$F,"&lt;&gt;"&amp;""))</f>
        <v>0</v>
      </c>
      <c r="G76" s="158">
        <f>IF(C76="","",COUNTIFS(Başvuru!$D:$D,C76,Başvuru!$G:$G,"Uzmanlık Tezi",Başvuru!$A:$A,"&lt;&gt;"&amp;"",Başvuru!$F:$F,"&lt;&gt;"&amp;""))</f>
        <v>1</v>
      </c>
      <c r="H76" s="158">
        <f>IF(C76="","",COUNTIFS(Başvuru!$D:$D,C76,Başvuru!$G:$G,"Doktora Tezi",Başvuru!$A:$A,"&lt;&gt;"&amp;"",Başvuru!$F:$F,"&lt;&gt;"&amp;""))</f>
        <v>0</v>
      </c>
      <c r="I76" s="158">
        <f>IF(C76="","",COUNTIFS(Başvuru!$D:$D,C76,Başvuru!$G:$G,"Yüksek Lisans Tezi",Başvuru!$A:$A,"&lt;&gt;"&amp;"",Başvuru!$F:$F,"&lt;&gt;"&amp;""))</f>
        <v>0</v>
      </c>
      <c r="J76" s="159">
        <f>IF(C76="","",COUNTIFS(Başvuru!$D:$D,C76,Başvuru!$L:$L,"ONAY",Başvuru!$A:$A,"&lt;&gt;"&amp;"",Başvuru!$F:$F,"&lt;&gt;"&amp;""))</f>
        <v>1</v>
      </c>
      <c r="K76" s="160">
        <f>IF(C76="","",COUNTIFS(Başvuru!$D:$D,C76,Başvuru!$L:$L,"DÜZELTME",Başvuru!$A:$A,"&lt;&gt;"&amp;"",Başvuru!$F:$F,"&lt;&gt;"&amp;""))</f>
        <v>0</v>
      </c>
      <c r="L76" s="161">
        <f>IF(C76="","",COUNTIFS(Başvuru!$D:$D,C76,Başvuru!$L:$L,"KAEK",Başvuru!$A:$A,"&lt;&gt;"&amp;"",Başvuru!$F:$F,"&lt;&gt;"&amp;""))</f>
        <v>0</v>
      </c>
      <c r="M76" s="162">
        <f>IF(C76="","",COUNTIFS(Başvuru!$D:$D,C76,Başvuru!$L:$L,"GÖRÜŞ",Başvuru!$A:$A,"&lt;&gt;"&amp;"",Başvuru!$F:$F,"&lt;&gt;"&amp;""))</f>
        <v>0</v>
      </c>
      <c r="N76" s="163">
        <f>IF(C76="","",COUNTIFS(Başvuru!$D:$D,C76,Başvuru!$L:$L,"RET",Başvuru!$A:$A,"&lt;&gt;"&amp;"",Başvuru!$F:$F,"&lt;&gt;"&amp;""))</f>
        <v>0</v>
      </c>
      <c r="O76" s="164">
        <f>IF(C76="","",COUNTIFS(Başvuru!$D:$D,C76,Başvuru!$L:$L,"KAPSAM DIŞI",Başvuru!$A:$A,"&lt;&gt;"&amp;"",Başvuru!$F:$F,"&lt;&gt;"&amp;""))</f>
        <v>0</v>
      </c>
      <c r="P76" s="165">
        <f>IF(C76="","",COUNTIFS(Başvuru!$D:$D,C76,Başvuru!$L:$L,"GERİ ÇEKİLDİ",Başvuru!$A:$A,"&lt;&gt;"&amp;"",Başvuru!$F:$F,"&lt;&gt;"&amp;""))</f>
        <v>0</v>
      </c>
      <c r="Q76" s="166" t="s">
        <v>133</v>
      </c>
      <c r="R76" s="167">
        <f>COUNTIFS(Başvuru!$D:$D,Q76,Başvuru!$A:$A,"&lt;&gt;"&amp;"",Başvuru!$F:$F,"&lt;&gt;"&amp;"")</f>
        <v>14</v>
      </c>
      <c r="S76" s="167">
        <f>RANK(R76,$R$6:$R$86,0)+COUNTIF($R$6:R76,R76)-1</f>
        <v>12</v>
      </c>
    </row>
    <row r="77" spans="2:19" ht="15" customHeight="1" x14ac:dyDescent="0.25">
      <c r="B77" s="168">
        <v>72</v>
      </c>
      <c r="C77" s="169" t="str">
        <f>IFERROR(INDEX($Q$6:$Q$86,MATCH(72,$S$6:$S$86,0)),"")</f>
        <v>Tıbbi Laboratuvar Teknikleri Programı</v>
      </c>
      <c r="D77" s="170">
        <f>IF(C77="","",COUNTIFS(Başvuru!$D:$D,C77,Başvuru!$A:$A,"&lt;&gt;"&amp;"",Başvuru!$F:$F,"&lt;&gt;"&amp;""))</f>
        <v>1</v>
      </c>
      <c r="E77" s="168" t="str">
        <f>IF(C77="","-",IF(D77&gt;0,TEXT(D77/(COUNTIFS(Başvuru!$A:$A,"&lt;&gt;",Başvuru!$F:$F,"&lt;&gt;")-1)*100,"0.0")&amp;"%","-"))</f>
        <v>00%</v>
      </c>
      <c r="F77" s="171">
        <f>IF(C77="","",COUNTIFS(Başvuru!$D:$D,C77,Başvuru!$G:$G,"Bireysel Araştırma",Başvuru!$A:$A,"&lt;&gt;"&amp;"",Başvuru!$F:$F,"&lt;&gt;"&amp;""))</f>
        <v>1</v>
      </c>
      <c r="G77" s="171">
        <f>IF(C77="","",COUNTIFS(Başvuru!$D:$D,C77,Başvuru!$G:$G,"Uzmanlık Tezi",Başvuru!$A:$A,"&lt;&gt;"&amp;"",Başvuru!$F:$F,"&lt;&gt;"&amp;""))</f>
        <v>0</v>
      </c>
      <c r="H77" s="171">
        <f>IF(C77="","",COUNTIFS(Başvuru!$D:$D,C77,Başvuru!$G:$G,"Doktora Tezi",Başvuru!$A:$A,"&lt;&gt;"&amp;"",Başvuru!$F:$F,"&lt;&gt;"&amp;""))</f>
        <v>0</v>
      </c>
      <c r="I77" s="171">
        <f>IF(C77="","",COUNTIFS(Başvuru!$D:$D,C77,Başvuru!$G:$G,"Yüksek Lisans Tezi",Başvuru!$A:$A,"&lt;&gt;"&amp;"",Başvuru!$F:$F,"&lt;&gt;"&amp;""))</f>
        <v>0</v>
      </c>
      <c r="J77" s="172">
        <f>IF(C77="","",COUNTIFS(Başvuru!$D:$D,C77,Başvuru!$L:$L,"ONAY",Başvuru!$A:$A,"&lt;&gt;"&amp;"",Başvuru!$F:$F,"&lt;&gt;"&amp;""))</f>
        <v>0</v>
      </c>
      <c r="K77" s="173">
        <f>IF(C77="","",COUNTIFS(Başvuru!$D:$D,C77,Başvuru!$L:$L,"DÜZELTME",Başvuru!$A:$A,"&lt;&gt;"&amp;"",Başvuru!$F:$F,"&lt;&gt;"&amp;""))</f>
        <v>1</v>
      </c>
      <c r="L77" s="174">
        <f>IF(C77="","",COUNTIFS(Başvuru!$D:$D,C77,Başvuru!$L:$L,"KAEK",Başvuru!$A:$A,"&lt;&gt;"&amp;"",Başvuru!$F:$F,"&lt;&gt;"&amp;""))</f>
        <v>0</v>
      </c>
      <c r="M77" s="175">
        <f>IF(C77="","",COUNTIFS(Başvuru!$D:$D,C77,Başvuru!$L:$L,"GÖRÜŞ",Başvuru!$A:$A,"&lt;&gt;"&amp;"",Başvuru!$F:$F,"&lt;&gt;"&amp;""))</f>
        <v>0</v>
      </c>
      <c r="N77" s="176">
        <f>IF(C77="","",COUNTIFS(Başvuru!$D:$D,C77,Başvuru!$L:$L,"RET",Başvuru!$A:$A,"&lt;&gt;"&amp;"",Başvuru!$F:$F,"&lt;&gt;"&amp;""))</f>
        <v>0</v>
      </c>
      <c r="O77" s="177">
        <f>IF(C77="","",COUNTIFS(Başvuru!$D:$D,C77,Başvuru!$L:$L,"KAPSAM DIŞI",Başvuru!$A:$A,"&lt;&gt;"&amp;"",Başvuru!$F:$F,"&lt;&gt;"&amp;""))</f>
        <v>0</v>
      </c>
      <c r="P77" s="178">
        <f>IF(C77="","",COUNTIFS(Başvuru!$D:$D,C77,Başvuru!$L:$L,"GERİ ÇEKİLDİ",Başvuru!$A:$A,"&lt;&gt;"&amp;"",Başvuru!$F:$F,"&lt;&gt;"&amp;""))</f>
        <v>0</v>
      </c>
      <c r="Q77" s="166" t="s">
        <v>435</v>
      </c>
      <c r="R77" s="167">
        <f>COUNTIFS(Başvuru!$D:$D,Q77,Başvuru!$A:$A,"&lt;&gt;"&amp;"",Başvuru!$F:$F,"&lt;&gt;"&amp;"")</f>
        <v>8</v>
      </c>
      <c r="S77" s="167">
        <f>RANK(R77,$R$6:$R$86,0)+COUNTIF($R$6:R77,R77)-1</f>
        <v>22</v>
      </c>
    </row>
    <row r="78" spans="2:19" ht="15" customHeight="1" x14ac:dyDescent="0.25">
      <c r="B78" s="155">
        <v>73</v>
      </c>
      <c r="C78" s="156" t="str">
        <f>IFERROR(INDEX($Q$6:$Q$86,MATCH(73,$S$6:$S$86,0)),"")</f>
        <v>Çocuk Sağlığı Entitüsü</v>
      </c>
      <c r="D78" s="157">
        <f>IF(C78="","",COUNTIFS(Başvuru!$D:$D,C78,Başvuru!$A:$A,"&lt;&gt;"&amp;"",Başvuru!$F:$F,"&lt;&gt;"&amp;""))</f>
        <v>1</v>
      </c>
      <c r="E78" s="155" t="str">
        <f>IF(C78="","-",IF(D78&gt;0,TEXT(D78/(COUNTIFS(Başvuru!$A:$A,"&lt;&gt;",Başvuru!$F:$F,"&lt;&gt;")-1)*100,"0.0")&amp;"%","-"))</f>
        <v>00%</v>
      </c>
      <c r="F78" s="158">
        <f>IF(C78="","",COUNTIFS(Başvuru!$D:$D,C78,Başvuru!$G:$G,"Bireysel Araştırma",Başvuru!$A:$A,"&lt;&gt;"&amp;"",Başvuru!$F:$F,"&lt;&gt;"&amp;""))</f>
        <v>1</v>
      </c>
      <c r="G78" s="158">
        <f>IF(C78="","",COUNTIFS(Başvuru!$D:$D,C78,Başvuru!$G:$G,"Uzmanlık Tezi",Başvuru!$A:$A,"&lt;&gt;"&amp;"",Başvuru!$F:$F,"&lt;&gt;"&amp;""))</f>
        <v>0</v>
      </c>
      <c r="H78" s="158">
        <f>IF(C78="","",COUNTIFS(Başvuru!$D:$D,C78,Başvuru!$G:$G,"Doktora Tezi",Başvuru!$A:$A,"&lt;&gt;"&amp;"",Başvuru!$F:$F,"&lt;&gt;"&amp;""))</f>
        <v>0</v>
      </c>
      <c r="I78" s="158">
        <f>IF(C78="","",COUNTIFS(Başvuru!$D:$D,C78,Başvuru!$G:$G,"Yüksek Lisans Tezi",Başvuru!$A:$A,"&lt;&gt;"&amp;"",Başvuru!$F:$F,"&lt;&gt;"&amp;""))</f>
        <v>0</v>
      </c>
      <c r="J78" s="159">
        <f>IF(C78="","",COUNTIFS(Başvuru!$D:$D,C78,Başvuru!$L:$L,"ONAY",Başvuru!$A:$A,"&lt;&gt;"&amp;"",Başvuru!$F:$F,"&lt;&gt;"&amp;""))</f>
        <v>0</v>
      </c>
      <c r="K78" s="160">
        <f>IF(C78="","",COUNTIFS(Başvuru!$D:$D,C78,Başvuru!$L:$L,"DÜZELTME",Başvuru!$A:$A,"&lt;&gt;"&amp;"",Başvuru!$F:$F,"&lt;&gt;"&amp;""))</f>
        <v>1</v>
      </c>
      <c r="L78" s="161">
        <f>IF(C78="","",COUNTIFS(Başvuru!$D:$D,C78,Başvuru!$L:$L,"KAEK",Başvuru!$A:$A,"&lt;&gt;"&amp;"",Başvuru!$F:$F,"&lt;&gt;"&amp;""))</f>
        <v>0</v>
      </c>
      <c r="M78" s="162">
        <f>IF(C78="","",COUNTIFS(Başvuru!$D:$D,C78,Başvuru!$L:$L,"GÖRÜŞ",Başvuru!$A:$A,"&lt;&gt;"&amp;"",Başvuru!$F:$F,"&lt;&gt;"&amp;""))</f>
        <v>0</v>
      </c>
      <c r="N78" s="163">
        <f>IF(C78="","",COUNTIFS(Başvuru!$D:$D,C78,Başvuru!$L:$L,"RET",Başvuru!$A:$A,"&lt;&gt;"&amp;"",Başvuru!$F:$F,"&lt;&gt;"&amp;""))</f>
        <v>0</v>
      </c>
      <c r="O78" s="164">
        <f>IF(C78="","",COUNTIFS(Başvuru!$D:$D,C78,Başvuru!$L:$L,"KAPSAM DIŞI",Başvuru!$A:$A,"&lt;&gt;"&amp;"",Başvuru!$F:$F,"&lt;&gt;"&amp;""))</f>
        <v>0</v>
      </c>
      <c r="P78" s="165">
        <f>IF(C78="","",COUNTIFS(Başvuru!$D:$D,C78,Başvuru!$L:$L,"GERİ ÇEKİLDİ",Başvuru!$A:$A,"&lt;&gt;"&amp;"",Başvuru!$F:$F,"&lt;&gt;"&amp;""))</f>
        <v>0</v>
      </c>
      <c r="Q78" s="166" t="s">
        <v>110</v>
      </c>
      <c r="R78" s="167">
        <f>COUNTIFS(Başvuru!$D:$D,Q78,Başvuru!$A:$A,"&lt;&gt;"&amp;"",Başvuru!$F:$F,"&lt;&gt;"&amp;"")</f>
        <v>119</v>
      </c>
      <c r="S78" s="167">
        <f>RANK(R78,$R$6:$R$86,0)+COUNTIF($R$6:R78,R78)-1</f>
        <v>1</v>
      </c>
    </row>
    <row r="79" spans="2:19" ht="15" customHeight="1" x14ac:dyDescent="0.25">
      <c r="B79" s="155">
        <v>74</v>
      </c>
      <c r="C79" s="156" t="str">
        <f>IFERROR(INDEX($Q$6:$Q$86,MATCH(74,$S$6:$S$86,0)),"")</f>
        <v>Biyokimya Anabilim Dalı</v>
      </c>
      <c r="D79" s="157">
        <f>IF(C79="","",COUNTIFS(Başvuru!$D:$D,C79,Başvuru!$A:$A,"&lt;&gt;"&amp;"",Başvuru!$F:$F,"&lt;&gt;"&amp;""))</f>
        <v>1</v>
      </c>
      <c r="E79" s="155" t="str">
        <f>IF(C79="","-",IF(D79&gt;0,TEXT(D79/(COUNTIFS(Başvuru!$A:$A,"&lt;&gt;",Başvuru!$F:$F,"&lt;&gt;")-1)*100,"0.0")&amp;"%","-"))</f>
        <v>00%</v>
      </c>
      <c r="F79" s="158">
        <f>IF(C79="","",COUNTIFS(Başvuru!$D:$D,C79,Başvuru!$G:$G,"Bireysel Araştırma",Başvuru!$A:$A,"&lt;&gt;"&amp;"",Başvuru!$F:$F,"&lt;&gt;"&amp;""))</f>
        <v>1</v>
      </c>
      <c r="G79" s="158">
        <f>IF(C79="","",COUNTIFS(Başvuru!$D:$D,C79,Başvuru!$G:$G,"Uzmanlık Tezi",Başvuru!$A:$A,"&lt;&gt;"&amp;"",Başvuru!$F:$F,"&lt;&gt;"&amp;""))</f>
        <v>0</v>
      </c>
      <c r="H79" s="158">
        <f>IF(C79="","",COUNTIFS(Başvuru!$D:$D,C79,Başvuru!$G:$G,"Doktora Tezi",Başvuru!$A:$A,"&lt;&gt;"&amp;"",Başvuru!$F:$F,"&lt;&gt;"&amp;""))</f>
        <v>0</v>
      </c>
      <c r="I79" s="158">
        <f>IF(C79="","",COUNTIFS(Başvuru!$D:$D,C79,Başvuru!$G:$G,"Yüksek Lisans Tezi",Başvuru!$A:$A,"&lt;&gt;"&amp;"",Başvuru!$F:$F,"&lt;&gt;"&amp;""))</f>
        <v>0</v>
      </c>
      <c r="J79" s="159">
        <f>IF(C79="","",COUNTIFS(Başvuru!$D:$D,C79,Başvuru!$L:$L,"ONAY",Başvuru!$A:$A,"&lt;&gt;"&amp;"",Başvuru!$F:$F,"&lt;&gt;"&amp;""))</f>
        <v>0</v>
      </c>
      <c r="K79" s="160">
        <f>IF(C79="","",COUNTIFS(Başvuru!$D:$D,C79,Başvuru!$L:$L,"DÜZELTME",Başvuru!$A:$A,"&lt;&gt;"&amp;"",Başvuru!$F:$F,"&lt;&gt;"&amp;""))</f>
        <v>0</v>
      </c>
      <c r="L79" s="161">
        <f>IF(C79="","",COUNTIFS(Başvuru!$D:$D,C79,Başvuru!$L:$L,"KAEK",Başvuru!$A:$A,"&lt;&gt;"&amp;"",Başvuru!$F:$F,"&lt;&gt;"&amp;""))</f>
        <v>0</v>
      </c>
      <c r="M79" s="162">
        <f>IF(C79="","",COUNTIFS(Başvuru!$D:$D,C79,Başvuru!$L:$L,"GÖRÜŞ",Başvuru!$A:$A,"&lt;&gt;"&amp;"",Başvuru!$F:$F,"&lt;&gt;"&amp;""))</f>
        <v>0</v>
      </c>
      <c r="N79" s="163">
        <f>IF(C79="","",COUNTIFS(Başvuru!$D:$D,C79,Başvuru!$L:$L,"RET",Başvuru!$A:$A,"&lt;&gt;"&amp;"",Başvuru!$F:$F,"&lt;&gt;"&amp;""))</f>
        <v>0</v>
      </c>
      <c r="O79" s="164">
        <f>IF(C79="","",COUNTIFS(Başvuru!$D:$D,C79,Başvuru!$L:$L,"KAPSAM DIŞI",Başvuru!$A:$A,"&lt;&gt;"&amp;"",Başvuru!$F:$F,"&lt;&gt;"&amp;""))</f>
        <v>1</v>
      </c>
      <c r="P79" s="165">
        <f>IF(C79="","",COUNTIFS(Başvuru!$D:$D,C79,Başvuru!$L:$L,"GERİ ÇEKİLDİ",Başvuru!$A:$A,"&lt;&gt;"&amp;"",Başvuru!$F:$F,"&lt;&gt;"&amp;""))</f>
        <v>0</v>
      </c>
      <c r="Q79" s="166" t="s">
        <v>2588</v>
      </c>
      <c r="R79" s="167">
        <f>COUNTIFS(Başvuru!$D:$D,Q79,Başvuru!$A:$A,"&lt;&gt;"&amp;"",Başvuru!$F:$F,"&lt;&gt;"&amp;"")</f>
        <v>1</v>
      </c>
      <c r="S79" s="167">
        <f>RANK(R79,$R$6:$R$86,0)+COUNTIF($R$6:R79,R79)-1</f>
        <v>74</v>
      </c>
    </row>
    <row r="80" spans="2:19" ht="15" customHeight="1" x14ac:dyDescent="0.25">
      <c r="B80" s="155">
        <v>75</v>
      </c>
      <c r="C80" s="156" t="str">
        <f>IFERROR(INDEX($Q$6:$Q$86,MATCH(75,$S$6:$S$86,0)),"")</f>
        <v>Kontrol ve Kumanda Sistemleri Anabilim Dalı</v>
      </c>
      <c r="D80" s="157">
        <f>IF(C80="","",COUNTIFS(Başvuru!$D:$D,C80,Başvuru!$A:$A,"&lt;&gt;"&amp;"",Başvuru!$F:$F,"&lt;&gt;"&amp;""))</f>
        <v>1</v>
      </c>
      <c r="E80" s="155" t="str">
        <f>IF(C80="","-",IF(D80&gt;0,TEXT(D80/(COUNTIFS(Başvuru!$A:$A,"&lt;&gt;",Başvuru!$F:$F,"&lt;&gt;")-1)*100,"0.0")&amp;"%","-"))</f>
        <v>00%</v>
      </c>
      <c r="F80" s="158">
        <f>IF(C80="","",COUNTIFS(Başvuru!$D:$D,C80,Başvuru!$G:$G,"Bireysel Araştırma",Başvuru!$A:$A,"&lt;&gt;"&amp;"",Başvuru!$F:$F,"&lt;&gt;"&amp;""))</f>
        <v>1</v>
      </c>
      <c r="G80" s="158">
        <f>IF(C80="","",COUNTIFS(Başvuru!$D:$D,C80,Başvuru!$G:$G,"Uzmanlık Tezi",Başvuru!$A:$A,"&lt;&gt;"&amp;"",Başvuru!$F:$F,"&lt;&gt;"&amp;""))</f>
        <v>0</v>
      </c>
      <c r="H80" s="158">
        <f>IF(C80="","",COUNTIFS(Başvuru!$D:$D,C80,Başvuru!$G:$G,"Doktora Tezi",Başvuru!$A:$A,"&lt;&gt;"&amp;"",Başvuru!$F:$F,"&lt;&gt;"&amp;""))</f>
        <v>0</v>
      </c>
      <c r="I80" s="158">
        <f>IF(C80="","",COUNTIFS(Başvuru!$D:$D,C80,Başvuru!$G:$G,"Yüksek Lisans Tezi",Başvuru!$A:$A,"&lt;&gt;"&amp;"",Başvuru!$F:$F,"&lt;&gt;"&amp;""))</f>
        <v>0</v>
      </c>
      <c r="J80" s="159">
        <f>IF(C80="","",COUNTIFS(Başvuru!$D:$D,C80,Başvuru!$L:$L,"ONAY",Başvuru!$A:$A,"&lt;&gt;"&amp;"",Başvuru!$F:$F,"&lt;&gt;"&amp;""))</f>
        <v>0</v>
      </c>
      <c r="K80" s="160">
        <f>IF(C80="","",COUNTIFS(Başvuru!$D:$D,C80,Başvuru!$L:$L,"DÜZELTME",Başvuru!$A:$A,"&lt;&gt;"&amp;"",Başvuru!$F:$F,"&lt;&gt;"&amp;""))</f>
        <v>1</v>
      </c>
      <c r="L80" s="161">
        <f>IF(C80="","",COUNTIFS(Başvuru!$D:$D,C80,Başvuru!$L:$L,"KAEK",Başvuru!$A:$A,"&lt;&gt;"&amp;"",Başvuru!$F:$F,"&lt;&gt;"&amp;""))</f>
        <v>0</v>
      </c>
      <c r="M80" s="162">
        <f>IF(C80="","",COUNTIFS(Başvuru!$D:$D,C80,Başvuru!$L:$L,"GÖRÜŞ",Başvuru!$A:$A,"&lt;&gt;"&amp;"",Başvuru!$F:$F,"&lt;&gt;"&amp;""))</f>
        <v>0</v>
      </c>
      <c r="N80" s="163">
        <f>IF(C80="","",COUNTIFS(Başvuru!$D:$D,C80,Başvuru!$L:$L,"RET",Başvuru!$A:$A,"&lt;&gt;"&amp;"",Başvuru!$F:$F,"&lt;&gt;"&amp;""))</f>
        <v>0</v>
      </c>
      <c r="O80" s="164">
        <f>IF(C80="","",COUNTIFS(Başvuru!$D:$D,C80,Başvuru!$L:$L,"KAPSAM DIŞI",Başvuru!$A:$A,"&lt;&gt;"&amp;"",Başvuru!$F:$F,"&lt;&gt;"&amp;""))</f>
        <v>0</v>
      </c>
      <c r="P80" s="165">
        <f>IF(C80="","",COUNTIFS(Başvuru!$D:$D,C80,Başvuru!$L:$L,"GERİ ÇEKİLDİ",Başvuru!$A:$A,"&lt;&gt;"&amp;"",Başvuru!$F:$F,"&lt;&gt;"&amp;""))</f>
        <v>0</v>
      </c>
      <c r="Q80" s="166" t="s">
        <v>2693</v>
      </c>
      <c r="R80" s="167">
        <f>COUNTIFS(Başvuru!$D:$D,Q80,Başvuru!$A:$A,"&lt;&gt;"&amp;"",Başvuru!$F:$F,"&lt;&gt;"&amp;"")</f>
        <v>1</v>
      </c>
      <c r="S80" s="167">
        <f>RANK(R80,$R$6:$R$86,0)+COUNTIF($R$6:R80,R80)-1</f>
        <v>75</v>
      </c>
    </row>
    <row r="81" spans="2:19" ht="15" customHeight="1" x14ac:dyDescent="0.25">
      <c r="B81" s="155">
        <v>76</v>
      </c>
      <c r="C81" s="156" t="str">
        <f>IFERROR(INDEX($Q$6:$Q$86,MATCH(76,$S$6:$S$86,0)),"")</f>
        <v>Bilgisayar Bilimleri Anabilim Dalı</v>
      </c>
      <c r="D81" s="157">
        <f>IF(C81="","",COUNTIFS(Başvuru!$D:$D,C81,Başvuru!$A:$A,"&lt;&gt;"&amp;"",Başvuru!$F:$F,"&lt;&gt;"&amp;""))</f>
        <v>1</v>
      </c>
      <c r="E81" s="155" t="str">
        <f>IF(C81="","-",IF(D81&gt;0,TEXT(D81/(COUNTIFS(Başvuru!$A:$A,"&lt;&gt;",Başvuru!$F:$F,"&lt;&gt;")-1)*100,"0.0")&amp;"%","-"))</f>
        <v>00%</v>
      </c>
      <c r="F81" s="158">
        <f>IF(C81="","",COUNTIFS(Başvuru!$D:$D,C81,Başvuru!$G:$G,"Bireysel Araştırma",Başvuru!$A:$A,"&lt;&gt;"&amp;"",Başvuru!$F:$F,"&lt;&gt;"&amp;""))</f>
        <v>1</v>
      </c>
      <c r="G81" s="158">
        <f>IF(C81="","",COUNTIFS(Başvuru!$D:$D,C81,Başvuru!$G:$G,"Uzmanlık Tezi",Başvuru!$A:$A,"&lt;&gt;"&amp;"",Başvuru!$F:$F,"&lt;&gt;"&amp;""))</f>
        <v>0</v>
      </c>
      <c r="H81" s="158">
        <f>IF(C81="","",COUNTIFS(Başvuru!$D:$D,C81,Başvuru!$G:$G,"Doktora Tezi",Başvuru!$A:$A,"&lt;&gt;"&amp;"",Başvuru!$F:$F,"&lt;&gt;"&amp;""))</f>
        <v>0</v>
      </c>
      <c r="I81" s="158">
        <f>IF(C81="","",COUNTIFS(Başvuru!$D:$D,C81,Başvuru!$G:$G,"Yüksek Lisans Tezi",Başvuru!$A:$A,"&lt;&gt;"&amp;"",Başvuru!$F:$F,"&lt;&gt;"&amp;""))</f>
        <v>0</v>
      </c>
      <c r="J81" s="159">
        <f>IF(C81="","",COUNTIFS(Başvuru!$D:$D,C81,Başvuru!$L:$L,"ONAY",Başvuru!$A:$A,"&lt;&gt;"&amp;"",Başvuru!$F:$F,"&lt;&gt;"&amp;""))</f>
        <v>0</v>
      </c>
      <c r="K81" s="160">
        <f>IF(C81="","",COUNTIFS(Başvuru!$D:$D,C81,Başvuru!$L:$L,"DÜZELTME",Başvuru!$A:$A,"&lt;&gt;"&amp;"",Başvuru!$F:$F,"&lt;&gt;"&amp;""))</f>
        <v>0</v>
      </c>
      <c r="L81" s="161">
        <f>IF(C81="","",COUNTIFS(Başvuru!$D:$D,C81,Başvuru!$L:$L,"KAEK",Başvuru!$A:$A,"&lt;&gt;"&amp;"",Başvuru!$F:$F,"&lt;&gt;"&amp;""))</f>
        <v>0</v>
      </c>
      <c r="M81" s="162">
        <f>IF(C81="","",COUNTIFS(Başvuru!$D:$D,C81,Başvuru!$L:$L,"GÖRÜŞ",Başvuru!$A:$A,"&lt;&gt;"&amp;"",Başvuru!$F:$F,"&lt;&gt;"&amp;""))</f>
        <v>0</v>
      </c>
      <c r="N81" s="163">
        <f>IF(C81="","",COUNTIFS(Başvuru!$D:$D,C81,Başvuru!$L:$L,"RET",Başvuru!$A:$A,"&lt;&gt;"&amp;"",Başvuru!$F:$F,"&lt;&gt;"&amp;""))</f>
        <v>0</v>
      </c>
      <c r="O81" s="164">
        <f>IF(C81="","",COUNTIFS(Başvuru!$D:$D,C81,Başvuru!$L:$L,"KAPSAM DIŞI",Başvuru!$A:$A,"&lt;&gt;"&amp;"",Başvuru!$F:$F,"&lt;&gt;"&amp;""))</f>
        <v>1</v>
      </c>
      <c r="P81" s="165">
        <f>IF(C81="","",COUNTIFS(Başvuru!$D:$D,C81,Başvuru!$L:$L,"GERİ ÇEKİLDİ",Başvuru!$A:$A,"&lt;&gt;"&amp;"",Başvuru!$F:$F,"&lt;&gt;"&amp;""))</f>
        <v>0</v>
      </c>
      <c r="Q81" s="166"/>
      <c r="R81" s="167"/>
      <c r="S81" s="167"/>
    </row>
    <row r="82" spans="2:19" ht="15" customHeight="1" x14ac:dyDescent="0.25">
      <c r="B82" s="155">
        <v>77</v>
      </c>
      <c r="C82" s="156" t="str">
        <f>IFERROR(INDEX($Q$6:$Q$86,MATCH(77,$S$6:$S$86,0)),"")</f>
        <v>Biyomühendislik Anabilim Dalı</v>
      </c>
      <c r="D82" s="157">
        <f>IF(C82="","",COUNTIFS(Başvuru!$D:$D,C82,Başvuru!$A:$A,"&lt;&gt;"&amp;"",Başvuru!$F:$F,"&lt;&gt;"&amp;""))</f>
        <v>1</v>
      </c>
      <c r="E82" s="155" t="str">
        <f>IF(C82="","-",IF(D82&gt;0,TEXT(D82/(COUNTIFS(Başvuru!$A:$A,"&lt;&gt;",Başvuru!$F:$F,"&lt;&gt;")-1)*100,"0.0")&amp;"%","-"))</f>
        <v>00%</v>
      </c>
      <c r="F82" s="158">
        <f>IF(C82="","",COUNTIFS(Başvuru!$D:$D,C82,Başvuru!$G:$G,"Bireysel Araştırma",Başvuru!$A:$A,"&lt;&gt;"&amp;"",Başvuru!$F:$F,"&lt;&gt;"&amp;""))</f>
        <v>0</v>
      </c>
      <c r="G82" s="158">
        <f>IF(C82="","",COUNTIFS(Başvuru!$D:$D,C82,Başvuru!$G:$G,"Uzmanlık Tezi",Başvuru!$A:$A,"&lt;&gt;"&amp;"",Başvuru!$F:$F,"&lt;&gt;"&amp;""))</f>
        <v>0</v>
      </c>
      <c r="H82" s="158">
        <f>IF(C82="","",COUNTIFS(Başvuru!$D:$D,C82,Başvuru!$G:$G,"Doktora Tezi",Başvuru!$A:$A,"&lt;&gt;"&amp;"",Başvuru!$F:$F,"&lt;&gt;"&amp;""))</f>
        <v>1</v>
      </c>
      <c r="I82" s="158">
        <f>IF(C82="","",COUNTIFS(Başvuru!$D:$D,C82,Başvuru!$G:$G,"Yüksek Lisans Tezi",Başvuru!$A:$A,"&lt;&gt;"&amp;"",Başvuru!$F:$F,"&lt;&gt;"&amp;""))</f>
        <v>0</v>
      </c>
      <c r="J82" s="159">
        <f>IF(C82="","",COUNTIFS(Başvuru!$D:$D,C82,Başvuru!$L:$L,"ONAY",Başvuru!$A:$A,"&lt;&gt;"&amp;"",Başvuru!$F:$F,"&lt;&gt;"&amp;""))</f>
        <v>0</v>
      </c>
      <c r="K82" s="160">
        <f>IF(C82="","",COUNTIFS(Başvuru!$D:$D,C82,Başvuru!$L:$L,"DÜZELTME",Başvuru!$A:$A,"&lt;&gt;"&amp;"",Başvuru!$F:$F,"&lt;&gt;"&amp;""))</f>
        <v>1</v>
      </c>
      <c r="L82" s="161">
        <f>IF(C82="","",COUNTIFS(Başvuru!$D:$D,C82,Başvuru!$L:$L,"KAEK",Başvuru!$A:$A,"&lt;&gt;"&amp;"",Başvuru!$F:$F,"&lt;&gt;"&amp;""))</f>
        <v>0</v>
      </c>
      <c r="M82" s="162">
        <f>IF(C82="","",COUNTIFS(Başvuru!$D:$D,C82,Başvuru!$L:$L,"GÖRÜŞ",Başvuru!$A:$A,"&lt;&gt;"&amp;"",Başvuru!$F:$F,"&lt;&gt;"&amp;""))</f>
        <v>0</v>
      </c>
      <c r="N82" s="163">
        <f>IF(C82="","",COUNTIFS(Başvuru!$D:$D,C82,Başvuru!$L:$L,"RET",Başvuru!$A:$A,"&lt;&gt;"&amp;"",Başvuru!$F:$F,"&lt;&gt;"&amp;""))</f>
        <v>0</v>
      </c>
      <c r="O82" s="164">
        <f>IF(C82="","",COUNTIFS(Başvuru!$D:$D,C82,Başvuru!$L:$L,"KAPSAM DIŞI",Başvuru!$A:$A,"&lt;&gt;"&amp;"",Başvuru!$F:$F,"&lt;&gt;"&amp;""))</f>
        <v>0</v>
      </c>
      <c r="P82" s="165">
        <f>IF(C82="","",COUNTIFS(Başvuru!$D:$D,C82,Başvuru!$L:$L,"GERİ ÇEKİLDİ",Başvuru!$A:$A,"&lt;&gt;"&amp;"",Başvuru!$F:$F,"&lt;&gt;"&amp;""))</f>
        <v>0</v>
      </c>
      <c r="Q82" s="166"/>
      <c r="R82" s="167"/>
      <c r="S82" s="167"/>
    </row>
    <row r="83" spans="2:19" ht="15" customHeight="1" x14ac:dyDescent="0.25">
      <c r="B83" s="155">
        <v>78</v>
      </c>
      <c r="C83" s="156" t="str">
        <f>IFERROR(INDEX($Q$6:$Q$86,MATCH(78,$S$6:$S$86,0)),"")</f>
        <v>Tıp Tarihi ve Etik Anabilim Dalı</v>
      </c>
      <c r="D83" s="157">
        <f>IF(C83="","",COUNTIFS(Başvuru!$D:$D,C83,Başvuru!$A:$A,"&lt;&gt;"&amp;"",Başvuru!$F:$F,"&lt;&gt;"&amp;""))</f>
        <v>1</v>
      </c>
      <c r="E83" s="155" t="str">
        <f>IF(C83="","-",IF(D83&gt;0,TEXT(D83/(COUNTIFS(Başvuru!$A:$A,"&lt;&gt;",Başvuru!$F:$F,"&lt;&gt;")-1)*100,"0.0")&amp;"%","-"))</f>
        <v>00%</v>
      </c>
      <c r="F83" s="158">
        <f>IF(C83="","",COUNTIFS(Başvuru!$D:$D,C83,Başvuru!$G:$G,"Bireysel Araştırma",Başvuru!$A:$A,"&lt;&gt;"&amp;"",Başvuru!$F:$F,"&lt;&gt;"&amp;""))</f>
        <v>0</v>
      </c>
      <c r="G83" s="158">
        <f>IF(C83="","",COUNTIFS(Başvuru!$D:$D,C83,Başvuru!$G:$G,"Uzmanlık Tezi",Başvuru!$A:$A,"&lt;&gt;"&amp;"",Başvuru!$F:$F,"&lt;&gt;"&amp;""))</f>
        <v>0</v>
      </c>
      <c r="H83" s="158">
        <f>IF(C83="","",COUNTIFS(Başvuru!$D:$D,C83,Başvuru!$G:$G,"Doktora Tezi",Başvuru!$A:$A,"&lt;&gt;"&amp;"",Başvuru!$F:$F,"&lt;&gt;"&amp;""))</f>
        <v>1</v>
      </c>
      <c r="I83" s="158">
        <f>IF(C83="","",COUNTIFS(Başvuru!$D:$D,C83,Başvuru!$G:$G,"Yüksek Lisans Tezi",Başvuru!$A:$A,"&lt;&gt;"&amp;"",Başvuru!$F:$F,"&lt;&gt;"&amp;""))</f>
        <v>0</v>
      </c>
      <c r="J83" s="159">
        <f>IF(C83="","",COUNTIFS(Başvuru!$D:$D,C83,Başvuru!$L:$L,"ONAY",Başvuru!$A:$A,"&lt;&gt;"&amp;"",Başvuru!$F:$F,"&lt;&gt;"&amp;""))</f>
        <v>0</v>
      </c>
      <c r="K83" s="160">
        <f>IF(C83="","",COUNTIFS(Başvuru!$D:$D,C83,Başvuru!$L:$L,"DÜZELTME",Başvuru!$A:$A,"&lt;&gt;"&amp;"",Başvuru!$F:$F,"&lt;&gt;"&amp;""))</f>
        <v>0</v>
      </c>
      <c r="L83" s="161">
        <f>IF(C83="","",COUNTIFS(Başvuru!$D:$D,C83,Başvuru!$L:$L,"KAEK",Başvuru!$A:$A,"&lt;&gt;"&amp;"",Başvuru!$F:$F,"&lt;&gt;"&amp;""))</f>
        <v>0</v>
      </c>
      <c r="M83" s="162">
        <f>IF(C83="","",COUNTIFS(Başvuru!$D:$D,C83,Başvuru!$L:$L,"GÖRÜŞ",Başvuru!$A:$A,"&lt;&gt;"&amp;"",Başvuru!$F:$F,"&lt;&gt;"&amp;""))</f>
        <v>0</v>
      </c>
      <c r="N83" s="163">
        <f>IF(C83="","",COUNTIFS(Başvuru!$D:$D,C83,Başvuru!$L:$L,"RET",Başvuru!$A:$A,"&lt;&gt;"&amp;"",Başvuru!$F:$F,"&lt;&gt;"&amp;""))</f>
        <v>0</v>
      </c>
      <c r="O83" s="164">
        <f>IF(C83="","",COUNTIFS(Başvuru!$D:$D,C83,Başvuru!$L:$L,"KAPSAM DIŞI",Başvuru!$A:$A,"&lt;&gt;"&amp;"",Başvuru!$F:$F,"&lt;&gt;"&amp;""))</f>
        <v>0</v>
      </c>
      <c r="P83" s="165">
        <f>IF(C83="","",COUNTIFS(Başvuru!$D:$D,C83,Başvuru!$L:$L,"GERİ ÇEKİLDİ",Başvuru!$A:$A,"&lt;&gt;"&amp;"",Başvuru!$F:$F,"&lt;&gt;"&amp;""))</f>
        <v>0</v>
      </c>
      <c r="Q83" s="166"/>
      <c r="R83" s="167"/>
      <c r="S83" s="167"/>
    </row>
    <row r="84" spans="2:19" ht="15" customHeight="1" x14ac:dyDescent="0.25">
      <c r="B84" s="182"/>
      <c r="C84" s="183" t="s">
        <v>4</v>
      </c>
      <c r="D84" s="184">
        <f>COUNTIFS(Başvuru!$A:$A,"&lt;&gt;"&amp;"",Başvuru!$F:$F,"&lt;&gt;"&amp;"")-1</f>
        <v>670</v>
      </c>
      <c r="E84" s="185" t="s">
        <v>4355</v>
      </c>
      <c r="F84" s="186">
        <f>COUNTIFS(Başvuru!$G:$G,"Bireysel Araştırma",Başvuru!$A:$A,"&lt;&gt;"&amp;"",Başvuru!$F:$F,"&lt;&gt;"&amp;"")</f>
        <v>504</v>
      </c>
      <c r="G84" s="186">
        <f>COUNTIFS(Başvuru!$G:$G,"Uzmanlık Tezi",Başvuru!$A:$A,"&lt;&gt;"&amp;"",Başvuru!$F:$F,"&lt;&gt;"&amp;"")</f>
        <v>112</v>
      </c>
      <c r="H84" s="186">
        <f>COUNTIFS(Başvuru!$G:$G,"Doktora Tezi",Başvuru!$A:$A,"&lt;&gt;"&amp;"",Başvuru!$F:$F,"&lt;&gt;"&amp;"")</f>
        <v>33</v>
      </c>
      <c r="I84" s="186">
        <f>COUNTIFS(Başvuru!$G:$G,"Yüksek Lisans Tezi",Başvuru!$A:$A,"&lt;&gt;"&amp;"",Başvuru!$F:$F,"&lt;&gt;"&amp;"")</f>
        <v>21</v>
      </c>
      <c r="J84" s="187">
        <f>COUNTIFS(Başvuru!$L:$L,"ONAY",Başvuru!$A:$A,"&lt;&gt;"&amp;"",Başvuru!$F:$F,"&lt;&gt;"&amp;"")</f>
        <v>348</v>
      </c>
      <c r="K84" s="188">
        <f>COUNTIFS(Başvuru!$L:$L,"DÜZELTME",Başvuru!$A:$A,"&lt;&gt;"&amp;"",Başvuru!$F:$F,"&lt;&gt;"&amp;"")</f>
        <v>209</v>
      </c>
      <c r="L84" s="189">
        <f>COUNTIFS(Başvuru!$L:$L,"KAEK",Başvuru!$A:$A,"&lt;&gt;"&amp;"",Başvuru!$F:$F,"&lt;&gt;"&amp;"")</f>
        <v>17</v>
      </c>
      <c r="M84" s="190">
        <f>COUNTIFS(Başvuru!$L:$L,"GÖRÜŞ",Başvuru!$A:$A,"&lt;&gt;"&amp;"",Başvuru!$F:$F,"&lt;&gt;"&amp;"")</f>
        <v>24</v>
      </c>
      <c r="N84" s="191">
        <f>COUNTIFS(Başvuru!$L:$L,"RET",Başvuru!$A:$A,"&lt;&gt;"&amp;"",Başvuru!$F:$F,"&lt;&gt;"&amp;"")</f>
        <v>21</v>
      </c>
      <c r="O84" s="192">
        <f>COUNTIFS(Başvuru!$L:$L,"KAPSAM DIŞI",Başvuru!$A:$A,"&lt;&gt;"&amp;"",Başvuru!$F:$F,"&lt;&gt;"&amp;"")</f>
        <v>13</v>
      </c>
      <c r="P84" s="193">
        <f>COUNTIFS(Başvuru!$L:$L,"GERİ ÇEKİLDİ",Başvuru!$A:$A,"&lt;&gt;"&amp;"",Başvuru!$F:$F,"&lt;&gt;"&amp;"")</f>
        <v>0</v>
      </c>
      <c r="Q84" t="s">
        <v>2903</v>
      </c>
      <c r="R84">
        <f>COUNTIFS(Başvuru!$A:$A,"&lt;&gt;",Başvuru!$F:$F,"&lt;&gt;",Başvuru!$D:$D,Q84)</f>
        <v>1</v>
      </c>
      <c r="S84">
        <f>RANK(R84,$R$6:$R$86,0)+COUNTIF($R$6:R84,R84)-1</f>
        <v>76</v>
      </c>
    </row>
    <row r="85" spans="2:19" ht="15" customHeight="1" x14ac:dyDescent="0.25">
      <c r="G85" s="194">
        <f>SUM(F81:I81)</f>
        <v>1</v>
      </c>
      <c r="H85" s="194"/>
      <c r="I85" s="194"/>
      <c r="J85" s="194"/>
      <c r="K85" s="194"/>
      <c r="L85" s="194"/>
      <c r="M85" s="194">
        <f>SUM(J81:O81)</f>
        <v>1</v>
      </c>
      <c r="Q85" t="s">
        <v>2856</v>
      </c>
      <c r="R85">
        <f>COUNTIFS(Başvuru!$A:$A,"&lt;&gt;",Başvuru!$F:$F,"&lt;&gt;",Başvuru!$D:$D,Q85)</f>
        <v>1</v>
      </c>
      <c r="S85">
        <f>RANK(R85,$R$6:$R$86,0)+COUNTIF($R$6:R85,R85)-1</f>
        <v>77</v>
      </c>
    </row>
    <row r="86" spans="2:19" ht="15" customHeight="1" x14ac:dyDescent="0.25">
      <c r="Q86" t="s">
        <v>3055</v>
      </c>
      <c r="R86">
        <f>COUNTIFS(Başvuru!$A:$A,"&lt;&gt;",Başvuru!$F:$F,"&lt;&gt;",Başvuru!$D:$D,Q86)</f>
        <v>1</v>
      </c>
      <c r="S86">
        <f>RANK(R86,$R$6:$R$86,0)+COUNTIF($R$6:R86,R86)-1</f>
        <v>78</v>
      </c>
    </row>
  </sheetData>
  <autoFilter ref="B5:P78"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Q84"/>
  <sheetViews>
    <sheetView showZeros="0" topLeftCell="A13" zoomScaleNormal="100" workbookViewId="0">
      <selection activeCell="Q79" sqref="Q79"/>
    </sheetView>
  </sheetViews>
  <sheetFormatPr defaultColWidth="8.7109375" defaultRowHeight="15" x14ac:dyDescent="0.25"/>
  <cols>
    <col min="1" max="1" width="46" customWidth="1"/>
    <col min="2" max="17" width="10" customWidth="1"/>
  </cols>
  <sheetData>
    <row r="1" spans="1:17" ht="27.75" customHeight="1" x14ac:dyDescent="0.25">
      <c r="A1" s="251" t="s">
        <v>4356</v>
      </c>
      <c r="B1" s="251"/>
      <c r="C1" s="251"/>
      <c r="D1" s="251"/>
      <c r="E1" s="251"/>
      <c r="F1" s="251"/>
      <c r="G1" s="251"/>
      <c r="H1" s="251"/>
      <c r="I1" s="251"/>
      <c r="J1" s="251"/>
      <c r="K1" s="251"/>
      <c r="L1" s="251"/>
      <c r="M1" s="251"/>
      <c r="N1" s="251"/>
      <c r="O1" s="251"/>
      <c r="P1" s="251"/>
      <c r="Q1" s="251"/>
    </row>
    <row r="2" spans="1:17" ht="19.5" customHeight="1" x14ac:dyDescent="0.25">
      <c r="A2" s="252" t="s">
        <v>4357</v>
      </c>
      <c r="B2" s="252"/>
      <c r="C2" s="252"/>
      <c r="D2" s="252"/>
      <c r="E2" s="252"/>
      <c r="F2" s="252"/>
      <c r="G2" s="252"/>
      <c r="H2" s="252"/>
      <c r="I2" s="252"/>
      <c r="J2" s="252"/>
      <c r="K2" s="252"/>
      <c r="L2" s="252"/>
      <c r="M2" s="252"/>
      <c r="N2" s="252"/>
      <c r="O2" s="252"/>
      <c r="P2" s="252"/>
      <c r="Q2" s="252"/>
    </row>
    <row r="3" spans="1:17" ht="36" customHeight="1" x14ac:dyDescent="0.25">
      <c r="A3" s="195" t="s">
        <v>4358</v>
      </c>
      <c r="B3" s="196">
        <f>Toplantı!$B$4</f>
        <v>46028</v>
      </c>
      <c r="C3" s="196">
        <f>Toplantı!$B$5</f>
        <v>46042</v>
      </c>
      <c r="D3" s="196">
        <f>Toplantı!$B$6</f>
        <v>46057</v>
      </c>
      <c r="E3" s="196">
        <f>Toplantı!$B$7</f>
        <v>46070</v>
      </c>
      <c r="F3" s="196">
        <f>Toplantı!$B$8</f>
        <v>46084</v>
      </c>
      <c r="G3" s="196">
        <f>Toplantı!$B$9</f>
        <v>46098</v>
      </c>
      <c r="H3" s="196">
        <f>Toplantı!$B$10</f>
        <v>46112</v>
      </c>
      <c r="I3" s="196">
        <f>Toplantı!$B$11</f>
        <v>46126</v>
      </c>
      <c r="J3" s="196">
        <f>Toplantı!$B$12</f>
        <v>46140</v>
      </c>
      <c r="K3" s="196">
        <f>Toplantı!$B$13</f>
        <v>46154</v>
      </c>
      <c r="L3" s="196">
        <f>Toplantı!$B$14</f>
        <v>46175</v>
      </c>
      <c r="M3" s="196">
        <f>Toplantı!$B$15</f>
        <v>46196</v>
      </c>
      <c r="N3" s="196">
        <f>Toplantı!$B$16</f>
        <v>46217</v>
      </c>
      <c r="O3" s="196">
        <f>Toplantı!$B$17</f>
        <v>46224</v>
      </c>
      <c r="P3" s="196">
        <f>Toplantı!$B$18</f>
        <v>46231</v>
      </c>
      <c r="Q3" s="195" t="s">
        <v>4</v>
      </c>
    </row>
    <row r="4" spans="1:17" ht="15.75" customHeight="1" x14ac:dyDescent="0.25">
      <c r="A4" s="197" t="s">
        <v>110</v>
      </c>
      <c r="B4" s="198">
        <f>COUNTIFS(Başvuru!$I:$I,Toplantı!$B$4,Başvuru!$D:$D,$A$4)</f>
        <v>6</v>
      </c>
      <c r="C4" s="198">
        <f>COUNTIFS(Başvuru!$I:$I,Toplantı!$B$5,Başvuru!$D:$D,$A$4)</f>
        <v>7</v>
      </c>
      <c r="D4" s="198">
        <f>COUNTIFS(Başvuru!$I:$I,Toplantı!$B$6,Başvuru!$D:$D,$A$4)</f>
        <v>7</v>
      </c>
      <c r="E4" s="198">
        <f>COUNTIFS(Başvuru!$I:$I,Toplantı!$B$7,Başvuru!$D:$D,$A$4)</f>
        <v>7</v>
      </c>
      <c r="F4" s="198">
        <f>COUNTIFS(Başvuru!$I:$I,Toplantı!$B$8,Başvuru!$D:$D,$A$4)</f>
        <v>5</v>
      </c>
      <c r="G4" s="198">
        <f>COUNTIFS(Başvuru!$I:$I,Toplantı!$B$9,Başvuru!$D:$D,$A$4)</f>
        <v>3</v>
      </c>
      <c r="H4" s="198">
        <f>COUNTIFS(Başvuru!$I:$I,Toplantı!$B$10,Başvuru!$D:$D,$A$4)</f>
        <v>7</v>
      </c>
      <c r="I4" s="198">
        <f>COUNTIFS(Başvuru!$I:$I,Toplantı!$B$11,Başvuru!$D:$D,$A$4)</f>
        <v>10</v>
      </c>
      <c r="J4" s="198">
        <f>COUNTIFS(Başvuru!$I:$I,Toplantı!$B$12,Başvuru!$D:$D,$A$4)</f>
        <v>9</v>
      </c>
      <c r="K4" s="198">
        <f>COUNTIFS(Başvuru!$I:$I,Toplantı!$B$13,Başvuru!$D:$D,$A$4)</f>
        <v>12</v>
      </c>
      <c r="L4" s="198">
        <f>COUNTIFS(Başvuru!$I:$I,Toplantı!$B$14,Başvuru!$D:$D,$A$4)</f>
        <v>9</v>
      </c>
      <c r="M4" s="198">
        <f>COUNTIFS(Başvuru!$I:$I,Toplantı!$B$15,Başvuru!$D:$D,$A$4)</f>
        <v>9</v>
      </c>
      <c r="N4" s="198">
        <f>COUNTIFS(Başvuru!$I:$I,Toplantı!$B$16,Başvuru!$D:$D,$A$4)</f>
        <v>8</v>
      </c>
      <c r="O4" s="198">
        <f>COUNTIFS(Başvuru!$I:$I,Toplantı!$B$17,Başvuru!$D:$D,$A$4)</f>
        <v>9</v>
      </c>
      <c r="P4" s="198">
        <f>COUNTIFS(Başvuru!$I:$I,Toplantı!$B$18,Başvuru!$D:$D,$A$4)</f>
        <v>11</v>
      </c>
      <c r="Q4" s="199">
        <f t="shared" ref="Q4:Q35" si="0">SUM(B4:P4)</f>
        <v>119</v>
      </c>
    </row>
    <row r="5" spans="1:17" ht="15.75" customHeight="1" x14ac:dyDescent="0.25">
      <c r="A5" s="200" t="s">
        <v>237</v>
      </c>
      <c r="B5" s="201">
        <f>COUNTIFS(Başvuru!$I:$I,Toplantı!$B$4,Başvuru!$D:$D,$A$5)</f>
        <v>5</v>
      </c>
      <c r="C5" s="201">
        <f>COUNTIFS(Başvuru!$I:$I,Toplantı!$B$5,Başvuru!$D:$D,$A$5)</f>
        <v>9</v>
      </c>
      <c r="D5" s="201">
        <f>COUNTIFS(Başvuru!$I:$I,Toplantı!$B$6,Başvuru!$D:$D,$A$5)</f>
        <v>5</v>
      </c>
      <c r="E5" s="201">
        <f>COUNTIFS(Başvuru!$I:$I,Toplantı!$B$7,Başvuru!$D:$D,$A$5)</f>
        <v>4</v>
      </c>
      <c r="F5" s="201">
        <f>COUNTIFS(Başvuru!$I:$I,Toplantı!$B$8,Başvuru!$D:$D,$A$5)</f>
        <v>6</v>
      </c>
      <c r="G5" s="201">
        <f>COUNTIFS(Başvuru!$I:$I,Toplantı!$B$9,Başvuru!$D:$D,$A$5)</f>
        <v>10</v>
      </c>
      <c r="H5" s="201">
        <f>COUNTIFS(Başvuru!$I:$I,Toplantı!$B$10,Başvuru!$D:$D,$A$5)</f>
        <v>7</v>
      </c>
      <c r="I5" s="201">
        <f>COUNTIFS(Başvuru!$I:$I,Toplantı!$B$11,Başvuru!$D:$D,$A$5)</f>
        <v>3</v>
      </c>
      <c r="J5" s="201">
        <f>COUNTIFS(Başvuru!$I:$I,Toplantı!$B$12,Başvuru!$D:$D,$A$5)</f>
        <v>8</v>
      </c>
      <c r="K5" s="201">
        <f>COUNTIFS(Başvuru!$I:$I,Toplantı!$B$13,Başvuru!$D:$D,$A$5)</f>
        <v>12</v>
      </c>
      <c r="L5" s="201">
        <f>COUNTIFS(Başvuru!$I:$I,Toplantı!$B$14,Başvuru!$D:$D,$A$5)</f>
        <v>3</v>
      </c>
      <c r="M5" s="201">
        <f>COUNTIFS(Başvuru!$I:$I,Toplantı!$B$15,Başvuru!$D:$D,$A$5)</f>
        <v>6</v>
      </c>
      <c r="N5" s="201">
        <f>COUNTIFS(Başvuru!$I:$I,Toplantı!$B$16,Başvuru!$D:$D,$A$5)</f>
        <v>15</v>
      </c>
      <c r="O5" s="201">
        <f>COUNTIFS(Başvuru!$I:$I,Toplantı!$B$17,Başvuru!$D:$D,$A$5)</f>
        <v>11</v>
      </c>
      <c r="P5" s="201">
        <f>COUNTIFS(Başvuru!$I:$I,Toplantı!$B$18,Başvuru!$D:$D,$A$5)</f>
        <v>9</v>
      </c>
      <c r="Q5" s="199">
        <f t="shared" si="0"/>
        <v>113</v>
      </c>
    </row>
    <row r="6" spans="1:17" ht="15.75" customHeight="1" x14ac:dyDescent="0.25">
      <c r="A6" s="197" t="s">
        <v>244</v>
      </c>
      <c r="B6" s="198">
        <f>COUNTIFS(Başvuru!$I:$I,Toplantı!$B$4,Başvuru!$D:$D,$A$6)</f>
        <v>2</v>
      </c>
      <c r="C6" s="198">
        <f>COUNTIFS(Başvuru!$I:$I,Toplantı!$B$5,Başvuru!$D:$D,$A$6)</f>
        <v>0</v>
      </c>
      <c r="D6" s="198">
        <f>COUNTIFS(Başvuru!$I:$I,Toplantı!$B$6,Başvuru!$D:$D,$A$6)</f>
        <v>2</v>
      </c>
      <c r="E6" s="198">
        <f>COUNTIFS(Başvuru!$I:$I,Toplantı!$B$7,Başvuru!$D:$D,$A$6)</f>
        <v>5</v>
      </c>
      <c r="F6" s="198">
        <f>COUNTIFS(Başvuru!$I:$I,Toplantı!$B$8,Başvuru!$D:$D,$A$6)</f>
        <v>1</v>
      </c>
      <c r="G6" s="198">
        <f>COUNTIFS(Başvuru!$I:$I,Toplantı!$B$9,Başvuru!$D:$D,$A$6)</f>
        <v>5</v>
      </c>
      <c r="H6" s="198">
        <f>COUNTIFS(Başvuru!$I:$I,Toplantı!$B$10,Başvuru!$D:$D,$A$6)</f>
        <v>4</v>
      </c>
      <c r="I6" s="198">
        <f>COUNTIFS(Başvuru!$I:$I,Toplantı!$B$11,Başvuru!$D:$D,$A$6)</f>
        <v>3</v>
      </c>
      <c r="J6" s="198">
        <f>COUNTIFS(Başvuru!$I:$I,Toplantı!$B$12,Başvuru!$D:$D,$A$6)</f>
        <v>1</v>
      </c>
      <c r="K6" s="198">
        <f>COUNTIFS(Başvuru!$I:$I,Toplantı!$B$13,Başvuru!$D:$D,$A$6)</f>
        <v>0</v>
      </c>
      <c r="L6" s="198">
        <f>COUNTIFS(Başvuru!$I:$I,Toplantı!$B$14,Başvuru!$D:$D,$A$6)</f>
        <v>2</v>
      </c>
      <c r="M6" s="198">
        <f>COUNTIFS(Başvuru!$I:$I,Toplantı!$B$15,Başvuru!$D:$D,$A$6)</f>
        <v>3</v>
      </c>
      <c r="N6" s="198">
        <f>COUNTIFS(Başvuru!$I:$I,Toplantı!$B$16,Başvuru!$D:$D,$A$6)</f>
        <v>2</v>
      </c>
      <c r="O6" s="198">
        <f>COUNTIFS(Başvuru!$I:$I,Toplantı!$B$17,Başvuru!$D:$D,$A$6)</f>
        <v>0</v>
      </c>
      <c r="P6" s="198">
        <f>COUNTIFS(Başvuru!$I:$I,Toplantı!$B$18,Başvuru!$D:$D,$A$6)</f>
        <v>0</v>
      </c>
      <c r="Q6" s="199">
        <f t="shared" si="0"/>
        <v>30</v>
      </c>
    </row>
    <row r="7" spans="1:17" ht="15.75" customHeight="1" x14ac:dyDescent="0.25">
      <c r="A7" s="200" t="s">
        <v>395</v>
      </c>
      <c r="B7" s="201">
        <f>COUNTIFS(Başvuru!$I:$I,Toplantı!$B$4,Başvuru!$D:$D,$A$7)</f>
        <v>1</v>
      </c>
      <c r="C7" s="201">
        <f>COUNTIFS(Başvuru!$I:$I,Toplantı!$B$5,Başvuru!$D:$D,$A$7)</f>
        <v>2</v>
      </c>
      <c r="D7" s="201">
        <f>COUNTIFS(Başvuru!$I:$I,Toplantı!$B$6,Başvuru!$D:$D,$A$7)</f>
        <v>1</v>
      </c>
      <c r="E7" s="201">
        <f>COUNTIFS(Başvuru!$I:$I,Toplantı!$B$7,Başvuru!$D:$D,$A$7)</f>
        <v>1</v>
      </c>
      <c r="F7" s="201">
        <f>COUNTIFS(Başvuru!$I:$I,Toplantı!$B$8,Başvuru!$D:$D,$A$7)</f>
        <v>1</v>
      </c>
      <c r="G7" s="201">
        <f>COUNTIFS(Başvuru!$I:$I,Toplantı!$B$9,Başvuru!$D:$D,$A$7)</f>
        <v>4</v>
      </c>
      <c r="H7" s="201">
        <f>COUNTIFS(Başvuru!$I:$I,Toplantı!$B$10,Başvuru!$D:$D,$A$7)</f>
        <v>0</v>
      </c>
      <c r="I7" s="201">
        <f>COUNTIFS(Başvuru!$I:$I,Toplantı!$B$11,Başvuru!$D:$D,$A$7)</f>
        <v>3</v>
      </c>
      <c r="J7" s="201">
        <f>COUNTIFS(Başvuru!$I:$I,Toplantı!$B$12,Başvuru!$D:$D,$A$7)</f>
        <v>1</v>
      </c>
      <c r="K7" s="201">
        <f>COUNTIFS(Başvuru!$I:$I,Toplantı!$B$13,Başvuru!$D:$D,$A$7)</f>
        <v>3</v>
      </c>
      <c r="L7" s="201">
        <f>COUNTIFS(Başvuru!$I:$I,Toplantı!$B$14,Başvuru!$D:$D,$A$7)</f>
        <v>1</v>
      </c>
      <c r="M7" s="201">
        <f>COUNTIFS(Başvuru!$I:$I,Toplantı!$B$15,Başvuru!$D:$D,$A$7)</f>
        <v>0</v>
      </c>
      <c r="N7" s="201">
        <f>COUNTIFS(Başvuru!$I:$I,Toplantı!$B$16,Başvuru!$D:$D,$A$7)</f>
        <v>3</v>
      </c>
      <c r="O7" s="201">
        <f>COUNTIFS(Başvuru!$I:$I,Toplantı!$B$17,Başvuru!$D:$D,$A$7)</f>
        <v>0</v>
      </c>
      <c r="P7" s="201">
        <f>COUNTIFS(Başvuru!$I:$I,Toplantı!$B$18,Başvuru!$D:$D,$A$7)</f>
        <v>0</v>
      </c>
      <c r="Q7" s="199">
        <f t="shared" si="0"/>
        <v>21</v>
      </c>
    </row>
    <row r="8" spans="1:17" ht="15.75" customHeight="1" x14ac:dyDescent="0.25">
      <c r="A8" s="197" t="s">
        <v>82</v>
      </c>
      <c r="B8" s="198">
        <f>COUNTIFS(Başvuru!$I:$I,Toplantı!$B$4,Başvuru!$D:$D,$A$8)</f>
        <v>1</v>
      </c>
      <c r="C8" s="198">
        <f>COUNTIFS(Başvuru!$I:$I,Toplantı!$B$5,Başvuru!$D:$D,$A$8)</f>
        <v>2</v>
      </c>
      <c r="D8" s="198">
        <f>COUNTIFS(Başvuru!$I:$I,Toplantı!$B$6,Başvuru!$D:$D,$A$8)</f>
        <v>1</v>
      </c>
      <c r="E8" s="198">
        <f>COUNTIFS(Başvuru!$I:$I,Toplantı!$B$7,Başvuru!$D:$D,$A$8)</f>
        <v>1</v>
      </c>
      <c r="F8" s="198">
        <f>COUNTIFS(Başvuru!$I:$I,Toplantı!$B$8,Başvuru!$D:$D,$A$8)</f>
        <v>4</v>
      </c>
      <c r="G8" s="198">
        <f>COUNTIFS(Başvuru!$I:$I,Toplantı!$B$9,Başvuru!$D:$D,$A$8)</f>
        <v>2</v>
      </c>
      <c r="H8" s="198">
        <f>COUNTIFS(Başvuru!$I:$I,Toplantı!$B$10,Başvuru!$D:$D,$A$8)</f>
        <v>1</v>
      </c>
      <c r="I8" s="198">
        <f>COUNTIFS(Başvuru!$I:$I,Toplantı!$B$11,Başvuru!$D:$D,$A$8)</f>
        <v>1</v>
      </c>
      <c r="J8" s="198">
        <f>COUNTIFS(Başvuru!$I:$I,Toplantı!$B$12,Başvuru!$D:$D,$A$8)</f>
        <v>3</v>
      </c>
      <c r="K8" s="198">
        <f>COUNTIFS(Başvuru!$I:$I,Toplantı!$B$13,Başvuru!$D:$D,$A$8)</f>
        <v>0</v>
      </c>
      <c r="L8" s="198">
        <f>COUNTIFS(Başvuru!$I:$I,Toplantı!$B$14,Başvuru!$D:$D,$A$8)</f>
        <v>1</v>
      </c>
      <c r="M8" s="198">
        <f>COUNTIFS(Başvuru!$I:$I,Toplantı!$B$15,Başvuru!$D:$D,$A$8)</f>
        <v>0</v>
      </c>
      <c r="N8" s="198">
        <f>COUNTIFS(Başvuru!$I:$I,Toplantı!$B$16,Başvuru!$D:$D,$A$8)</f>
        <v>2</v>
      </c>
      <c r="O8" s="198">
        <f>COUNTIFS(Başvuru!$I:$I,Toplantı!$B$17,Başvuru!$D:$D,$A$8)</f>
        <v>3</v>
      </c>
      <c r="P8" s="198">
        <f>COUNTIFS(Başvuru!$I:$I,Toplantı!$B$18,Başvuru!$D:$D,$A$8)</f>
        <v>0</v>
      </c>
      <c r="Q8" s="199">
        <f t="shared" si="0"/>
        <v>22</v>
      </c>
    </row>
    <row r="9" spans="1:17" ht="15.75" customHeight="1" x14ac:dyDescent="0.25">
      <c r="A9" s="200" t="s">
        <v>251</v>
      </c>
      <c r="B9" s="201">
        <f>COUNTIFS(Başvuru!$I:$I,Toplantı!$B$4,Başvuru!$D:$D,$A$9)</f>
        <v>5</v>
      </c>
      <c r="C9" s="201">
        <f>COUNTIFS(Başvuru!$I:$I,Toplantı!$B$5,Başvuru!$D:$D,$A$9)</f>
        <v>0</v>
      </c>
      <c r="D9" s="201">
        <f>COUNTIFS(Başvuru!$I:$I,Toplantı!$B$6,Başvuru!$D:$D,$A$9)</f>
        <v>0</v>
      </c>
      <c r="E9" s="201">
        <f>COUNTIFS(Başvuru!$I:$I,Toplantı!$B$7,Başvuru!$D:$D,$A$9)</f>
        <v>0</v>
      </c>
      <c r="F9" s="201">
        <f>COUNTIFS(Başvuru!$I:$I,Toplantı!$B$8,Başvuru!$D:$D,$A$9)</f>
        <v>0</v>
      </c>
      <c r="G9" s="201">
        <f>COUNTIFS(Başvuru!$I:$I,Toplantı!$B$9,Başvuru!$D:$D,$A$9)</f>
        <v>0</v>
      </c>
      <c r="H9" s="201">
        <f>COUNTIFS(Başvuru!$I:$I,Toplantı!$B$10,Başvuru!$D:$D,$A$9)</f>
        <v>1</v>
      </c>
      <c r="I9" s="201">
        <f>COUNTIFS(Başvuru!$I:$I,Toplantı!$B$11,Başvuru!$D:$D,$A$9)</f>
        <v>1</v>
      </c>
      <c r="J9" s="201">
        <f>COUNTIFS(Başvuru!$I:$I,Toplantı!$B$12,Başvuru!$D:$D,$A$9)</f>
        <v>0</v>
      </c>
      <c r="K9" s="201">
        <f>COUNTIFS(Başvuru!$I:$I,Toplantı!$B$13,Başvuru!$D:$D,$A$9)</f>
        <v>0</v>
      </c>
      <c r="L9" s="201">
        <f>COUNTIFS(Başvuru!$I:$I,Toplantı!$B$14,Başvuru!$D:$D,$A$9)</f>
        <v>4</v>
      </c>
      <c r="M9" s="201">
        <f>COUNTIFS(Başvuru!$I:$I,Toplantı!$B$15,Başvuru!$D:$D,$A$9)</f>
        <v>6</v>
      </c>
      <c r="N9" s="201">
        <f>COUNTIFS(Başvuru!$I:$I,Toplantı!$B$16,Başvuru!$D:$D,$A$9)</f>
        <v>1</v>
      </c>
      <c r="O9" s="201">
        <f>COUNTIFS(Başvuru!$I:$I,Toplantı!$B$17,Başvuru!$D:$D,$A$9)</f>
        <v>1</v>
      </c>
      <c r="P9" s="201">
        <f>COUNTIFS(Başvuru!$I:$I,Toplantı!$B$18,Başvuru!$D:$D,$A$9)</f>
        <v>0</v>
      </c>
      <c r="Q9" s="199">
        <f t="shared" si="0"/>
        <v>19</v>
      </c>
    </row>
    <row r="10" spans="1:17" ht="15.75" customHeight="1" x14ac:dyDescent="0.25">
      <c r="A10" s="197" t="s">
        <v>422</v>
      </c>
      <c r="B10" s="198">
        <f>COUNTIFS(Başvuru!$I:$I,Toplantı!$B$4,Başvuru!$D:$D,$A$10)</f>
        <v>0</v>
      </c>
      <c r="C10" s="198">
        <f>COUNTIFS(Başvuru!$I:$I,Toplantı!$B$5,Başvuru!$D:$D,$A$10)</f>
        <v>1</v>
      </c>
      <c r="D10" s="198">
        <f>COUNTIFS(Başvuru!$I:$I,Toplantı!$B$6,Başvuru!$D:$D,$A$10)</f>
        <v>0</v>
      </c>
      <c r="E10" s="198">
        <f>COUNTIFS(Başvuru!$I:$I,Toplantı!$B$7,Başvuru!$D:$D,$A$10)</f>
        <v>4</v>
      </c>
      <c r="F10" s="198">
        <f>COUNTIFS(Başvuru!$I:$I,Toplantı!$B$8,Başvuru!$D:$D,$A$10)</f>
        <v>0</v>
      </c>
      <c r="G10" s="198">
        <f>COUNTIFS(Başvuru!$I:$I,Toplantı!$B$9,Başvuru!$D:$D,$A$10)</f>
        <v>7</v>
      </c>
      <c r="H10" s="198">
        <f>COUNTIFS(Başvuru!$I:$I,Toplantı!$B$10,Başvuru!$D:$D,$A$10)</f>
        <v>0</v>
      </c>
      <c r="I10" s="198">
        <f>COUNTIFS(Başvuru!$I:$I,Toplantı!$B$11,Başvuru!$D:$D,$A$10)</f>
        <v>1</v>
      </c>
      <c r="J10" s="198">
        <f>COUNTIFS(Başvuru!$I:$I,Toplantı!$B$12,Başvuru!$D:$D,$A$10)</f>
        <v>0</v>
      </c>
      <c r="K10" s="198">
        <f>COUNTIFS(Başvuru!$I:$I,Toplantı!$B$13,Başvuru!$D:$D,$A$10)</f>
        <v>1</v>
      </c>
      <c r="L10" s="198">
        <f>COUNTIFS(Başvuru!$I:$I,Toplantı!$B$14,Başvuru!$D:$D,$A$10)</f>
        <v>2</v>
      </c>
      <c r="M10" s="198">
        <f>COUNTIFS(Başvuru!$I:$I,Toplantı!$B$15,Başvuru!$D:$D,$A$10)</f>
        <v>0</v>
      </c>
      <c r="N10" s="198">
        <f>COUNTIFS(Başvuru!$I:$I,Toplantı!$B$16,Başvuru!$D:$D,$A$10)</f>
        <v>0</v>
      </c>
      <c r="O10" s="198">
        <f>COUNTIFS(Başvuru!$I:$I,Toplantı!$B$17,Başvuru!$D:$D,$A$10)</f>
        <v>0</v>
      </c>
      <c r="P10" s="198">
        <f>COUNTIFS(Başvuru!$I:$I,Toplantı!$B$18,Başvuru!$D:$D,$A$10)</f>
        <v>0</v>
      </c>
      <c r="Q10" s="199">
        <f t="shared" si="0"/>
        <v>16</v>
      </c>
    </row>
    <row r="11" spans="1:17" ht="15.75" customHeight="1" x14ac:dyDescent="0.25">
      <c r="A11" s="200" t="s">
        <v>175</v>
      </c>
      <c r="B11" s="201">
        <f>COUNTIFS(Başvuru!$I:$I,Toplantı!$B$4,Başvuru!$D:$D,$A$11)</f>
        <v>5</v>
      </c>
      <c r="C11" s="201">
        <f>COUNTIFS(Başvuru!$I:$I,Toplantı!$B$5,Başvuru!$D:$D,$A$11)</f>
        <v>0</v>
      </c>
      <c r="D11" s="201">
        <f>COUNTIFS(Başvuru!$I:$I,Toplantı!$B$6,Başvuru!$D:$D,$A$11)</f>
        <v>3</v>
      </c>
      <c r="E11" s="201">
        <f>COUNTIFS(Başvuru!$I:$I,Toplantı!$B$7,Başvuru!$D:$D,$A$11)</f>
        <v>1</v>
      </c>
      <c r="F11" s="201">
        <f>COUNTIFS(Başvuru!$I:$I,Toplantı!$B$8,Başvuru!$D:$D,$A$11)</f>
        <v>0</v>
      </c>
      <c r="G11" s="201">
        <f>COUNTIFS(Başvuru!$I:$I,Toplantı!$B$9,Başvuru!$D:$D,$A$11)</f>
        <v>1</v>
      </c>
      <c r="H11" s="201">
        <f>COUNTIFS(Başvuru!$I:$I,Toplantı!$B$10,Başvuru!$D:$D,$A$11)</f>
        <v>2</v>
      </c>
      <c r="I11" s="201">
        <f>COUNTIFS(Başvuru!$I:$I,Toplantı!$B$11,Başvuru!$D:$D,$A$11)</f>
        <v>1</v>
      </c>
      <c r="J11" s="201">
        <f>COUNTIFS(Başvuru!$I:$I,Toplantı!$B$12,Başvuru!$D:$D,$A$11)</f>
        <v>1</v>
      </c>
      <c r="K11" s="201">
        <f>COUNTIFS(Başvuru!$I:$I,Toplantı!$B$13,Başvuru!$D:$D,$A$11)</f>
        <v>0</v>
      </c>
      <c r="L11" s="201">
        <f>COUNTIFS(Başvuru!$I:$I,Toplantı!$B$14,Başvuru!$D:$D,$A$11)</f>
        <v>1</v>
      </c>
      <c r="M11" s="201">
        <f>COUNTIFS(Başvuru!$I:$I,Toplantı!$B$15,Başvuru!$D:$D,$A$11)</f>
        <v>0</v>
      </c>
      <c r="N11" s="201">
        <f>COUNTIFS(Başvuru!$I:$I,Toplantı!$B$16,Başvuru!$D:$D,$A$11)</f>
        <v>0</v>
      </c>
      <c r="O11" s="201">
        <f>COUNTIFS(Başvuru!$I:$I,Toplantı!$B$17,Başvuru!$D:$D,$A$11)</f>
        <v>1</v>
      </c>
      <c r="P11" s="201">
        <f>COUNTIFS(Başvuru!$I:$I,Toplantı!$B$18,Başvuru!$D:$D,$A$11)</f>
        <v>0</v>
      </c>
      <c r="Q11" s="199">
        <f t="shared" si="0"/>
        <v>16</v>
      </c>
    </row>
    <row r="12" spans="1:17" ht="15.75" customHeight="1" x14ac:dyDescent="0.25">
      <c r="A12" s="197" t="s">
        <v>203</v>
      </c>
      <c r="B12" s="198">
        <f>COUNTIFS(Başvuru!$I:$I,Toplantı!$B$4,Başvuru!$D:$D,$A$12)</f>
        <v>2</v>
      </c>
      <c r="C12" s="198">
        <f>COUNTIFS(Başvuru!$I:$I,Toplantı!$B$5,Başvuru!$D:$D,$A$12)</f>
        <v>3</v>
      </c>
      <c r="D12" s="198">
        <f>COUNTIFS(Başvuru!$I:$I,Toplantı!$B$6,Başvuru!$D:$D,$A$12)</f>
        <v>0</v>
      </c>
      <c r="E12" s="198">
        <f>COUNTIFS(Başvuru!$I:$I,Toplantı!$B$7,Başvuru!$D:$D,$A$12)</f>
        <v>1</v>
      </c>
      <c r="F12" s="198">
        <f>COUNTIFS(Başvuru!$I:$I,Toplantı!$B$8,Başvuru!$D:$D,$A$12)</f>
        <v>0</v>
      </c>
      <c r="G12" s="198">
        <f>COUNTIFS(Başvuru!$I:$I,Toplantı!$B$9,Başvuru!$D:$D,$A$12)</f>
        <v>0</v>
      </c>
      <c r="H12" s="198">
        <f>COUNTIFS(Başvuru!$I:$I,Toplantı!$B$10,Başvuru!$D:$D,$A$12)</f>
        <v>1</v>
      </c>
      <c r="I12" s="198">
        <f>COUNTIFS(Başvuru!$I:$I,Toplantı!$B$11,Başvuru!$D:$D,$A$12)</f>
        <v>1</v>
      </c>
      <c r="J12" s="198">
        <f>COUNTIFS(Başvuru!$I:$I,Toplantı!$B$12,Başvuru!$D:$D,$A$12)</f>
        <v>3</v>
      </c>
      <c r="K12" s="198">
        <f>COUNTIFS(Başvuru!$I:$I,Toplantı!$B$13,Başvuru!$D:$D,$A$12)</f>
        <v>2</v>
      </c>
      <c r="L12" s="198">
        <f>COUNTIFS(Başvuru!$I:$I,Toplantı!$B$14,Başvuru!$D:$D,$A$12)</f>
        <v>0</v>
      </c>
      <c r="M12" s="198">
        <f>COUNTIFS(Başvuru!$I:$I,Toplantı!$B$15,Başvuru!$D:$D,$A$12)</f>
        <v>2</v>
      </c>
      <c r="N12" s="198">
        <f>COUNTIFS(Başvuru!$I:$I,Toplantı!$B$16,Başvuru!$D:$D,$A$12)</f>
        <v>0</v>
      </c>
      <c r="O12" s="198">
        <f>COUNTIFS(Başvuru!$I:$I,Toplantı!$B$17,Başvuru!$D:$D,$A$12)</f>
        <v>1</v>
      </c>
      <c r="P12" s="198">
        <f>COUNTIFS(Başvuru!$I:$I,Toplantı!$B$18,Başvuru!$D:$D,$A$12)</f>
        <v>0</v>
      </c>
      <c r="Q12" s="199">
        <f t="shared" si="0"/>
        <v>16</v>
      </c>
    </row>
    <row r="13" spans="1:17" ht="15.75" customHeight="1" x14ac:dyDescent="0.25">
      <c r="A13" s="200" t="s">
        <v>133</v>
      </c>
      <c r="B13" s="201">
        <f>COUNTIFS(Başvuru!$I:$I,Toplantı!$B$4,Başvuru!$D:$D,$A$13)</f>
        <v>2</v>
      </c>
      <c r="C13" s="201">
        <f>COUNTIFS(Başvuru!$I:$I,Toplantı!$B$5,Başvuru!$D:$D,$A$13)</f>
        <v>0</v>
      </c>
      <c r="D13" s="201">
        <f>COUNTIFS(Başvuru!$I:$I,Toplantı!$B$6,Başvuru!$D:$D,$A$13)</f>
        <v>2</v>
      </c>
      <c r="E13" s="201">
        <f>COUNTIFS(Başvuru!$I:$I,Toplantı!$B$7,Başvuru!$D:$D,$A$13)</f>
        <v>0</v>
      </c>
      <c r="F13" s="201">
        <f>COUNTIFS(Başvuru!$I:$I,Toplantı!$B$8,Başvuru!$D:$D,$A$13)</f>
        <v>0</v>
      </c>
      <c r="G13" s="201">
        <f>COUNTIFS(Başvuru!$I:$I,Toplantı!$B$9,Başvuru!$D:$D,$A$13)</f>
        <v>2</v>
      </c>
      <c r="H13" s="201">
        <f>COUNTIFS(Başvuru!$I:$I,Toplantı!$B$10,Başvuru!$D:$D,$A$13)</f>
        <v>1</v>
      </c>
      <c r="I13" s="201">
        <f>COUNTIFS(Başvuru!$I:$I,Toplantı!$B$11,Başvuru!$D:$D,$A$13)</f>
        <v>1</v>
      </c>
      <c r="J13" s="201">
        <f>COUNTIFS(Başvuru!$I:$I,Toplantı!$B$12,Başvuru!$D:$D,$A$13)</f>
        <v>3</v>
      </c>
      <c r="K13" s="201">
        <f>COUNTIFS(Başvuru!$I:$I,Toplantı!$B$13,Başvuru!$D:$D,$A$13)</f>
        <v>2</v>
      </c>
      <c r="L13" s="201">
        <f>COUNTIFS(Başvuru!$I:$I,Toplantı!$B$14,Başvuru!$D:$D,$A$13)</f>
        <v>0</v>
      </c>
      <c r="M13" s="201">
        <f>COUNTIFS(Başvuru!$I:$I,Toplantı!$B$15,Başvuru!$D:$D,$A$13)</f>
        <v>1</v>
      </c>
      <c r="N13" s="201">
        <f>COUNTIFS(Başvuru!$I:$I,Toplantı!$B$16,Başvuru!$D:$D,$A$13)</f>
        <v>0</v>
      </c>
      <c r="O13" s="201">
        <f>COUNTIFS(Başvuru!$I:$I,Toplantı!$B$17,Başvuru!$D:$D,$A$13)</f>
        <v>0</v>
      </c>
      <c r="P13" s="201">
        <f>COUNTIFS(Başvuru!$I:$I,Toplantı!$B$18,Başvuru!$D:$D,$A$13)</f>
        <v>0</v>
      </c>
      <c r="Q13" s="199">
        <f t="shared" si="0"/>
        <v>14</v>
      </c>
    </row>
    <row r="14" spans="1:17" ht="15.75" customHeight="1" x14ac:dyDescent="0.25">
      <c r="A14" s="197" t="s">
        <v>416</v>
      </c>
      <c r="B14" s="198">
        <f>COUNTIFS(Başvuru!$I:$I,Toplantı!$B$4,Başvuru!$D:$D,$A$14)</f>
        <v>0</v>
      </c>
      <c r="C14" s="198">
        <f>COUNTIFS(Başvuru!$I:$I,Toplantı!$B$5,Başvuru!$D:$D,$A$14)</f>
        <v>2</v>
      </c>
      <c r="D14" s="198">
        <f>COUNTIFS(Başvuru!$I:$I,Toplantı!$B$6,Başvuru!$D:$D,$A$14)</f>
        <v>1</v>
      </c>
      <c r="E14" s="198">
        <f>COUNTIFS(Başvuru!$I:$I,Toplantı!$B$7,Başvuru!$D:$D,$A$14)</f>
        <v>0</v>
      </c>
      <c r="F14" s="198">
        <f>COUNTIFS(Başvuru!$I:$I,Toplantı!$B$8,Başvuru!$D:$D,$A$14)</f>
        <v>3</v>
      </c>
      <c r="G14" s="198">
        <f>COUNTIFS(Başvuru!$I:$I,Toplantı!$B$9,Başvuru!$D:$D,$A$14)</f>
        <v>0</v>
      </c>
      <c r="H14" s="198">
        <f>COUNTIFS(Başvuru!$I:$I,Toplantı!$B$10,Başvuru!$D:$D,$A$14)</f>
        <v>0</v>
      </c>
      <c r="I14" s="198">
        <f>COUNTIFS(Başvuru!$I:$I,Toplantı!$B$11,Başvuru!$D:$D,$A$14)</f>
        <v>0</v>
      </c>
      <c r="J14" s="198">
        <f>COUNTIFS(Başvuru!$I:$I,Toplantı!$B$12,Başvuru!$D:$D,$A$14)</f>
        <v>1</v>
      </c>
      <c r="K14" s="198">
        <f>COUNTIFS(Başvuru!$I:$I,Toplantı!$B$13,Başvuru!$D:$D,$A$14)</f>
        <v>1</v>
      </c>
      <c r="L14" s="198">
        <f>COUNTIFS(Başvuru!$I:$I,Toplantı!$B$14,Başvuru!$D:$D,$A$14)</f>
        <v>1</v>
      </c>
      <c r="M14" s="198">
        <f>COUNTIFS(Başvuru!$I:$I,Toplantı!$B$15,Başvuru!$D:$D,$A$14)</f>
        <v>3</v>
      </c>
      <c r="N14" s="198">
        <f>COUNTIFS(Başvuru!$I:$I,Toplantı!$B$16,Başvuru!$D:$D,$A$14)</f>
        <v>0</v>
      </c>
      <c r="O14" s="198">
        <f>COUNTIFS(Başvuru!$I:$I,Toplantı!$B$17,Başvuru!$D:$D,$A$14)</f>
        <v>1</v>
      </c>
      <c r="P14" s="198">
        <f>COUNTIFS(Başvuru!$I:$I,Toplantı!$B$18,Başvuru!$D:$D,$A$14)</f>
        <v>0</v>
      </c>
      <c r="Q14" s="199">
        <f t="shared" si="0"/>
        <v>13</v>
      </c>
    </row>
    <row r="15" spans="1:17" ht="15.75" customHeight="1" x14ac:dyDescent="0.25">
      <c r="A15" s="200" t="s">
        <v>428</v>
      </c>
      <c r="B15" s="201">
        <f>COUNTIFS(Başvuru!$I:$I,Toplantı!$B$4,Başvuru!$D:$D,$A$15)</f>
        <v>0</v>
      </c>
      <c r="C15" s="201">
        <f>COUNTIFS(Başvuru!$I:$I,Toplantı!$B$5,Başvuru!$D:$D,$A$15)</f>
        <v>4</v>
      </c>
      <c r="D15" s="201">
        <f>COUNTIFS(Başvuru!$I:$I,Toplantı!$B$6,Başvuru!$D:$D,$A$15)</f>
        <v>4</v>
      </c>
      <c r="E15" s="201">
        <f>COUNTIFS(Başvuru!$I:$I,Toplantı!$B$7,Başvuru!$D:$D,$A$15)</f>
        <v>1</v>
      </c>
      <c r="F15" s="201">
        <f>COUNTIFS(Başvuru!$I:$I,Toplantı!$B$8,Başvuru!$D:$D,$A$15)</f>
        <v>0</v>
      </c>
      <c r="G15" s="201">
        <f>COUNTIFS(Başvuru!$I:$I,Toplantı!$B$9,Başvuru!$D:$D,$A$15)</f>
        <v>1</v>
      </c>
      <c r="H15" s="201">
        <f>COUNTIFS(Başvuru!$I:$I,Toplantı!$B$10,Başvuru!$D:$D,$A$15)</f>
        <v>0</v>
      </c>
      <c r="I15" s="201">
        <f>COUNTIFS(Başvuru!$I:$I,Toplantı!$B$11,Başvuru!$D:$D,$A$15)</f>
        <v>0</v>
      </c>
      <c r="J15" s="201">
        <f>COUNTIFS(Başvuru!$I:$I,Toplantı!$B$12,Başvuru!$D:$D,$A$15)</f>
        <v>1</v>
      </c>
      <c r="K15" s="201">
        <f>COUNTIFS(Başvuru!$I:$I,Toplantı!$B$13,Başvuru!$D:$D,$A$15)</f>
        <v>1</v>
      </c>
      <c r="L15" s="201">
        <f>COUNTIFS(Başvuru!$I:$I,Toplantı!$B$14,Başvuru!$D:$D,$A$15)</f>
        <v>0</v>
      </c>
      <c r="M15" s="201">
        <f>COUNTIFS(Başvuru!$I:$I,Toplantı!$B$15,Başvuru!$D:$D,$A$15)</f>
        <v>0</v>
      </c>
      <c r="N15" s="201">
        <f>COUNTIFS(Başvuru!$I:$I,Toplantı!$B$16,Başvuru!$D:$D,$A$15)</f>
        <v>3</v>
      </c>
      <c r="O15" s="201">
        <f>COUNTIFS(Başvuru!$I:$I,Toplantı!$B$17,Başvuru!$D:$D,$A$15)</f>
        <v>3</v>
      </c>
      <c r="P15" s="201">
        <f>COUNTIFS(Başvuru!$I:$I,Toplantı!$B$18,Başvuru!$D:$D,$A$15)</f>
        <v>0</v>
      </c>
      <c r="Q15" s="199">
        <f t="shared" si="0"/>
        <v>18</v>
      </c>
    </row>
    <row r="16" spans="1:17" ht="15.75" customHeight="1" x14ac:dyDescent="0.25">
      <c r="A16" s="197" t="s">
        <v>320</v>
      </c>
      <c r="B16" s="198">
        <f>COUNTIFS(Başvuru!$I:$I,Toplantı!$B$4,Başvuru!$D:$D,$A$16)</f>
        <v>1</v>
      </c>
      <c r="C16" s="198">
        <f>COUNTIFS(Başvuru!$I:$I,Toplantı!$B$5,Başvuru!$D:$D,$A$16)</f>
        <v>1</v>
      </c>
      <c r="D16" s="198">
        <f>COUNTIFS(Başvuru!$I:$I,Toplantı!$B$6,Başvuru!$D:$D,$A$16)</f>
        <v>2</v>
      </c>
      <c r="E16" s="198">
        <f>COUNTIFS(Başvuru!$I:$I,Toplantı!$B$7,Başvuru!$D:$D,$A$16)</f>
        <v>2</v>
      </c>
      <c r="F16" s="198">
        <f>COUNTIFS(Başvuru!$I:$I,Toplantı!$B$8,Başvuru!$D:$D,$A$16)</f>
        <v>0</v>
      </c>
      <c r="G16" s="198">
        <f>COUNTIFS(Başvuru!$I:$I,Toplantı!$B$9,Başvuru!$D:$D,$A$16)</f>
        <v>1</v>
      </c>
      <c r="H16" s="198">
        <f>COUNTIFS(Başvuru!$I:$I,Toplantı!$B$10,Başvuru!$D:$D,$A$16)</f>
        <v>0</v>
      </c>
      <c r="I16" s="198">
        <f>COUNTIFS(Başvuru!$I:$I,Toplantı!$B$11,Başvuru!$D:$D,$A$16)</f>
        <v>0</v>
      </c>
      <c r="J16" s="198">
        <f>COUNTIFS(Başvuru!$I:$I,Toplantı!$B$12,Başvuru!$D:$D,$A$16)</f>
        <v>0</v>
      </c>
      <c r="K16" s="198">
        <f>COUNTIFS(Başvuru!$I:$I,Toplantı!$B$13,Başvuru!$D:$D,$A$16)</f>
        <v>0</v>
      </c>
      <c r="L16" s="198">
        <f>COUNTIFS(Başvuru!$I:$I,Toplantı!$B$14,Başvuru!$D:$D,$A$16)</f>
        <v>3</v>
      </c>
      <c r="M16" s="198">
        <f>COUNTIFS(Başvuru!$I:$I,Toplantı!$B$15,Başvuru!$D:$D,$A$16)</f>
        <v>1</v>
      </c>
      <c r="N16" s="198">
        <f>COUNTIFS(Başvuru!$I:$I,Toplantı!$B$16,Başvuru!$D:$D,$A$16)</f>
        <v>0</v>
      </c>
      <c r="O16" s="198">
        <f>COUNTIFS(Başvuru!$I:$I,Toplantı!$B$17,Başvuru!$D:$D,$A$16)</f>
        <v>2</v>
      </c>
      <c r="P16" s="198">
        <f>COUNTIFS(Başvuru!$I:$I,Toplantı!$B$18,Başvuru!$D:$D,$A$16)</f>
        <v>1</v>
      </c>
      <c r="Q16" s="199">
        <f t="shared" si="0"/>
        <v>14</v>
      </c>
    </row>
    <row r="17" spans="1:17" ht="15.75" customHeight="1" x14ac:dyDescent="0.25">
      <c r="A17" s="200" t="s">
        <v>372</v>
      </c>
      <c r="B17" s="201">
        <f>COUNTIFS(Başvuru!$I:$I,Toplantı!$B$4,Başvuru!$D:$D,$A$17)</f>
        <v>3</v>
      </c>
      <c r="C17" s="201">
        <f>COUNTIFS(Başvuru!$I:$I,Toplantı!$B$5,Başvuru!$D:$D,$A$17)</f>
        <v>0</v>
      </c>
      <c r="D17" s="201">
        <f>COUNTIFS(Başvuru!$I:$I,Toplantı!$B$6,Başvuru!$D:$D,$A$17)</f>
        <v>0</v>
      </c>
      <c r="E17" s="201">
        <f>COUNTIFS(Başvuru!$I:$I,Toplantı!$B$7,Başvuru!$D:$D,$A$17)</f>
        <v>1</v>
      </c>
      <c r="F17" s="201">
        <f>COUNTIFS(Başvuru!$I:$I,Toplantı!$B$8,Başvuru!$D:$D,$A$17)</f>
        <v>2</v>
      </c>
      <c r="G17" s="201">
        <f>COUNTIFS(Başvuru!$I:$I,Toplantı!$B$9,Başvuru!$D:$D,$A$17)</f>
        <v>1</v>
      </c>
      <c r="H17" s="201">
        <f>COUNTIFS(Başvuru!$I:$I,Toplantı!$B$10,Başvuru!$D:$D,$A$17)</f>
        <v>0</v>
      </c>
      <c r="I17" s="201">
        <f>COUNTIFS(Başvuru!$I:$I,Toplantı!$B$11,Başvuru!$D:$D,$A$17)</f>
        <v>1</v>
      </c>
      <c r="J17" s="201">
        <f>COUNTIFS(Başvuru!$I:$I,Toplantı!$B$12,Başvuru!$D:$D,$A$17)</f>
        <v>1</v>
      </c>
      <c r="K17" s="201">
        <f>COUNTIFS(Başvuru!$I:$I,Toplantı!$B$13,Başvuru!$D:$D,$A$17)</f>
        <v>1</v>
      </c>
      <c r="L17" s="201">
        <f>COUNTIFS(Başvuru!$I:$I,Toplantı!$B$14,Başvuru!$D:$D,$A$17)</f>
        <v>1</v>
      </c>
      <c r="M17" s="201">
        <f>COUNTIFS(Başvuru!$I:$I,Toplantı!$B$15,Başvuru!$D:$D,$A$17)</f>
        <v>0</v>
      </c>
      <c r="N17" s="201">
        <f>COUNTIFS(Başvuru!$I:$I,Toplantı!$B$16,Başvuru!$D:$D,$A$17)</f>
        <v>0</v>
      </c>
      <c r="O17" s="201">
        <f>COUNTIFS(Başvuru!$I:$I,Toplantı!$B$17,Başvuru!$D:$D,$A$17)</f>
        <v>0</v>
      </c>
      <c r="P17" s="201">
        <f>COUNTIFS(Başvuru!$I:$I,Toplantı!$B$18,Başvuru!$D:$D,$A$17)</f>
        <v>0</v>
      </c>
      <c r="Q17" s="199">
        <f t="shared" si="0"/>
        <v>11</v>
      </c>
    </row>
    <row r="18" spans="1:17" ht="15.75" customHeight="1" x14ac:dyDescent="0.25">
      <c r="A18" s="197" t="s">
        <v>997</v>
      </c>
      <c r="B18" s="198">
        <f>COUNTIFS(Başvuru!$I:$I,Toplantı!$B$4,Başvuru!$D:$D,$A$18)</f>
        <v>0</v>
      </c>
      <c r="C18" s="198">
        <f>COUNTIFS(Başvuru!$I:$I,Toplantı!$B$5,Başvuru!$D:$D,$A$18)</f>
        <v>0</v>
      </c>
      <c r="D18" s="198">
        <f>COUNTIFS(Başvuru!$I:$I,Toplantı!$B$6,Başvuru!$D:$D,$A$18)</f>
        <v>0</v>
      </c>
      <c r="E18" s="198">
        <f>COUNTIFS(Başvuru!$I:$I,Toplantı!$B$7,Başvuru!$D:$D,$A$18)</f>
        <v>1</v>
      </c>
      <c r="F18" s="198">
        <f>COUNTIFS(Başvuru!$I:$I,Toplantı!$B$8,Başvuru!$D:$D,$A$18)</f>
        <v>1</v>
      </c>
      <c r="G18" s="198">
        <f>COUNTIFS(Başvuru!$I:$I,Toplantı!$B$9,Başvuru!$D:$D,$A$18)</f>
        <v>0</v>
      </c>
      <c r="H18" s="198">
        <f>COUNTIFS(Başvuru!$I:$I,Toplantı!$B$10,Başvuru!$D:$D,$A$18)</f>
        <v>2</v>
      </c>
      <c r="I18" s="198">
        <f>COUNTIFS(Başvuru!$I:$I,Toplantı!$B$11,Başvuru!$D:$D,$A$18)</f>
        <v>2</v>
      </c>
      <c r="J18" s="198">
        <f>COUNTIFS(Başvuru!$I:$I,Toplantı!$B$12,Başvuru!$D:$D,$A$18)</f>
        <v>2</v>
      </c>
      <c r="K18" s="198">
        <f>COUNTIFS(Başvuru!$I:$I,Toplantı!$B$13,Başvuru!$D:$D,$A$18)</f>
        <v>1</v>
      </c>
      <c r="L18" s="198">
        <f>COUNTIFS(Başvuru!$I:$I,Toplantı!$B$14,Başvuru!$D:$D,$A$18)</f>
        <v>0</v>
      </c>
      <c r="M18" s="198">
        <f>COUNTIFS(Başvuru!$I:$I,Toplantı!$B$15,Başvuru!$D:$D,$A$18)</f>
        <v>1</v>
      </c>
      <c r="N18" s="198">
        <f>COUNTIFS(Başvuru!$I:$I,Toplantı!$B$16,Başvuru!$D:$D,$A$18)</f>
        <v>1</v>
      </c>
      <c r="O18" s="198">
        <f>COUNTIFS(Başvuru!$I:$I,Toplantı!$B$17,Başvuru!$D:$D,$A$18)</f>
        <v>0</v>
      </c>
      <c r="P18" s="198">
        <f>COUNTIFS(Başvuru!$I:$I,Toplantı!$B$18,Başvuru!$D:$D,$A$18)</f>
        <v>0</v>
      </c>
      <c r="Q18" s="199">
        <f t="shared" si="0"/>
        <v>11</v>
      </c>
    </row>
    <row r="19" spans="1:17" ht="15.75" customHeight="1" x14ac:dyDescent="0.25">
      <c r="A19" s="200" t="s">
        <v>295</v>
      </c>
      <c r="B19" s="201">
        <f>COUNTIFS(Başvuru!$I:$I,Toplantı!$B$4,Başvuru!$D:$D,$A$19)</f>
        <v>2</v>
      </c>
      <c r="C19" s="201">
        <f>COUNTIFS(Başvuru!$I:$I,Toplantı!$B$5,Başvuru!$D:$D,$A$19)</f>
        <v>0</v>
      </c>
      <c r="D19" s="201">
        <f>COUNTIFS(Başvuru!$I:$I,Toplantı!$B$6,Başvuru!$D:$D,$A$19)</f>
        <v>2</v>
      </c>
      <c r="E19" s="201">
        <f>COUNTIFS(Başvuru!$I:$I,Toplantı!$B$7,Başvuru!$D:$D,$A$19)</f>
        <v>1</v>
      </c>
      <c r="F19" s="201">
        <f>COUNTIFS(Başvuru!$I:$I,Toplantı!$B$8,Başvuru!$D:$D,$A$19)</f>
        <v>1</v>
      </c>
      <c r="G19" s="201">
        <f>COUNTIFS(Başvuru!$I:$I,Toplantı!$B$9,Başvuru!$D:$D,$A$19)</f>
        <v>0</v>
      </c>
      <c r="H19" s="201">
        <f>COUNTIFS(Başvuru!$I:$I,Toplantı!$B$10,Başvuru!$D:$D,$A$19)</f>
        <v>1</v>
      </c>
      <c r="I19" s="201">
        <f>COUNTIFS(Başvuru!$I:$I,Toplantı!$B$11,Başvuru!$D:$D,$A$19)</f>
        <v>1</v>
      </c>
      <c r="J19" s="201">
        <f>COUNTIFS(Başvuru!$I:$I,Toplantı!$B$12,Başvuru!$D:$D,$A$19)</f>
        <v>0</v>
      </c>
      <c r="K19" s="201">
        <f>COUNTIFS(Başvuru!$I:$I,Toplantı!$B$13,Başvuru!$D:$D,$A$19)</f>
        <v>0</v>
      </c>
      <c r="L19" s="201">
        <f>COUNTIFS(Başvuru!$I:$I,Toplantı!$B$14,Başvuru!$D:$D,$A$19)</f>
        <v>0</v>
      </c>
      <c r="M19" s="201">
        <f>COUNTIFS(Başvuru!$I:$I,Toplantı!$B$15,Başvuru!$D:$D,$A$19)</f>
        <v>1</v>
      </c>
      <c r="N19" s="201">
        <f>COUNTIFS(Başvuru!$I:$I,Toplantı!$B$16,Başvuru!$D:$D,$A$19)</f>
        <v>0</v>
      </c>
      <c r="O19" s="201">
        <f>COUNTIFS(Başvuru!$I:$I,Toplantı!$B$17,Başvuru!$D:$D,$A$19)</f>
        <v>0</v>
      </c>
      <c r="P19" s="201">
        <f>COUNTIFS(Başvuru!$I:$I,Toplantı!$B$18,Başvuru!$D:$D,$A$19)</f>
        <v>0</v>
      </c>
      <c r="Q19" s="199">
        <f t="shared" si="0"/>
        <v>9</v>
      </c>
    </row>
    <row r="20" spans="1:17" ht="15.75" customHeight="1" x14ac:dyDescent="0.25">
      <c r="A20" s="197" t="s">
        <v>327</v>
      </c>
      <c r="B20" s="198">
        <f>COUNTIFS(Başvuru!$I:$I,Toplantı!$B$4,Başvuru!$D:$D,$A$20)</f>
        <v>1</v>
      </c>
      <c r="C20" s="198">
        <f>COUNTIFS(Başvuru!$I:$I,Toplantı!$B$5,Başvuru!$D:$D,$A$20)</f>
        <v>1</v>
      </c>
      <c r="D20" s="198">
        <f>COUNTIFS(Başvuru!$I:$I,Toplantı!$B$6,Başvuru!$D:$D,$A$20)</f>
        <v>2</v>
      </c>
      <c r="E20" s="198">
        <f>COUNTIFS(Başvuru!$I:$I,Toplantı!$B$7,Başvuru!$D:$D,$A$20)</f>
        <v>0</v>
      </c>
      <c r="F20" s="198">
        <f>COUNTIFS(Başvuru!$I:$I,Toplantı!$B$8,Başvuru!$D:$D,$A$20)</f>
        <v>1</v>
      </c>
      <c r="G20" s="198">
        <f>COUNTIFS(Başvuru!$I:$I,Toplantı!$B$9,Başvuru!$D:$D,$A$20)</f>
        <v>0</v>
      </c>
      <c r="H20" s="198">
        <f>COUNTIFS(Başvuru!$I:$I,Toplantı!$B$10,Başvuru!$D:$D,$A$20)</f>
        <v>2</v>
      </c>
      <c r="I20" s="198">
        <f>COUNTIFS(Başvuru!$I:$I,Toplantı!$B$11,Başvuru!$D:$D,$A$20)</f>
        <v>0</v>
      </c>
      <c r="J20" s="198">
        <f>COUNTIFS(Başvuru!$I:$I,Toplantı!$B$12,Başvuru!$D:$D,$A$20)</f>
        <v>0</v>
      </c>
      <c r="K20" s="198">
        <f>COUNTIFS(Başvuru!$I:$I,Toplantı!$B$13,Başvuru!$D:$D,$A$20)</f>
        <v>0</v>
      </c>
      <c r="L20" s="198">
        <f>COUNTIFS(Başvuru!$I:$I,Toplantı!$B$14,Başvuru!$D:$D,$A$20)</f>
        <v>0</v>
      </c>
      <c r="M20" s="198">
        <f>COUNTIFS(Başvuru!$I:$I,Toplantı!$B$15,Başvuru!$D:$D,$A$20)</f>
        <v>2</v>
      </c>
      <c r="N20" s="198">
        <f>COUNTIFS(Başvuru!$I:$I,Toplantı!$B$16,Başvuru!$D:$D,$A$20)</f>
        <v>0</v>
      </c>
      <c r="O20" s="198">
        <f>COUNTIFS(Başvuru!$I:$I,Toplantı!$B$17,Başvuru!$D:$D,$A$20)</f>
        <v>1</v>
      </c>
      <c r="P20" s="198">
        <f>COUNTIFS(Başvuru!$I:$I,Toplantı!$B$18,Başvuru!$D:$D,$A$20)</f>
        <v>0</v>
      </c>
      <c r="Q20" s="199">
        <f t="shared" si="0"/>
        <v>10</v>
      </c>
    </row>
    <row r="21" spans="1:17" ht="15.75" customHeight="1" x14ac:dyDescent="0.25">
      <c r="A21" s="200" t="s">
        <v>189</v>
      </c>
      <c r="B21" s="201">
        <f>COUNTIFS(Başvuru!$I:$I,Toplantı!$B$4,Başvuru!$D:$D,$A$21)</f>
        <v>1</v>
      </c>
      <c r="C21" s="201">
        <f>COUNTIFS(Başvuru!$I:$I,Toplantı!$B$5,Başvuru!$D:$D,$A$21)</f>
        <v>0</v>
      </c>
      <c r="D21" s="201">
        <f>COUNTIFS(Başvuru!$I:$I,Toplantı!$B$6,Başvuru!$D:$D,$A$21)</f>
        <v>0</v>
      </c>
      <c r="E21" s="201">
        <f>COUNTIFS(Başvuru!$I:$I,Toplantı!$B$7,Başvuru!$D:$D,$A$21)</f>
        <v>2</v>
      </c>
      <c r="F21" s="201">
        <f>COUNTIFS(Başvuru!$I:$I,Toplantı!$B$8,Başvuru!$D:$D,$A$21)</f>
        <v>0</v>
      </c>
      <c r="G21" s="201">
        <f>COUNTIFS(Başvuru!$I:$I,Toplantı!$B$9,Başvuru!$D:$D,$A$21)</f>
        <v>2</v>
      </c>
      <c r="H21" s="201">
        <f>COUNTIFS(Başvuru!$I:$I,Toplantı!$B$10,Başvuru!$D:$D,$A$21)</f>
        <v>0</v>
      </c>
      <c r="I21" s="201">
        <f>COUNTIFS(Başvuru!$I:$I,Toplantı!$B$11,Başvuru!$D:$D,$A$21)</f>
        <v>0</v>
      </c>
      <c r="J21" s="201">
        <f>COUNTIFS(Başvuru!$I:$I,Toplantı!$B$12,Başvuru!$D:$D,$A$21)</f>
        <v>0</v>
      </c>
      <c r="K21" s="201">
        <f>COUNTIFS(Başvuru!$I:$I,Toplantı!$B$13,Başvuru!$D:$D,$A$21)</f>
        <v>0</v>
      </c>
      <c r="L21" s="201">
        <f>COUNTIFS(Başvuru!$I:$I,Toplantı!$B$14,Başvuru!$D:$D,$A$21)</f>
        <v>2</v>
      </c>
      <c r="M21" s="201">
        <f>COUNTIFS(Başvuru!$I:$I,Toplantı!$B$15,Başvuru!$D:$D,$A$21)</f>
        <v>1</v>
      </c>
      <c r="N21" s="201">
        <f>COUNTIFS(Başvuru!$I:$I,Toplantı!$B$16,Başvuru!$D:$D,$A$21)</f>
        <v>1</v>
      </c>
      <c r="O21" s="201">
        <f>COUNTIFS(Başvuru!$I:$I,Toplantı!$B$17,Başvuru!$D:$D,$A$21)</f>
        <v>1</v>
      </c>
      <c r="P21" s="201">
        <f>COUNTIFS(Başvuru!$I:$I,Toplantı!$B$18,Başvuru!$D:$D,$A$21)</f>
        <v>0</v>
      </c>
      <c r="Q21" s="199">
        <f t="shared" si="0"/>
        <v>10</v>
      </c>
    </row>
    <row r="22" spans="1:17" ht="15.75" customHeight="1" x14ac:dyDescent="0.25">
      <c r="A22" s="197" t="s">
        <v>215</v>
      </c>
      <c r="B22" s="198">
        <f>COUNTIFS(Başvuru!$I:$I,Toplantı!$B$4,Başvuru!$D:$D,$A$22)</f>
        <v>1</v>
      </c>
      <c r="C22" s="198">
        <f>COUNTIFS(Başvuru!$I:$I,Toplantı!$B$5,Başvuru!$D:$D,$A$22)</f>
        <v>0</v>
      </c>
      <c r="D22" s="198">
        <f>COUNTIFS(Başvuru!$I:$I,Toplantı!$B$6,Başvuru!$D:$D,$A$22)</f>
        <v>1</v>
      </c>
      <c r="E22" s="198">
        <f>COUNTIFS(Başvuru!$I:$I,Toplantı!$B$7,Başvuru!$D:$D,$A$22)</f>
        <v>0</v>
      </c>
      <c r="F22" s="198">
        <f>COUNTIFS(Başvuru!$I:$I,Toplantı!$B$8,Başvuru!$D:$D,$A$22)</f>
        <v>1</v>
      </c>
      <c r="G22" s="198">
        <f>COUNTIFS(Başvuru!$I:$I,Toplantı!$B$9,Başvuru!$D:$D,$A$22)</f>
        <v>1</v>
      </c>
      <c r="H22" s="198">
        <f>COUNTIFS(Başvuru!$I:$I,Toplantı!$B$10,Başvuru!$D:$D,$A$22)</f>
        <v>1</v>
      </c>
      <c r="I22" s="198">
        <f>COUNTIFS(Başvuru!$I:$I,Toplantı!$B$11,Başvuru!$D:$D,$A$22)</f>
        <v>0</v>
      </c>
      <c r="J22" s="198">
        <f>COUNTIFS(Başvuru!$I:$I,Toplantı!$B$12,Başvuru!$D:$D,$A$22)</f>
        <v>0</v>
      </c>
      <c r="K22" s="198">
        <f>COUNTIFS(Başvuru!$I:$I,Toplantı!$B$13,Başvuru!$D:$D,$A$22)</f>
        <v>2</v>
      </c>
      <c r="L22" s="198">
        <f>COUNTIFS(Başvuru!$I:$I,Toplantı!$B$14,Başvuru!$D:$D,$A$22)</f>
        <v>0</v>
      </c>
      <c r="M22" s="198">
        <f>COUNTIFS(Başvuru!$I:$I,Toplantı!$B$15,Başvuru!$D:$D,$A$22)</f>
        <v>0</v>
      </c>
      <c r="N22" s="198">
        <f>COUNTIFS(Başvuru!$I:$I,Toplantı!$B$16,Başvuru!$D:$D,$A$22)</f>
        <v>0</v>
      </c>
      <c r="O22" s="198">
        <f>COUNTIFS(Başvuru!$I:$I,Toplantı!$B$17,Başvuru!$D:$D,$A$22)</f>
        <v>0</v>
      </c>
      <c r="P22" s="198">
        <f>COUNTIFS(Başvuru!$I:$I,Toplantı!$B$18,Başvuru!$D:$D,$A$22)</f>
        <v>0</v>
      </c>
      <c r="Q22" s="199">
        <f t="shared" si="0"/>
        <v>7</v>
      </c>
    </row>
    <row r="23" spans="1:17" ht="15.75" customHeight="1" x14ac:dyDescent="0.25">
      <c r="A23" s="200" t="s">
        <v>570</v>
      </c>
      <c r="B23" s="201">
        <f>COUNTIFS(Başvuru!$I:$I,Toplantı!$B$4,Başvuru!$D:$D,$A$23)</f>
        <v>0</v>
      </c>
      <c r="C23" s="201">
        <f>COUNTIFS(Başvuru!$I:$I,Toplantı!$B$5,Başvuru!$D:$D,$A$23)</f>
        <v>1</v>
      </c>
      <c r="D23" s="201">
        <f>COUNTIFS(Başvuru!$I:$I,Toplantı!$B$6,Başvuru!$D:$D,$A$23)</f>
        <v>0</v>
      </c>
      <c r="E23" s="201">
        <f>COUNTIFS(Başvuru!$I:$I,Toplantı!$B$7,Başvuru!$D:$D,$A$23)</f>
        <v>2</v>
      </c>
      <c r="F23" s="201">
        <f>COUNTIFS(Başvuru!$I:$I,Toplantı!$B$8,Başvuru!$D:$D,$A$23)</f>
        <v>0</v>
      </c>
      <c r="G23" s="201">
        <f>COUNTIFS(Başvuru!$I:$I,Toplantı!$B$9,Başvuru!$D:$D,$A$23)</f>
        <v>1</v>
      </c>
      <c r="H23" s="201">
        <f>COUNTIFS(Başvuru!$I:$I,Toplantı!$B$10,Başvuru!$D:$D,$A$23)</f>
        <v>0</v>
      </c>
      <c r="I23" s="201">
        <f>COUNTIFS(Başvuru!$I:$I,Toplantı!$B$11,Başvuru!$D:$D,$A$23)</f>
        <v>1</v>
      </c>
      <c r="J23" s="201">
        <f>COUNTIFS(Başvuru!$I:$I,Toplantı!$B$12,Başvuru!$D:$D,$A$23)</f>
        <v>0</v>
      </c>
      <c r="K23" s="201">
        <f>COUNTIFS(Başvuru!$I:$I,Toplantı!$B$13,Başvuru!$D:$D,$A$23)</f>
        <v>0</v>
      </c>
      <c r="L23" s="201">
        <f>COUNTIFS(Başvuru!$I:$I,Toplantı!$B$14,Başvuru!$D:$D,$A$23)</f>
        <v>1</v>
      </c>
      <c r="M23" s="201">
        <f>COUNTIFS(Başvuru!$I:$I,Toplantı!$B$15,Başvuru!$D:$D,$A$23)</f>
        <v>1</v>
      </c>
      <c r="N23" s="201">
        <f>COUNTIFS(Başvuru!$I:$I,Toplantı!$B$16,Başvuru!$D:$D,$A$23)</f>
        <v>0</v>
      </c>
      <c r="O23" s="201">
        <f>COUNTIFS(Başvuru!$I:$I,Toplantı!$B$17,Başvuru!$D:$D,$A$23)</f>
        <v>0</v>
      </c>
      <c r="P23" s="201">
        <f>COUNTIFS(Başvuru!$I:$I,Toplantı!$B$18,Başvuru!$D:$D,$A$23)</f>
        <v>0</v>
      </c>
      <c r="Q23" s="199">
        <f t="shared" si="0"/>
        <v>7</v>
      </c>
    </row>
    <row r="24" spans="1:17" ht="15.75" customHeight="1" x14ac:dyDescent="0.25">
      <c r="A24" s="197" t="s">
        <v>118</v>
      </c>
      <c r="B24" s="198">
        <f>COUNTIFS(Başvuru!$I:$I,Toplantı!$B$4,Başvuru!$D:$D,$A$24)</f>
        <v>1</v>
      </c>
      <c r="C24" s="198">
        <f>COUNTIFS(Başvuru!$I:$I,Toplantı!$B$5,Başvuru!$D:$D,$A$24)</f>
        <v>0</v>
      </c>
      <c r="D24" s="198">
        <f>COUNTIFS(Başvuru!$I:$I,Toplantı!$B$6,Başvuru!$D:$D,$A$24)</f>
        <v>0</v>
      </c>
      <c r="E24" s="198">
        <f>COUNTIFS(Başvuru!$I:$I,Toplantı!$B$7,Başvuru!$D:$D,$A$24)</f>
        <v>1</v>
      </c>
      <c r="F24" s="198">
        <f>COUNTIFS(Başvuru!$I:$I,Toplantı!$B$8,Başvuru!$D:$D,$A$24)</f>
        <v>0</v>
      </c>
      <c r="G24" s="198">
        <f>COUNTIFS(Başvuru!$I:$I,Toplantı!$B$9,Başvuru!$D:$D,$A$24)</f>
        <v>0</v>
      </c>
      <c r="H24" s="198">
        <f>COUNTIFS(Başvuru!$I:$I,Toplantı!$B$10,Başvuru!$D:$D,$A$24)</f>
        <v>1</v>
      </c>
      <c r="I24" s="198">
        <f>COUNTIFS(Başvuru!$I:$I,Toplantı!$B$11,Başvuru!$D:$D,$A$24)</f>
        <v>0</v>
      </c>
      <c r="J24" s="198">
        <f>COUNTIFS(Başvuru!$I:$I,Toplantı!$B$12,Başvuru!$D:$D,$A$24)</f>
        <v>1</v>
      </c>
      <c r="K24" s="198">
        <f>COUNTIFS(Başvuru!$I:$I,Toplantı!$B$13,Başvuru!$D:$D,$A$24)</f>
        <v>2</v>
      </c>
      <c r="L24" s="198">
        <f>COUNTIFS(Başvuru!$I:$I,Toplantı!$B$14,Başvuru!$D:$D,$A$24)</f>
        <v>0</v>
      </c>
      <c r="M24" s="198">
        <f>COUNTIFS(Başvuru!$I:$I,Toplantı!$B$15,Başvuru!$D:$D,$A$24)</f>
        <v>0</v>
      </c>
      <c r="N24" s="198">
        <f>COUNTIFS(Başvuru!$I:$I,Toplantı!$B$16,Başvuru!$D:$D,$A$24)</f>
        <v>1</v>
      </c>
      <c r="O24" s="198">
        <f>COUNTIFS(Başvuru!$I:$I,Toplantı!$B$17,Başvuru!$D:$D,$A$24)</f>
        <v>1</v>
      </c>
      <c r="P24" s="198">
        <f>COUNTIFS(Başvuru!$I:$I,Toplantı!$B$18,Başvuru!$D:$D,$A$24)</f>
        <v>0</v>
      </c>
      <c r="Q24" s="199">
        <f t="shared" si="0"/>
        <v>8</v>
      </c>
    </row>
    <row r="25" spans="1:17" ht="15.75" customHeight="1" x14ac:dyDescent="0.25">
      <c r="A25" s="200" t="s">
        <v>229</v>
      </c>
      <c r="B25" s="201">
        <f>COUNTIFS(Başvuru!$I:$I,Toplantı!$B$4,Başvuru!$D:$D,$A$25)</f>
        <v>1</v>
      </c>
      <c r="C25" s="201">
        <f>COUNTIFS(Başvuru!$I:$I,Toplantı!$B$5,Başvuru!$D:$D,$A$25)</f>
        <v>0</v>
      </c>
      <c r="D25" s="201">
        <f>COUNTIFS(Başvuru!$I:$I,Toplantı!$B$6,Başvuru!$D:$D,$A$25)</f>
        <v>1</v>
      </c>
      <c r="E25" s="201">
        <f>COUNTIFS(Başvuru!$I:$I,Toplantı!$B$7,Başvuru!$D:$D,$A$25)</f>
        <v>0</v>
      </c>
      <c r="F25" s="201">
        <f>COUNTIFS(Başvuru!$I:$I,Toplantı!$B$8,Başvuru!$D:$D,$A$25)</f>
        <v>1</v>
      </c>
      <c r="G25" s="201">
        <f>COUNTIFS(Başvuru!$I:$I,Toplantı!$B$9,Başvuru!$D:$D,$A$25)</f>
        <v>2</v>
      </c>
      <c r="H25" s="201">
        <f>COUNTIFS(Başvuru!$I:$I,Toplantı!$B$10,Başvuru!$D:$D,$A$25)</f>
        <v>0</v>
      </c>
      <c r="I25" s="201">
        <f>COUNTIFS(Başvuru!$I:$I,Toplantı!$B$11,Başvuru!$D:$D,$A$25)</f>
        <v>0</v>
      </c>
      <c r="J25" s="201">
        <f>COUNTIFS(Başvuru!$I:$I,Toplantı!$B$12,Başvuru!$D:$D,$A$25)</f>
        <v>0</v>
      </c>
      <c r="K25" s="201">
        <f>COUNTIFS(Başvuru!$I:$I,Toplantı!$B$13,Başvuru!$D:$D,$A$25)</f>
        <v>1</v>
      </c>
      <c r="L25" s="201">
        <f>COUNTIFS(Başvuru!$I:$I,Toplantı!$B$14,Başvuru!$D:$D,$A$25)</f>
        <v>0</v>
      </c>
      <c r="M25" s="201">
        <f>COUNTIFS(Başvuru!$I:$I,Toplantı!$B$15,Başvuru!$D:$D,$A$25)</f>
        <v>0</v>
      </c>
      <c r="N25" s="201">
        <f>COUNTIFS(Başvuru!$I:$I,Toplantı!$B$16,Başvuru!$D:$D,$A$25)</f>
        <v>1</v>
      </c>
      <c r="O25" s="201">
        <f>COUNTIFS(Başvuru!$I:$I,Toplantı!$B$17,Başvuru!$D:$D,$A$25)</f>
        <v>3</v>
      </c>
      <c r="P25" s="201">
        <f>COUNTIFS(Başvuru!$I:$I,Toplantı!$B$18,Başvuru!$D:$D,$A$25)</f>
        <v>0</v>
      </c>
      <c r="Q25" s="199">
        <f t="shared" si="0"/>
        <v>10</v>
      </c>
    </row>
    <row r="26" spans="1:17" ht="15.75" customHeight="1" x14ac:dyDescent="0.25">
      <c r="A26" s="197" t="s">
        <v>307</v>
      </c>
      <c r="B26" s="198">
        <f>COUNTIFS(Başvuru!$I:$I,Toplantı!$B$4,Başvuru!$D:$D,$A$26)</f>
        <v>1</v>
      </c>
      <c r="C26" s="198">
        <f>COUNTIFS(Başvuru!$I:$I,Toplantı!$B$5,Başvuru!$D:$D,$A$26)</f>
        <v>1</v>
      </c>
      <c r="D26" s="198">
        <f>COUNTIFS(Başvuru!$I:$I,Toplantı!$B$6,Başvuru!$D:$D,$A$26)</f>
        <v>0</v>
      </c>
      <c r="E26" s="198">
        <f>COUNTIFS(Başvuru!$I:$I,Toplantı!$B$7,Başvuru!$D:$D,$A$26)</f>
        <v>0</v>
      </c>
      <c r="F26" s="198">
        <f>COUNTIFS(Başvuru!$I:$I,Toplantı!$B$8,Başvuru!$D:$D,$A$26)</f>
        <v>2</v>
      </c>
      <c r="G26" s="198">
        <f>COUNTIFS(Başvuru!$I:$I,Toplantı!$B$9,Başvuru!$D:$D,$A$26)</f>
        <v>0</v>
      </c>
      <c r="H26" s="198">
        <f>COUNTIFS(Başvuru!$I:$I,Toplantı!$B$10,Başvuru!$D:$D,$A$26)</f>
        <v>1</v>
      </c>
      <c r="I26" s="198">
        <f>COUNTIFS(Başvuru!$I:$I,Toplantı!$B$11,Başvuru!$D:$D,$A$26)</f>
        <v>0</v>
      </c>
      <c r="J26" s="198">
        <f>COUNTIFS(Başvuru!$I:$I,Toplantı!$B$12,Başvuru!$D:$D,$A$26)</f>
        <v>0</v>
      </c>
      <c r="K26" s="198">
        <f>COUNTIFS(Başvuru!$I:$I,Toplantı!$B$13,Başvuru!$D:$D,$A$26)</f>
        <v>0</v>
      </c>
      <c r="L26" s="198">
        <f>COUNTIFS(Başvuru!$I:$I,Toplantı!$B$14,Başvuru!$D:$D,$A$26)</f>
        <v>1</v>
      </c>
      <c r="M26" s="198">
        <f>COUNTIFS(Başvuru!$I:$I,Toplantı!$B$15,Başvuru!$D:$D,$A$26)</f>
        <v>0</v>
      </c>
      <c r="N26" s="198">
        <f>COUNTIFS(Başvuru!$I:$I,Toplantı!$B$16,Başvuru!$D:$D,$A$26)</f>
        <v>0</v>
      </c>
      <c r="O26" s="198">
        <f>COUNTIFS(Başvuru!$I:$I,Toplantı!$B$17,Başvuru!$D:$D,$A$26)</f>
        <v>0</v>
      </c>
      <c r="P26" s="198">
        <f>COUNTIFS(Başvuru!$I:$I,Toplantı!$B$18,Başvuru!$D:$D,$A$26)</f>
        <v>0</v>
      </c>
      <c r="Q26" s="199">
        <f t="shared" si="0"/>
        <v>6</v>
      </c>
    </row>
    <row r="27" spans="1:17" ht="15.75" customHeight="1" x14ac:dyDescent="0.25">
      <c r="A27" s="200" t="s">
        <v>435</v>
      </c>
      <c r="B27" s="201">
        <f>COUNTIFS(Başvuru!$I:$I,Toplantı!$B$4,Başvuru!$D:$D,$A$27)</f>
        <v>0</v>
      </c>
      <c r="C27" s="201">
        <f>COUNTIFS(Başvuru!$I:$I,Toplantı!$B$5,Başvuru!$D:$D,$A$27)</f>
        <v>1</v>
      </c>
      <c r="D27" s="201">
        <f>COUNTIFS(Başvuru!$I:$I,Toplantı!$B$6,Başvuru!$D:$D,$A$27)</f>
        <v>0</v>
      </c>
      <c r="E27" s="201">
        <f>COUNTIFS(Başvuru!$I:$I,Toplantı!$B$7,Başvuru!$D:$D,$A$27)</f>
        <v>3</v>
      </c>
      <c r="F27" s="201">
        <f>COUNTIFS(Başvuru!$I:$I,Toplantı!$B$8,Başvuru!$D:$D,$A$27)</f>
        <v>0</v>
      </c>
      <c r="G27" s="201">
        <f>COUNTIFS(Başvuru!$I:$I,Toplantı!$B$9,Başvuru!$D:$D,$A$27)</f>
        <v>0</v>
      </c>
      <c r="H27" s="201">
        <f>COUNTIFS(Başvuru!$I:$I,Toplantı!$B$10,Başvuru!$D:$D,$A$27)</f>
        <v>0</v>
      </c>
      <c r="I27" s="201">
        <f>COUNTIFS(Başvuru!$I:$I,Toplantı!$B$11,Başvuru!$D:$D,$A$27)</f>
        <v>0</v>
      </c>
      <c r="J27" s="201">
        <f>COUNTIFS(Başvuru!$I:$I,Toplantı!$B$12,Başvuru!$D:$D,$A$27)</f>
        <v>1</v>
      </c>
      <c r="K27" s="201">
        <f>COUNTIFS(Başvuru!$I:$I,Toplantı!$B$13,Başvuru!$D:$D,$A$27)</f>
        <v>1</v>
      </c>
      <c r="L27" s="201">
        <f>COUNTIFS(Başvuru!$I:$I,Toplantı!$B$14,Başvuru!$D:$D,$A$27)</f>
        <v>0</v>
      </c>
      <c r="M27" s="201">
        <f>COUNTIFS(Başvuru!$I:$I,Toplantı!$B$15,Başvuru!$D:$D,$A$27)</f>
        <v>0</v>
      </c>
      <c r="N27" s="201">
        <f>COUNTIFS(Başvuru!$I:$I,Toplantı!$B$16,Başvuru!$D:$D,$A$27)</f>
        <v>1</v>
      </c>
      <c r="O27" s="201">
        <f>COUNTIFS(Başvuru!$I:$I,Toplantı!$B$17,Başvuru!$D:$D,$A$27)</f>
        <v>0</v>
      </c>
      <c r="P27" s="201">
        <f>COUNTIFS(Başvuru!$I:$I,Toplantı!$B$18,Başvuru!$D:$D,$A$27)</f>
        <v>1</v>
      </c>
      <c r="Q27" s="199">
        <f t="shared" si="0"/>
        <v>8</v>
      </c>
    </row>
    <row r="28" spans="1:17" ht="15.75" customHeight="1" x14ac:dyDescent="0.25">
      <c r="A28" s="197" t="s">
        <v>461</v>
      </c>
      <c r="B28" s="198">
        <f>COUNTIFS(Başvuru!$I:$I,Toplantı!$B$4,Başvuru!$D:$D,$A$28)</f>
        <v>0</v>
      </c>
      <c r="C28" s="198">
        <f>COUNTIFS(Başvuru!$I:$I,Toplantı!$B$5,Başvuru!$D:$D,$A$28)</f>
        <v>2</v>
      </c>
      <c r="D28" s="198">
        <f>COUNTIFS(Başvuru!$I:$I,Toplantı!$B$6,Başvuru!$D:$D,$A$28)</f>
        <v>1</v>
      </c>
      <c r="E28" s="198">
        <f>COUNTIFS(Başvuru!$I:$I,Toplantı!$B$7,Başvuru!$D:$D,$A$28)</f>
        <v>0</v>
      </c>
      <c r="F28" s="198">
        <f>COUNTIFS(Başvuru!$I:$I,Toplantı!$B$8,Başvuru!$D:$D,$A$28)</f>
        <v>0</v>
      </c>
      <c r="G28" s="198">
        <f>COUNTIFS(Başvuru!$I:$I,Toplantı!$B$9,Başvuru!$D:$D,$A$28)</f>
        <v>0</v>
      </c>
      <c r="H28" s="198">
        <f>COUNTIFS(Başvuru!$I:$I,Toplantı!$B$10,Başvuru!$D:$D,$A$28)</f>
        <v>0</v>
      </c>
      <c r="I28" s="198">
        <f>COUNTIFS(Başvuru!$I:$I,Toplantı!$B$11,Başvuru!$D:$D,$A$28)</f>
        <v>2</v>
      </c>
      <c r="J28" s="198">
        <f>COUNTIFS(Başvuru!$I:$I,Toplantı!$B$12,Başvuru!$D:$D,$A$28)</f>
        <v>0</v>
      </c>
      <c r="K28" s="198">
        <f>COUNTIFS(Başvuru!$I:$I,Toplantı!$B$13,Başvuru!$D:$D,$A$28)</f>
        <v>0</v>
      </c>
      <c r="L28" s="198">
        <f>COUNTIFS(Başvuru!$I:$I,Toplantı!$B$14,Başvuru!$D:$D,$A$28)</f>
        <v>1</v>
      </c>
      <c r="M28" s="198">
        <f>COUNTIFS(Başvuru!$I:$I,Toplantı!$B$15,Başvuru!$D:$D,$A$28)</f>
        <v>0</v>
      </c>
      <c r="N28" s="198">
        <f>COUNTIFS(Başvuru!$I:$I,Toplantı!$B$16,Başvuru!$D:$D,$A$28)</f>
        <v>0</v>
      </c>
      <c r="O28" s="198">
        <f>COUNTIFS(Başvuru!$I:$I,Toplantı!$B$17,Başvuru!$D:$D,$A$28)</f>
        <v>0</v>
      </c>
      <c r="P28" s="198">
        <f>COUNTIFS(Başvuru!$I:$I,Toplantı!$B$18,Başvuru!$D:$D,$A$28)</f>
        <v>0</v>
      </c>
      <c r="Q28" s="199">
        <f t="shared" si="0"/>
        <v>6</v>
      </c>
    </row>
    <row r="29" spans="1:17" ht="15.75" customHeight="1" x14ac:dyDescent="0.25">
      <c r="A29" s="200" t="s">
        <v>515</v>
      </c>
      <c r="B29" s="201">
        <f>COUNTIFS(Başvuru!$I:$I,Toplantı!$B$4,Başvuru!$D:$D,$A$29)</f>
        <v>0</v>
      </c>
      <c r="C29" s="201">
        <f>COUNTIFS(Başvuru!$I:$I,Toplantı!$B$5,Başvuru!$D:$D,$A$29)</f>
        <v>1</v>
      </c>
      <c r="D29" s="201">
        <f>COUNTIFS(Başvuru!$I:$I,Toplantı!$B$6,Başvuru!$D:$D,$A$29)</f>
        <v>1</v>
      </c>
      <c r="E29" s="201">
        <f>COUNTIFS(Başvuru!$I:$I,Toplantı!$B$7,Başvuru!$D:$D,$A$29)</f>
        <v>0</v>
      </c>
      <c r="F29" s="201">
        <f>COUNTIFS(Başvuru!$I:$I,Toplantı!$B$8,Başvuru!$D:$D,$A$29)</f>
        <v>1</v>
      </c>
      <c r="G29" s="201">
        <f>COUNTIFS(Başvuru!$I:$I,Toplantı!$B$9,Başvuru!$D:$D,$A$29)</f>
        <v>0</v>
      </c>
      <c r="H29" s="201">
        <f>COUNTIFS(Başvuru!$I:$I,Toplantı!$B$10,Başvuru!$D:$D,$A$29)</f>
        <v>0</v>
      </c>
      <c r="I29" s="201">
        <f>COUNTIFS(Başvuru!$I:$I,Toplantı!$B$11,Başvuru!$D:$D,$A$29)</f>
        <v>0</v>
      </c>
      <c r="J29" s="201">
        <f>COUNTIFS(Başvuru!$I:$I,Toplantı!$B$12,Başvuru!$D:$D,$A$29)</f>
        <v>1</v>
      </c>
      <c r="K29" s="201">
        <f>COUNTIFS(Başvuru!$I:$I,Toplantı!$B$13,Başvuru!$D:$D,$A$29)</f>
        <v>0</v>
      </c>
      <c r="L29" s="201">
        <f>COUNTIFS(Başvuru!$I:$I,Toplantı!$B$14,Başvuru!$D:$D,$A$29)</f>
        <v>1</v>
      </c>
      <c r="M29" s="201">
        <f>COUNTIFS(Başvuru!$I:$I,Toplantı!$B$15,Başvuru!$D:$D,$A$29)</f>
        <v>1</v>
      </c>
      <c r="N29" s="201">
        <f>COUNTIFS(Başvuru!$I:$I,Toplantı!$B$16,Başvuru!$D:$D,$A$29)</f>
        <v>0</v>
      </c>
      <c r="O29" s="201">
        <f>COUNTIFS(Başvuru!$I:$I,Toplantı!$B$17,Başvuru!$D:$D,$A$29)</f>
        <v>0</v>
      </c>
      <c r="P29" s="201">
        <f>COUNTIFS(Başvuru!$I:$I,Toplantı!$B$18,Başvuru!$D:$D,$A$29)</f>
        <v>2</v>
      </c>
      <c r="Q29" s="199">
        <f t="shared" si="0"/>
        <v>8</v>
      </c>
    </row>
    <row r="30" spans="1:17" ht="15.75" customHeight="1" x14ac:dyDescent="0.25">
      <c r="A30" s="197" t="s">
        <v>153</v>
      </c>
      <c r="B30" s="198">
        <f>COUNTIFS(Başvuru!$I:$I,Toplantı!$B$4,Başvuru!$D:$D,$A$30)</f>
        <v>2</v>
      </c>
      <c r="C30" s="198">
        <f>COUNTIFS(Başvuru!$I:$I,Toplantı!$B$5,Başvuru!$D:$D,$A$30)</f>
        <v>0</v>
      </c>
      <c r="D30" s="198">
        <f>COUNTIFS(Başvuru!$I:$I,Toplantı!$B$6,Başvuru!$D:$D,$A$30)</f>
        <v>0</v>
      </c>
      <c r="E30" s="198">
        <f>COUNTIFS(Başvuru!$I:$I,Toplantı!$B$7,Başvuru!$D:$D,$A$30)</f>
        <v>0</v>
      </c>
      <c r="F30" s="198">
        <f>COUNTIFS(Başvuru!$I:$I,Toplantı!$B$8,Başvuru!$D:$D,$A$30)</f>
        <v>0</v>
      </c>
      <c r="G30" s="198">
        <f>COUNTIFS(Başvuru!$I:$I,Toplantı!$B$9,Başvuru!$D:$D,$A$30)</f>
        <v>0</v>
      </c>
      <c r="H30" s="198">
        <f>COUNTIFS(Başvuru!$I:$I,Toplantı!$B$10,Başvuru!$D:$D,$A$30)</f>
        <v>1</v>
      </c>
      <c r="I30" s="198">
        <f>COUNTIFS(Başvuru!$I:$I,Toplantı!$B$11,Başvuru!$D:$D,$A$30)</f>
        <v>0</v>
      </c>
      <c r="J30" s="198">
        <f>COUNTIFS(Başvuru!$I:$I,Toplantı!$B$12,Başvuru!$D:$D,$A$30)</f>
        <v>1</v>
      </c>
      <c r="K30" s="198">
        <f>COUNTIFS(Başvuru!$I:$I,Toplantı!$B$13,Başvuru!$D:$D,$A$30)</f>
        <v>0</v>
      </c>
      <c r="L30" s="198">
        <f>COUNTIFS(Başvuru!$I:$I,Toplantı!$B$14,Başvuru!$D:$D,$A$30)</f>
        <v>1</v>
      </c>
      <c r="M30" s="198">
        <f>COUNTIFS(Başvuru!$I:$I,Toplantı!$B$15,Başvuru!$D:$D,$A$30)</f>
        <v>0</v>
      </c>
      <c r="N30" s="198">
        <f>COUNTIFS(Başvuru!$I:$I,Toplantı!$B$16,Başvuru!$D:$D,$A$30)</f>
        <v>0</v>
      </c>
      <c r="O30" s="198">
        <f>COUNTIFS(Başvuru!$I:$I,Toplantı!$B$17,Başvuru!$D:$D,$A$30)</f>
        <v>0</v>
      </c>
      <c r="P30" s="198">
        <f>COUNTIFS(Başvuru!$I:$I,Toplantı!$B$18,Başvuru!$D:$D,$A$30)</f>
        <v>0</v>
      </c>
      <c r="Q30" s="199">
        <f t="shared" si="0"/>
        <v>5</v>
      </c>
    </row>
    <row r="31" spans="1:17" ht="15.75" customHeight="1" x14ac:dyDescent="0.25">
      <c r="A31" s="200" t="s">
        <v>356</v>
      </c>
      <c r="B31" s="201">
        <f>COUNTIFS(Başvuru!$I:$I,Toplantı!$B$4,Başvuru!$D:$D,$A$31)</f>
        <v>1</v>
      </c>
      <c r="C31" s="201">
        <f>COUNTIFS(Başvuru!$I:$I,Toplantı!$B$5,Başvuru!$D:$D,$A$31)</f>
        <v>0</v>
      </c>
      <c r="D31" s="201">
        <f>COUNTIFS(Başvuru!$I:$I,Toplantı!$B$6,Başvuru!$D:$D,$A$31)</f>
        <v>0</v>
      </c>
      <c r="E31" s="201">
        <f>COUNTIFS(Başvuru!$I:$I,Toplantı!$B$7,Başvuru!$D:$D,$A$31)</f>
        <v>1</v>
      </c>
      <c r="F31" s="201">
        <f>COUNTIFS(Başvuru!$I:$I,Toplantı!$B$8,Başvuru!$D:$D,$A$31)</f>
        <v>0</v>
      </c>
      <c r="G31" s="201">
        <f>COUNTIFS(Başvuru!$I:$I,Toplantı!$B$9,Başvuru!$D:$D,$A$31)</f>
        <v>0</v>
      </c>
      <c r="H31" s="201">
        <f>COUNTIFS(Başvuru!$I:$I,Toplantı!$B$10,Başvuru!$D:$D,$A$31)</f>
        <v>1</v>
      </c>
      <c r="I31" s="201">
        <f>COUNTIFS(Başvuru!$I:$I,Toplantı!$B$11,Başvuru!$D:$D,$A$31)</f>
        <v>0</v>
      </c>
      <c r="J31" s="201">
        <f>COUNTIFS(Başvuru!$I:$I,Toplantı!$B$12,Başvuru!$D:$D,$A$31)</f>
        <v>2</v>
      </c>
      <c r="K31" s="201">
        <f>COUNTIFS(Başvuru!$I:$I,Toplantı!$B$13,Başvuru!$D:$D,$A$31)</f>
        <v>0</v>
      </c>
      <c r="L31" s="201">
        <f>COUNTIFS(Başvuru!$I:$I,Toplantı!$B$14,Başvuru!$D:$D,$A$31)</f>
        <v>0</v>
      </c>
      <c r="M31" s="201">
        <f>COUNTIFS(Başvuru!$I:$I,Toplantı!$B$15,Başvuru!$D:$D,$A$31)</f>
        <v>0</v>
      </c>
      <c r="N31" s="201">
        <f>COUNTIFS(Başvuru!$I:$I,Toplantı!$B$16,Başvuru!$D:$D,$A$31)</f>
        <v>0</v>
      </c>
      <c r="O31" s="201">
        <f>COUNTIFS(Başvuru!$I:$I,Toplantı!$B$17,Başvuru!$D:$D,$A$31)</f>
        <v>0</v>
      </c>
      <c r="P31" s="201">
        <f>COUNTIFS(Başvuru!$I:$I,Toplantı!$B$18,Başvuru!$D:$D,$A$31)</f>
        <v>0</v>
      </c>
      <c r="Q31" s="199">
        <f t="shared" si="0"/>
        <v>5</v>
      </c>
    </row>
    <row r="32" spans="1:17" ht="15.75" customHeight="1" x14ac:dyDescent="0.25">
      <c r="A32" s="197" t="s">
        <v>378</v>
      </c>
      <c r="B32" s="198">
        <f>COUNTIFS(Başvuru!$I:$I,Toplantı!$B$4,Başvuru!$D:$D,$A$32)</f>
        <v>1</v>
      </c>
      <c r="C32" s="198">
        <f>COUNTIFS(Başvuru!$I:$I,Toplantı!$B$5,Başvuru!$D:$D,$A$32)</f>
        <v>0</v>
      </c>
      <c r="D32" s="198">
        <f>COUNTIFS(Başvuru!$I:$I,Toplantı!$B$6,Başvuru!$D:$D,$A$32)</f>
        <v>1</v>
      </c>
      <c r="E32" s="198">
        <f>COUNTIFS(Başvuru!$I:$I,Toplantı!$B$7,Başvuru!$D:$D,$A$32)</f>
        <v>0</v>
      </c>
      <c r="F32" s="198">
        <f>COUNTIFS(Başvuru!$I:$I,Toplantı!$B$8,Başvuru!$D:$D,$A$32)</f>
        <v>0</v>
      </c>
      <c r="G32" s="198">
        <f>COUNTIFS(Başvuru!$I:$I,Toplantı!$B$9,Başvuru!$D:$D,$A$32)</f>
        <v>0</v>
      </c>
      <c r="H32" s="198">
        <f>COUNTIFS(Başvuru!$I:$I,Toplantı!$B$10,Başvuru!$D:$D,$A$32)</f>
        <v>2</v>
      </c>
      <c r="I32" s="198">
        <f>COUNTIFS(Başvuru!$I:$I,Toplantı!$B$11,Başvuru!$D:$D,$A$32)</f>
        <v>0</v>
      </c>
      <c r="J32" s="198">
        <f>COUNTIFS(Başvuru!$I:$I,Toplantı!$B$12,Başvuru!$D:$D,$A$32)</f>
        <v>0</v>
      </c>
      <c r="K32" s="198">
        <f>COUNTIFS(Başvuru!$I:$I,Toplantı!$B$13,Başvuru!$D:$D,$A$32)</f>
        <v>0</v>
      </c>
      <c r="L32" s="198">
        <f>COUNTIFS(Başvuru!$I:$I,Toplantı!$B$14,Başvuru!$D:$D,$A$32)</f>
        <v>0</v>
      </c>
      <c r="M32" s="198">
        <f>COUNTIFS(Başvuru!$I:$I,Toplantı!$B$15,Başvuru!$D:$D,$A$32)</f>
        <v>1</v>
      </c>
      <c r="N32" s="198">
        <f>COUNTIFS(Başvuru!$I:$I,Toplantı!$B$16,Başvuru!$D:$D,$A$32)</f>
        <v>1</v>
      </c>
      <c r="O32" s="198">
        <f>COUNTIFS(Başvuru!$I:$I,Toplantı!$B$17,Başvuru!$D:$D,$A$32)</f>
        <v>0</v>
      </c>
      <c r="P32" s="198">
        <f>COUNTIFS(Başvuru!$I:$I,Toplantı!$B$18,Başvuru!$D:$D,$A$32)</f>
        <v>1</v>
      </c>
      <c r="Q32" s="199">
        <f t="shared" si="0"/>
        <v>7</v>
      </c>
    </row>
    <row r="33" spans="1:17" ht="15.75" customHeight="1" x14ac:dyDescent="0.25">
      <c r="A33" s="200" t="s">
        <v>445</v>
      </c>
      <c r="B33" s="201">
        <f>COUNTIFS(Başvuru!$I:$I,Toplantı!$B$4,Başvuru!$D:$D,$A$33)</f>
        <v>0</v>
      </c>
      <c r="C33" s="201">
        <f>COUNTIFS(Başvuru!$I:$I,Toplantı!$B$5,Başvuru!$D:$D,$A$33)</f>
        <v>1</v>
      </c>
      <c r="D33" s="201">
        <f>COUNTIFS(Başvuru!$I:$I,Toplantı!$B$6,Başvuru!$D:$D,$A$33)</f>
        <v>0</v>
      </c>
      <c r="E33" s="201">
        <f>COUNTIFS(Başvuru!$I:$I,Toplantı!$B$7,Başvuru!$D:$D,$A$33)</f>
        <v>1</v>
      </c>
      <c r="F33" s="201">
        <f>COUNTIFS(Başvuru!$I:$I,Toplantı!$B$8,Başvuru!$D:$D,$A$33)</f>
        <v>0</v>
      </c>
      <c r="G33" s="201">
        <f>COUNTIFS(Başvuru!$I:$I,Toplantı!$B$9,Başvuru!$D:$D,$A$33)</f>
        <v>2</v>
      </c>
      <c r="H33" s="201">
        <f>COUNTIFS(Başvuru!$I:$I,Toplantı!$B$10,Başvuru!$D:$D,$A$33)</f>
        <v>0</v>
      </c>
      <c r="I33" s="201">
        <f>COUNTIFS(Başvuru!$I:$I,Toplantı!$B$11,Başvuru!$D:$D,$A$33)</f>
        <v>0</v>
      </c>
      <c r="J33" s="201">
        <f>COUNTIFS(Başvuru!$I:$I,Toplantı!$B$12,Başvuru!$D:$D,$A$33)</f>
        <v>0</v>
      </c>
      <c r="K33" s="201">
        <f>COUNTIFS(Başvuru!$I:$I,Toplantı!$B$13,Başvuru!$D:$D,$A$33)</f>
        <v>1</v>
      </c>
      <c r="L33" s="201">
        <f>COUNTIFS(Başvuru!$I:$I,Toplantı!$B$14,Başvuru!$D:$D,$A$33)</f>
        <v>0</v>
      </c>
      <c r="M33" s="201">
        <f>COUNTIFS(Başvuru!$I:$I,Toplantı!$B$15,Başvuru!$D:$D,$A$33)</f>
        <v>0</v>
      </c>
      <c r="N33" s="201">
        <f>COUNTIFS(Başvuru!$I:$I,Toplantı!$B$16,Başvuru!$D:$D,$A$33)</f>
        <v>1</v>
      </c>
      <c r="O33" s="201">
        <f>COUNTIFS(Başvuru!$I:$I,Toplantı!$B$17,Başvuru!$D:$D,$A$33)</f>
        <v>0</v>
      </c>
      <c r="P33" s="201">
        <f>COUNTIFS(Başvuru!$I:$I,Toplantı!$B$18,Başvuru!$D:$D,$A$33)</f>
        <v>0</v>
      </c>
      <c r="Q33" s="199">
        <f t="shared" si="0"/>
        <v>6</v>
      </c>
    </row>
    <row r="34" spans="1:17" ht="15.75" customHeight="1" x14ac:dyDescent="0.25">
      <c r="A34" s="197" t="s">
        <v>615</v>
      </c>
      <c r="B34" s="198">
        <f>COUNTIFS(Başvuru!$I:$I,Toplantı!$B$4,Başvuru!$D:$D,$A$34)</f>
        <v>0</v>
      </c>
      <c r="C34" s="198">
        <f>COUNTIFS(Başvuru!$I:$I,Toplantı!$B$5,Başvuru!$D:$D,$A$34)</f>
        <v>2</v>
      </c>
      <c r="D34" s="198">
        <f>COUNTIFS(Başvuru!$I:$I,Toplantı!$B$6,Başvuru!$D:$D,$A$34)</f>
        <v>0</v>
      </c>
      <c r="E34" s="198">
        <f>COUNTIFS(Başvuru!$I:$I,Toplantı!$B$7,Başvuru!$D:$D,$A$34)</f>
        <v>1</v>
      </c>
      <c r="F34" s="198">
        <f>COUNTIFS(Başvuru!$I:$I,Toplantı!$B$8,Başvuru!$D:$D,$A$34)</f>
        <v>0</v>
      </c>
      <c r="G34" s="198">
        <f>COUNTIFS(Başvuru!$I:$I,Toplantı!$B$9,Başvuru!$D:$D,$A$34)</f>
        <v>0</v>
      </c>
      <c r="H34" s="198">
        <f>COUNTIFS(Başvuru!$I:$I,Toplantı!$B$10,Başvuru!$D:$D,$A$34)</f>
        <v>0</v>
      </c>
      <c r="I34" s="198">
        <f>COUNTIFS(Başvuru!$I:$I,Toplantı!$B$11,Başvuru!$D:$D,$A$34)</f>
        <v>1</v>
      </c>
      <c r="J34" s="198">
        <f>COUNTIFS(Başvuru!$I:$I,Toplantı!$B$12,Başvuru!$D:$D,$A$34)</f>
        <v>0</v>
      </c>
      <c r="K34" s="198">
        <f>COUNTIFS(Başvuru!$I:$I,Toplantı!$B$13,Başvuru!$D:$D,$A$34)</f>
        <v>0</v>
      </c>
      <c r="L34" s="198">
        <f>COUNTIFS(Başvuru!$I:$I,Toplantı!$B$14,Başvuru!$D:$D,$A$34)</f>
        <v>0</v>
      </c>
      <c r="M34" s="198">
        <f>COUNTIFS(Başvuru!$I:$I,Toplantı!$B$15,Başvuru!$D:$D,$A$34)</f>
        <v>1</v>
      </c>
      <c r="N34" s="198">
        <f>COUNTIFS(Başvuru!$I:$I,Toplantı!$B$16,Başvuru!$D:$D,$A$34)</f>
        <v>0</v>
      </c>
      <c r="O34" s="198">
        <f>COUNTIFS(Başvuru!$I:$I,Toplantı!$B$17,Başvuru!$D:$D,$A$34)</f>
        <v>1</v>
      </c>
      <c r="P34" s="198">
        <f>COUNTIFS(Başvuru!$I:$I,Toplantı!$B$18,Başvuru!$D:$D,$A$34)</f>
        <v>0</v>
      </c>
      <c r="Q34" s="199">
        <f t="shared" si="0"/>
        <v>6</v>
      </c>
    </row>
    <row r="35" spans="1:17" ht="15.75" customHeight="1" x14ac:dyDescent="0.25">
      <c r="A35" s="200" t="s">
        <v>1174</v>
      </c>
      <c r="B35" s="201">
        <f>COUNTIFS(Başvuru!$I:$I,Toplantı!$B$4,Başvuru!$D:$D,$A$35)</f>
        <v>0</v>
      </c>
      <c r="C35" s="201">
        <f>COUNTIFS(Başvuru!$I:$I,Toplantı!$B$5,Başvuru!$D:$D,$A$35)</f>
        <v>0</v>
      </c>
      <c r="D35" s="201">
        <f>COUNTIFS(Başvuru!$I:$I,Toplantı!$B$6,Başvuru!$D:$D,$A$35)</f>
        <v>0</v>
      </c>
      <c r="E35" s="201">
        <f>COUNTIFS(Başvuru!$I:$I,Toplantı!$B$7,Başvuru!$D:$D,$A$35)</f>
        <v>0</v>
      </c>
      <c r="F35" s="201">
        <f>COUNTIFS(Başvuru!$I:$I,Toplantı!$B$8,Başvuru!$D:$D,$A$35)</f>
        <v>1</v>
      </c>
      <c r="G35" s="201">
        <f>COUNTIFS(Başvuru!$I:$I,Toplantı!$B$9,Başvuru!$D:$D,$A$35)</f>
        <v>0</v>
      </c>
      <c r="H35" s="201">
        <f>COUNTIFS(Başvuru!$I:$I,Toplantı!$B$10,Başvuru!$D:$D,$A$35)</f>
        <v>0</v>
      </c>
      <c r="I35" s="201">
        <f>COUNTIFS(Başvuru!$I:$I,Toplantı!$B$11,Başvuru!$D:$D,$A$35)</f>
        <v>1</v>
      </c>
      <c r="J35" s="201">
        <f>COUNTIFS(Başvuru!$I:$I,Toplantı!$B$12,Başvuru!$D:$D,$A$35)</f>
        <v>1</v>
      </c>
      <c r="K35" s="201">
        <f>COUNTIFS(Başvuru!$I:$I,Toplantı!$B$13,Başvuru!$D:$D,$A$35)</f>
        <v>1</v>
      </c>
      <c r="L35" s="201">
        <f>COUNTIFS(Başvuru!$I:$I,Toplantı!$B$14,Başvuru!$D:$D,$A$35)</f>
        <v>0</v>
      </c>
      <c r="M35" s="201">
        <f>COUNTIFS(Başvuru!$I:$I,Toplantı!$B$15,Başvuru!$D:$D,$A$35)</f>
        <v>0</v>
      </c>
      <c r="N35" s="201">
        <f>COUNTIFS(Başvuru!$I:$I,Toplantı!$B$16,Başvuru!$D:$D,$A$35)</f>
        <v>1</v>
      </c>
      <c r="O35" s="201">
        <f>COUNTIFS(Başvuru!$I:$I,Toplantı!$B$17,Başvuru!$D:$D,$A$35)</f>
        <v>0</v>
      </c>
      <c r="P35" s="201">
        <f>COUNTIFS(Başvuru!$I:$I,Toplantı!$B$18,Başvuru!$D:$D,$A$35)</f>
        <v>1</v>
      </c>
      <c r="Q35" s="199">
        <f t="shared" si="0"/>
        <v>6</v>
      </c>
    </row>
    <row r="36" spans="1:17" ht="15.75" customHeight="1" x14ac:dyDescent="0.25">
      <c r="A36" s="197" t="s">
        <v>1524</v>
      </c>
      <c r="B36" s="198">
        <f>COUNTIFS(Başvuru!$I:$I,Toplantı!$B$4,Başvuru!$D:$D,$A$36)</f>
        <v>0</v>
      </c>
      <c r="C36" s="198">
        <f>COUNTIFS(Başvuru!$I:$I,Toplantı!$B$5,Başvuru!$D:$D,$A$36)</f>
        <v>0</v>
      </c>
      <c r="D36" s="198">
        <f>COUNTIFS(Başvuru!$I:$I,Toplantı!$B$6,Başvuru!$D:$D,$A$36)</f>
        <v>0</v>
      </c>
      <c r="E36" s="198">
        <f>COUNTIFS(Başvuru!$I:$I,Toplantı!$B$7,Başvuru!$D:$D,$A$36)</f>
        <v>0</v>
      </c>
      <c r="F36" s="198">
        <f>COUNTIFS(Başvuru!$I:$I,Toplantı!$B$8,Başvuru!$D:$D,$A$36)</f>
        <v>0</v>
      </c>
      <c r="G36" s="198">
        <f>COUNTIFS(Başvuru!$I:$I,Toplantı!$B$9,Başvuru!$D:$D,$A$36)</f>
        <v>0</v>
      </c>
      <c r="H36" s="198">
        <f>COUNTIFS(Başvuru!$I:$I,Toplantı!$B$10,Başvuru!$D:$D,$A$36)</f>
        <v>1</v>
      </c>
      <c r="I36" s="198">
        <f>COUNTIFS(Başvuru!$I:$I,Toplantı!$B$11,Başvuru!$D:$D,$A$36)</f>
        <v>2</v>
      </c>
      <c r="J36" s="198">
        <f>COUNTIFS(Başvuru!$I:$I,Toplantı!$B$12,Başvuru!$D:$D,$A$36)</f>
        <v>0</v>
      </c>
      <c r="K36" s="198">
        <f>COUNTIFS(Başvuru!$I:$I,Toplantı!$B$13,Başvuru!$D:$D,$A$36)</f>
        <v>1</v>
      </c>
      <c r="L36" s="198">
        <f>COUNTIFS(Başvuru!$I:$I,Toplantı!$B$14,Başvuru!$D:$D,$A$36)</f>
        <v>0</v>
      </c>
      <c r="M36" s="198">
        <f>COUNTIFS(Başvuru!$I:$I,Toplantı!$B$15,Başvuru!$D:$D,$A$36)</f>
        <v>0</v>
      </c>
      <c r="N36" s="198">
        <f>COUNTIFS(Başvuru!$I:$I,Toplantı!$B$16,Başvuru!$D:$D,$A$36)</f>
        <v>2</v>
      </c>
      <c r="O36" s="198">
        <f>COUNTIFS(Başvuru!$I:$I,Toplantı!$B$17,Başvuru!$D:$D,$A$36)</f>
        <v>0</v>
      </c>
      <c r="P36" s="198">
        <f>COUNTIFS(Başvuru!$I:$I,Toplantı!$B$18,Başvuru!$D:$D,$A$36)</f>
        <v>0</v>
      </c>
      <c r="Q36" s="199">
        <f t="shared" ref="Q36:Q67" si="1">SUM(B36:P36)</f>
        <v>6</v>
      </c>
    </row>
    <row r="37" spans="1:17" ht="15.75" customHeight="1" x14ac:dyDescent="0.25">
      <c r="A37" s="200" t="s">
        <v>168</v>
      </c>
      <c r="B37" s="201">
        <f>COUNTIFS(Başvuru!$I:$I,Toplantı!$B$4,Başvuru!$D:$D,$A$37)</f>
        <v>2</v>
      </c>
      <c r="C37" s="201">
        <f>COUNTIFS(Başvuru!$I:$I,Toplantı!$B$5,Başvuru!$D:$D,$A$37)</f>
        <v>0</v>
      </c>
      <c r="D37" s="201">
        <f>COUNTIFS(Başvuru!$I:$I,Toplantı!$B$6,Başvuru!$D:$D,$A$37)</f>
        <v>1</v>
      </c>
      <c r="E37" s="201">
        <f>COUNTIFS(Başvuru!$I:$I,Toplantı!$B$7,Başvuru!$D:$D,$A$37)</f>
        <v>0</v>
      </c>
      <c r="F37" s="201">
        <f>COUNTIFS(Başvuru!$I:$I,Toplantı!$B$8,Başvuru!$D:$D,$A$37)</f>
        <v>0</v>
      </c>
      <c r="G37" s="201">
        <f>COUNTIFS(Başvuru!$I:$I,Toplantı!$B$9,Başvuru!$D:$D,$A$37)</f>
        <v>0</v>
      </c>
      <c r="H37" s="201">
        <f>COUNTIFS(Başvuru!$I:$I,Toplantı!$B$10,Başvuru!$D:$D,$A$37)</f>
        <v>0</v>
      </c>
      <c r="I37" s="201">
        <f>COUNTIFS(Başvuru!$I:$I,Toplantı!$B$11,Başvuru!$D:$D,$A$37)</f>
        <v>0</v>
      </c>
      <c r="J37" s="201">
        <f>COUNTIFS(Başvuru!$I:$I,Toplantı!$B$12,Başvuru!$D:$D,$A$37)</f>
        <v>0</v>
      </c>
      <c r="K37" s="201">
        <f>COUNTIFS(Başvuru!$I:$I,Toplantı!$B$13,Başvuru!$D:$D,$A$37)</f>
        <v>0</v>
      </c>
      <c r="L37" s="201">
        <f>COUNTIFS(Başvuru!$I:$I,Toplantı!$B$14,Başvuru!$D:$D,$A$37)</f>
        <v>0</v>
      </c>
      <c r="M37" s="201">
        <f>COUNTIFS(Başvuru!$I:$I,Toplantı!$B$15,Başvuru!$D:$D,$A$37)</f>
        <v>0</v>
      </c>
      <c r="N37" s="201">
        <f>COUNTIFS(Başvuru!$I:$I,Toplantı!$B$16,Başvuru!$D:$D,$A$37)</f>
        <v>0</v>
      </c>
      <c r="O37" s="201">
        <f>COUNTIFS(Başvuru!$I:$I,Toplantı!$B$17,Başvuru!$D:$D,$A$37)</f>
        <v>0</v>
      </c>
      <c r="P37" s="201">
        <f>COUNTIFS(Başvuru!$I:$I,Toplantı!$B$18,Başvuru!$D:$D,$A$37)</f>
        <v>1</v>
      </c>
      <c r="Q37" s="199">
        <f t="shared" si="1"/>
        <v>4</v>
      </c>
    </row>
    <row r="38" spans="1:17" ht="15.75" customHeight="1" x14ac:dyDescent="0.25">
      <c r="A38" s="197" t="s">
        <v>196</v>
      </c>
      <c r="B38" s="198">
        <f>COUNTIFS(Başvuru!$I:$I,Toplantı!$B$4,Başvuru!$D:$D,$A$38)</f>
        <v>1</v>
      </c>
      <c r="C38" s="198">
        <f>COUNTIFS(Başvuru!$I:$I,Toplantı!$B$5,Başvuru!$D:$D,$A$38)</f>
        <v>1</v>
      </c>
      <c r="D38" s="198">
        <f>COUNTIFS(Başvuru!$I:$I,Toplantı!$B$6,Başvuru!$D:$D,$A$38)</f>
        <v>1</v>
      </c>
      <c r="E38" s="198">
        <f>COUNTIFS(Başvuru!$I:$I,Toplantı!$B$7,Başvuru!$D:$D,$A$38)</f>
        <v>0</v>
      </c>
      <c r="F38" s="198">
        <f>COUNTIFS(Başvuru!$I:$I,Toplantı!$B$8,Başvuru!$D:$D,$A$38)</f>
        <v>0</v>
      </c>
      <c r="G38" s="198">
        <f>COUNTIFS(Başvuru!$I:$I,Toplantı!$B$9,Başvuru!$D:$D,$A$38)</f>
        <v>0</v>
      </c>
      <c r="H38" s="198">
        <f>COUNTIFS(Başvuru!$I:$I,Toplantı!$B$10,Başvuru!$D:$D,$A$38)</f>
        <v>0</v>
      </c>
      <c r="I38" s="198">
        <f>COUNTIFS(Başvuru!$I:$I,Toplantı!$B$11,Başvuru!$D:$D,$A$38)</f>
        <v>0</v>
      </c>
      <c r="J38" s="198">
        <f>COUNTIFS(Başvuru!$I:$I,Toplantı!$B$12,Başvuru!$D:$D,$A$38)</f>
        <v>0</v>
      </c>
      <c r="K38" s="198">
        <f>COUNTIFS(Başvuru!$I:$I,Toplantı!$B$13,Başvuru!$D:$D,$A$38)</f>
        <v>0</v>
      </c>
      <c r="L38" s="198">
        <f>COUNTIFS(Başvuru!$I:$I,Toplantı!$B$14,Başvuru!$D:$D,$A$38)</f>
        <v>0</v>
      </c>
      <c r="M38" s="198">
        <f>COUNTIFS(Başvuru!$I:$I,Toplantı!$B$15,Başvuru!$D:$D,$A$38)</f>
        <v>0</v>
      </c>
      <c r="N38" s="198">
        <f>COUNTIFS(Başvuru!$I:$I,Toplantı!$B$16,Başvuru!$D:$D,$A$38)</f>
        <v>0</v>
      </c>
      <c r="O38" s="198">
        <f>COUNTIFS(Başvuru!$I:$I,Toplantı!$B$17,Başvuru!$D:$D,$A$38)</f>
        <v>2</v>
      </c>
      <c r="P38" s="198">
        <f>COUNTIFS(Başvuru!$I:$I,Toplantı!$B$18,Başvuru!$D:$D,$A$38)</f>
        <v>0</v>
      </c>
      <c r="Q38" s="199">
        <f t="shared" si="1"/>
        <v>5</v>
      </c>
    </row>
    <row r="39" spans="1:17" ht="15.75" customHeight="1" x14ac:dyDescent="0.25">
      <c r="A39" s="200" t="s">
        <v>693</v>
      </c>
      <c r="B39" s="201">
        <f>COUNTIFS(Başvuru!$I:$I,Toplantı!$B$4,Başvuru!$D:$D,$A$39)</f>
        <v>0</v>
      </c>
      <c r="C39" s="201">
        <f>COUNTIFS(Başvuru!$I:$I,Toplantı!$B$5,Başvuru!$D:$D,$A$39)</f>
        <v>0</v>
      </c>
      <c r="D39" s="201">
        <f>COUNTIFS(Başvuru!$I:$I,Toplantı!$B$6,Başvuru!$D:$D,$A$39)</f>
        <v>2</v>
      </c>
      <c r="E39" s="201">
        <f>COUNTIFS(Başvuru!$I:$I,Toplantı!$B$7,Başvuru!$D:$D,$A$39)</f>
        <v>0</v>
      </c>
      <c r="F39" s="201">
        <f>COUNTIFS(Başvuru!$I:$I,Toplantı!$B$8,Başvuru!$D:$D,$A$39)</f>
        <v>0</v>
      </c>
      <c r="G39" s="201">
        <f>COUNTIFS(Başvuru!$I:$I,Toplantı!$B$9,Başvuru!$D:$D,$A$39)</f>
        <v>0</v>
      </c>
      <c r="H39" s="201">
        <f>COUNTIFS(Başvuru!$I:$I,Toplantı!$B$10,Başvuru!$D:$D,$A$39)</f>
        <v>0</v>
      </c>
      <c r="I39" s="201">
        <f>COUNTIFS(Başvuru!$I:$I,Toplantı!$B$11,Başvuru!$D:$D,$A$39)</f>
        <v>1</v>
      </c>
      <c r="J39" s="201">
        <f>COUNTIFS(Başvuru!$I:$I,Toplantı!$B$12,Başvuru!$D:$D,$A$39)</f>
        <v>0</v>
      </c>
      <c r="K39" s="201">
        <f>COUNTIFS(Başvuru!$I:$I,Toplantı!$B$13,Başvuru!$D:$D,$A$39)</f>
        <v>0</v>
      </c>
      <c r="L39" s="201">
        <f>COUNTIFS(Başvuru!$I:$I,Toplantı!$B$14,Başvuru!$D:$D,$A$39)</f>
        <v>0</v>
      </c>
      <c r="M39" s="201">
        <f>COUNTIFS(Başvuru!$I:$I,Toplantı!$B$15,Başvuru!$D:$D,$A$39)</f>
        <v>0</v>
      </c>
      <c r="N39" s="201">
        <f>COUNTIFS(Başvuru!$I:$I,Toplantı!$B$16,Başvuru!$D:$D,$A$39)</f>
        <v>0</v>
      </c>
      <c r="O39" s="201">
        <f>COUNTIFS(Başvuru!$I:$I,Toplantı!$B$17,Başvuru!$D:$D,$A$39)</f>
        <v>3</v>
      </c>
      <c r="P39" s="201">
        <f>COUNTIFS(Başvuru!$I:$I,Toplantı!$B$18,Başvuru!$D:$D,$A$39)</f>
        <v>0</v>
      </c>
      <c r="Q39" s="199">
        <f t="shared" si="1"/>
        <v>6</v>
      </c>
    </row>
    <row r="40" spans="1:17" ht="15.75" customHeight="1" x14ac:dyDescent="0.25">
      <c r="A40" s="197" t="s">
        <v>1199</v>
      </c>
      <c r="B40" s="198">
        <f>COUNTIFS(Başvuru!$I:$I,Toplantı!$B$4,Başvuru!$D:$D,$A$40)</f>
        <v>0</v>
      </c>
      <c r="C40" s="198">
        <f>COUNTIFS(Başvuru!$I:$I,Toplantı!$B$5,Başvuru!$D:$D,$A$40)</f>
        <v>0</v>
      </c>
      <c r="D40" s="198">
        <f>COUNTIFS(Başvuru!$I:$I,Toplantı!$B$6,Başvuru!$D:$D,$A$40)</f>
        <v>0</v>
      </c>
      <c r="E40" s="198">
        <f>COUNTIFS(Başvuru!$I:$I,Toplantı!$B$7,Başvuru!$D:$D,$A$40)</f>
        <v>0</v>
      </c>
      <c r="F40" s="198">
        <f>COUNTIFS(Başvuru!$I:$I,Toplantı!$B$8,Başvuru!$D:$D,$A$40)</f>
        <v>1</v>
      </c>
      <c r="G40" s="198">
        <f>COUNTIFS(Başvuru!$I:$I,Toplantı!$B$9,Başvuru!$D:$D,$A$40)</f>
        <v>0</v>
      </c>
      <c r="H40" s="198">
        <f>COUNTIFS(Başvuru!$I:$I,Toplantı!$B$10,Başvuru!$D:$D,$A$40)</f>
        <v>0</v>
      </c>
      <c r="I40" s="198">
        <f>COUNTIFS(Başvuru!$I:$I,Toplantı!$B$11,Başvuru!$D:$D,$A$40)</f>
        <v>0</v>
      </c>
      <c r="J40" s="198">
        <f>COUNTIFS(Başvuru!$I:$I,Toplantı!$B$12,Başvuru!$D:$D,$A$40)</f>
        <v>1</v>
      </c>
      <c r="K40" s="198">
        <f>COUNTIFS(Başvuru!$I:$I,Toplantı!$B$13,Başvuru!$D:$D,$A$40)</f>
        <v>1</v>
      </c>
      <c r="L40" s="198">
        <f>COUNTIFS(Başvuru!$I:$I,Toplantı!$B$14,Başvuru!$D:$D,$A$40)</f>
        <v>0</v>
      </c>
      <c r="M40" s="198">
        <f>COUNTIFS(Başvuru!$I:$I,Toplantı!$B$15,Başvuru!$D:$D,$A$40)</f>
        <v>0</v>
      </c>
      <c r="N40" s="198">
        <f>COUNTIFS(Başvuru!$I:$I,Toplantı!$B$16,Başvuru!$D:$D,$A$40)</f>
        <v>1</v>
      </c>
      <c r="O40" s="198">
        <f>COUNTIFS(Başvuru!$I:$I,Toplantı!$B$17,Başvuru!$D:$D,$A$40)</f>
        <v>0</v>
      </c>
      <c r="P40" s="198">
        <f>COUNTIFS(Başvuru!$I:$I,Toplantı!$B$18,Başvuru!$D:$D,$A$40)</f>
        <v>0</v>
      </c>
      <c r="Q40" s="199">
        <f t="shared" si="1"/>
        <v>4</v>
      </c>
    </row>
    <row r="41" spans="1:17" ht="15.75" customHeight="1" x14ac:dyDescent="0.25">
      <c r="A41" s="200" t="s">
        <v>1696</v>
      </c>
      <c r="B41" s="201">
        <f>COUNTIFS(Başvuru!$I:$I,Toplantı!$B$4,Başvuru!$D:$D,$A$41)</f>
        <v>0</v>
      </c>
      <c r="C41" s="201">
        <f>COUNTIFS(Başvuru!$I:$I,Toplantı!$B$5,Başvuru!$D:$D,$A$41)</f>
        <v>0</v>
      </c>
      <c r="D41" s="201">
        <f>COUNTIFS(Başvuru!$I:$I,Toplantı!$B$6,Başvuru!$D:$D,$A$41)</f>
        <v>0</v>
      </c>
      <c r="E41" s="201">
        <f>COUNTIFS(Başvuru!$I:$I,Toplantı!$B$7,Başvuru!$D:$D,$A$41)</f>
        <v>0</v>
      </c>
      <c r="F41" s="201">
        <f>COUNTIFS(Başvuru!$I:$I,Toplantı!$B$8,Başvuru!$D:$D,$A$41)</f>
        <v>0</v>
      </c>
      <c r="G41" s="201">
        <f>COUNTIFS(Başvuru!$I:$I,Toplantı!$B$9,Başvuru!$D:$D,$A$41)</f>
        <v>0</v>
      </c>
      <c r="H41" s="201">
        <f>COUNTIFS(Başvuru!$I:$I,Toplantı!$B$10,Başvuru!$D:$D,$A$41)</f>
        <v>0</v>
      </c>
      <c r="I41" s="201">
        <f>COUNTIFS(Başvuru!$I:$I,Toplantı!$B$11,Başvuru!$D:$D,$A$41)</f>
        <v>1</v>
      </c>
      <c r="J41" s="201">
        <f>COUNTIFS(Başvuru!$I:$I,Toplantı!$B$12,Başvuru!$D:$D,$A$41)</f>
        <v>0</v>
      </c>
      <c r="K41" s="201">
        <f>COUNTIFS(Başvuru!$I:$I,Toplantı!$B$13,Başvuru!$D:$D,$A$41)</f>
        <v>1</v>
      </c>
      <c r="L41" s="201">
        <f>COUNTIFS(Başvuru!$I:$I,Toplantı!$B$14,Başvuru!$D:$D,$A$41)</f>
        <v>1</v>
      </c>
      <c r="M41" s="201">
        <f>COUNTIFS(Başvuru!$I:$I,Toplantı!$B$15,Başvuru!$D:$D,$A$41)</f>
        <v>0</v>
      </c>
      <c r="N41" s="201">
        <f>COUNTIFS(Başvuru!$I:$I,Toplantı!$B$16,Başvuru!$D:$D,$A$41)</f>
        <v>0</v>
      </c>
      <c r="O41" s="201">
        <f>COUNTIFS(Başvuru!$I:$I,Toplantı!$B$17,Başvuru!$D:$D,$A$41)</f>
        <v>0</v>
      </c>
      <c r="P41" s="201">
        <f>COUNTIFS(Başvuru!$I:$I,Toplantı!$B$18,Başvuru!$D:$D,$A$41)</f>
        <v>0</v>
      </c>
      <c r="Q41" s="199">
        <f t="shared" si="1"/>
        <v>3</v>
      </c>
    </row>
    <row r="42" spans="1:17" ht="22.5" customHeight="1" x14ac:dyDescent="0.25">
      <c r="A42" s="197" t="s">
        <v>91</v>
      </c>
      <c r="B42" s="198">
        <f>COUNTIFS(Başvuru!$I:$I,Toplantı!$B$4,Başvuru!$D:$D,$A$42)</f>
        <v>1</v>
      </c>
      <c r="C42" s="198">
        <f>COUNTIFS(Başvuru!$I:$I,Toplantı!$B$5,Başvuru!$D:$D,$A$42)</f>
        <v>0</v>
      </c>
      <c r="D42" s="198">
        <f>COUNTIFS(Başvuru!$I:$I,Toplantı!$B$6,Başvuru!$D:$D,$A$42)</f>
        <v>0</v>
      </c>
      <c r="E42" s="198">
        <f>COUNTIFS(Başvuru!$I:$I,Toplantı!$B$7,Başvuru!$D:$D,$A$42)</f>
        <v>0</v>
      </c>
      <c r="F42" s="198">
        <f>COUNTIFS(Başvuru!$I:$I,Toplantı!$B$8,Başvuru!$D:$D,$A$42)</f>
        <v>0</v>
      </c>
      <c r="G42" s="198">
        <f>COUNTIFS(Başvuru!$I:$I,Toplantı!$B$9,Başvuru!$D:$D,$A$42)</f>
        <v>0</v>
      </c>
      <c r="H42" s="198">
        <f>COUNTIFS(Başvuru!$I:$I,Toplantı!$B$10,Başvuru!$D:$D,$A$42)</f>
        <v>0</v>
      </c>
      <c r="I42" s="198">
        <f>COUNTIFS(Başvuru!$I:$I,Toplantı!$B$11,Başvuru!$D:$D,$A$42)</f>
        <v>1</v>
      </c>
      <c r="J42" s="198">
        <f>COUNTIFS(Başvuru!$I:$I,Toplantı!$B$12,Başvuru!$D:$D,$A$42)</f>
        <v>0</v>
      </c>
      <c r="K42" s="198">
        <f>COUNTIFS(Başvuru!$I:$I,Toplantı!$B$13,Başvuru!$D:$D,$A$42)</f>
        <v>0</v>
      </c>
      <c r="L42" s="198">
        <f>COUNTIFS(Başvuru!$I:$I,Toplantı!$B$14,Başvuru!$D:$D,$A$42)</f>
        <v>0</v>
      </c>
      <c r="M42" s="198">
        <f>COUNTIFS(Başvuru!$I:$I,Toplantı!$B$15,Başvuru!$D:$D,$A$42)</f>
        <v>0</v>
      </c>
      <c r="N42" s="198">
        <f>COUNTIFS(Başvuru!$I:$I,Toplantı!$B$16,Başvuru!$D:$D,$A$42)</f>
        <v>0</v>
      </c>
      <c r="O42" s="198">
        <f>COUNTIFS(Başvuru!$I:$I,Toplantı!$B$17,Başvuru!$D:$D,$A$42)</f>
        <v>0</v>
      </c>
      <c r="P42" s="198">
        <f>COUNTIFS(Başvuru!$I:$I,Toplantı!$B$18,Başvuru!$D:$D,$A$42)</f>
        <v>0</v>
      </c>
      <c r="Q42" s="199">
        <f t="shared" si="1"/>
        <v>2</v>
      </c>
    </row>
    <row r="43" spans="1:17" ht="15.75" customHeight="1" x14ac:dyDescent="0.25">
      <c r="A43" s="200" t="s">
        <v>140</v>
      </c>
      <c r="B43" s="201">
        <f>COUNTIFS(Başvuru!$I:$I,Toplantı!$B$4,Başvuru!$D:$D,$A$43)</f>
        <v>1</v>
      </c>
      <c r="C43" s="201">
        <f>COUNTIFS(Başvuru!$I:$I,Toplantı!$B$5,Başvuru!$D:$D,$A$43)</f>
        <v>0</v>
      </c>
      <c r="D43" s="201">
        <f>COUNTIFS(Başvuru!$I:$I,Toplantı!$B$6,Başvuru!$D:$D,$A$43)</f>
        <v>0</v>
      </c>
      <c r="E43" s="201">
        <f>COUNTIFS(Başvuru!$I:$I,Toplantı!$B$7,Başvuru!$D:$D,$A$43)</f>
        <v>0</v>
      </c>
      <c r="F43" s="201">
        <f>COUNTIFS(Başvuru!$I:$I,Toplantı!$B$8,Başvuru!$D:$D,$A$43)</f>
        <v>0</v>
      </c>
      <c r="G43" s="201">
        <f>COUNTIFS(Başvuru!$I:$I,Toplantı!$B$9,Başvuru!$D:$D,$A$43)</f>
        <v>0</v>
      </c>
      <c r="H43" s="201">
        <f>COUNTIFS(Başvuru!$I:$I,Toplantı!$B$10,Başvuru!$D:$D,$A$43)</f>
        <v>0</v>
      </c>
      <c r="I43" s="201">
        <f>COUNTIFS(Başvuru!$I:$I,Toplantı!$B$11,Başvuru!$D:$D,$A$43)</f>
        <v>0</v>
      </c>
      <c r="J43" s="201">
        <f>COUNTIFS(Başvuru!$I:$I,Toplantı!$B$12,Başvuru!$D:$D,$A$43)</f>
        <v>0</v>
      </c>
      <c r="K43" s="201">
        <f>COUNTIFS(Başvuru!$I:$I,Toplantı!$B$13,Başvuru!$D:$D,$A$43)</f>
        <v>0</v>
      </c>
      <c r="L43" s="201">
        <f>COUNTIFS(Başvuru!$I:$I,Toplantı!$B$14,Başvuru!$D:$D,$A$43)</f>
        <v>0</v>
      </c>
      <c r="M43" s="201">
        <f>COUNTIFS(Başvuru!$I:$I,Toplantı!$B$15,Başvuru!$D:$D,$A$43)</f>
        <v>1</v>
      </c>
      <c r="N43" s="201">
        <f>COUNTIFS(Başvuru!$I:$I,Toplantı!$B$16,Başvuru!$D:$D,$A$43)</f>
        <v>0</v>
      </c>
      <c r="O43" s="201">
        <f>COUNTIFS(Başvuru!$I:$I,Toplantı!$B$17,Başvuru!$D:$D,$A$43)</f>
        <v>0</v>
      </c>
      <c r="P43" s="201">
        <f>COUNTIFS(Başvuru!$I:$I,Toplantı!$B$18,Başvuru!$D:$D,$A$43)</f>
        <v>0</v>
      </c>
      <c r="Q43" s="199">
        <f t="shared" si="1"/>
        <v>2</v>
      </c>
    </row>
    <row r="44" spans="1:17" ht="15.75" customHeight="1" x14ac:dyDescent="0.25">
      <c r="A44" s="197" t="s">
        <v>161</v>
      </c>
      <c r="B44" s="198">
        <f>COUNTIFS(Başvuru!$I:$I,Toplantı!$B$4,Başvuru!$D:$D,$A$44)</f>
        <v>1</v>
      </c>
      <c r="C44" s="198">
        <f>COUNTIFS(Başvuru!$I:$I,Toplantı!$B$5,Başvuru!$D:$D,$A$44)</f>
        <v>0</v>
      </c>
      <c r="D44" s="198">
        <f>COUNTIFS(Başvuru!$I:$I,Toplantı!$B$6,Başvuru!$D:$D,$A$44)</f>
        <v>0</v>
      </c>
      <c r="E44" s="198">
        <f>COUNTIFS(Başvuru!$I:$I,Toplantı!$B$7,Başvuru!$D:$D,$A$44)</f>
        <v>0</v>
      </c>
      <c r="F44" s="198">
        <f>COUNTIFS(Başvuru!$I:$I,Toplantı!$B$8,Başvuru!$D:$D,$A$44)</f>
        <v>0</v>
      </c>
      <c r="G44" s="198">
        <f>COUNTIFS(Başvuru!$I:$I,Toplantı!$B$9,Başvuru!$D:$D,$A$44)</f>
        <v>0</v>
      </c>
      <c r="H44" s="198">
        <f>COUNTIFS(Başvuru!$I:$I,Toplantı!$B$10,Başvuru!$D:$D,$A$44)</f>
        <v>0</v>
      </c>
      <c r="I44" s="198">
        <f>COUNTIFS(Başvuru!$I:$I,Toplantı!$B$11,Başvuru!$D:$D,$A$44)</f>
        <v>0</v>
      </c>
      <c r="J44" s="198">
        <f>COUNTIFS(Başvuru!$I:$I,Toplantı!$B$12,Başvuru!$D:$D,$A$44)</f>
        <v>0</v>
      </c>
      <c r="K44" s="198">
        <f>COUNTIFS(Başvuru!$I:$I,Toplantı!$B$13,Başvuru!$D:$D,$A$44)</f>
        <v>1</v>
      </c>
      <c r="L44" s="198">
        <f>COUNTIFS(Başvuru!$I:$I,Toplantı!$B$14,Başvuru!$D:$D,$A$44)</f>
        <v>0</v>
      </c>
      <c r="M44" s="198">
        <f>COUNTIFS(Başvuru!$I:$I,Toplantı!$B$15,Başvuru!$D:$D,$A$44)</f>
        <v>0</v>
      </c>
      <c r="N44" s="198">
        <f>COUNTIFS(Başvuru!$I:$I,Toplantı!$B$16,Başvuru!$D:$D,$A$44)</f>
        <v>0</v>
      </c>
      <c r="O44" s="198">
        <f>COUNTIFS(Başvuru!$I:$I,Toplantı!$B$17,Başvuru!$D:$D,$A$44)</f>
        <v>1</v>
      </c>
      <c r="P44" s="198">
        <f>COUNTIFS(Başvuru!$I:$I,Toplantı!$B$18,Başvuru!$D:$D,$A$44)</f>
        <v>0</v>
      </c>
      <c r="Q44" s="199">
        <f t="shared" si="1"/>
        <v>3</v>
      </c>
    </row>
    <row r="45" spans="1:17" ht="15.75" customHeight="1" x14ac:dyDescent="0.25">
      <c r="A45" s="200" t="s">
        <v>535</v>
      </c>
      <c r="B45" s="201">
        <f>COUNTIFS(Başvuru!$I:$I,Toplantı!$B$4,Başvuru!$D:$D,$A$45)</f>
        <v>0</v>
      </c>
      <c r="C45" s="201">
        <f>COUNTIFS(Başvuru!$I:$I,Toplantı!$B$5,Başvuru!$D:$D,$A$45)</f>
        <v>1</v>
      </c>
      <c r="D45" s="201">
        <f>COUNTIFS(Başvuru!$I:$I,Toplantı!$B$6,Başvuru!$D:$D,$A$45)</f>
        <v>0</v>
      </c>
      <c r="E45" s="201">
        <f>COUNTIFS(Başvuru!$I:$I,Toplantı!$B$7,Başvuru!$D:$D,$A$45)</f>
        <v>0</v>
      </c>
      <c r="F45" s="201">
        <f>COUNTIFS(Başvuru!$I:$I,Toplantı!$B$8,Başvuru!$D:$D,$A$45)</f>
        <v>0</v>
      </c>
      <c r="G45" s="201">
        <f>COUNTIFS(Başvuru!$I:$I,Toplantı!$B$9,Başvuru!$D:$D,$A$45)</f>
        <v>0</v>
      </c>
      <c r="H45" s="201">
        <f>COUNTIFS(Başvuru!$I:$I,Toplantı!$B$10,Başvuru!$D:$D,$A$45)</f>
        <v>0</v>
      </c>
      <c r="I45" s="201">
        <f>COUNTIFS(Başvuru!$I:$I,Toplantı!$B$11,Başvuru!$D:$D,$A$45)</f>
        <v>0</v>
      </c>
      <c r="J45" s="201">
        <f>COUNTIFS(Başvuru!$I:$I,Toplantı!$B$12,Başvuru!$D:$D,$A$45)</f>
        <v>0</v>
      </c>
      <c r="K45" s="201">
        <f>COUNTIFS(Başvuru!$I:$I,Toplantı!$B$13,Başvuru!$D:$D,$A$45)</f>
        <v>0</v>
      </c>
      <c r="L45" s="201">
        <f>COUNTIFS(Başvuru!$I:$I,Toplantı!$B$14,Başvuru!$D:$D,$A$45)</f>
        <v>1</v>
      </c>
      <c r="M45" s="201">
        <f>COUNTIFS(Başvuru!$I:$I,Toplantı!$B$15,Başvuru!$D:$D,$A$45)</f>
        <v>0</v>
      </c>
      <c r="N45" s="201">
        <f>COUNTIFS(Başvuru!$I:$I,Toplantı!$B$16,Başvuru!$D:$D,$A$45)</f>
        <v>0</v>
      </c>
      <c r="O45" s="201">
        <f>COUNTIFS(Başvuru!$I:$I,Toplantı!$B$17,Başvuru!$D:$D,$A$45)</f>
        <v>0</v>
      </c>
      <c r="P45" s="201">
        <f>COUNTIFS(Başvuru!$I:$I,Toplantı!$B$18,Başvuru!$D:$D,$A$45)</f>
        <v>0</v>
      </c>
      <c r="Q45" s="199">
        <f t="shared" si="1"/>
        <v>2</v>
      </c>
    </row>
    <row r="46" spans="1:17" ht="15.75" customHeight="1" x14ac:dyDescent="0.25">
      <c r="A46" s="197" t="s">
        <v>729</v>
      </c>
      <c r="B46" s="198">
        <f>COUNTIFS(Başvuru!$I:$I,Toplantı!$B$4,Başvuru!$D:$D,$A$46)</f>
        <v>0</v>
      </c>
      <c r="C46" s="198">
        <f>COUNTIFS(Başvuru!$I:$I,Toplantı!$B$5,Başvuru!$D:$D,$A$46)</f>
        <v>0</v>
      </c>
      <c r="D46" s="198">
        <f>COUNTIFS(Başvuru!$I:$I,Toplantı!$B$6,Başvuru!$D:$D,$A$46)</f>
        <v>1</v>
      </c>
      <c r="E46" s="198">
        <f>COUNTIFS(Başvuru!$I:$I,Toplantı!$B$7,Başvuru!$D:$D,$A$46)</f>
        <v>1</v>
      </c>
      <c r="F46" s="198">
        <f>COUNTIFS(Başvuru!$I:$I,Toplantı!$B$8,Başvuru!$D:$D,$A$46)</f>
        <v>0</v>
      </c>
      <c r="G46" s="198">
        <f>COUNTIFS(Başvuru!$I:$I,Toplantı!$B$9,Başvuru!$D:$D,$A$46)</f>
        <v>0</v>
      </c>
      <c r="H46" s="198">
        <f>COUNTIFS(Başvuru!$I:$I,Toplantı!$B$10,Başvuru!$D:$D,$A$46)</f>
        <v>0</v>
      </c>
      <c r="I46" s="198">
        <f>COUNTIFS(Başvuru!$I:$I,Toplantı!$B$11,Başvuru!$D:$D,$A$46)</f>
        <v>0</v>
      </c>
      <c r="J46" s="198">
        <f>COUNTIFS(Başvuru!$I:$I,Toplantı!$B$12,Başvuru!$D:$D,$A$46)</f>
        <v>0</v>
      </c>
      <c r="K46" s="198">
        <f>COUNTIFS(Başvuru!$I:$I,Toplantı!$B$13,Başvuru!$D:$D,$A$46)</f>
        <v>0</v>
      </c>
      <c r="L46" s="198">
        <f>COUNTIFS(Başvuru!$I:$I,Toplantı!$B$14,Başvuru!$D:$D,$A$46)</f>
        <v>0</v>
      </c>
      <c r="M46" s="198">
        <f>COUNTIFS(Başvuru!$I:$I,Toplantı!$B$15,Başvuru!$D:$D,$A$46)</f>
        <v>0</v>
      </c>
      <c r="N46" s="198">
        <f>COUNTIFS(Başvuru!$I:$I,Toplantı!$B$16,Başvuru!$D:$D,$A$46)</f>
        <v>0</v>
      </c>
      <c r="O46" s="198">
        <f>COUNTIFS(Başvuru!$I:$I,Toplantı!$B$17,Başvuru!$D:$D,$A$46)</f>
        <v>1</v>
      </c>
      <c r="P46" s="198">
        <f>COUNTIFS(Başvuru!$I:$I,Toplantı!$B$18,Başvuru!$D:$D,$A$46)</f>
        <v>0</v>
      </c>
      <c r="Q46" s="199">
        <f t="shared" si="1"/>
        <v>3</v>
      </c>
    </row>
    <row r="47" spans="1:17" ht="15.75" customHeight="1" x14ac:dyDescent="0.25">
      <c r="A47" s="200" t="s">
        <v>756</v>
      </c>
      <c r="B47" s="201">
        <f>COUNTIFS(Başvuru!$I:$I,Toplantı!$B$4,Başvuru!$D:$D,$A$47)</f>
        <v>0</v>
      </c>
      <c r="C47" s="201">
        <f>COUNTIFS(Başvuru!$I:$I,Toplantı!$B$5,Başvuru!$D:$D,$A$47)</f>
        <v>0</v>
      </c>
      <c r="D47" s="201">
        <f>COUNTIFS(Başvuru!$I:$I,Toplantı!$B$6,Başvuru!$D:$D,$A$47)</f>
        <v>1</v>
      </c>
      <c r="E47" s="201">
        <f>COUNTIFS(Başvuru!$I:$I,Toplantı!$B$7,Başvuru!$D:$D,$A$47)</f>
        <v>0</v>
      </c>
      <c r="F47" s="201">
        <f>COUNTIFS(Başvuru!$I:$I,Toplantı!$B$8,Başvuru!$D:$D,$A$47)</f>
        <v>0</v>
      </c>
      <c r="G47" s="201">
        <f>COUNTIFS(Başvuru!$I:$I,Toplantı!$B$9,Başvuru!$D:$D,$A$47)</f>
        <v>0</v>
      </c>
      <c r="H47" s="201">
        <f>COUNTIFS(Başvuru!$I:$I,Toplantı!$B$10,Başvuru!$D:$D,$A$47)</f>
        <v>0</v>
      </c>
      <c r="I47" s="201">
        <f>COUNTIFS(Başvuru!$I:$I,Toplantı!$B$11,Başvuru!$D:$D,$A$47)</f>
        <v>0</v>
      </c>
      <c r="J47" s="201">
        <f>COUNTIFS(Başvuru!$I:$I,Toplantı!$B$12,Başvuru!$D:$D,$A$47)</f>
        <v>1</v>
      </c>
      <c r="K47" s="201">
        <f>COUNTIFS(Başvuru!$I:$I,Toplantı!$B$13,Başvuru!$D:$D,$A$47)</f>
        <v>0</v>
      </c>
      <c r="L47" s="201">
        <f>COUNTIFS(Başvuru!$I:$I,Toplantı!$B$14,Başvuru!$D:$D,$A$47)</f>
        <v>0</v>
      </c>
      <c r="M47" s="201">
        <f>COUNTIFS(Başvuru!$I:$I,Toplantı!$B$15,Başvuru!$D:$D,$A$47)</f>
        <v>0</v>
      </c>
      <c r="N47" s="201">
        <f>COUNTIFS(Başvuru!$I:$I,Toplantı!$B$16,Başvuru!$D:$D,$A$47)</f>
        <v>0</v>
      </c>
      <c r="O47" s="201">
        <f>COUNTIFS(Başvuru!$I:$I,Toplantı!$B$17,Başvuru!$D:$D,$A$47)</f>
        <v>0</v>
      </c>
      <c r="P47" s="201">
        <f>COUNTIFS(Başvuru!$I:$I,Toplantı!$B$18,Başvuru!$D:$D,$A$47)</f>
        <v>0</v>
      </c>
      <c r="Q47" s="199">
        <f t="shared" si="1"/>
        <v>2</v>
      </c>
    </row>
    <row r="48" spans="1:17" ht="33.75" customHeight="1" x14ac:dyDescent="0.25">
      <c r="A48" s="197" t="s">
        <v>850</v>
      </c>
      <c r="B48" s="198">
        <f>COUNTIFS(Başvuru!$I:$I,Toplantı!$B$4,Başvuru!$D:$D,$A$48)</f>
        <v>0</v>
      </c>
      <c r="C48" s="198">
        <f>COUNTIFS(Başvuru!$I:$I,Toplantı!$B$5,Başvuru!$D:$D,$A$48)</f>
        <v>0</v>
      </c>
      <c r="D48" s="198">
        <f>COUNTIFS(Başvuru!$I:$I,Toplantı!$B$6,Başvuru!$D:$D,$A$48)</f>
        <v>0</v>
      </c>
      <c r="E48" s="198">
        <f>COUNTIFS(Başvuru!$I:$I,Toplantı!$B$7,Başvuru!$D:$D,$A$48)</f>
        <v>1</v>
      </c>
      <c r="F48" s="198">
        <f>COUNTIFS(Başvuru!$I:$I,Toplantı!$B$8,Başvuru!$D:$D,$A$48)</f>
        <v>0</v>
      </c>
      <c r="G48" s="198">
        <f>COUNTIFS(Başvuru!$I:$I,Toplantı!$B$9,Başvuru!$D:$D,$A$48)</f>
        <v>0</v>
      </c>
      <c r="H48" s="198">
        <f>COUNTIFS(Başvuru!$I:$I,Toplantı!$B$10,Başvuru!$D:$D,$A$48)</f>
        <v>0</v>
      </c>
      <c r="I48" s="198">
        <f>COUNTIFS(Başvuru!$I:$I,Toplantı!$B$11,Başvuru!$D:$D,$A$48)</f>
        <v>0</v>
      </c>
      <c r="J48" s="198">
        <f>COUNTIFS(Başvuru!$I:$I,Toplantı!$B$12,Başvuru!$D:$D,$A$48)</f>
        <v>1</v>
      </c>
      <c r="K48" s="198">
        <f>COUNTIFS(Başvuru!$I:$I,Toplantı!$B$13,Başvuru!$D:$D,$A$48)</f>
        <v>0</v>
      </c>
      <c r="L48" s="198">
        <f>COUNTIFS(Başvuru!$I:$I,Toplantı!$B$14,Başvuru!$D:$D,$A$48)</f>
        <v>0</v>
      </c>
      <c r="M48" s="198">
        <f>COUNTIFS(Başvuru!$I:$I,Toplantı!$B$15,Başvuru!$D:$D,$A$48)</f>
        <v>0</v>
      </c>
      <c r="N48" s="198">
        <f>COUNTIFS(Başvuru!$I:$I,Toplantı!$B$16,Başvuru!$D:$D,$A$48)</f>
        <v>0</v>
      </c>
      <c r="O48" s="198">
        <f>COUNTIFS(Başvuru!$I:$I,Toplantı!$B$17,Başvuru!$D:$D,$A$48)</f>
        <v>0</v>
      </c>
      <c r="P48" s="198">
        <f>COUNTIFS(Başvuru!$I:$I,Toplantı!$B$18,Başvuru!$D:$D,$A$48)</f>
        <v>0</v>
      </c>
      <c r="Q48" s="199">
        <f t="shared" si="1"/>
        <v>2</v>
      </c>
    </row>
    <row r="49" spans="1:17" ht="15.75" customHeight="1" x14ac:dyDescent="0.25">
      <c r="A49" s="200" t="s">
        <v>1022</v>
      </c>
      <c r="B49" s="201">
        <f>COUNTIFS(Başvuru!$I:$I,Toplantı!$B$4,Başvuru!$D:$D,$A$49)</f>
        <v>0</v>
      </c>
      <c r="C49" s="201">
        <f>COUNTIFS(Başvuru!$I:$I,Toplantı!$B$5,Başvuru!$D:$D,$A$49)</f>
        <v>0</v>
      </c>
      <c r="D49" s="201">
        <f>COUNTIFS(Başvuru!$I:$I,Toplantı!$B$6,Başvuru!$D:$D,$A$49)</f>
        <v>0</v>
      </c>
      <c r="E49" s="201">
        <f>COUNTIFS(Başvuru!$I:$I,Toplantı!$B$7,Başvuru!$D:$D,$A$49)</f>
        <v>1</v>
      </c>
      <c r="F49" s="201">
        <f>COUNTIFS(Başvuru!$I:$I,Toplantı!$B$8,Başvuru!$D:$D,$A$49)</f>
        <v>0</v>
      </c>
      <c r="G49" s="201">
        <f>COUNTIFS(Başvuru!$I:$I,Toplantı!$B$9,Başvuru!$D:$D,$A$49)</f>
        <v>0</v>
      </c>
      <c r="H49" s="201">
        <f>COUNTIFS(Başvuru!$I:$I,Toplantı!$B$10,Başvuru!$D:$D,$A$49)</f>
        <v>1</v>
      </c>
      <c r="I49" s="201">
        <f>COUNTIFS(Başvuru!$I:$I,Toplantı!$B$11,Başvuru!$D:$D,$A$49)</f>
        <v>0</v>
      </c>
      <c r="J49" s="201">
        <f>COUNTIFS(Başvuru!$I:$I,Toplantı!$B$12,Başvuru!$D:$D,$A$49)</f>
        <v>0</v>
      </c>
      <c r="K49" s="201">
        <f>COUNTIFS(Başvuru!$I:$I,Toplantı!$B$13,Başvuru!$D:$D,$A$49)</f>
        <v>0</v>
      </c>
      <c r="L49" s="201">
        <f>COUNTIFS(Başvuru!$I:$I,Toplantı!$B$14,Başvuru!$D:$D,$A$49)</f>
        <v>0</v>
      </c>
      <c r="M49" s="201">
        <f>COUNTIFS(Başvuru!$I:$I,Toplantı!$B$15,Başvuru!$D:$D,$A$49)</f>
        <v>0</v>
      </c>
      <c r="N49" s="201">
        <f>COUNTIFS(Başvuru!$I:$I,Toplantı!$B$16,Başvuru!$D:$D,$A$49)</f>
        <v>0</v>
      </c>
      <c r="O49" s="201">
        <f>COUNTIFS(Başvuru!$I:$I,Toplantı!$B$17,Başvuru!$D:$D,$A$49)</f>
        <v>1</v>
      </c>
      <c r="P49" s="201">
        <f>COUNTIFS(Başvuru!$I:$I,Toplantı!$B$18,Başvuru!$D:$D,$A$49)</f>
        <v>0</v>
      </c>
      <c r="Q49" s="199">
        <f t="shared" si="1"/>
        <v>3</v>
      </c>
    </row>
    <row r="50" spans="1:17" ht="15.75" customHeight="1" x14ac:dyDescent="0.25">
      <c r="A50" s="197" t="s">
        <v>1069</v>
      </c>
      <c r="B50" s="198">
        <f>COUNTIFS(Başvuru!$I:$I,Toplantı!$B$4,Başvuru!$D:$D,$A$50)</f>
        <v>0</v>
      </c>
      <c r="C50" s="198">
        <f>COUNTIFS(Başvuru!$I:$I,Toplantı!$B$5,Başvuru!$D:$D,$A$50)</f>
        <v>0</v>
      </c>
      <c r="D50" s="198">
        <f>COUNTIFS(Başvuru!$I:$I,Toplantı!$B$6,Başvuru!$D:$D,$A$50)</f>
        <v>0</v>
      </c>
      <c r="E50" s="198">
        <f>COUNTIFS(Başvuru!$I:$I,Toplantı!$B$7,Başvuru!$D:$D,$A$50)</f>
        <v>0</v>
      </c>
      <c r="F50" s="198">
        <f>COUNTIFS(Başvuru!$I:$I,Toplantı!$B$8,Başvuru!$D:$D,$A$50)</f>
        <v>1</v>
      </c>
      <c r="G50" s="198">
        <f>COUNTIFS(Başvuru!$I:$I,Toplantı!$B$9,Başvuru!$D:$D,$A$50)</f>
        <v>0</v>
      </c>
      <c r="H50" s="198">
        <f>COUNTIFS(Başvuru!$I:$I,Toplantı!$B$10,Başvuru!$D:$D,$A$50)</f>
        <v>0</v>
      </c>
      <c r="I50" s="198">
        <f>COUNTIFS(Başvuru!$I:$I,Toplantı!$B$11,Başvuru!$D:$D,$A$50)</f>
        <v>0</v>
      </c>
      <c r="J50" s="198">
        <f>COUNTIFS(Başvuru!$I:$I,Toplantı!$B$12,Başvuru!$D:$D,$A$50)</f>
        <v>1</v>
      </c>
      <c r="K50" s="198">
        <f>COUNTIFS(Başvuru!$I:$I,Toplantı!$B$13,Başvuru!$D:$D,$A$50)</f>
        <v>0</v>
      </c>
      <c r="L50" s="198">
        <f>COUNTIFS(Başvuru!$I:$I,Toplantı!$B$14,Başvuru!$D:$D,$A$50)</f>
        <v>0</v>
      </c>
      <c r="M50" s="198">
        <f>COUNTIFS(Başvuru!$I:$I,Toplantı!$B$15,Başvuru!$D:$D,$A$50)</f>
        <v>0</v>
      </c>
      <c r="N50" s="198">
        <f>COUNTIFS(Başvuru!$I:$I,Toplantı!$B$16,Başvuru!$D:$D,$A$50)</f>
        <v>0</v>
      </c>
      <c r="O50" s="198">
        <f>COUNTIFS(Başvuru!$I:$I,Toplantı!$B$17,Başvuru!$D:$D,$A$50)</f>
        <v>0</v>
      </c>
      <c r="P50" s="198">
        <f>COUNTIFS(Başvuru!$I:$I,Toplantı!$B$18,Başvuru!$D:$D,$A$50)</f>
        <v>0</v>
      </c>
      <c r="Q50" s="199">
        <f t="shared" si="1"/>
        <v>2</v>
      </c>
    </row>
    <row r="51" spans="1:17" ht="15.75" customHeight="1" x14ac:dyDescent="0.25">
      <c r="A51" s="200" t="s">
        <v>1104</v>
      </c>
      <c r="B51" s="201">
        <f>COUNTIFS(Başvuru!$I:$I,Toplantı!$B$4,Başvuru!$D:$D,$A$51)</f>
        <v>0</v>
      </c>
      <c r="C51" s="201">
        <f>COUNTIFS(Başvuru!$I:$I,Toplantı!$B$5,Başvuru!$D:$D,$A$51)</f>
        <v>0</v>
      </c>
      <c r="D51" s="201">
        <f>COUNTIFS(Başvuru!$I:$I,Toplantı!$B$6,Başvuru!$D:$D,$A$51)</f>
        <v>0</v>
      </c>
      <c r="E51" s="201">
        <f>COUNTIFS(Başvuru!$I:$I,Toplantı!$B$7,Başvuru!$D:$D,$A$51)</f>
        <v>0</v>
      </c>
      <c r="F51" s="201">
        <f>COUNTIFS(Başvuru!$I:$I,Toplantı!$B$8,Başvuru!$D:$D,$A$51)</f>
        <v>1</v>
      </c>
      <c r="G51" s="201">
        <f>COUNTIFS(Başvuru!$I:$I,Toplantı!$B$9,Başvuru!$D:$D,$A$51)</f>
        <v>0</v>
      </c>
      <c r="H51" s="201">
        <f>COUNTIFS(Başvuru!$I:$I,Toplantı!$B$10,Başvuru!$D:$D,$A$51)</f>
        <v>1</v>
      </c>
      <c r="I51" s="201">
        <f>COUNTIFS(Başvuru!$I:$I,Toplantı!$B$11,Başvuru!$D:$D,$A$51)</f>
        <v>0</v>
      </c>
      <c r="J51" s="201">
        <f>COUNTIFS(Başvuru!$I:$I,Toplantı!$B$12,Başvuru!$D:$D,$A$51)</f>
        <v>0</v>
      </c>
      <c r="K51" s="201">
        <f>COUNTIFS(Başvuru!$I:$I,Toplantı!$B$13,Başvuru!$D:$D,$A$51)</f>
        <v>0</v>
      </c>
      <c r="L51" s="201">
        <f>COUNTIFS(Başvuru!$I:$I,Toplantı!$B$14,Başvuru!$D:$D,$A$51)</f>
        <v>0</v>
      </c>
      <c r="M51" s="201">
        <f>COUNTIFS(Başvuru!$I:$I,Toplantı!$B$15,Başvuru!$D:$D,$A$51)</f>
        <v>0</v>
      </c>
      <c r="N51" s="201">
        <f>COUNTIFS(Başvuru!$I:$I,Toplantı!$B$16,Başvuru!$D:$D,$A$51)</f>
        <v>0</v>
      </c>
      <c r="O51" s="201">
        <f>COUNTIFS(Başvuru!$I:$I,Toplantı!$B$17,Başvuru!$D:$D,$A$51)</f>
        <v>0</v>
      </c>
      <c r="P51" s="201">
        <f>COUNTIFS(Başvuru!$I:$I,Toplantı!$B$18,Başvuru!$D:$D,$A$51)</f>
        <v>0</v>
      </c>
      <c r="Q51" s="199">
        <f t="shared" si="1"/>
        <v>2</v>
      </c>
    </row>
    <row r="52" spans="1:17" ht="15.75" customHeight="1" x14ac:dyDescent="0.25">
      <c r="A52" s="197" t="s">
        <v>1193</v>
      </c>
      <c r="B52" s="198">
        <f>COUNTIFS(Başvuru!$I:$I,Toplantı!$B$4,Başvuru!$D:$D,$A$52)</f>
        <v>0</v>
      </c>
      <c r="C52" s="198">
        <f>COUNTIFS(Başvuru!$I:$I,Toplantı!$B$5,Başvuru!$D:$D,$A$52)</f>
        <v>0</v>
      </c>
      <c r="D52" s="198">
        <f>COUNTIFS(Başvuru!$I:$I,Toplantı!$B$6,Başvuru!$D:$D,$A$52)</f>
        <v>0</v>
      </c>
      <c r="E52" s="198">
        <f>COUNTIFS(Başvuru!$I:$I,Toplantı!$B$7,Başvuru!$D:$D,$A$52)</f>
        <v>0</v>
      </c>
      <c r="F52" s="198">
        <f>COUNTIFS(Başvuru!$I:$I,Toplantı!$B$8,Başvuru!$D:$D,$A$52)</f>
        <v>1</v>
      </c>
      <c r="G52" s="198">
        <f>COUNTIFS(Başvuru!$I:$I,Toplantı!$B$9,Başvuru!$D:$D,$A$52)</f>
        <v>0</v>
      </c>
      <c r="H52" s="198">
        <f>COUNTIFS(Başvuru!$I:$I,Toplantı!$B$10,Başvuru!$D:$D,$A$52)</f>
        <v>0</v>
      </c>
      <c r="I52" s="198">
        <f>COUNTIFS(Başvuru!$I:$I,Toplantı!$B$11,Başvuru!$D:$D,$A$52)</f>
        <v>0</v>
      </c>
      <c r="J52" s="198">
        <f>COUNTIFS(Başvuru!$I:$I,Toplantı!$B$12,Başvuru!$D:$D,$A$52)</f>
        <v>0</v>
      </c>
      <c r="K52" s="198">
        <f>COUNTIFS(Başvuru!$I:$I,Toplantı!$B$13,Başvuru!$D:$D,$A$52)</f>
        <v>1</v>
      </c>
      <c r="L52" s="198">
        <f>COUNTIFS(Başvuru!$I:$I,Toplantı!$B$14,Başvuru!$D:$D,$A$52)</f>
        <v>0</v>
      </c>
      <c r="M52" s="198">
        <f>COUNTIFS(Başvuru!$I:$I,Toplantı!$B$15,Başvuru!$D:$D,$A$52)</f>
        <v>0</v>
      </c>
      <c r="N52" s="198">
        <f>COUNTIFS(Başvuru!$I:$I,Toplantı!$B$16,Başvuru!$D:$D,$A$52)</f>
        <v>2</v>
      </c>
      <c r="O52" s="198">
        <f>COUNTIFS(Başvuru!$I:$I,Toplantı!$B$17,Başvuru!$D:$D,$A$52)</f>
        <v>0</v>
      </c>
      <c r="P52" s="198">
        <f>COUNTIFS(Başvuru!$I:$I,Toplantı!$B$18,Başvuru!$D:$D,$A$52)</f>
        <v>0</v>
      </c>
      <c r="Q52" s="199">
        <f t="shared" si="1"/>
        <v>4</v>
      </c>
    </row>
    <row r="53" spans="1:17" ht="15.75" customHeight="1" x14ac:dyDescent="0.25">
      <c r="A53" s="200" t="s">
        <v>1627</v>
      </c>
      <c r="B53" s="201">
        <f>COUNTIFS(Başvuru!$I:$I,Toplantı!$B$4,Başvuru!$D:$D,$A$53)</f>
        <v>0</v>
      </c>
      <c r="C53" s="201">
        <f>COUNTIFS(Başvuru!$I:$I,Toplantı!$B$5,Başvuru!$D:$D,$A$53)</f>
        <v>0</v>
      </c>
      <c r="D53" s="201">
        <f>COUNTIFS(Başvuru!$I:$I,Toplantı!$B$6,Başvuru!$D:$D,$A$53)</f>
        <v>0</v>
      </c>
      <c r="E53" s="201">
        <f>COUNTIFS(Başvuru!$I:$I,Toplantı!$B$7,Başvuru!$D:$D,$A$53)</f>
        <v>0</v>
      </c>
      <c r="F53" s="201">
        <f>COUNTIFS(Başvuru!$I:$I,Toplantı!$B$8,Başvuru!$D:$D,$A$53)</f>
        <v>0</v>
      </c>
      <c r="G53" s="201">
        <f>COUNTIFS(Başvuru!$I:$I,Toplantı!$B$9,Başvuru!$D:$D,$A$53)</f>
        <v>0</v>
      </c>
      <c r="H53" s="201">
        <f>COUNTIFS(Başvuru!$I:$I,Toplantı!$B$10,Başvuru!$D:$D,$A$53)</f>
        <v>0</v>
      </c>
      <c r="I53" s="201">
        <f>COUNTIFS(Başvuru!$I:$I,Toplantı!$B$11,Başvuru!$D:$D,$A$53)</f>
        <v>1</v>
      </c>
      <c r="J53" s="201">
        <f>COUNTIFS(Başvuru!$I:$I,Toplantı!$B$12,Başvuru!$D:$D,$A$53)</f>
        <v>0</v>
      </c>
      <c r="K53" s="201">
        <f>COUNTIFS(Başvuru!$I:$I,Toplantı!$B$13,Başvuru!$D:$D,$A$53)</f>
        <v>1</v>
      </c>
      <c r="L53" s="201">
        <f>COUNTIFS(Başvuru!$I:$I,Toplantı!$B$14,Başvuru!$D:$D,$A$53)</f>
        <v>0</v>
      </c>
      <c r="M53" s="201">
        <f>COUNTIFS(Başvuru!$I:$I,Toplantı!$B$15,Başvuru!$D:$D,$A$53)</f>
        <v>0</v>
      </c>
      <c r="N53" s="201">
        <f>COUNTIFS(Başvuru!$I:$I,Toplantı!$B$16,Başvuru!$D:$D,$A$53)</f>
        <v>0</v>
      </c>
      <c r="O53" s="201">
        <f>COUNTIFS(Başvuru!$I:$I,Toplantı!$B$17,Başvuru!$D:$D,$A$53)</f>
        <v>0</v>
      </c>
      <c r="P53" s="201">
        <f>COUNTIFS(Başvuru!$I:$I,Toplantı!$B$18,Başvuru!$D:$D,$A$53)</f>
        <v>1</v>
      </c>
      <c r="Q53" s="199">
        <f t="shared" si="1"/>
        <v>3</v>
      </c>
    </row>
    <row r="54" spans="1:17" ht="15.75" customHeight="1" x14ac:dyDescent="0.25">
      <c r="A54" s="197" t="s">
        <v>2503</v>
      </c>
      <c r="B54" s="198">
        <f>COUNTIFS(Başvuru!$I:$I,Toplantı!$B$4,Başvuru!$D:$D,$A$54)</f>
        <v>0</v>
      </c>
      <c r="C54" s="198">
        <f>COUNTIFS(Başvuru!$I:$I,Toplantı!$B$5,Başvuru!$D:$D,$A$54)</f>
        <v>0</v>
      </c>
      <c r="D54" s="198">
        <f>COUNTIFS(Başvuru!$I:$I,Toplantı!$B$6,Başvuru!$D:$D,$A$54)</f>
        <v>0</v>
      </c>
      <c r="E54" s="198">
        <f>COUNTIFS(Başvuru!$I:$I,Toplantı!$B$7,Başvuru!$D:$D,$A$54)</f>
        <v>0</v>
      </c>
      <c r="F54" s="198">
        <f>COUNTIFS(Başvuru!$I:$I,Toplantı!$B$8,Başvuru!$D:$D,$A$54)</f>
        <v>0</v>
      </c>
      <c r="G54" s="198">
        <f>COUNTIFS(Başvuru!$I:$I,Toplantı!$B$9,Başvuru!$D:$D,$A$54)</f>
        <v>0</v>
      </c>
      <c r="H54" s="198">
        <f>COUNTIFS(Başvuru!$I:$I,Toplantı!$B$10,Başvuru!$D:$D,$A$54)</f>
        <v>0</v>
      </c>
      <c r="I54" s="198">
        <f>COUNTIFS(Başvuru!$I:$I,Toplantı!$B$11,Başvuru!$D:$D,$A$54)</f>
        <v>0</v>
      </c>
      <c r="J54" s="198">
        <f>COUNTIFS(Başvuru!$I:$I,Toplantı!$B$12,Başvuru!$D:$D,$A$54)</f>
        <v>0</v>
      </c>
      <c r="K54" s="198">
        <f>COUNTIFS(Başvuru!$I:$I,Toplantı!$B$13,Başvuru!$D:$D,$A$54)</f>
        <v>0</v>
      </c>
      <c r="L54" s="198">
        <f>COUNTIFS(Başvuru!$I:$I,Toplantı!$B$14,Başvuru!$D:$D,$A$54)</f>
        <v>0</v>
      </c>
      <c r="M54" s="198">
        <f>COUNTIFS(Başvuru!$I:$I,Toplantı!$B$15,Başvuru!$D:$D,$A$54)</f>
        <v>2</v>
      </c>
      <c r="N54" s="198">
        <f>COUNTIFS(Başvuru!$I:$I,Toplantı!$B$16,Başvuru!$D:$D,$A$54)</f>
        <v>0</v>
      </c>
      <c r="O54" s="198">
        <f>COUNTIFS(Başvuru!$I:$I,Toplantı!$B$17,Başvuru!$D:$D,$A$54)</f>
        <v>0</v>
      </c>
      <c r="P54" s="198">
        <f>COUNTIFS(Başvuru!$I:$I,Toplantı!$B$18,Başvuru!$D:$D,$A$54)</f>
        <v>1</v>
      </c>
      <c r="Q54" s="199">
        <f t="shared" si="1"/>
        <v>3</v>
      </c>
    </row>
    <row r="55" spans="1:17" ht="15.75" customHeight="1" x14ac:dyDescent="0.25">
      <c r="A55" s="200" t="s">
        <v>64</v>
      </c>
      <c r="B55" s="201">
        <f>COUNTIFS(Başvuru!$I:$I,Toplantı!$B$4,Başvuru!$D:$D,$A$55)</f>
        <v>1</v>
      </c>
      <c r="C55" s="201">
        <f>COUNTIFS(Başvuru!$I:$I,Toplantı!$B$5,Başvuru!$D:$D,$A$55)</f>
        <v>0</v>
      </c>
      <c r="D55" s="201">
        <f>COUNTIFS(Başvuru!$I:$I,Toplantı!$B$6,Başvuru!$D:$D,$A$55)</f>
        <v>0</v>
      </c>
      <c r="E55" s="201">
        <f>COUNTIFS(Başvuru!$I:$I,Toplantı!$B$7,Başvuru!$D:$D,$A$55)</f>
        <v>0</v>
      </c>
      <c r="F55" s="201">
        <f>COUNTIFS(Başvuru!$I:$I,Toplantı!$B$8,Başvuru!$D:$D,$A$55)</f>
        <v>0</v>
      </c>
      <c r="G55" s="201">
        <f>COUNTIFS(Başvuru!$I:$I,Toplantı!$B$9,Başvuru!$D:$D,$A$55)</f>
        <v>0</v>
      </c>
      <c r="H55" s="201">
        <f>COUNTIFS(Başvuru!$I:$I,Toplantı!$B$10,Başvuru!$D:$D,$A$55)</f>
        <v>0</v>
      </c>
      <c r="I55" s="201">
        <f>COUNTIFS(Başvuru!$I:$I,Toplantı!$B$11,Başvuru!$D:$D,$A$55)</f>
        <v>0</v>
      </c>
      <c r="J55" s="201">
        <f>COUNTIFS(Başvuru!$I:$I,Toplantı!$B$12,Başvuru!$D:$D,$A$55)</f>
        <v>0</v>
      </c>
      <c r="K55" s="201">
        <f>COUNTIFS(Başvuru!$I:$I,Toplantı!$B$13,Başvuru!$D:$D,$A$55)</f>
        <v>0</v>
      </c>
      <c r="L55" s="201">
        <f>COUNTIFS(Başvuru!$I:$I,Toplantı!$B$14,Başvuru!$D:$D,$A$55)</f>
        <v>0</v>
      </c>
      <c r="M55" s="201">
        <f>COUNTIFS(Başvuru!$I:$I,Toplantı!$B$15,Başvuru!$D:$D,$A$55)</f>
        <v>0</v>
      </c>
      <c r="N55" s="201">
        <f>COUNTIFS(Başvuru!$I:$I,Toplantı!$B$16,Başvuru!$D:$D,$A$55)</f>
        <v>0</v>
      </c>
      <c r="O55" s="201">
        <f>COUNTIFS(Başvuru!$I:$I,Toplantı!$B$17,Başvuru!$D:$D,$A$55)</f>
        <v>0</v>
      </c>
      <c r="P55" s="201">
        <f>COUNTIFS(Başvuru!$I:$I,Toplantı!$B$18,Başvuru!$D:$D,$A$55)</f>
        <v>0</v>
      </c>
      <c r="Q55" s="199">
        <f t="shared" si="1"/>
        <v>1</v>
      </c>
    </row>
    <row r="56" spans="1:17" ht="15.75" customHeight="1" x14ac:dyDescent="0.25">
      <c r="A56" s="197" t="s">
        <v>74</v>
      </c>
      <c r="B56" s="198">
        <f>COUNTIFS(Başvuru!$I:$I,Toplantı!$B$4,Başvuru!$D:$D,$A$56)</f>
        <v>1</v>
      </c>
      <c r="C56" s="198">
        <f>COUNTIFS(Başvuru!$I:$I,Toplantı!$B$5,Başvuru!$D:$D,$A$56)</f>
        <v>0</v>
      </c>
      <c r="D56" s="198">
        <f>COUNTIFS(Başvuru!$I:$I,Toplantı!$B$6,Başvuru!$D:$D,$A$56)</f>
        <v>0</v>
      </c>
      <c r="E56" s="198">
        <f>COUNTIFS(Başvuru!$I:$I,Toplantı!$B$7,Başvuru!$D:$D,$A$56)</f>
        <v>0</v>
      </c>
      <c r="F56" s="198">
        <f>COUNTIFS(Başvuru!$I:$I,Toplantı!$B$8,Başvuru!$D:$D,$A$56)</f>
        <v>0</v>
      </c>
      <c r="G56" s="198">
        <f>COUNTIFS(Başvuru!$I:$I,Toplantı!$B$9,Başvuru!$D:$D,$A$56)</f>
        <v>0</v>
      </c>
      <c r="H56" s="198">
        <f>COUNTIFS(Başvuru!$I:$I,Toplantı!$B$10,Başvuru!$D:$D,$A$56)</f>
        <v>0</v>
      </c>
      <c r="I56" s="198">
        <f>COUNTIFS(Başvuru!$I:$I,Toplantı!$B$11,Başvuru!$D:$D,$A$56)</f>
        <v>0</v>
      </c>
      <c r="J56" s="198">
        <f>COUNTIFS(Başvuru!$I:$I,Toplantı!$B$12,Başvuru!$D:$D,$A$56)</f>
        <v>0</v>
      </c>
      <c r="K56" s="198">
        <f>COUNTIFS(Başvuru!$I:$I,Toplantı!$B$13,Başvuru!$D:$D,$A$56)</f>
        <v>0</v>
      </c>
      <c r="L56" s="198">
        <f>COUNTIFS(Başvuru!$I:$I,Toplantı!$B$14,Başvuru!$D:$D,$A$56)</f>
        <v>0</v>
      </c>
      <c r="M56" s="198">
        <f>COUNTIFS(Başvuru!$I:$I,Toplantı!$B$15,Başvuru!$D:$D,$A$56)</f>
        <v>0</v>
      </c>
      <c r="N56" s="198">
        <f>COUNTIFS(Başvuru!$I:$I,Toplantı!$B$16,Başvuru!$D:$D,$A$56)</f>
        <v>0</v>
      </c>
      <c r="O56" s="198">
        <f>COUNTIFS(Başvuru!$I:$I,Toplantı!$B$17,Başvuru!$D:$D,$A$56)</f>
        <v>0</v>
      </c>
      <c r="P56" s="198">
        <f>COUNTIFS(Başvuru!$I:$I,Toplantı!$B$18,Başvuru!$D:$D,$A$56)</f>
        <v>0</v>
      </c>
      <c r="Q56" s="199">
        <f t="shared" si="1"/>
        <v>1</v>
      </c>
    </row>
    <row r="57" spans="1:17" ht="15.75" customHeight="1" x14ac:dyDescent="0.25">
      <c r="A57" s="200" t="s">
        <v>101</v>
      </c>
      <c r="B57" s="201">
        <f>COUNTIFS(Başvuru!$I:$I,Toplantı!$B$4,Başvuru!$D:$D,$A$57)</f>
        <v>1</v>
      </c>
      <c r="C57" s="201">
        <f>COUNTIFS(Başvuru!$I:$I,Toplantı!$B$5,Başvuru!$D:$D,$A$57)</f>
        <v>0</v>
      </c>
      <c r="D57" s="201">
        <f>COUNTIFS(Başvuru!$I:$I,Toplantı!$B$6,Başvuru!$D:$D,$A$57)</f>
        <v>0</v>
      </c>
      <c r="E57" s="201">
        <f>COUNTIFS(Başvuru!$I:$I,Toplantı!$B$7,Başvuru!$D:$D,$A$57)</f>
        <v>0</v>
      </c>
      <c r="F57" s="201">
        <f>COUNTIFS(Başvuru!$I:$I,Toplantı!$B$8,Başvuru!$D:$D,$A$57)</f>
        <v>0</v>
      </c>
      <c r="G57" s="201">
        <f>COUNTIFS(Başvuru!$I:$I,Toplantı!$B$9,Başvuru!$D:$D,$A$57)</f>
        <v>0</v>
      </c>
      <c r="H57" s="201">
        <f>COUNTIFS(Başvuru!$I:$I,Toplantı!$B$10,Başvuru!$D:$D,$A$57)</f>
        <v>0</v>
      </c>
      <c r="I57" s="201">
        <f>COUNTIFS(Başvuru!$I:$I,Toplantı!$B$11,Başvuru!$D:$D,$A$57)</f>
        <v>0</v>
      </c>
      <c r="J57" s="201">
        <f>COUNTIFS(Başvuru!$I:$I,Toplantı!$B$12,Başvuru!$D:$D,$A$57)</f>
        <v>0</v>
      </c>
      <c r="K57" s="201">
        <f>COUNTIFS(Başvuru!$I:$I,Toplantı!$B$13,Başvuru!$D:$D,$A$57)</f>
        <v>0</v>
      </c>
      <c r="L57" s="201">
        <f>COUNTIFS(Başvuru!$I:$I,Toplantı!$B$14,Başvuru!$D:$D,$A$57)</f>
        <v>0</v>
      </c>
      <c r="M57" s="201">
        <f>COUNTIFS(Başvuru!$I:$I,Toplantı!$B$15,Başvuru!$D:$D,$A$57)</f>
        <v>0</v>
      </c>
      <c r="N57" s="201">
        <f>COUNTIFS(Başvuru!$I:$I,Toplantı!$B$16,Başvuru!$D:$D,$A$57)</f>
        <v>0</v>
      </c>
      <c r="O57" s="201">
        <f>COUNTIFS(Başvuru!$I:$I,Toplantı!$B$17,Başvuru!$D:$D,$A$57)</f>
        <v>0</v>
      </c>
      <c r="P57" s="201">
        <f>COUNTIFS(Başvuru!$I:$I,Toplantı!$B$18,Başvuru!$D:$D,$A$57)</f>
        <v>0</v>
      </c>
      <c r="Q57" s="199">
        <f t="shared" si="1"/>
        <v>1</v>
      </c>
    </row>
    <row r="58" spans="1:17" ht="15.75" customHeight="1" x14ac:dyDescent="0.25">
      <c r="A58" s="197" t="s">
        <v>384</v>
      </c>
      <c r="B58" s="198">
        <f>COUNTIFS(Başvuru!$I:$I,Toplantı!$B$4,Başvuru!$D:$D,$A$58)</f>
        <v>1</v>
      </c>
      <c r="C58" s="198">
        <f>COUNTIFS(Başvuru!$I:$I,Toplantı!$B$5,Başvuru!$D:$D,$A$58)</f>
        <v>0</v>
      </c>
      <c r="D58" s="198">
        <f>COUNTIFS(Başvuru!$I:$I,Toplantı!$B$6,Başvuru!$D:$D,$A$58)</f>
        <v>0</v>
      </c>
      <c r="E58" s="198">
        <f>COUNTIFS(Başvuru!$I:$I,Toplantı!$B$7,Başvuru!$D:$D,$A$58)</f>
        <v>0</v>
      </c>
      <c r="F58" s="198">
        <f>COUNTIFS(Başvuru!$I:$I,Toplantı!$B$8,Başvuru!$D:$D,$A$58)</f>
        <v>0</v>
      </c>
      <c r="G58" s="198">
        <f>COUNTIFS(Başvuru!$I:$I,Toplantı!$B$9,Başvuru!$D:$D,$A$58)</f>
        <v>0</v>
      </c>
      <c r="H58" s="198">
        <f>COUNTIFS(Başvuru!$I:$I,Toplantı!$B$10,Başvuru!$D:$D,$A$58)</f>
        <v>0</v>
      </c>
      <c r="I58" s="198">
        <f>COUNTIFS(Başvuru!$I:$I,Toplantı!$B$11,Başvuru!$D:$D,$A$58)</f>
        <v>0</v>
      </c>
      <c r="J58" s="198">
        <f>COUNTIFS(Başvuru!$I:$I,Toplantı!$B$12,Başvuru!$D:$D,$A$58)</f>
        <v>0</v>
      </c>
      <c r="K58" s="198">
        <f>COUNTIFS(Başvuru!$I:$I,Toplantı!$B$13,Başvuru!$D:$D,$A$58)</f>
        <v>0</v>
      </c>
      <c r="L58" s="198">
        <f>COUNTIFS(Başvuru!$I:$I,Toplantı!$B$14,Başvuru!$D:$D,$A$58)</f>
        <v>0</v>
      </c>
      <c r="M58" s="198">
        <f>COUNTIFS(Başvuru!$I:$I,Toplantı!$B$15,Başvuru!$D:$D,$A$58)</f>
        <v>0</v>
      </c>
      <c r="N58" s="198">
        <f>COUNTIFS(Başvuru!$I:$I,Toplantı!$B$16,Başvuru!$D:$D,$A$58)</f>
        <v>0</v>
      </c>
      <c r="O58" s="198">
        <f>COUNTIFS(Başvuru!$I:$I,Toplantı!$B$17,Başvuru!$D:$D,$A$58)</f>
        <v>0</v>
      </c>
      <c r="P58" s="198">
        <f>COUNTIFS(Başvuru!$I:$I,Toplantı!$B$18,Başvuru!$D:$D,$A$58)</f>
        <v>0</v>
      </c>
      <c r="Q58" s="199">
        <f t="shared" si="1"/>
        <v>1</v>
      </c>
    </row>
    <row r="59" spans="1:17" ht="15.75" customHeight="1" x14ac:dyDescent="0.25">
      <c r="A59" s="200" t="s">
        <v>494</v>
      </c>
      <c r="B59" s="201">
        <f>COUNTIFS(Başvuru!$I:$I,Toplantı!$B$4,Başvuru!$D:$D,$A$59)</f>
        <v>0</v>
      </c>
      <c r="C59" s="201">
        <f>COUNTIFS(Başvuru!$I:$I,Toplantı!$B$5,Başvuru!$D:$D,$A$59)</f>
        <v>1</v>
      </c>
      <c r="D59" s="201">
        <f>COUNTIFS(Başvuru!$I:$I,Toplantı!$B$6,Başvuru!$D:$D,$A$59)</f>
        <v>0</v>
      </c>
      <c r="E59" s="201">
        <f>COUNTIFS(Başvuru!$I:$I,Toplantı!$B$7,Başvuru!$D:$D,$A$59)</f>
        <v>0</v>
      </c>
      <c r="F59" s="201">
        <f>COUNTIFS(Başvuru!$I:$I,Toplantı!$B$8,Başvuru!$D:$D,$A$59)</f>
        <v>0</v>
      </c>
      <c r="G59" s="201">
        <f>COUNTIFS(Başvuru!$I:$I,Toplantı!$B$9,Başvuru!$D:$D,$A$59)</f>
        <v>0</v>
      </c>
      <c r="H59" s="201">
        <f>COUNTIFS(Başvuru!$I:$I,Toplantı!$B$10,Başvuru!$D:$D,$A$59)</f>
        <v>0</v>
      </c>
      <c r="I59" s="201">
        <f>COUNTIFS(Başvuru!$I:$I,Toplantı!$B$11,Başvuru!$D:$D,$A$59)</f>
        <v>0</v>
      </c>
      <c r="J59" s="201">
        <f>COUNTIFS(Başvuru!$I:$I,Toplantı!$B$12,Başvuru!$D:$D,$A$59)</f>
        <v>0</v>
      </c>
      <c r="K59" s="201">
        <f>COUNTIFS(Başvuru!$I:$I,Toplantı!$B$13,Başvuru!$D:$D,$A$59)</f>
        <v>0</v>
      </c>
      <c r="L59" s="201">
        <f>COUNTIFS(Başvuru!$I:$I,Toplantı!$B$14,Başvuru!$D:$D,$A$59)</f>
        <v>0</v>
      </c>
      <c r="M59" s="201">
        <f>COUNTIFS(Başvuru!$I:$I,Toplantı!$B$15,Başvuru!$D:$D,$A$59)</f>
        <v>0</v>
      </c>
      <c r="N59" s="201">
        <f>COUNTIFS(Başvuru!$I:$I,Toplantı!$B$16,Başvuru!$D:$D,$A$59)</f>
        <v>0</v>
      </c>
      <c r="O59" s="201">
        <f>COUNTIFS(Başvuru!$I:$I,Toplantı!$B$17,Başvuru!$D:$D,$A$59)</f>
        <v>0</v>
      </c>
      <c r="P59" s="201">
        <f>COUNTIFS(Başvuru!$I:$I,Toplantı!$B$18,Başvuru!$D:$D,$A$59)</f>
        <v>0</v>
      </c>
      <c r="Q59" s="199">
        <f t="shared" si="1"/>
        <v>1</v>
      </c>
    </row>
    <row r="60" spans="1:17" ht="15.75" customHeight="1" x14ac:dyDescent="0.25">
      <c r="A60" s="197" t="s">
        <v>509</v>
      </c>
      <c r="B60" s="198">
        <f>COUNTIFS(Başvuru!$I:$I,Toplantı!$B$4,Başvuru!$D:$D,$A$60)</f>
        <v>0</v>
      </c>
      <c r="C60" s="198">
        <f>COUNTIFS(Başvuru!$I:$I,Toplantı!$B$5,Başvuru!$D:$D,$A$60)</f>
        <v>1</v>
      </c>
      <c r="D60" s="198">
        <f>COUNTIFS(Başvuru!$I:$I,Toplantı!$B$6,Başvuru!$D:$D,$A$60)</f>
        <v>0</v>
      </c>
      <c r="E60" s="198">
        <f>COUNTIFS(Başvuru!$I:$I,Toplantı!$B$7,Başvuru!$D:$D,$A$60)</f>
        <v>0</v>
      </c>
      <c r="F60" s="198">
        <f>COUNTIFS(Başvuru!$I:$I,Toplantı!$B$8,Başvuru!$D:$D,$A$60)</f>
        <v>0</v>
      </c>
      <c r="G60" s="198">
        <f>COUNTIFS(Başvuru!$I:$I,Toplantı!$B$9,Başvuru!$D:$D,$A$60)</f>
        <v>0</v>
      </c>
      <c r="H60" s="198">
        <f>COUNTIFS(Başvuru!$I:$I,Toplantı!$B$10,Başvuru!$D:$D,$A$60)</f>
        <v>0</v>
      </c>
      <c r="I60" s="198">
        <f>COUNTIFS(Başvuru!$I:$I,Toplantı!$B$11,Başvuru!$D:$D,$A$60)</f>
        <v>0</v>
      </c>
      <c r="J60" s="198">
        <f>COUNTIFS(Başvuru!$I:$I,Toplantı!$B$12,Başvuru!$D:$D,$A$60)</f>
        <v>0</v>
      </c>
      <c r="K60" s="198">
        <f>COUNTIFS(Başvuru!$I:$I,Toplantı!$B$13,Başvuru!$D:$D,$A$60)</f>
        <v>0</v>
      </c>
      <c r="L60" s="198">
        <f>COUNTIFS(Başvuru!$I:$I,Toplantı!$B$14,Başvuru!$D:$D,$A$60)</f>
        <v>0</v>
      </c>
      <c r="M60" s="198">
        <f>COUNTIFS(Başvuru!$I:$I,Toplantı!$B$15,Başvuru!$D:$D,$A$60)</f>
        <v>0</v>
      </c>
      <c r="N60" s="198">
        <f>COUNTIFS(Başvuru!$I:$I,Toplantı!$B$16,Başvuru!$D:$D,$A$60)</f>
        <v>0</v>
      </c>
      <c r="O60" s="198">
        <f>COUNTIFS(Başvuru!$I:$I,Toplantı!$B$17,Başvuru!$D:$D,$A$60)</f>
        <v>0</v>
      </c>
      <c r="P60" s="198">
        <f>COUNTIFS(Başvuru!$I:$I,Toplantı!$B$18,Başvuru!$D:$D,$A$60)</f>
        <v>0</v>
      </c>
      <c r="Q60" s="199">
        <f t="shared" si="1"/>
        <v>1</v>
      </c>
    </row>
    <row r="61" spans="1:17" ht="15.75" customHeight="1" x14ac:dyDescent="0.25">
      <c r="A61" s="200" t="s">
        <v>718</v>
      </c>
      <c r="B61" s="201">
        <f>COUNTIFS(Başvuru!$I:$I,Toplantı!$B$4,Başvuru!$D:$D,$A$61)</f>
        <v>0</v>
      </c>
      <c r="C61" s="201">
        <f>COUNTIFS(Başvuru!$I:$I,Toplantı!$B$5,Başvuru!$D:$D,$A$61)</f>
        <v>0</v>
      </c>
      <c r="D61" s="201">
        <f>COUNTIFS(Başvuru!$I:$I,Toplantı!$B$6,Başvuru!$D:$D,$A$61)</f>
        <v>1</v>
      </c>
      <c r="E61" s="201">
        <f>COUNTIFS(Başvuru!$I:$I,Toplantı!$B$7,Başvuru!$D:$D,$A$61)</f>
        <v>0</v>
      </c>
      <c r="F61" s="201">
        <f>COUNTIFS(Başvuru!$I:$I,Toplantı!$B$8,Başvuru!$D:$D,$A$61)</f>
        <v>0</v>
      </c>
      <c r="G61" s="201">
        <f>COUNTIFS(Başvuru!$I:$I,Toplantı!$B$9,Başvuru!$D:$D,$A$61)</f>
        <v>0</v>
      </c>
      <c r="H61" s="201">
        <f>COUNTIFS(Başvuru!$I:$I,Toplantı!$B$10,Başvuru!$D:$D,$A$61)</f>
        <v>0</v>
      </c>
      <c r="I61" s="201">
        <f>COUNTIFS(Başvuru!$I:$I,Toplantı!$B$11,Başvuru!$D:$D,$A$61)</f>
        <v>0</v>
      </c>
      <c r="J61" s="201">
        <f>COUNTIFS(Başvuru!$I:$I,Toplantı!$B$12,Başvuru!$D:$D,$A$61)</f>
        <v>0</v>
      </c>
      <c r="K61" s="201">
        <f>COUNTIFS(Başvuru!$I:$I,Toplantı!$B$13,Başvuru!$D:$D,$A$61)</f>
        <v>0</v>
      </c>
      <c r="L61" s="201">
        <f>COUNTIFS(Başvuru!$I:$I,Toplantı!$B$14,Başvuru!$D:$D,$A$61)</f>
        <v>0</v>
      </c>
      <c r="M61" s="201">
        <f>COUNTIFS(Başvuru!$I:$I,Toplantı!$B$15,Başvuru!$D:$D,$A$61)</f>
        <v>0</v>
      </c>
      <c r="N61" s="201">
        <f>COUNTIFS(Başvuru!$I:$I,Toplantı!$B$16,Başvuru!$D:$D,$A$61)</f>
        <v>0</v>
      </c>
      <c r="O61" s="201">
        <f>COUNTIFS(Başvuru!$I:$I,Toplantı!$B$17,Başvuru!$D:$D,$A$61)</f>
        <v>0</v>
      </c>
      <c r="P61" s="201">
        <f>COUNTIFS(Başvuru!$I:$I,Toplantı!$B$18,Başvuru!$D:$D,$A$61)</f>
        <v>0</v>
      </c>
      <c r="Q61" s="199">
        <f t="shared" si="1"/>
        <v>1</v>
      </c>
    </row>
    <row r="62" spans="1:17" ht="15.75" customHeight="1" x14ac:dyDescent="0.25">
      <c r="A62" s="197" t="s">
        <v>802</v>
      </c>
      <c r="B62" s="198">
        <f>COUNTIFS(Başvuru!$I:$I,Toplantı!$B$4,Başvuru!$D:$D,$A$62)</f>
        <v>0</v>
      </c>
      <c r="C62" s="198">
        <f>COUNTIFS(Başvuru!$I:$I,Toplantı!$B$5,Başvuru!$D:$D,$A$62)</f>
        <v>0</v>
      </c>
      <c r="D62" s="198">
        <f>COUNTIFS(Başvuru!$I:$I,Toplantı!$B$6,Başvuru!$D:$D,$A$62)</f>
        <v>1</v>
      </c>
      <c r="E62" s="198">
        <f>COUNTIFS(Başvuru!$I:$I,Toplantı!$B$7,Başvuru!$D:$D,$A$62)</f>
        <v>0</v>
      </c>
      <c r="F62" s="198">
        <f>COUNTIFS(Başvuru!$I:$I,Toplantı!$B$8,Başvuru!$D:$D,$A$62)</f>
        <v>0</v>
      </c>
      <c r="G62" s="198">
        <f>COUNTIFS(Başvuru!$I:$I,Toplantı!$B$9,Başvuru!$D:$D,$A$62)</f>
        <v>0</v>
      </c>
      <c r="H62" s="198">
        <f>COUNTIFS(Başvuru!$I:$I,Toplantı!$B$10,Başvuru!$D:$D,$A$62)</f>
        <v>0</v>
      </c>
      <c r="I62" s="198">
        <f>COUNTIFS(Başvuru!$I:$I,Toplantı!$B$11,Başvuru!$D:$D,$A$62)</f>
        <v>0</v>
      </c>
      <c r="J62" s="198">
        <f>COUNTIFS(Başvuru!$I:$I,Toplantı!$B$12,Başvuru!$D:$D,$A$62)</f>
        <v>0</v>
      </c>
      <c r="K62" s="198">
        <f>COUNTIFS(Başvuru!$I:$I,Toplantı!$B$13,Başvuru!$D:$D,$A$62)</f>
        <v>0</v>
      </c>
      <c r="L62" s="198">
        <f>COUNTIFS(Başvuru!$I:$I,Toplantı!$B$14,Başvuru!$D:$D,$A$62)</f>
        <v>0</v>
      </c>
      <c r="M62" s="198">
        <f>COUNTIFS(Başvuru!$I:$I,Toplantı!$B$15,Başvuru!$D:$D,$A$62)</f>
        <v>0</v>
      </c>
      <c r="N62" s="198">
        <f>COUNTIFS(Başvuru!$I:$I,Toplantı!$B$16,Başvuru!$D:$D,$A$62)</f>
        <v>0</v>
      </c>
      <c r="O62" s="198">
        <f>COUNTIFS(Başvuru!$I:$I,Toplantı!$B$17,Başvuru!$D:$D,$A$62)</f>
        <v>0</v>
      </c>
      <c r="P62" s="198">
        <f>COUNTIFS(Başvuru!$I:$I,Toplantı!$B$18,Başvuru!$D:$D,$A$62)</f>
        <v>0</v>
      </c>
      <c r="Q62" s="199">
        <f t="shared" si="1"/>
        <v>1</v>
      </c>
    </row>
    <row r="63" spans="1:17" ht="15.75" customHeight="1" x14ac:dyDescent="0.25">
      <c r="A63" s="200" t="s">
        <v>923</v>
      </c>
      <c r="B63" s="201">
        <f>COUNTIFS(Başvuru!$I:$I,Toplantı!$B$4,Başvuru!$D:$D,$A$63)</f>
        <v>0</v>
      </c>
      <c r="C63" s="201">
        <f>COUNTIFS(Başvuru!$I:$I,Toplantı!$B$5,Başvuru!$D:$D,$A$63)</f>
        <v>0</v>
      </c>
      <c r="D63" s="201">
        <f>COUNTIFS(Başvuru!$I:$I,Toplantı!$B$6,Başvuru!$D:$D,$A$63)</f>
        <v>0</v>
      </c>
      <c r="E63" s="201">
        <f>COUNTIFS(Başvuru!$I:$I,Toplantı!$B$7,Başvuru!$D:$D,$A$63)</f>
        <v>1</v>
      </c>
      <c r="F63" s="201">
        <f>COUNTIFS(Başvuru!$I:$I,Toplantı!$B$8,Başvuru!$D:$D,$A$63)</f>
        <v>0</v>
      </c>
      <c r="G63" s="201">
        <f>COUNTIFS(Başvuru!$I:$I,Toplantı!$B$9,Başvuru!$D:$D,$A$63)</f>
        <v>0</v>
      </c>
      <c r="H63" s="201">
        <f>COUNTIFS(Başvuru!$I:$I,Toplantı!$B$10,Başvuru!$D:$D,$A$63)</f>
        <v>0</v>
      </c>
      <c r="I63" s="201">
        <f>COUNTIFS(Başvuru!$I:$I,Toplantı!$B$11,Başvuru!$D:$D,$A$63)</f>
        <v>0</v>
      </c>
      <c r="J63" s="201">
        <f>COUNTIFS(Başvuru!$I:$I,Toplantı!$B$12,Başvuru!$D:$D,$A$63)</f>
        <v>0</v>
      </c>
      <c r="K63" s="201">
        <f>COUNTIFS(Başvuru!$I:$I,Toplantı!$B$13,Başvuru!$D:$D,$A$63)</f>
        <v>0</v>
      </c>
      <c r="L63" s="201">
        <f>COUNTIFS(Başvuru!$I:$I,Toplantı!$B$14,Başvuru!$D:$D,$A$63)</f>
        <v>0</v>
      </c>
      <c r="M63" s="201">
        <f>COUNTIFS(Başvuru!$I:$I,Toplantı!$B$15,Başvuru!$D:$D,$A$63)</f>
        <v>0</v>
      </c>
      <c r="N63" s="201">
        <f>COUNTIFS(Başvuru!$I:$I,Toplantı!$B$16,Başvuru!$D:$D,$A$63)</f>
        <v>1</v>
      </c>
      <c r="O63" s="201">
        <f>COUNTIFS(Başvuru!$I:$I,Toplantı!$B$17,Başvuru!$D:$D,$A$63)</f>
        <v>0</v>
      </c>
      <c r="P63" s="201">
        <f>COUNTIFS(Başvuru!$I:$I,Toplantı!$B$18,Başvuru!$D:$D,$A$63)</f>
        <v>0</v>
      </c>
      <c r="Q63" s="199">
        <f t="shared" si="1"/>
        <v>2</v>
      </c>
    </row>
    <row r="64" spans="1:17" ht="15.75" customHeight="1" x14ac:dyDescent="0.25">
      <c r="A64" s="197" t="s">
        <v>1223</v>
      </c>
      <c r="B64" s="198">
        <f>COUNTIFS(Başvuru!$I:$I,Toplantı!$B$4,Başvuru!$D:$D,$A$64)</f>
        <v>0</v>
      </c>
      <c r="C64" s="198">
        <f>COUNTIFS(Başvuru!$I:$I,Toplantı!$B$5,Başvuru!$D:$D,$A$64)</f>
        <v>0</v>
      </c>
      <c r="D64" s="198">
        <f>COUNTIFS(Başvuru!$I:$I,Toplantı!$B$6,Başvuru!$D:$D,$A$64)</f>
        <v>0</v>
      </c>
      <c r="E64" s="198">
        <f>COUNTIFS(Başvuru!$I:$I,Toplantı!$B$7,Başvuru!$D:$D,$A$64)</f>
        <v>0</v>
      </c>
      <c r="F64" s="198">
        <f>COUNTIFS(Başvuru!$I:$I,Toplantı!$B$8,Başvuru!$D:$D,$A$64)</f>
        <v>0</v>
      </c>
      <c r="G64" s="198">
        <f>COUNTIFS(Başvuru!$I:$I,Toplantı!$B$9,Başvuru!$D:$D,$A$64)</f>
        <v>1</v>
      </c>
      <c r="H64" s="198">
        <f>COUNTIFS(Başvuru!$I:$I,Toplantı!$B$10,Başvuru!$D:$D,$A$64)</f>
        <v>0</v>
      </c>
      <c r="I64" s="198">
        <f>COUNTIFS(Başvuru!$I:$I,Toplantı!$B$11,Başvuru!$D:$D,$A$64)</f>
        <v>0</v>
      </c>
      <c r="J64" s="198">
        <f>COUNTIFS(Başvuru!$I:$I,Toplantı!$B$12,Başvuru!$D:$D,$A$64)</f>
        <v>0</v>
      </c>
      <c r="K64" s="198">
        <f>COUNTIFS(Başvuru!$I:$I,Toplantı!$B$13,Başvuru!$D:$D,$A$64)</f>
        <v>0</v>
      </c>
      <c r="L64" s="198">
        <f>COUNTIFS(Başvuru!$I:$I,Toplantı!$B$14,Başvuru!$D:$D,$A$64)</f>
        <v>0</v>
      </c>
      <c r="M64" s="198">
        <f>COUNTIFS(Başvuru!$I:$I,Toplantı!$B$15,Başvuru!$D:$D,$A$64)</f>
        <v>0</v>
      </c>
      <c r="N64" s="198">
        <f>COUNTIFS(Başvuru!$I:$I,Toplantı!$B$16,Başvuru!$D:$D,$A$64)</f>
        <v>0</v>
      </c>
      <c r="O64" s="198">
        <f>COUNTIFS(Başvuru!$I:$I,Toplantı!$B$17,Başvuru!$D:$D,$A$64)</f>
        <v>0</v>
      </c>
      <c r="P64" s="198">
        <f>COUNTIFS(Başvuru!$I:$I,Toplantı!$B$18,Başvuru!$D:$D,$A$64)</f>
        <v>0</v>
      </c>
      <c r="Q64" s="199">
        <f t="shared" si="1"/>
        <v>1</v>
      </c>
    </row>
    <row r="65" spans="1:17" ht="15.75" customHeight="1" x14ac:dyDescent="0.25">
      <c r="A65" s="200" t="s">
        <v>1375</v>
      </c>
      <c r="B65" s="201">
        <f>COUNTIFS(Başvuru!$I:$I,Toplantı!$B$4,Başvuru!$D:$D,$A$65)</f>
        <v>0</v>
      </c>
      <c r="C65" s="201">
        <f>COUNTIFS(Başvuru!$I:$I,Toplantı!$B$5,Başvuru!$D:$D,$A$65)</f>
        <v>0</v>
      </c>
      <c r="D65" s="201">
        <f>COUNTIFS(Başvuru!$I:$I,Toplantı!$B$6,Başvuru!$D:$D,$A$65)</f>
        <v>0</v>
      </c>
      <c r="E65" s="201">
        <f>COUNTIFS(Başvuru!$I:$I,Toplantı!$B$7,Başvuru!$D:$D,$A$65)</f>
        <v>0</v>
      </c>
      <c r="F65" s="201">
        <f>COUNTIFS(Başvuru!$I:$I,Toplantı!$B$8,Başvuru!$D:$D,$A$65)</f>
        <v>0</v>
      </c>
      <c r="G65" s="201">
        <f>COUNTIFS(Başvuru!$I:$I,Toplantı!$B$9,Başvuru!$D:$D,$A$65)</f>
        <v>1</v>
      </c>
      <c r="H65" s="201">
        <f>COUNTIFS(Başvuru!$I:$I,Toplantı!$B$10,Başvuru!$D:$D,$A$65)</f>
        <v>0</v>
      </c>
      <c r="I65" s="201">
        <f>COUNTIFS(Başvuru!$I:$I,Toplantı!$B$11,Başvuru!$D:$D,$A$65)</f>
        <v>0</v>
      </c>
      <c r="J65" s="201">
        <f>COUNTIFS(Başvuru!$I:$I,Toplantı!$B$12,Başvuru!$D:$D,$A$65)</f>
        <v>0</v>
      </c>
      <c r="K65" s="201">
        <f>COUNTIFS(Başvuru!$I:$I,Toplantı!$B$13,Başvuru!$D:$D,$A$65)</f>
        <v>0</v>
      </c>
      <c r="L65" s="201">
        <f>COUNTIFS(Başvuru!$I:$I,Toplantı!$B$14,Başvuru!$D:$D,$A$65)</f>
        <v>0</v>
      </c>
      <c r="M65" s="201">
        <f>COUNTIFS(Başvuru!$I:$I,Toplantı!$B$15,Başvuru!$D:$D,$A$65)</f>
        <v>0</v>
      </c>
      <c r="N65" s="201">
        <f>COUNTIFS(Başvuru!$I:$I,Toplantı!$B$16,Başvuru!$D:$D,$A$65)</f>
        <v>1</v>
      </c>
      <c r="O65" s="201">
        <f>COUNTIFS(Başvuru!$I:$I,Toplantı!$B$17,Başvuru!$D:$D,$A$65)</f>
        <v>0</v>
      </c>
      <c r="P65" s="201">
        <f>COUNTIFS(Başvuru!$I:$I,Toplantı!$B$18,Başvuru!$D:$D,$A$65)</f>
        <v>0</v>
      </c>
      <c r="Q65" s="199">
        <f t="shared" si="1"/>
        <v>2</v>
      </c>
    </row>
    <row r="66" spans="1:17" ht="15.75" customHeight="1" x14ac:dyDescent="0.25">
      <c r="A66" s="197" t="s">
        <v>1498</v>
      </c>
      <c r="B66" s="198">
        <f>COUNTIFS(Başvuru!$I:$I,Toplantı!$B$4,Başvuru!$D:$D,$A$66)</f>
        <v>0</v>
      </c>
      <c r="C66" s="198">
        <f>COUNTIFS(Başvuru!$I:$I,Toplantı!$B$5,Başvuru!$D:$D,$A$66)</f>
        <v>0</v>
      </c>
      <c r="D66" s="198">
        <f>COUNTIFS(Başvuru!$I:$I,Toplantı!$B$6,Başvuru!$D:$D,$A$66)</f>
        <v>0</v>
      </c>
      <c r="E66" s="198">
        <f>COUNTIFS(Başvuru!$I:$I,Toplantı!$B$7,Başvuru!$D:$D,$A$66)</f>
        <v>0</v>
      </c>
      <c r="F66" s="198">
        <f>COUNTIFS(Başvuru!$I:$I,Toplantı!$B$8,Başvuru!$D:$D,$A$66)</f>
        <v>0</v>
      </c>
      <c r="G66" s="198">
        <f>COUNTIFS(Başvuru!$I:$I,Toplantı!$B$9,Başvuru!$D:$D,$A$66)</f>
        <v>0</v>
      </c>
      <c r="H66" s="198">
        <f>COUNTIFS(Başvuru!$I:$I,Toplantı!$B$10,Başvuru!$D:$D,$A$66)</f>
        <v>1</v>
      </c>
      <c r="I66" s="198">
        <f>COUNTIFS(Başvuru!$I:$I,Toplantı!$B$11,Başvuru!$D:$D,$A$66)</f>
        <v>0</v>
      </c>
      <c r="J66" s="198">
        <f>COUNTIFS(Başvuru!$I:$I,Toplantı!$B$12,Başvuru!$D:$D,$A$66)</f>
        <v>0</v>
      </c>
      <c r="K66" s="198">
        <f>COUNTIFS(Başvuru!$I:$I,Toplantı!$B$13,Başvuru!$D:$D,$A$66)</f>
        <v>0</v>
      </c>
      <c r="L66" s="198">
        <f>COUNTIFS(Başvuru!$I:$I,Toplantı!$B$14,Başvuru!$D:$D,$A$66)</f>
        <v>0</v>
      </c>
      <c r="M66" s="198">
        <f>COUNTIFS(Başvuru!$I:$I,Toplantı!$B$15,Başvuru!$D:$D,$A$66)</f>
        <v>0</v>
      </c>
      <c r="N66" s="198">
        <f>COUNTIFS(Başvuru!$I:$I,Toplantı!$B$16,Başvuru!$D:$D,$A$66)</f>
        <v>0</v>
      </c>
      <c r="O66" s="198">
        <f>COUNTIFS(Başvuru!$I:$I,Toplantı!$B$17,Başvuru!$D:$D,$A$66)</f>
        <v>0</v>
      </c>
      <c r="P66" s="198">
        <f>COUNTIFS(Başvuru!$I:$I,Toplantı!$B$18,Başvuru!$D:$D,$A$66)</f>
        <v>0</v>
      </c>
      <c r="Q66" s="199">
        <f t="shared" si="1"/>
        <v>1</v>
      </c>
    </row>
    <row r="67" spans="1:17" ht="15.75" customHeight="1" x14ac:dyDescent="0.25">
      <c r="A67" s="200" t="s">
        <v>1853</v>
      </c>
      <c r="B67" s="201">
        <f>COUNTIFS(Başvuru!$I:$I,Toplantı!$B$4,Başvuru!$D:$D,$A$67)</f>
        <v>0</v>
      </c>
      <c r="C67" s="201">
        <f>COUNTIFS(Başvuru!$I:$I,Toplantı!$B$5,Başvuru!$D:$D,$A$67)</f>
        <v>0</v>
      </c>
      <c r="D67" s="201">
        <f>COUNTIFS(Başvuru!$I:$I,Toplantı!$B$6,Başvuru!$D:$D,$A$67)</f>
        <v>0</v>
      </c>
      <c r="E67" s="201">
        <f>COUNTIFS(Başvuru!$I:$I,Toplantı!$B$7,Başvuru!$D:$D,$A$67)</f>
        <v>0</v>
      </c>
      <c r="F67" s="201">
        <f>COUNTIFS(Başvuru!$I:$I,Toplantı!$B$8,Başvuru!$D:$D,$A$67)</f>
        <v>0</v>
      </c>
      <c r="G67" s="201">
        <f>COUNTIFS(Başvuru!$I:$I,Toplantı!$B$9,Başvuru!$D:$D,$A$67)</f>
        <v>0</v>
      </c>
      <c r="H67" s="201">
        <f>COUNTIFS(Başvuru!$I:$I,Toplantı!$B$10,Başvuru!$D:$D,$A$67)</f>
        <v>0</v>
      </c>
      <c r="I67" s="201">
        <f>COUNTIFS(Başvuru!$I:$I,Toplantı!$B$11,Başvuru!$D:$D,$A$67)</f>
        <v>0</v>
      </c>
      <c r="J67" s="201">
        <f>COUNTIFS(Başvuru!$I:$I,Toplantı!$B$12,Başvuru!$D:$D,$A$67)</f>
        <v>1</v>
      </c>
      <c r="K67" s="201">
        <f>COUNTIFS(Başvuru!$I:$I,Toplantı!$B$13,Başvuru!$D:$D,$A$67)</f>
        <v>0</v>
      </c>
      <c r="L67" s="201">
        <f>COUNTIFS(Başvuru!$I:$I,Toplantı!$B$14,Başvuru!$D:$D,$A$67)</f>
        <v>0</v>
      </c>
      <c r="M67" s="201">
        <f>COUNTIFS(Başvuru!$I:$I,Toplantı!$B$15,Başvuru!$D:$D,$A$67)</f>
        <v>0</v>
      </c>
      <c r="N67" s="201">
        <f>COUNTIFS(Başvuru!$I:$I,Toplantı!$B$16,Başvuru!$D:$D,$A$67)</f>
        <v>0</v>
      </c>
      <c r="O67" s="201">
        <f>COUNTIFS(Başvuru!$I:$I,Toplantı!$B$17,Başvuru!$D:$D,$A$67)</f>
        <v>0</v>
      </c>
      <c r="P67" s="201">
        <f>COUNTIFS(Başvuru!$I:$I,Toplantı!$B$18,Başvuru!$D:$D,$A$67)</f>
        <v>0</v>
      </c>
      <c r="Q67" s="199">
        <f t="shared" si="1"/>
        <v>1</v>
      </c>
    </row>
    <row r="68" spans="1:17" ht="15.75" customHeight="1" x14ac:dyDescent="0.25">
      <c r="A68" s="197" t="s">
        <v>1927</v>
      </c>
      <c r="B68" s="198">
        <f>COUNTIFS(Başvuru!$I:$I,Toplantı!$B$4,Başvuru!$D:$D,$A$68)</f>
        <v>0</v>
      </c>
      <c r="C68" s="198">
        <f>COUNTIFS(Başvuru!$I:$I,Toplantı!$B$5,Başvuru!$D:$D,$A$68)</f>
        <v>0</v>
      </c>
      <c r="D68" s="198">
        <f>COUNTIFS(Başvuru!$I:$I,Toplantı!$B$6,Başvuru!$D:$D,$A$68)</f>
        <v>0</v>
      </c>
      <c r="E68" s="198">
        <f>COUNTIFS(Başvuru!$I:$I,Toplantı!$B$7,Başvuru!$D:$D,$A$68)</f>
        <v>0</v>
      </c>
      <c r="F68" s="198">
        <f>COUNTIFS(Başvuru!$I:$I,Toplantı!$B$8,Başvuru!$D:$D,$A$68)</f>
        <v>0</v>
      </c>
      <c r="G68" s="198">
        <f>COUNTIFS(Başvuru!$I:$I,Toplantı!$B$9,Başvuru!$D:$D,$A$68)</f>
        <v>0</v>
      </c>
      <c r="H68" s="198">
        <f>COUNTIFS(Başvuru!$I:$I,Toplantı!$B$10,Başvuru!$D:$D,$A$68)</f>
        <v>0</v>
      </c>
      <c r="I68" s="198">
        <f>COUNTIFS(Başvuru!$I:$I,Toplantı!$B$11,Başvuru!$D:$D,$A$68)</f>
        <v>0</v>
      </c>
      <c r="J68" s="198">
        <f>COUNTIFS(Başvuru!$I:$I,Toplantı!$B$12,Başvuru!$D:$D,$A$68)</f>
        <v>1</v>
      </c>
      <c r="K68" s="198">
        <f>COUNTIFS(Başvuru!$I:$I,Toplantı!$B$13,Başvuru!$D:$D,$A$68)</f>
        <v>0</v>
      </c>
      <c r="L68" s="198">
        <f>COUNTIFS(Başvuru!$I:$I,Toplantı!$B$14,Başvuru!$D:$D,$A$68)</f>
        <v>0</v>
      </c>
      <c r="M68" s="198">
        <f>COUNTIFS(Başvuru!$I:$I,Toplantı!$B$15,Başvuru!$D:$D,$A$68)</f>
        <v>0</v>
      </c>
      <c r="N68" s="198">
        <f>COUNTIFS(Başvuru!$I:$I,Toplantı!$B$16,Başvuru!$D:$D,$A$68)</f>
        <v>0</v>
      </c>
      <c r="O68" s="198">
        <f>COUNTIFS(Başvuru!$I:$I,Toplantı!$B$17,Başvuru!$D:$D,$A$68)</f>
        <v>1</v>
      </c>
      <c r="P68" s="198">
        <f>COUNTIFS(Başvuru!$I:$I,Toplantı!$B$18,Başvuru!$D:$D,$A$68)</f>
        <v>0</v>
      </c>
      <c r="Q68" s="199">
        <f t="shared" ref="Q68:Q79" si="2">SUM(B68:P68)</f>
        <v>2</v>
      </c>
    </row>
    <row r="69" spans="1:17" ht="15.75" customHeight="1" x14ac:dyDescent="0.25">
      <c r="A69" s="200" t="s">
        <v>1975</v>
      </c>
      <c r="B69" s="201">
        <f>COUNTIFS(Başvuru!$I:$I,Toplantı!$B$4,Başvuru!$D:$D,$A$69)</f>
        <v>0</v>
      </c>
      <c r="C69" s="201">
        <f>COUNTIFS(Başvuru!$I:$I,Toplantı!$B$5,Başvuru!$D:$D,$A$69)</f>
        <v>0</v>
      </c>
      <c r="D69" s="201">
        <f>COUNTIFS(Başvuru!$I:$I,Toplantı!$B$6,Başvuru!$D:$D,$A$69)</f>
        <v>0</v>
      </c>
      <c r="E69" s="201">
        <f>COUNTIFS(Başvuru!$I:$I,Toplantı!$B$7,Başvuru!$D:$D,$A$69)</f>
        <v>0</v>
      </c>
      <c r="F69" s="201">
        <f>COUNTIFS(Başvuru!$I:$I,Toplantı!$B$8,Başvuru!$D:$D,$A$69)</f>
        <v>0</v>
      </c>
      <c r="G69" s="201">
        <f>COUNTIFS(Başvuru!$I:$I,Toplantı!$B$9,Başvuru!$D:$D,$A$69)</f>
        <v>0</v>
      </c>
      <c r="H69" s="201">
        <f>COUNTIFS(Başvuru!$I:$I,Toplantı!$B$10,Başvuru!$D:$D,$A$69)</f>
        <v>0</v>
      </c>
      <c r="I69" s="201">
        <f>COUNTIFS(Başvuru!$I:$I,Toplantı!$B$11,Başvuru!$D:$D,$A$69)</f>
        <v>0</v>
      </c>
      <c r="J69" s="201">
        <f>COUNTIFS(Başvuru!$I:$I,Toplantı!$B$12,Başvuru!$D:$D,$A$69)</f>
        <v>1</v>
      </c>
      <c r="K69" s="201">
        <f>COUNTIFS(Başvuru!$I:$I,Toplantı!$B$13,Başvuru!$D:$D,$A$69)</f>
        <v>0</v>
      </c>
      <c r="L69" s="201">
        <f>COUNTIFS(Başvuru!$I:$I,Toplantı!$B$14,Başvuru!$D:$D,$A$69)</f>
        <v>0</v>
      </c>
      <c r="M69" s="201">
        <f>COUNTIFS(Başvuru!$I:$I,Toplantı!$B$15,Başvuru!$D:$D,$A$69)</f>
        <v>0</v>
      </c>
      <c r="N69" s="201">
        <f>COUNTIFS(Başvuru!$I:$I,Toplantı!$B$16,Başvuru!$D:$D,$A$69)</f>
        <v>0</v>
      </c>
      <c r="O69" s="201">
        <f>COUNTIFS(Başvuru!$I:$I,Toplantı!$B$17,Başvuru!$D:$D,$A$69)</f>
        <v>1</v>
      </c>
      <c r="P69" s="201">
        <f>COUNTIFS(Başvuru!$I:$I,Toplantı!$B$18,Başvuru!$D:$D,$A$69)</f>
        <v>0</v>
      </c>
      <c r="Q69" s="199">
        <f t="shared" si="2"/>
        <v>2</v>
      </c>
    </row>
    <row r="70" spans="1:17" ht="15.75" customHeight="1" x14ac:dyDescent="0.25">
      <c r="A70" s="197" t="s">
        <v>2159</v>
      </c>
      <c r="B70" s="198">
        <f>COUNTIFS(Başvuru!$I:$I,Toplantı!$B$4,Başvuru!$D:$D,$A$70)</f>
        <v>0</v>
      </c>
      <c r="C70" s="198">
        <f>COUNTIFS(Başvuru!$I:$I,Toplantı!$B$5,Başvuru!$D:$D,$A$70)</f>
        <v>0</v>
      </c>
      <c r="D70" s="198">
        <f>COUNTIFS(Başvuru!$I:$I,Toplantı!$B$6,Başvuru!$D:$D,$A$70)</f>
        <v>0</v>
      </c>
      <c r="E70" s="198">
        <f>COUNTIFS(Başvuru!$I:$I,Toplantı!$B$7,Başvuru!$D:$D,$A$70)</f>
        <v>0</v>
      </c>
      <c r="F70" s="198">
        <f>COUNTIFS(Başvuru!$I:$I,Toplantı!$B$8,Başvuru!$D:$D,$A$70)</f>
        <v>0</v>
      </c>
      <c r="G70" s="198">
        <f>COUNTIFS(Başvuru!$I:$I,Toplantı!$B$9,Başvuru!$D:$D,$A$70)</f>
        <v>0</v>
      </c>
      <c r="H70" s="198">
        <f>COUNTIFS(Başvuru!$I:$I,Toplantı!$B$10,Başvuru!$D:$D,$A$70)</f>
        <v>0</v>
      </c>
      <c r="I70" s="198">
        <f>COUNTIFS(Başvuru!$I:$I,Toplantı!$B$11,Başvuru!$D:$D,$A$70)</f>
        <v>0</v>
      </c>
      <c r="J70" s="198">
        <f>COUNTIFS(Başvuru!$I:$I,Toplantı!$B$12,Başvuru!$D:$D,$A$70)</f>
        <v>0</v>
      </c>
      <c r="K70" s="198">
        <f>COUNTIFS(Başvuru!$I:$I,Toplantı!$B$13,Başvuru!$D:$D,$A$70)</f>
        <v>1</v>
      </c>
      <c r="L70" s="198">
        <f>COUNTIFS(Başvuru!$I:$I,Toplantı!$B$14,Başvuru!$D:$D,$A$70)</f>
        <v>0</v>
      </c>
      <c r="M70" s="198">
        <f>COUNTIFS(Başvuru!$I:$I,Toplantı!$B$15,Başvuru!$D:$D,$A$70)</f>
        <v>0</v>
      </c>
      <c r="N70" s="198">
        <f>COUNTIFS(Başvuru!$I:$I,Toplantı!$B$16,Başvuru!$D:$D,$A$70)</f>
        <v>0</v>
      </c>
      <c r="O70" s="198">
        <f>COUNTIFS(Başvuru!$I:$I,Toplantı!$B$17,Başvuru!$D:$D,$A$70)</f>
        <v>0</v>
      </c>
      <c r="P70" s="198">
        <f>COUNTIFS(Başvuru!$I:$I,Toplantı!$B$18,Başvuru!$D:$D,$A$70)</f>
        <v>0</v>
      </c>
      <c r="Q70" s="199">
        <f t="shared" si="2"/>
        <v>1</v>
      </c>
    </row>
    <row r="71" spans="1:17" ht="15.75" customHeight="1" x14ac:dyDescent="0.25">
      <c r="A71" s="200" t="s">
        <v>2211</v>
      </c>
      <c r="B71" s="201">
        <f>COUNTIFS(Başvuru!$I:$I,Toplantı!$B$4,Başvuru!$D:$D,$A$71)</f>
        <v>0</v>
      </c>
      <c r="C71" s="201">
        <f>COUNTIFS(Başvuru!$I:$I,Toplantı!$B$5,Başvuru!$D:$D,$A$71)</f>
        <v>0</v>
      </c>
      <c r="D71" s="201">
        <f>COUNTIFS(Başvuru!$I:$I,Toplantı!$B$6,Başvuru!$D:$D,$A$71)</f>
        <v>0</v>
      </c>
      <c r="E71" s="201">
        <f>COUNTIFS(Başvuru!$I:$I,Toplantı!$B$7,Başvuru!$D:$D,$A$71)</f>
        <v>0</v>
      </c>
      <c r="F71" s="201">
        <f>COUNTIFS(Başvuru!$I:$I,Toplantı!$B$8,Başvuru!$D:$D,$A$71)</f>
        <v>0</v>
      </c>
      <c r="G71" s="201">
        <f>COUNTIFS(Başvuru!$I:$I,Toplantı!$B$9,Başvuru!$D:$D,$A$71)</f>
        <v>0</v>
      </c>
      <c r="H71" s="201">
        <f>COUNTIFS(Başvuru!$I:$I,Toplantı!$B$10,Başvuru!$D:$D,$A$71)</f>
        <v>0</v>
      </c>
      <c r="I71" s="201">
        <f>COUNTIFS(Başvuru!$I:$I,Toplantı!$B$11,Başvuru!$D:$D,$A$71)</f>
        <v>0</v>
      </c>
      <c r="J71" s="201">
        <f>COUNTIFS(Başvuru!$I:$I,Toplantı!$B$12,Başvuru!$D:$D,$A$71)</f>
        <v>0</v>
      </c>
      <c r="K71" s="201">
        <f>COUNTIFS(Başvuru!$I:$I,Toplantı!$B$13,Başvuru!$D:$D,$A$71)</f>
        <v>1</v>
      </c>
      <c r="L71" s="201">
        <f>COUNTIFS(Başvuru!$I:$I,Toplantı!$B$14,Başvuru!$D:$D,$A$71)</f>
        <v>0</v>
      </c>
      <c r="M71" s="201">
        <f>COUNTIFS(Başvuru!$I:$I,Toplantı!$B$15,Başvuru!$D:$D,$A$71)</f>
        <v>0</v>
      </c>
      <c r="N71" s="201">
        <f>COUNTIFS(Başvuru!$I:$I,Toplantı!$B$16,Başvuru!$D:$D,$A$71)</f>
        <v>0</v>
      </c>
      <c r="O71" s="201">
        <f>COUNTIFS(Başvuru!$I:$I,Toplantı!$B$17,Başvuru!$D:$D,$A$71)</f>
        <v>0</v>
      </c>
      <c r="P71" s="201">
        <f>COUNTIFS(Başvuru!$I:$I,Toplantı!$B$18,Başvuru!$D:$D,$A$71)</f>
        <v>0</v>
      </c>
      <c r="Q71" s="199">
        <f t="shared" si="2"/>
        <v>1</v>
      </c>
    </row>
    <row r="72" spans="1:17" ht="15.75" customHeight="1" x14ac:dyDescent="0.25">
      <c r="A72" s="197" t="s">
        <v>2248</v>
      </c>
      <c r="B72" s="198">
        <f>COUNTIFS(Başvuru!$I:$I,Toplantı!$B$4,Başvuru!$D:$D,$A$72)</f>
        <v>0</v>
      </c>
      <c r="C72" s="198">
        <f>COUNTIFS(Başvuru!$I:$I,Toplantı!$B$5,Başvuru!$D:$D,$A$72)</f>
        <v>0</v>
      </c>
      <c r="D72" s="198">
        <f>COUNTIFS(Başvuru!$I:$I,Toplantı!$B$6,Başvuru!$D:$D,$A$72)</f>
        <v>0</v>
      </c>
      <c r="E72" s="198">
        <f>COUNTIFS(Başvuru!$I:$I,Toplantı!$B$7,Başvuru!$D:$D,$A$72)</f>
        <v>0</v>
      </c>
      <c r="F72" s="198">
        <f>COUNTIFS(Başvuru!$I:$I,Toplantı!$B$8,Başvuru!$D:$D,$A$72)</f>
        <v>0</v>
      </c>
      <c r="G72" s="198">
        <f>COUNTIFS(Başvuru!$I:$I,Toplantı!$B$9,Başvuru!$D:$D,$A$72)</f>
        <v>0</v>
      </c>
      <c r="H72" s="198">
        <f>COUNTIFS(Başvuru!$I:$I,Toplantı!$B$10,Başvuru!$D:$D,$A$72)</f>
        <v>0</v>
      </c>
      <c r="I72" s="198">
        <f>COUNTIFS(Başvuru!$I:$I,Toplantı!$B$11,Başvuru!$D:$D,$A$72)</f>
        <v>0</v>
      </c>
      <c r="J72" s="198">
        <f>COUNTIFS(Başvuru!$I:$I,Toplantı!$B$12,Başvuru!$D:$D,$A$72)</f>
        <v>0</v>
      </c>
      <c r="K72" s="198">
        <f>COUNTIFS(Başvuru!$I:$I,Toplantı!$B$13,Başvuru!$D:$D,$A$72)</f>
        <v>0</v>
      </c>
      <c r="L72" s="198">
        <f>COUNTIFS(Başvuru!$I:$I,Toplantı!$B$14,Başvuru!$D:$D,$A$72)</f>
        <v>1</v>
      </c>
      <c r="M72" s="198">
        <f>COUNTIFS(Başvuru!$I:$I,Toplantı!$B$15,Başvuru!$D:$D,$A$72)</f>
        <v>0</v>
      </c>
      <c r="N72" s="198">
        <f>COUNTIFS(Başvuru!$I:$I,Toplantı!$B$16,Başvuru!$D:$D,$A$72)</f>
        <v>0</v>
      </c>
      <c r="O72" s="198">
        <f>COUNTIFS(Başvuru!$I:$I,Toplantı!$B$17,Başvuru!$D:$D,$A$72)</f>
        <v>0</v>
      </c>
      <c r="P72" s="198">
        <f>COUNTIFS(Başvuru!$I:$I,Toplantı!$B$18,Başvuru!$D:$D,$A$72)</f>
        <v>0</v>
      </c>
      <c r="Q72" s="199">
        <f t="shared" si="2"/>
        <v>1</v>
      </c>
    </row>
    <row r="73" spans="1:17" ht="15.75" customHeight="1" x14ac:dyDescent="0.25">
      <c r="A73" s="200" t="s">
        <v>2269</v>
      </c>
      <c r="B73" s="201">
        <f>COUNTIFS(Başvuru!$I:$I,Toplantı!$B$4,Başvuru!$D:$D,$A$73)</f>
        <v>0</v>
      </c>
      <c r="C73" s="201">
        <f>COUNTIFS(Başvuru!$I:$I,Toplantı!$B$5,Başvuru!$D:$D,$A$73)</f>
        <v>0</v>
      </c>
      <c r="D73" s="201">
        <f>COUNTIFS(Başvuru!$I:$I,Toplantı!$B$6,Başvuru!$D:$D,$A$73)</f>
        <v>0</v>
      </c>
      <c r="E73" s="201">
        <f>COUNTIFS(Başvuru!$I:$I,Toplantı!$B$7,Başvuru!$D:$D,$A$73)</f>
        <v>0</v>
      </c>
      <c r="F73" s="201">
        <f>COUNTIFS(Başvuru!$I:$I,Toplantı!$B$8,Başvuru!$D:$D,$A$73)</f>
        <v>0</v>
      </c>
      <c r="G73" s="201">
        <f>COUNTIFS(Başvuru!$I:$I,Toplantı!$B$9,Başvuru!$D:$D,$A$73)</f>
        <v>0</v>
      </c>
      <c r="H73" s="201">
        <f>COUNTIFS(Başvuru!$I:$I,Toplantı!$B$10,Başvuru!$D:$D,$A$73)</f>
        <v>0</v>
      </c>
      <c r="I73" s="201">
        <f>COUNTIFS(Başvuru!$I:$I,Toplantı!$B$11,Başvuru!$D:$D,$A$73)</f>
        <v>0</v>
      </c>
      <c r="J73" s="201">
        <f>COUNTIFS(Başvuru!$I:$I,Toplantı!$B$12,Başvuru!$D:$D,$A$73)</f>
        <v>0</v>
      </c>
      <c r="K73" s="201">
        <f>COUNTIFS(Başvuru!$I:$I,Toplantı!$B$13,Başvuru!$D:$D,$A$73)</f>
        <v>0</v>
      </c>
      <c r="L73" s="201">
        <f>COUNTIFS(Başvuru!$I:$I,Toplantı!$B$14,Başvuru!$D:$D,$A$73)</f>
        <v>1</v>
      </c>
      <c r="M73" s="201">
        <f>COUNTIFS(Başvuru!$I:$I,Toplantı!$B$15,Başvuru!$D:$D,$A$73)</f>
        <v>0</v>
      </c>
      <c r="N73" s="201">
        <f>COUNTIFS(Başvuru!$I:$I,Toplantı!$B$16,Başvuru!$D:$D,$A$73)</f>
        <v>0</v>
      </c>
      <c r="O73" s="201">
        <f>COUNTIFS(Başvuru!$I:$I,Toplantı!$B$17,Başvuru!$D:$D,$A$73)</f>
        <v>0</v>
      </c>
      <c r="P73" s="201">
        <f>COUNTIFS(Başvuru!$I:$I,Toplantı!$B$18,Başvuru!$D:$D,$A$73)</f>
        <v>0</v>
      </c>
      <c r="Q73" s="199">
        <f t="shared" si="2"/>
        <v>1</v>
      </c>
    </row>
    <row r="74" spans="1:17" ht="15.75" customHeight="1" x14ac:dyDescent="0.25">
      <c r="A74" s="197" t="s">
        <v>2301</v>
      </c>
      <c r="B74" s="198">
        <f>COUNTIFS(Başvuru!$I:$I,Toplantı!$B$4,Başvuru!$D:$D,$A$74)</f>
        <v>0</v>
      </c>
      <c r="C74" s="198">
        <f>COUNTIFS(Başvuru!$I:$I,Toplantı!$B$5,Başvuru!$D:$D,$A$74)</f>
        <v>0</v>
      </c>
      <c r="D74" s="198">
        <f>COUNTIFS(Başvuru!$I:$I,Toplantı!$B$6,Başvuru!$D:$D,$A$74)</f>
        <v>0</v>
      </c>
      <c r="E74" s="198">
        <f>COUNTIFS(Başvuru!$I:$I,Toplantı!$B$7,Başvuru!$D:$D,$A$74)</f>
        <v>0</v>
      </c>
      <c r="F74" s="198">
        <f>COUNTIFS(Başvuru!$I:$I,Toplantı!$B$8,Başvuru!$D:$D,$A$74)</f>
        <v>0</v>
      </c>
      <c r="G74" s="198">
        <f>COUNTIFS(Başvuru!$I:$I,Toplantı!$B$9,Başvuru!$D:$D,$A$74)</f>
        <v>0</v>
      </c>
      <c r="H74" s="198">
        <f>COUNTIFS(Başvuru!$I:$I,Toplantı!$B$10,Başvuru!$D:$D,$A$74)</f>
        <v>0</v>
      </c>
      <c r="I74" s="198">
        <f>COUNTIFS(Başvuru!$I:$I,Toplantı!$B$11,Başvuru!$D:$D,$A$74)</f>
        <v>0</v>
      </c>
      <c r="J74" s="198">
        <f>COUNTIFS(Başvuru!$I:$I,Toplantı!$B$12,Başvuru!$D:$D,$A$74)</f>
        <v>0</v>
      </c>
      <c r="K74" s="198">
        <f>COUNTIFS(Başvuru!$I:$I,Toplantı!$B$13,Başvuru!$D:$D,$A$74)</f>
        <v>0</v>
      </c>
      <c r="L74" s="198">
        <f>COUNTIFS(Başvuru!$I:$I,Toplantı!$B$14,Başvuru!$D:$D,$A$74)</f>
        <v>1</v>
      </c>
      <c r="M74" s="198">
        <f>COUNTIFS(Başvuru!$I:$I,Toplantı!$B$15,Başvuru!$D:$D,$A$74)</f>
        <v>0</v>
      </c>
      <c r="N74" s="198">
        <f>COUNTIFS(Başvuru!$I:$I,Toplantı!$B$16,Başvuru!$D:$D,$A$74)</f>
        <v>0</v>
      </c>
      <c r="O74" s="198">
        <f>COUNTIFS(Başvuru!$I:$I,Toplantı!$B$17,Başvuru!$D:$D,$A$74)</f>
        <v>0</v>
      </c>
      <c r="P74" s="198">
        <f>COUNTIFS(Başvuru!$I:$I,Toplantı!$B$18,Başvuru!$D:$D,$A$74)</f>
        <v>0</v>
      </c>
      <c r="Q74" s="199">
        <f t="shared" si="2"/>
        <v>1</v>
      </c>
    </row>
    <row r="75" spans="1:17" ht="33.75" customHeight="1" x14ac:dyDescent="0.25">
      <c r="A75" s="200" t="s">
        <v>2460</v>
      </c>
      <c r="B75" s="201">
        <f>COUNTIFS(Başvuru!$I:$I,Toplantı!$B$4,Başvuru!$D:$D,$A$75)</f>
        <v>0</v>
      </c>
      <c r="C75" s="201">
        <f>COUNTIFS(Başvuru!$I:$I,Toplantı!$B$5,Başvuru!$D:$D,$A$75)</f>
        <v>0</v>
      </c>
      <c r="D75" s="201">
        <f>COUNTIFS(Başvuru!$I:$I,Toplantı!$B$6,Başvuru!$D:$D,$A$75)</f>
        <v>0</v>
      </c>
      <c r="E75" s="201">
        <f>COUNTIFS(Başvuru!$I:$I,Toplantı!$B$7,Başvuru!$D:$D,$A$75)</f>
        <v>0</v>
      </c>
      <c r="F75" s="201">
        <f>COUNTIFS(Başvuru!$I:$I,Toplantı!$B$8,Başvuru!$D:$D,$A$75)</f>
        <v>0</v>
      </c>
      <c r="G75" s="201">
        <f>COUNTIFS(Başvuru!$I:$I,Toplantı!$B$9,Başvuru!$D:$D,$A$75)</f>
        <v>0</v>
      </c>
      <c r="H75" s="201">
        <f>COUNTIFS(Başvuru!$I:$I,Toplantı!$B$10,Başvuru!$D:$D,$A$75)</f>
        <v>0</v>
      </c>
      <c r="I75" s="201">
        <f>COUNTIFS(Başvuru!$I:$I,Toplantı!$B$11,Başvuru!$D:$D,$A$75)</f>
        <v>0</v>
      </c>
      <c r="J75" s="201">
        <f>COUNTIFS(Başvuru!$I:$I,Toplantı!$B$12,Başvuru!$D:$D,$A$75)</f>
        <v>0</v>
      </c>
      <c r="K75" s="201">
        <f>COUNTIFS(Başvuru!$I:$I,Toplantı!$B$13,Başvuru!$D:$D,$A$75)</f>
        <v>0</v>
      </c>
      <c r="L75" s="201">
        <f>COUNTIFS(Başvuru!$I:$I,Toplantı!$B$14,Başvuru!$D:$D,$A$75)</f>
        <v>0</v>
      </c>
      <c r="M75" s="201">
        <f>COUNTIFS(Başvuru!$I:$I,Toplantı!$B$15,Başvuru!$D:$D,$A$75)</f>
        <v>1</v>
      </c>
      <c r="N75" s="201">
        <f>COUNTIFS(Başvuru!$I:$I,Toplantı!$B$16,Başvuru!$D:$D,$A$75)</f>
        <v>0</v>
      </c>
      <c r="O75" s="201">
        <f>COUNTIFS(Başvuru!$I:$I,Toplantı!$B$17,Başvuru!$D:$D,$A$75)</f>
        <v>0</v>
      </c>
      <c r="P75" s="201">
        <f>COUNTIFS(Başvuru!$I:$I,Toplantı!$B$18,Başvuru!$D:$D,$A$75)</f>
        <v>0</v>
      </c>
      <c r="Q75" s="199">
        <f t="shared" si="2"/>
        <v>1</v>
      </c>
    </row>
    <row r="76" spans="1:17" ht="15" customHeight="1" x14ac:dyDescent="0.25">
      <c r="A76" s="197" t="s">
        <v>2537</v>
      </c>
      <c r="B76" s="198">
        <f>COUNTIFS(Başvuru!$I:$I,Toplantı!$B$4,Başvuru!$D:$D,$A$76)</f>
        <v>0</v>
      </c>
      <c r="C76" s="198">
        <f>COUNTIFS(Başvuru!$I:$I,Toplantı!$B$5,Başvuru!$D:$D,$A$76)</f>
        <v>0</v>
      </c>
      <c r="D76" s="198">
        <f>COUNTIFS(Başvuru!$I:$I,Toplantı!$B$6,Başvuru!$D:$D,$A$76)</f>
        <v>0</v>
      </c>
      <c r="E76" s="198">
        <f>COUNTIFS(Başvuru!$I:$I,Toplantı!$B$7,Başvuru!$D:$D,$A$76)</f>
        <v>0</v>
      </c>
      <c r="F76" s="198">
        <f>COUNTIFS(Başvuru!$I:$I,Toplantı!$B$8,Başvuru!$D:$D,$A$76)</f>
        <v>0</v>
      </c>
      <c r="G76" s="198">
        <f>COUNTIFS(Başvuru!$I:$I,Toplantı!$B$9,Başvuru!$D:$D,$A$76)</f>
        <v>0</v>
      </c>
      <c r="H76" s="198">
        <f>COUNTIFS(Başvuru!$I:$I,Toplantı!$B$10,Başvuru!$D:$D,$A$76)</f>
        <v>0</v>
      </c>
      <c r="I76" s="198">
        <f>COUNTIFS(Başvuru!$I:$I,Toplantı!$B$11,Başvuru!$D:$D,$A$76)</f>
        <v>0</v>
      </c>
      <c r="J76" s="198">
        <f>COUNTIFS(Başvuru!$I:$I,Toplantı!$B$12,Başvuru!$D:$D,$A$76)</f>
        <v>0</v>
      </c>
      <c r="K76" s="198">
        <f>COUNTIFS(Başvuru!$I:$I,Toplantı!$B$13,Başvuru!$D:$D,$A$76)</f>
        <v>0</v>
      </c>
      <c r="L76" s="198">
        <f>COUNTIFS(Başvuru!$I:$I,Toplantı!$B$14,Başvuru!$D:$D,$A$76)</f>
        <v>0</v>
      </c>
      <c r="M76" s="198">
        <f>COUNTIFS(Başvuru!$I:$I,Toplantı!$B$15,Başvuru!$D:$D,$A$76)</f>
        <v>1</v>
      </c>
      <c r="N76" s="198">
        <f>COUNTIFS(Başvuru!$I:$I,Toplantı!$B$16,Başvuru!$D:$D,$A$76)</f>
        <v>0</v>
      </c>
      <c r="O76" s="198">
        <f>COUNTIFS(Başvuru!$I:$I,Toplantı!$B$17,Başvuru!$D:$D,$A$76)</f>
        <v>0</v>
      </c>
      <c r="P76" s="198">
        <f>COUNTIFS(Başvuru!$I:$I,Toplantı!$B$18,Başvuru!$D:$D,$A$76)</f>
        <v>0</v>
      </c>
      <c r="Q76" s="199">
        <f t="shared" si="2"/>
        <v>1</v>
      </c>
    </row>
    <row r="77" spans="1:17" ht="15.75" customHeight="1" x14ac:dyDescent="0.25">
      <c r="A77" s="200" t="s">
        <v>2588</v>
      </c>
      <c r="B77" s="202">
        <f>COUNTIFS(Başvuru!$I:$I,Toplantı!$B$4,Başvuru!$D:$D,$A$77)</f>
        <v>0</v>
      </c>
      <c r="C77" s="202">
        <f>COUNTIFS(Başvuru!$I:$I,Toplantı!$B$5,Başvuru!$D:$D,$A$77)</f>
        <v>0</v>
      </c>
      <c r="D77" s="202">
        <f>COUNTIFS(Başvuru!$I:$I,Toplantı!$B$6,Başvuru!$D:$D,$A$77)</f>
        <v>0</v>
      </c>
      <c r="E77" s="202">
        <f>COUNTIFS(Başvuru!$I:$I,Toplantı!$B$7,Başvuru!$D:$D,$A$77)</f>
        <v>0</v>
      </c>
      <c r="F77" s="202">
        <f>COUNTIFS(Başvuru!$I:$I,Toplantı!$B$8,Başvuru!$D:$D,$A$77)</f>
        <v>0</v>
      </c>
      <c r="G77" s="202">
        <f>COUNTIFS(Başvuru!$I:$I,Toplantı!$B$9,Başvuru!$D:$D,$A$77)</f>
        <v>0</v>
      </c>
      <c r="H77" s="202">
        <f>COUNTIFS(Başvuru!$I:$I,Toplantı!$B$10,Başvuru!$D:$D,$A$77)</f>
        <v>0</v>
      </c>
      <c r="I77" s="202">
        <f>COUNTIFS(Başvuru!$I:$I,Toplantı!$B$11,Başvuru!$D:$D,$A$77)</f>
        <v>0</v>
      </c>
      <c r="J77" s="202">
        <f>COUNTIFS(Başvuru!$I:$I,Toplantı!$B$12,Başvuru!$D:$D,$A$77)</f>
        <v>0</v>
      </c>
      <c r="K77" s="202">
        <f>COUNTIFS(Başvuru!$I:$I,Toplantı!$B$13,Başvuru!$D:$D,$A$77)</f>
        <v>0</v>
      </c>
      <c r="L77" s="202">
        <f>COUNTIFS(Başvuru!$I:$I,Toplantı!$B$14,Başvuru!$D:$D,$A$77)</f>
        <v>0</v>
      </c>
      <c r="M77" s="202">
        <f>COUNTIFS(Başvuru!$I:$I,Toplantı!$B$15,Başvuru!$D:$D,$A$77)</f>
        <v>1</v>
      </c>
      <c r="N77" s="202">
        <f>COUNTIFS(Başvuru!$I:$I,Toplantı!$B$16,Başvuru!$D:$D,$A$77)</f>
        <v>0</v>
      </c>
      <c r="O77" s="202">
        <f>COUNTIFS(Başvuru!$I:$I,Toplantı!$B$17,Başvuru!$D:$D,$A$77)</f>
        <v>0</v>
      </c>
      <c r="P77" s="202">
        <f>COUNTIFS(Başvuru!$I:$I,Toplantı!$B$18,Başvuru!$D:$D,$A$77)</f>
        <v>0</v>
      </c>
      <c r="Q77" s="199">
        <f t="shared" si="2"/>
        <v>1</v>
      </c>
    </row>
    <row r="78" spans="1:17" ht="15" customHeight="1" x14ac:dyDescent="0.25">
      <c r="A78" s="200" t="s">
        <v>2693</v>
      </c>
      <c r="B78" s="202">
        <f>COUNTIFS(Başvuru!$I:$I,Toplantı!$B$4,Başvuru!$D:$D,$A$77)</f>
        <v>0</v>
      </c>
      <c r="C78" s="202">
        <f>COUNTIFS(Başvuru!$I:$I,Toplantı!$B$5,Başvuru!$D:$D,$A$77)</f>
        <v>0</v>
      </c>
      <c r="D78" s="202">
        <f>COUNTIFS(Başvuru!$I:$I,Toplantı!$B$6,Başvuru!$D:$D,$A$77)</f>
        <v>0</v>
      </c>
      <c r="E78" s="202">
        <f>COUNTIFS(Başvuru!$I:$I,Toplantı!$B$7,Başvuru!$D:$D,$A$77)</f>
        <v>0</v>
      </c>
      <c r="F78" s="202">
        <f>COUNTIFS(Başvuru!$I:$I,Toplantı!$B$8,Başvuru!$D:$D,$A$77)</f>
        <v>0</v>
      </c>
      <c r="G78" s="202">
        <f>COUNTIFS(Başvuru!$I:$I,Toplantı!$B$9,Başvuru!$D:$D,$A$77)</f>
        <v>0</v>
      </c>
      <c r="H78" s="202">
        <f>COUNTIFS(Başvuru!$I:$I,Toplantı!$B$10,Başvuru!$D:$D,$A$77)</f>
        <v>0</v>
      </c>
      <c r="I78" s="202">
        <f>COUNTIFS(Başvuru!$I:$I,Toplantı!$B$11,Başvuru!$D:$D,$A$77)</f>
        <v>0</v>
      </c>
      <c r="J78" s="202">
        <f>COUNTIFS(Başvuru!$I:$I,Toplantı!$B$12,Başvuru!$D:$D,$A$77)</f>
        <v>0</v>
      </c>
      <c r="K78" s="202">
        <f>COUNTIFS(Başvuru!$I:$I,Toplantı!$B$13,Başvuru!$D:$D,$A$77)</f>
        <v>0</v>
      </c>
      <c r="L78" s="202">
        <f>COUNTIFS(Başvuru!$I:$I,Toplantı!$B$14,Başvuru!$D:$D,$A$77)</f>
        <v>0</v>
      </c>
      <c r="M78" s="202">
        <f>COUNTIFS(Başvuru!$I:$I,Toplantı!$B$15,Başvuru!$D:$D,$A$77)</f>
        <v>1</v>
      </c>
      <c r="N78" s="202">
        <f>COUNTIFS(Başvuru!$I:$I,Toplantı!$B$16,Başvuru!$D:$D,$A$77)</f>
        <v>0</v>
      </c>
      <c r="O78" s="202">
        <f>COUNTIFS(Başvuru!$I:$I,Toplantı!$B$17,Başvuru!$D:$D,$A$77)</f>
        <v>0</v>
      </c>
      <c r="P78" s="202">
        <f>COUNTIFS(Başvuru!$I:$I,Toplantı!$B$18,Başvuru!$D:$D,$A$77)</f>
        <v>0</v>
      </c>
      <c r="Q78" s="199">
        <f t="shared" si="2"/>
        <v>1</v>
      </c>
    </row>
    <row r="79" spans="1:17" ht="15.75" customHeight="1" x14ac:dyDescent="0.25">
      <c r="A79" s="200" t="s">
        <v>2903</v>
      </c>
      <c r="B79" s="202">
        <f>COUNTIFS(Başvuru!$I:$I,Toplantı!$B$4,Başvuru!$D:$D,$A$79)</f>
        <v>0</v>
      </c>
      <c r="C79" s="202">
        <f>COUNTIFS(Başvuru!$I:$I,Toplantı!$B$5,Başvuru!$D:$D,$A$79)</f>
        <v>0</v>
      </c>
      <c r="D79" s="202">
        <f>COUNTIFS(Başvuru!$I:$I,Toplantı!$B$6,Başvuru!$D:$D,$A$79)</f>
        <v>0</v>
      </c>
      <c r="E79" s="202">
        <f>COUNTIFS(Başvuru!$I:$I,Toplantı!$B$7,Başvuru!$D:$D,$A$79)</f>
        <v>0</v>
      </c>
      <c r="F79" s="202">
        <f>COUNTIFS(Başvuru!$I:$I,Toplantı!$B$8,Başvuru!$D:$D,$A$79)</f>
        <v>0</v>
      </c>
      <c r="G79" s="202">
        <f>COUNTIFS(Başvuru!$I:$I,Toplantı!$B$9,Başvuru!$D:$D,$A$79)</f>
        <v>0</v>
      </c>
      <c r="H79" s="202">
        <f>COUNTIFS(Başvuru!$I:$I,Toplantı!$B$10,Başvuru!$D:$D,$A$79)</f>
        <v>0</v>
      </c>
      <c r="I79" s="202">
        <f>COUNTIFS(Başvuru!$I:$I,Toplantı!$B$11,Başvuru!$D:$D,$A$79)</f>
        <v>0</v>
      </c>
      <c r="J79" s="202">
        <f>COUNTIFS(Başvuru!$I:$I,Toplantı!$B$12,Başvuru!$D:$D,$A$79)</f>
        <v>0</v>
      </c>
      <c r="K79" s="202">
        <f>COUNTIFS(Başvuru!$I:$I,Toplantı!$B$13,Başvuru!$D:$D,$A$79)</f>
        <v>0</v>
      </c>
      <c r="L79" s="202">
        <f>COUNTIFS(Başvuru!$I:$I,Toplantı!$B$14,Başvuru!$D:$D,$A$79)</f>
        <v>0</v>
      </c>
      <c r="M79" s="202">
        <f>COUNTIFS(Başvuru!$I:$I,Toplantı!$B$15,Başvuru!$D:$D,$A$79)</f>
        <v>0</v>
      </c>
      <c r="N79" s="202">
        <f>COUNTIFS(Başvuru!$I:$I,Toplantı!$B$16,Başvuru!$D:$D,$A$79)</f>
        <v>0</v>
      </c>
      <c r="O79" s="202">
        <f>COUNTIFS(Başvuru!$I:$I,Toplantı!$B$17,Başvuru!$D:$D,$A$79)</f>
        <v>1</v>
      </c>
      <c r="P79" s="202">
        <f>COUNTIFS(Başvuru!$I:$I,Toplantı!$B$18,Başvuru!$D:$D,$A$79)</f>
        <v>0</v>
      </c>
      <c r="Q79" s="203">
        <f t="shared" si="2"/>
        <v>1</v>
      </c>
    </row>
    <row r="80" spans="1:17" ht="15" customHeight="1" x14ac:dyDescent="0.25">
      <c r="A80" s="200" t="s">
        <v>2856</v>
      </c>
      <c r="B80" s="202">
        <f>COUNTIFS(Başvuru!$I:$I,Toplantı!$B$4,Başvuru!$D:$D,$A$79)</f>
        <v>0</v>
      </c>
      <c r="C80" s="202">
        <f>COUNTIFS(Başvuru!$I:$I,Toplantı!$B$5,Başvuru!$D:$D,$A$79)</f>
        <v>0</v>
      </c>
      <c r="D80" s="202">
        <f>COUNTIFS(Başvuru!$I:$I,Toplantı!$B$6,Başvuru!$D:$D,$A$79)</f>
        <v>0</v>
      </c>
      <c r="E80" s="202">
        <f>COUNTIFS(Başvuru!$I:$I,Toplantı!$B$7,Başvuru!$D:$D,$A$79)</f>
        <v>0</v>
      </c>
      <c r="F80" s="202">
        <f>COUNTIFS(Başvuru!$I:$I,Toplantı!$B$8,Başvuru!$D:$D,$A$79)</f>
        <v>0</v>
      </c>
      <c r="G80" s="202">
        <f>COUNTIFS(Başvuru!$I:$I,Toplantı!$B$9,Başvuru!$D:$D,$A$79)</f>
        <v>0</v>
      </c>
      <c r="H80" s="202">
        <f>COUNTIFS(Başvuru!$I:$I,Toplantı!$B$10,Başvuru!$D:$D,$A$79)</f>
        <v>0</v>
      </c>
      <c r="I80" s="202">
        <f>COUNTIFS(Başvuru!$I:$I,Toplantı!$B$11,Başvuru!$D:$D,$A$79)</f>
        <v>0</v>
      </c>
      <c r="J80" s="202">
        <f>COUNTIFS(Başvuru!$I:$I,Toplantı!$B$12,Başvuru!$D:$D,$A$79)</f>
        <v>0</v>
      </c>
      <c r="K80" s="202">
        <f>COUNTIFS(Başvuru!$I:$I,Toplantı!$B$13,Başvuru!$D:$D,$A$79)</f>
        <v>0</v>
      </c>
      <c r="L80" s="202">
        <f>COUNTIFS(Başvuru!$I:$I,Toplantı!$B$14,Başvuru!$D:$D,$A$79)</f>
        <v>0</v>
      </c>
      <c r="M80" s="202">
        <f>COUNTIFS(Başvuru!$I:$I,Toplantı!$B$15,Başvuru!$D:$D,$A$79)</f>
        <v>0</v>
      </c>
      <c r="N80" s="202">
        <f>COUNTIFS(Başvuru!$I:$I,Toplantı!$B$16,Başvuru!$D:$D,$A$79)</f>
        <v>0</v>
      </c>
      <c r="O80" s="202">
        <f>COUNTIFS(Başvuru!$I:$I,Toplantı!$B$17,Başvuru!$D:$D,$A$79)</f>
        <v>1</v>
      </c>
      <c r="P80" s="202">
        <f>COUNTIFS(Başvuru!$I:$I,Toplantı!$B$18,Başvuru!$D:$D,$A$79)</f>
        <v>0</v>
      </c>
      <c r="Q80" s="203">
        <f>SUM(B79:P79)</f>
        <v>1</v>
      </c>
    </row>
    <row r="81" spans="1:17" ht="36" customHeight="1" x14ac:dyDescent="0.25">
      <c r="A81" s="200" t="s">
        <v>3055</v>
      </c>
      <c r="B81" s="202">
        <f>COUNTIFS(Başvuru!$I:$I,Toplantı!$B$4,Başvuru!$D:$D,$A$79)</f>
        <v>0</v>
      </c>
      <c r="C81" s="202">
        <f>COUNTIFS(Başvuru!$I:$I,Toplantı!$B$5,Başvuru!$D:$D,$A$79)</f>
        <v>0</v>
      </c>
      <c r="D81" s="202">
        <f>COUNTIFS(Başvuru!$I:$I,Toplantı!$B$6,Başvuru!$D:$D,$A$79)</f>
        <v>0</v>
      </c>
      <c r="E81" s="202">
        <f>COUNTIFS(Başvuru!$I:$I,Toplantı!$B$7,Başvuru!$D:$D,$A$79)</f>
        <v>0</v>
      </c>
      <c r="F81" s="202">
        <f>COUNTIFS(Başvuru!$I:$I,Toplantı!$B$8,Başvuru!$D:$D,$A$79)</f>
        <v>0</v>
      </c>
      <c r="G81" s="202">
        <f>COUNTIFS(Başvuru!$I:$I,Toplantı!$B$9,Başvuru!$D:$D,$A$79)</f>
        <v>0</v>
      </c>
      <c r="H81" s="202">
        <f>COUNTIFS(Başvuru!$I:$I,Toplantı!$B$10,Başvuru!$D:$D,$A$79)</f>
        <v>0</v>
      </c>
      <c r="I81" s="202">
        <f>COUNTIFS(Başvuru!$I:$I,Toplantı!$B$11,Başvuru!$D:$D,$A$79)</f>
        <v>0</v>
      </c>
      <c r="J81" s="202">
        <f>COUNTIFS(Başvuru!$I:$I,Toplantı!$B$12,Başvuru!$D:$D,$A$79)</f>
        <v>0</v>
      </c>
      <c r="K81" s="202">
        <f>COUNTIFS(Başvuru!$I:$I,Toplantı!$B$13,Başvuru!$D:$D,$A$79)</f>
        <v>0</v>
      </c>
      <c r="L81" s="202">
        <f>COUNTIFS(Başvuru!$I:$I,Toplantı!$B$14,Başvuru!$D:$D,$A$79)</f>
        <v>0</v>
      </c>
      <c r="M81" s="202">
        <f>COUNTIFS(Başvuru!$I:$I,Toplantı!$B$15,Başvuru!$D:$D,$A$79)</f>
        <v>0</v>
      </c>
      <c r="N81" s="202">
        <f>COUNTIFS(Başvuru!$I:$I,Toplantı!$B$16,Başvuru!$D:$D,$A$79)</f>
        <v>0</v>
      </c>
      <c r="O81" s="202">
        <f>COUNTIFS(Başvuru!$I:$I,Toplantı!$B$17,Başvuru!$D:$D,$A$79)</f>
        <v>1</v>
      </c>
      <c r="P81" s="202">
        <f>COUNTIFS(Başvuru!$I:$I,Toplantı!$B$18,Başvuru!$D:$D,$A$79)</f>
        <v>0</v>
      </c>
      <c r="Q81" s="203">
        <f>SUM(B79:P79)</f>
        <v>1</v>
      </c>
    </row>
    <row r="82" spans="1:17" ht="15" customHeight="1" x14ac:dyDescent="0.25">
      <c r="A82" s="204" t="s">
        <v>4</v>
      </c>
      <c r="B82" s="204">
        <f t="shared" ref="B82:Q82" si="3">SUM(B4:B81)</f>
        <v>55</v>
      </c>
      <c r="C82" s="204">
        <f t="shared" si="3"/>
        <v>45</v>
      </c>
      <c r="D82" s="204">
        <f t="shared" si="3"/>
        <v>45</v>
      </c>
      <c r="E82" s="204">
        <f t="shared" si="3"/>
        <v>45</v>
      </c>
      <c r="F82" s="204">
        <f t="shared" si="3"/>
        <v>35</v>
      </c>
      <c r="G82" s="204">
        <f t="shared" si="3"/>
        <v>47</v>
      </c>
      <c r="H82" s="204">
        <f t="shared" si="3"/>
        <v>40</v>
      </c>
      <c r="I82" s="204">
        <f t="shared" si="3"/>
        <v>40</v>
      </c>
      <c r="J82" s="204">
        <f t="shared" si="3"/>
        <v>48</v>
      </c>
      <c r="K82" s="204">
        <f t="shared" si="3"/>
        <v>52</v>
      </c>
      <c r="L82" s="204">
        <f t="shared" si="3"/>
        <v>40</v>
      </c>
      <c r="M82" s="204">
        <f t="shared" si="3"/>
        <v>47</v>
      </c>
      <c r="N82" s="204">
        <f t="shared" si="3"/>
        <v>49</v>
      </c>
      <c r="O82" s="204">
        <f t="shared" si="3"/>
        <v>52</v>
      </c>
      <c r="P82" s="204">
        <f t="shared" si="3"/>
        <v>29</v>
      </c>
      <c r="Q82" s="204">
        <f t="shared" si="3"/>
        <v>669</v>
      </c>
    </row>
    <row r="84" spans="1:17" ht="32.25" customHeight="1" x14ac:dyDescent="0.25">
      <c r="A84" s="205" t="s">
        <v>4359</v>
      </c>
    </row>
  </sheetData>
  <mergeCells count="2">
    <mergeCell ref="A1:Q1"/>
    <mergeCell ref="A2:Q2"/>
  </mergeCells>
  <conditionalFormatting sqref="B4:P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1:S346"/>
  <sheetViews>
    <sheetView showGridLines="0" showZeros="0" zoomScaleNormal="100" workbookViewId="0">
      <pane xSplit="2" ySplit="5" topLeftCell="C6" activePane="bottomRight" state="frozen"/>
      <selection pane="topRight" activeCell="C1" sqref="C1"/>
      <selection pane="bottomLeft" activeCell="A6" sqref="A6"/>
      <selection pane="bottomRight" activeCell="D7" sqref="D7"/>
    </sheetView>
  </sheetViews>
  <sheetFormatPr defaultColWidth="8.7109375"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49" t="s">
        <v>4360</v>
      </c>
      <c r="C2" s="249"/>
      <c r="D2" s="249"/>
      <c r="E2" s="249"/>
      <c r="F2" s="249"/>
      <c r="G2" s="249"/>
      <c r="H2" s="249"/>
      <c r="I2" s="249"/>
      <c r="J2" s="249"/>
      <c r="K2" s="249"/>
      <c r="L2" s="249"/>
      <c r="M2" s="249"/>
      <c r="N2" s="249"/>
      <c r="O2" s="249"/>
      <c r="P2" s="249"/>
    </row>
    <row r="3" spans="2:19" ht="18" customHeight="1" x14ac:dyDescent="0.25">
      <c r="B3" s="250" t="s">
        <v>4341</v>
      </c>
      <c r="C3" s="250"/>
      <c r="D3" s="250"/>
      <c r="E3" s="250"/>
      <c r="F3" s="250"/>
      <c r="G3" s="250"/>
      <c r="H3" s="250"/>
      <c r="I3" s="250"/>
      <c r="J3" s="250"/>
      <c r="K3" s="250"/>
      <c r="L3" s="250"/>
      <c r="M3" s="250"/>
      <c r="N3" s="250"/>
      <c r="O3" s="250"/>
      <c r="P3" s="250"/>
    </row>
    <row r="4" spans="2:19" ht="6" customHeight="1" x14ac:dyDescent="0.25"/>
    <row r="5" spans="2:19" ht="19.5" customHeight="1" x14ac:dyDescent="0.25">
      <c r="B5" s="143" t="s">
        <v>4342</v>
      </c>
      <c r="C5" s="144" t="s">
        <v>4343</v>
      </c>
      <c r="D5" s="145" t="s">
        <v>4</v>
      </c>
      <c r="E5" s="143" t="s">
        <v>4344</v>
      </c>
      <c r="F5" s="146" t="s">
        <v>4345</v>
      </c>
      <c r="G5" s="146" t="s">
        <v>4346</v>
      </c>
      <c r="H5" s="146" t="s">
        <v>4347</v>
      </c>
      <c r="I5" s="146" t="s">
        <v>4348</v>
      </c>
      <c r="J5" s="147" t="s">
        <v>69</v>
      </c>
      <c r="K5" s="148" t="s">
        <v>4349</v>
      </c>
      <c r="L5" s="149" t="s">
        <v>232</v>
      </c>
      <c r="M5" s="150" t="s">
        <v>218</v>
      </c>
      <c r="N5" s="151" t="s">
        <v>178</v>
      </c>
      <c r="O5" s="152" t="s">
        <v>4350</v>
      </c>
      <c r="P5" s="153" t="s">
        <v>4351</v>
      </c>
      <c r="Q5" s="154" t="s">
        <v>4352</v>
      </c>
      <c r="R5" s="154" t="s">
        <v>4353</v>
      </c>
      <c r="S5" s="154" t="s">
        <v>4354</v>
      </c>
    </row>
    <row r="6" spans="2:19" ht="15" customHeight="1" x14ac:dyDescent="0.25">
      <c r="B6" s="155">
        <v>1</v>
      </c>
      <c r="C6" s="156" t="str">
        <f>IFERROR(INDEX($Q$6:$Q$324,MATCH(1,$S$6:$S$324,0)),"")</f>
        <v>Prof. Dr. Meltem Gülhan HALİL</v>
      </c>
      <c r="D6" s="157">
        <f>IF(C6="","",COUNTIFS(Başvuru!$C:$C,C6,Başvuru!$A:$A,"&lt;&gt;"&amp;"",Başvuru!$F:$F,"&lt;&gt;"&amp;""))</f>
        <v>17</v>
      </c>
      <c r="E6" s="155" t="str">
        <f>IF(C6="","-",IF(D6&gt;0,TEXT(D6/(COUNTIFS(Başvuru!$A:$A,"&lt;&gt;",Başvuru!$F:$F,"&lt;&gt;")-1)*100,"0.0")&amp;"%","-"))</f>
        <v>03%</v>
      </c>
      <c r="F6" s="158">
        <f>IF(C6="","",COUNTIFS(Başvuru!$C:$C,C6,Başvuru!$G:$G,"Bireysel Araştırma",Başvuru!$A:$A,"&lt;&gt;"&amp;"",Başvuru!$F:$F,"&lt;&gt;"&amp;""))</f>
        <v>15</v>
      </c>
      <c r="G6" s="158">
        <f>IF(C6="","",COUNTIFS(Başvuru!$C:$C,C6,Başvuru!$G:$G,"Uzmanlık Tezi",Başvuru!$A:$A,"&lt;&gt;"&amp;"",Başvuru!$F:$F,"&lt;&gt;"&amp;""))</f>
        <v>1</v>
      </c>
      <c r="H6" s="158">
        <f>IF(C6="","",COUNTIFS(Başvuru!$C:$C,C6,Başvuru!$G:$G,"Doktora Tezi",Başvuru!$A:$A,"&lt;&gt;"&amp;"",Başvuru!$F:$F,"&lt;&gt;"&amp;""))</f>
        <v>1</v>
      </c>
      <c r="I6" s="158">
        <f>IF(C6="","",COUNTIFS(Başvuru!$C:$C,C6,Başvuru!$G:$G,"Yüksek Lisans Tezi",Başvuru!$A:$A,"&lt;&gt;"&amp;"",Başvuru!$F:$F,"&lt;&gt;"&amp;""))</f>
        <v>0</v>
      </c>
      <c r="J6" s="159">
        <f>IF(C6="","",COUNTIFS(Başvuru!$C:$C,C6,Başvuru!$L:$L,"ONAY",Başvuru!$A:$A,"&lt;&gt;"&amp;"",Başvuru!$F:$F,"&lt;&gt;"&amp;""))</f>
        <v>7</v>
      </c>
      <c r="K6" s="160">
        <f>IF(C6="","",COUNTIFS(Başvuru!$C:$C,C6,Başvuru!$L:$L,"DÜZELTME",Başvuru!$A:$A,"&lt;&gt;"&amp;"",Başvuru!$F:$F,"&lt;&gt;"&amp;""))</f>
        <v>4</v>
      </c>
      <c r="L6" s="161">
        <f>IF(C6="","",COUNTIFS(Başvuru!$C:$C,C6,Başvuru!$L:$L,"KAEK",Başvuru!$A:$A,"&lt;&gt;"&amp;"",Başvuru!$F:$F,"&lt;&gt;"&amp;""))</f>
        <v>0</v>
      </c>
      <c r="M6" s="162">
        <f>IF(C6="","",COUNTIFS(Başvuru!$C:$C,C6,Başvuru!$L:$L,"GÖRÜŞ",Başvuru!$A:$A,"&lt;&gt;"&amp;"",Başvuru!$F:$F,"&lt;&gt;"&amp;""))</f>
        <v>4</v>
      </c>
      <c r="N6" s="163">
        <f>IF(C6="","",COUNTIFS(Başvuru!$C:$C,C6,Başvuru!$L:$L,"RET",Başvuru!$A:$A,"&lt;&gt;"&amp;"",Başvuru!$F:$F,"&lt;&gt;"&amp;""))</f>
        <v>2</v>
      </c>
      <c r="O6" s="164">
        <f>IF(C6="","",COUNTIFS(Başvuru!$C:$C,C6,Başvuru!$L:$L,"KAPSAM DIŞI",Başvuru!$A:$A,"&lt;&gt;"&amp;"",Başvuru!$F:$F,"&lt;&gt;"&amp;""))</f>
        <v>0</v>
      </c>
      <c r="P6" s="165">
        <f>IF(C6="","",COUNTIFS(Başvuru!$C:$C,C6,Başvuru!$L:$L,"GERİ ÇEKİLDİ",Başvuru!$A:$A,"&lt;&gt;"&amp;"",Başvuru!$F:$F,"&lt;&gt;"&amp;""))</f>
        <v>0</v>
      </c>
      <c r="Q6" s="166" t="s">
        <v>475</v>
      </c>
      <c r="R6" s="167">
        <f>COUNTIFS(Başvuru!$C:$C,Q6,Başvuru!$A:$A,"&lt;&gt;"&amp;"",Başvuru!$F:$F,"&lt;&gt;"&amp;"")</f>
        <v>1</v>
      </c>
      <c r="S6" s="167">
        <f>RANK(R6,$R$6:$R$324,0)+COUNTIF($R$6:R6,R6)-1</f>
        <v>140</v>
      </c>
    </row>
    <row r="7" spans="2:19" ht="15" customHeight="1" x14ac:dyDescent="0.25">
      <c r="B7" s="168">
        <v>2</v>
      </c>
      <c r="C7" s="169" t="str">
        <f>IFERROR(INDEX($Q$6:$Q$324,MATCH(2,$S$6:$S$324,0)),"")</f>
        <v>Prof. Dr. Deniz ÇAĞDAŞ AYVAZ</v>
      </c>
      <c r="D7" s="170">
        <f>IF(C7="","",COUNTIFS(Başvuru!$C:$C,C7,Başvuru!$A:$A,"&lt;&gt;"&amp;"",Başvuru!$F:$F,"&lt;&gt;"&amp;""))</f>
        <v>11</v>
      </c>
      <c r="E7" s="168" t="str">
        <f>IF(C7="","-",IF(D7&gt;0,TEXT(D7/(COUNTIFS(Başvuru!$A:$A,"&lt;&gt;",Başvuru!$F:$F,"&lt;&gt;")-1)*100,"0.0")&amp;"%","-"))</f>
        <v>02%</v>
      </c>
      <c r="F7" s="171">
        <f>IF(C7="","",COUNTIFS(Başvuru!$C:$C,C7,Başvuru!$G:$G,"Bireysel Araştırma",Başvuru!$A:$A,"&lt;&gt;"&amp;"",Başvuru!$F:$F,"&lt;&gt;"&amp;""))</f>
        <v>10</v>
      </c>
      <c r="G7" s="171">
        <f>IF(C7="","",COUNTIFS(Başvuru!$C:$C,C7,Başvuru!$G:$G,"Uzmanlık Tezi",Başvuru!$A:$A,"&lt;&gt;"&amp;"",Başvuru!$F:$F,"&lt;&gt;"&amp;""))</f>
        <v>0</v>
      </c>
      <c r="H7" s="171">
        <f>IF(C7="","",COUNTIFS(Başvuru!$C:$C,C7,Başvuru!$G:$G,"Doktora Tezi",Başvuru!$A:$A,"&lt;&gt;"&amp;"",Başvuru!$F:$F,"&lt;&gt;"&amp;""))</f>
        <v>0</v>
      </c>
      <c r="I7" s="171">
        <f>IF(C7="","",COUNTIFS(Başvuru!$C:$C,C7,Başvuru!$G:$G,"Yüksek Lisans Tezi",Başvuru!$A:$A,"&lt;&gt;"&amp;"",Başvuru!$F:$F,"&lt;&gt;"&amp;""))</f>
        <v>1</v>
      </c>
      <c r="J7" s="172">
        <f>IF(C7="","",COUNTIFS(Başvuru!$C:$C,C7,Başvuru!$L:$L,"ONAY",Başvuru!$A:$A,"&lt;&gt;"&amp;"",Başvuru!$F:$F,"&lt;&gt;"&amp;""))</f>
        <v>5</v>
      </c>
      <c r="K7" s="173">
        <f>IF(C7="","",COUNTIFS(Başvuru!$C:$C,C7,Başvuru!$L:$L,"DÜZELTME",Başvuru!$A:$A,"&lt;&gt;"&amp;"",Başvuru!$F:$F,"&lt;&gt;"&amp;""))</f>
        <v>4</v>
      </c>
      <c r="L7" s="174">
        <f>IF(C7="","",COUNTIFS(Başvuru!$C:$C,C7,Başvuru!$L:$L,"KAEK",Başvuru!$A:$A,"&lt;&gt;"&amp;"",Başvuru!$F:$F,"&lt;&gt;"&amp;""))</f>
        <v>0</v>
      </c>
      <c r="M7" s="175">
        <f>IF(C7="","",COUNTIFS(Başvuru!$C:$C,C7,Başvuru!$L:$L,"GÖRÜŞ",Başvuru!$A:$A,"&lt;&gt;"&amp;"",Başvuru!$F:$F,"&lt;&gt;"&amp;""))</f>
        <v>0</v>
      </c>
      <c r="N7" s="176">
        <f>IF(C7="","",COUNTIFS(Başvuru!$C:$C,C7,Başvuru!$L:$L,"RET",Başvuru!$A:$A,"&lt;&gt;"&amp;"",Başvuru!$F:$F,"&lt;&gt;"&amp;""))</f>
        <v>0</v>
      </c>
      <c r="O7" s="177">
        <f>IF(C7="","",COUNTIFS(Başvuru!$C:$C,C7,Başvuru!$L:$L,"KAPSAM DIŞI",Başvuru!$A:$A,"&lt;&gt;"&amp;"",Başvuru!$F:$F,"&lt;&gt;"&amp;""))</f>
        <v>0</v>
      </c>
      <c r="P7" s="178">
        <f>IF(C7="","",COUNTIFS(Başvuru!$C:$C,C7,Başvuru!$L:$L,"GERİ ÇEKİLDİ",Başvuru!$A:$A,"&lt;&gt;"&amp;"",Başvuru!$F:$F,"&lt;&gt;"&amp;""))</f>
        <v>0</v>
      </c>
      <c r="Q7" s="166" t="s">
        <v>2569</v>
      </c>
      <c r="R7" s="167">
        <f>COUNTIFS(Başvuru!$C:$C,Q7,Başvuru!$A:$A,"&lt;&gt;"&amp;"",Başvuru!$F:$F,"&lt;&gt;"&amp;"")</f>
        <v>2</v>
      </c>
      <c r="S7" s="167">
        <f>RANK(R7,$R$6:$R$324,0)+COUNTIF($R$6:R7,R7)-1</f>
        <v>71</v>
      </c>
    </row>
    <row r="8" spans="2:19" ht="15" customHeight="1" x14ac:dyDescent="0.25">
      <c r="B8" s="155">
        <v>3</v>
      </c>
      <c r="C8" s="156" t="str">
        <f>IFERROR(INDEX($Q$6:$Q$324,MATCH(3,$S$6:$S$324,0)),"")</f>
        <v>Doç. Dr. Mert EŞME</v>
      </c>
      <c r="D8" s="157">
        <f>IF(C8="","",COUNTIFS(Başvuru!$C:$C,C8,Başvuru!$A:$A,"&lt;&gt;"&amp;"",Başvuru!$F:$F,"&lt;&gt;"&amp;""))</f>
        <v>10</v>
      </c>
      <c r="E8" s="155" t="str">
        <f>IF(C8="","-",IF(D8&gt;0,TEXT(D8/(COUNTIFS(Başvuru!$A:$A,"&lt;&gt;",Başvuru!$F:$F,"&lt;&gt;")-1)*100,"0.0")&amp;"%","-"))</f>
        <v>01%</v>
      </c>
      <c r="F8" s="158">
        <f>IF(C8="","",COUNTIFS(Başvuru!$C:$C,C8,Başvuru!$G:$G,"Bireysel Araştırma",Başvuru!$A:$A,"&lt;&gt;"&amp;"",Başvuru!$F:$F,"&lt;&gt;"&amp;""))</f>
        <v>9</v>
      </c>
      <c r="G8" s="158">
        <f>IF(C8="","",COUNTIFS(Başvuru!$C:$C,C8,Başvuru!$G:$G,"Uzmanlık Tezi",Başvuru!$A:$A,"&lt;&gt;"&amp;"",Başvuru!$F:$F,"&lt;&gt;"&amp;""))</f>
        <v>1</v>
      </c>
      <c r="H8" s="158">
        <f>IF(C8="","",COUNTIFS(Başvuru!$C:$C,C8,Başvuru!$G:$G,"Doktora Tezi",Başvuru!$A:$A,"&lt;&gt;"&amp;"",Başvuru!$F:$F,"&lt;&gt;"&amp;""))</f>
        <v>0</v>
      </c>
      <c r="I8" s="158">
        <f>IF(C8="","",COUNTIFS(Başvuru!$C:$C,C8,Başvuru!$G:$G,"Yüksek Lisans Tezi",Başvuru!$A:$A,"&lt;&gt;"&amp;"",Başvuru!$F:$F,"&lt;&gt;"&amp;""))</f>
        <v>0</v>
      </c>
      <c r="J8" s="159">
        <f>IF(C8="","",COUNTIFS(Başvuru!$C:$C,C8,Başvuru!$L:$L,"ONAY",Başvuru!$A:$A,"&lt;&gt;"&amp;"",Başvuru!$F:$F,"&lt;&gt;"&amp;""))</f>
        <v>5</v>
      </c>
      <c r="K8" s="160">
        <f>IF(C8="","",COUNTIFS(Başvuru!$C:$C,C8,Başvuru!$L:$L,"DÜZELTME",Başvuru!$A:$A,"&lt;&gt;"&amp;"",Başvuru!$F:$F,"&lt;&gt;"&amp;""))</f>
        <v>2</v>
      </c>
      <c r="L8" s="161">
        <f>IF(C8="","",COUNTIFS(Başvuru!$C:$C,C8,Başvuru!$L:$L,"KAEK",Başvuru!$A:$A,"&lt;&gt;"&amp;"",Başvuru!$F:$F,"&lt;&gt;"&amp;""))</f>
        <v>0</v>
      </c>
      <c r="M8" s="162">
        <f>IF(C8="","",COUNTIFS(Başvuru!$C:$C,C8,Başvuru!$L:$L,"GÖRÜŞ",Başvuru!$A:$A,"&lt;&gt;"&amp;"",Başvuru!$F:$F,"&lt;&gt;"&amp;""))</f>
        <v>2</v>
      </c>
      <c r="N8" s="163">
        <f>IF(C8="","",COUNTIFS(Başvuru!$C:$C,C8,Başvuru!$L:$L,"RET",Başvuru!$A:$A,"&lt;&gt;"&amp;"",Başvuru!$F:$F,"&lt;&gt;"&amp;""))</f>
        <v>0</v>
      </c>
      <c r="O8" s="164">
        <f>IF(C8="","",COUNTIFS(Başvuru!$C:$C,C8,Başvuru!$L:$L,"KAPSAM DIŞI",Başvuru!$A:$A,"&lt;&gt;"&amp;"",Başvuru!$F:$F,"&lt;&gt;"&amp;""))</f>
        <v>1</v>
      </c>
      <c r="P8" s="165">
        <f>IF(C8="","",COUNTIFS(Başvuru!$C:$C,C8,Başvuru!$L:$L,"GERİ ÇEKİLDİ",Başvuru!$A:$A,"&lt;&gt;"&amp;"",Başvuru!$F:$F,"&lt;&gt;"&amp;""))</f>
        <v>0</v>
      </c>
      <c r="Q8" s="166" t="s">
        <v>2247</v>
      </c>
      <c r="R8" s="167">
        <f>COUNTIFS(Başvuru!$C:$C,Q8,Başvuru!$A:$A,"&lt;&gt;"&amp;"",Başvuru!$F:$F,"&lt;&gt;"&amp;"")</f>
        <v>1</v>
      </c>
      <c r="S8" s="167">
        <f>RANK(R8,$R$6:$R$324,0)+COUNTIF($R$6:R8,R8)-1</f>
        <v>141</v>
      </c>
    </row>
    <row r="9" spans="2:19" ht="15" customHeight="1" x14ac:dyDescent="0.25">
      <c r="B9" s="168">
        <v>4</v>
      </c>
      <c r="C9" s="169" t="str">
        <f>IFERROR(INDEX($Q$6:$Q$324,MATCH(4,$S$6:$S$324,0)),"")</f>
        <v>Prof. Dr. Taylan KAV</v>
      </c>
      <c r="D9" s="170">
        <f>IF(C9="","",COUNTIFS(Başvuru!$C:$C,C9,Başvuru!$A:$A,"&lt;&gt;"&amp;"",Başvuru!$F:$F,"&lt;&gt;"&amp;""))</f>
        <v>10</v>
      </c>
      <c r="E9" s="168" t="str">
        <f>IF(C9="","-",IF(D9&gt;0,TEXT(D9/(COUNTIFS(Başvuru!$A:$A,"&lt;&gt;",Başvuru!$F:$F,"&lt;&gt;")-1)*100,"0.0")&amp;"%","-"))</f>
        <v>01%</v>
      </c>
      <c r="F9" s="171">
        <f>IF(C9="","",COUNTIFS(Başvuru!$C:$C,C9,Başvuru!$G:$G,"Bireysel Araştırma",Başvuru!$A:$A,"&lt;&gt;"&amp;"",Başvuru!$F:$F,"&lt;&gt;"&amp;""))</f>
        <v>9</v>
      </c>
      <c r="G9" s="171">
        <f>IF(C9="","",COUNTIFS(Başvuru!$C:$C,C9,Başvuru!$G:$G,"Uzmanlık Tezi",Başvuru!$A:$A,"&lt;&gt;"&amp;"",Başvuru!$F:$F,"&lt;&gt;"&amp;""))</f>
        <v>1</v>
      </c>
      <c r="H9" s="171">
        <f>IF(C9="","",COUNTIFS(Başvuru!$C:$C,C9,Başvuru!$G:$G,"Doktora Tezi",Başvuru!$A:$A,"&lt;&gt;"&amp;"",Başvuru!$F:$F,"&lt;&gt;"&amp;""))</f>
        <v>0</v>
      </c>
      <c r="I9" s="171">
        <f>IF(C9="","",COUNTIFS(Başvuru!$C:$C,C9,Başvuru!$G:$G,"Yüksek Lisans Tezi",Başvuru!$A:$A,"&lt;&gt;"&amp;"",Başvuru!$F:$F,"&lt;&gt;"&amp;""))</f>
        <v>0</v>
      </c>
      <c r="J9" s="172">
        <f>IF(C9="","",COUNTIFS(Başvuru!$C:$C,C9,Başvuru!$L:$L,"ONAY",Başvuru!$A:$A,"&lt;&gt;"&amp;"",Başvuru!$F:$F,"&lt;&gt;"&amp;""))</f>
        <v>4</v>
      </c>
      <c r="K9" s="173">
        <f>IF(C9="","",COUNTIFS(Başvuru!$C:$C,C9,Başvuru!$L:$L,"DÜZELTME",Başvuru!$A:$A,"&lt;&gt;"&amp;"",Başvuru!$F:$F,"&lt;&gt;"&amp;""))</f>
        <v>4</v>
      </c>
      <c r="L9" s="174">
        <f>IF(C9="","",COUNTIFS(Başvuru!$C:$C,C9,Başvuru!$L:$L,"KAEK",Başvuru!$A:$A,"&lt;&gt;"&amp;"",Başvuru!$F:$F,"&lt;&gt;"&amp;""))</f>
        <v>0</v>
      </c>
      <c r="M9" s="175">
        <f>IF(C9="","",COUNTIFS(Başvuru!$C:$C,C9,Başvuru!$L:$L,"GÖRÜŞ",Başvuru!$A:$A,"&lt;&gt;"&amp;"",Başvuru!$F:$F,"&lt;&gt;"&amp;""))</f>
        <v>0</v>
      </c>
      <c r="N9" s="176">
        <f>IF(C9="","",COUNTIFS(Başvuru!$C:$C,C9,Başvuru!$L:$L,"RET",Başvuru!$A:$A,"&lt;&gt;"&amp;"",Başvuru!$F:$F,"&lt;&gt;"&amp;""))</f>
        <v>0</v>
      </c>
      <c r="O9" s="177">
        <f>IF(C9="","",COUNTIFS(Başvuru!$C:$C,C9,Başvuru!$L:$L,"KAPSAM DIŞI",Başvuru!$A:$A,"&lt;&gt;"&amp;"",Başvuru!$F:$F,"&lt;&gt;"&amp;""))</f>
        <v>0</v>
      </c>
      <c r="P9" s="178">
        <f>IF(C9="","",COUNTIFS(Başvuru!$C:$C,C9,Başvuru!$L:$L,"GERİ ÇEKİLDİ",Başvuru!$A:$A,"&lt;&gt;"&amp;"",Başvuru!$F:$F,"&lt;&gt;"&amp;""))</f>
        <v>0</v>
      </c>
      <c r="Q9" s="166" t="s">
        <v>674</v>
      </c>
      <c r="R9" s="167">
        <f>COUNTIFS(Başvuru!$C:$C,Q9,Başvuru!$A:$A,"&lt;&gt;"&amp;"",Başvuru!$F:$F,"&lt;&gt;"&amp;"")</f>
        <v>2</v>
      </c>
      <c r="S9" s="167">
        <f>RANK(R9,$R$6:$R$324,0)+COUNTIF($R$6:R9,R9)-1</f>
        <v>72</v>
      </c>
    </row>
    <row r="10" spans="2:19" ht="15" customHeight="1" x14ac:dyDescent="0.25">
      <c r="B10" s="155">
        <v>5</v>
      </c>
      <c r="C10" s="156" t="str">
        <f>IFERROR(INDEX($Q$6:$Q$324,MATCH(5,$S$6:$S$324,0)),"")</f>
        <v>Prof. Dr. Yasemin ÖZSÜREKCİ</v>
      </c>
      <c r="D10" s="157">
        <f>IF(C10="","",COUNTIFS(Başvuru!$C:$C,C10,Başvuru!$A:$A,"&lt;&gt;"&amp;"",Başvuru!$F:$F,"&lt;&gt;"&amp;""))</f>
        <v>9</v>
      </c>
      <c r="E10" s="155" t="str">
        <f>IF(C10="","-",IF(D10&gt;0,TEXT(D10/(COUNTIFS(Başvuru!$A:$A,"&lt;&gt;",Başvuru!$F:$F,"&lt;&gt;")-1)*100,"0.0")&amp;"%","-"))</f>
        <v>01%</v>
      </c>
      <c r="F10" s="158">
        <f>IF(C10="","",COUNTIFS(Başvuru!$C:$C,C10,Başvuru!$G:$G,"Bireysel Araştırma",Başvuru!$A:$A,"&lt;&gt;"&amp;"",Başvuru!$F:$F,"&lt;&gt;"&amp;""))</f>
        <v>8</v>
      </c>
      <c r="G10" s="158">
        <f>IF(C10="","",COUNTIFS(Başvuru!$C:$C,C10,Başvuru!$G:$G,"Uzmanlık Tezi",Başvuru!$A:$A,"&lt;&gt;"&amp;"",Başvuru!$F:$F,"&lt;&gt;"&amp;""))</f>
        <v>1</v>
      </c>
      <c r="H10" s="158">
        <f>IF(C10="","",COUNTIFS(Başvuru!$C:$C,C10,Başvuru!$G:$G,"Doktora Tezi",Başvuru!$A:$A,"&lt;&gt;"&amp;"",Başvuru!$F:$F,"&lt;&gt;"&amp;""))</f>
        <v>0</v>
      </c>
      <c r="I10" s="158">
        <f>IF(C10="","",COUNTIFS(Başvuru!$C:$C,C10,Başvuru!$G:$G,"Yüksek Lisans Tezi",Başvuru!$A:$A,"&lt;&gt;"&amp;"",Başvuru!$F:$F,"&lt;&gt;"&amp;""))</f>
        <v>0</v>
      </c>
      <c r="J10" s="159">
        <f>IF(C10="","",COUNTIFS(Başvuru!$C:$C,C10,Başvuru!$L:$L,"ONAY",Başvuru!$A:$A,"&lt;&gt;"&amp;"",Başvuru!$F:$F,"&lt;&gt;"&amp;""))</f>
        <v>4</v>
      </c>
      <c r="K10" s="160">
        <f>IF(C10="","",COUNTIFS(Başvuru!$C:$C,C10,Başvuru!$L:$L,"DÜZELTME",Başvuru!$A:$A,"&lt;&gt;"&amp;"",Başvuru!$F:$F,"&lt;&gt;"&amp;""))</f>
        <v>3</v>
      </c>
      <c r="L10" s="161">
        <f>IF(C10="","",COUNTIFS(Başvuru!$C:$C,C10,Başvuru!$L:$L,"KAEK",Başvuru!$A:$A,"&lt;&gt;"&amp;"",Başvuru!$F:$F,"&lt;&gt;"&amp;""))</f>
        <v>0</v>
      </c>
      <c r="M10" s="162">
        <f>IF(C10="","",COUNTIFS(Başvuru!$C:$C,C10,Başvuru!$L:$L,"GÖRÜŞ",Başvuru!$A:$A,"&lt;&gt;"&amp;"",Başvuru!$F:$F,"&lt;&gt;"&amp;""))</f>
        <v>1</v>
      </c>
      <c r="N10" s="163">
        <f>IF(C10="","",COUNTIFS(Başvuru!$C:$C,C10,Başvuru!$L:$L,"RET",Başvuru!$A:$A,"&lt;&gt;"&amp;"",Başvuru!$F:$F,"&lt;&gt;"&amp;""))</f>
        <v>1</v>
      </c>
      <c r="O10" s="164">
        <f>IF(C10="","",COUNTIFS(Başvuru!$C:$C,C10,Başvuru!$L:$L,"KAPSAM DIŞI",Başvuru!$A:$A,"&lt;&gt;"&amp;"",Başvuru!$F:$F,"&lt;&gt;"&amp;""))</f>
        <v>0</v>
      </c>
      <c r="P10" s="165">
        <f>IF(C10="","",COUNTIFS(Başvuru!$C:$C,C10,Başvuru!$L:$L,"GERİ ÇEKİLDİ",Başvuru!$A:$A,"&lt;&gt;"&amp;"",Başvuru!$F:$F,"&lt;&gt;"&amp;""))</f>
        <v>0</v>
      </c>
      <c r="Q10" s="166" t="s">
        <v>1503</v>
      </c>
      <c r="R10" s="167">
        <f>COUNTIFS(Başvuru!$C:$C,Q10,Başvuru!$A:$A,"&lt;&gt;"&amp;"",Başvuru!$F:$F,"&lt;&gt;"&amp;"")</f>
        <v>1</v>
      </c>
      <c r="S10" s="167">
        <f>RANK(R10,$R$6:$R$324,0)+COUNTIF($R$6:R10,R10)-1</f>
        <v>142</v>
      </c>
    </row>
    <row r="11" spans="2:19" ht="15" customHeight="1" x14ac:dyDescent="0.25">
      <c r="B11" s="168">
        <v>6</v>
      </c>
      <c r="C11" s="169" t="str">
        <f>IFERROR(INDEX($Q$6:$Q$324,MATCH(6,$S$6:$S$324,0)),"")</f>
        <v>Dr. Öğr. Üyesi Figen BEZCİ AYGÜN</v>
      </c>
      <c r="D11" s="170">
        <f>IF(C11="","",COUNTIFS(Başvuru!$C:$C,C11,Başvuru!$A:$A,"&lt;&gt;"&amp;"",Başvuru!$F:$F,"&lt;&gt;"&amp;""))</f>
        <v>8</v>
      </c>
      <c r="E11" s="168" t="str">
        <f>IF(C11="","-",IF(D11&gt;0,TEXT(D11/(COUNTIFS(Başvuru!$A:$A,"&lt;&gt;",Başvuru!$F:$F,"&lt;&gt;")-1)*100,"0.0")&amp;"%","-"))</f>
        <v>01%</v>
      </c>
      <c r="F11" s="171">
        <f>IF(C11="","",COUNTIFS(Başvuru!$C:$C,C11,Başvuru!$G:$G,"Bireysel Araştırma",Başvuru!$A:$A,"&lt;&gt;"&amp;"",Başvuru!$F:$F,"&lt;&gt;"&amp;""))</f>
        <v>8</v>
      </c>
      <c r="G11" s="171">
        <f>IF(C11="","",COUNTIFS(Başvuru!$C:$C,C11,Başvuru!$G:$G,"Uzmanlık Tezi",Başvuru!$A:$A,"&lt;&gt;"&amp;"",Başvuru!$F:$F,"&lt;&gt;"&amp;""))</f>
        <v>0</v>
      </c>
      <c r="H11" s="171">
        <f>IF(C11="","",COUNTIFS(Başvuru!$C:$C,C11,Başvuru!$G:$G,"Doktora Tezi",Başvuru!$A:$A,"&lt;&gt;"&amp;"",Başvuru!$F:$F,"&lt;&gt;"&amp;""))</f>
        <v>0</v>
      </c>
      <c r="I11" s="171">
        <f>IF(C11="","",COUNTIFS(Başvuru!$C:$C,C11,Başvuru!$G:$G,"Yüksek Lisans Tezi",Başvuru!$A:$A,"&lt;&gt;"&amp;"",Başvuru!$F:$F,"&lt;&gt;"&amp;""))</f>
        <v>0</v>
      </c>
      <c r="J11" s="172">
        <f>IF(C11="","",COUNTIFS(Başvuru!$C:$C,C11,Başvuru!$L:$L,"ONAY",Başvuru!$A:$A,"&lt;&gt;"&amp;"",Başvuru!$F:$F,"&lt;&gt;"&amp;""))</f>
        <v>3</v>
      </c>
      <c r="K11" s="173">
        <f>IF(C11="","",COUNTIFS(Başvuru!$C:$C,C11,Başvuru!$L:$L,"DÜZELTME",Başvuru!$A:$A,"&lt;&gt;"&amp;"",Başvuru!$F:$F,"&lt;&gt;"&amp;""))</f>
        <v>1</v>
      </c>
      <c r="L11" s="174">
        <f>IF(C11="","",COUNTIFS(Başvuru!$C:$C,C11,Başvuru!$L:$L,"KAEK",Başvuru!$A:$A,"&lt;&gt;"&amp;"",Başvuru!$F:$F,"&lt;&gt;"&amp;""))</f>
        <v>0</v>
      </c>
      <c r="M11" s="175">
        <f>IF(C11="","",COUNTIFS(Başvuru!$C:$C,C11,Başvuru!$L:$L,"GÖRÜŞ",Başvuru!$A:$A,"&lt;&gt;"&amp;"",Başvuru!$F:$F,"&lt;&gt;"&amp;""))</f>
        <v>0</v>
      </c>
      <c r="N11" s="176">
        <f>IF(C11="","",COUNTIFS(Başvuru!$C:$C,C11,Başvuru!$L:$L,"RET",Başvuru!$A:$A,"&lt;&gt;"&amp;"",Başvuru!$F:$F,"&lt;&gt;"&amp;""))</f>
        <v>0</v>
      </c>
      <c r="O11" s="177">
        <f>IF(C11="","",COUNTIFS(Başvuru!$C:$C,C11,Başvuru!$L:$L,"KAPSAM DIŞI",Başvuru!$A:$A,"&lt;&gt;"&amp;"",Başvuru!$F:$F,"&lt;&gt;"&amp;""))</f>
        <v>0</v>
      </c>
      <c r="P11" s="178">
        <f>IF(C11="","",COUNTIFS(Başvuru!$C:$C,C11,Başvuru!$L:$L,"GERİ ÇEKİLDİ",Başvuru!$A:$A,"&lt;&gt;"&amp;"",Başvuru!$F:$F,"&lt;&gt;"&amp;""))</f>
        <v>0</v>
      </c>
      <c r="Q11" s="166" t="s">
        <v>2137</v>
      </c>
      <c r="R11" s="167">
        <f>COUNTIFS(Başvuru!$C:$C,Q11,Başvuru!$A:$A,"&lt;&gt;"&amp;"",Başvuru!$F:$F,"&lt;&gt;"&amp;"")</f>
        <v>1</v>
      </c>
      <c r="S11" s="167">
        <f>RANK(R11,$R$6:$R$324,0)+COUNTIF($R$6:R11,R11)-1</f>
        <v>143</v>
      </c>
    </row>
    <row r="12" spans="2:19" ht="15" customHeight="1" x14ac:dyDescent="0.25">
      <c r="B12" s="155">
        <v>7</v>
      </c>
      <c r="C12" s="156" t="str">
        <f>IFERROR(INDEX($Q$6:$Q$324,MATCH(7,$S$6:$S$324,0)),"")</f>
        <v>Dr. Öğr. Üyesi Gonca ÖZTEN DERE</v>
      </c>
      <c r="D12" s="157">
        <f>IF(C12="","",COUNTIFS(Başvuru!$C:$C,C12,Başvuru!$A:$A,"&lt;&gt;"&amp;"",Başvuru!$F:$F,"&lt;&gt;"&amp;""))</f>
        <v>8</v>
      </c>
      <c r="E12" s="155" t="str">
        <f>IF(C12="","-",IF(D12&gt;0,TEXT(D12/(COUNTIFS(Başvuru!$A:$A,"&lt;&gt;",Başvuru!$F:$F,"&lt;&gt;")-1)*100,"0.0")&amp;"%","-"))</f>
        <v>01%</v>
      </c>
      <c r="F12" s="158">
        <f>IF(C12="","",COUNTIFS(Başvuru!$C:$C,C12,Başvuru!$G:$G,"Bireysel Araştırma",Başvuru!$A:$A,"&lt;&gt;"&amp;"",Başvuru!$F:$F,"&lt;&gt;"&amp;""))</f>
        <v>8</v>
      </c>
      <c r="G12" s="158">
        <f>IF(C12="","",COUNTIFS(Başvuru!$C:$C,C12,Başvuru!$G:$G,"Uzmanlık Tezi",Başvuru!$A:$A,"&lt;&gt;"&amp;"",Başvuru!$F:$F,"&lt;&gt;"&amp;""))</f>
        <v>0</v>
      </c>
      <c r="H12" s="158">
        <f>IF(C12="","",COUNTIFS(Başvuru!$C:$C,C12,Başvuru!$G:$G,"Doktora Tezi",Başvuru!$A:$A,"&lt;&gt;"&amp;"",Başvuru!$F:$F,"&lt;&gt;"&amp;""))</f>
        <v>0</v>
      </c>
      <c r="I12" s="158">
        <f>IF(C12="","",COUNTIFS(Başvuru!$C:$C,C12,Başvuru!$G:$G,"Yüksek Lisans Tezi",Başvuru!$A:$A,"&lt;&gt;"&amp;"",Başvuru!$F:$F,"&lt;&gt;"&amp;""))</f>
        <v>0</v>
      </c>
      <c r="J12" s="159">
        <f>IF(C12="","",COUNTIFS(Başvuru!$C:$C,C12,Başvuru!$L:$L,"ONAY",Başvuru!$A:$A,"&lt;&gt;"&amp;"",Başvuru!$F:$F,"&lt;&gt;"&amp;""))</f>
        <v>5</v>
      </c>
      <c r="K12" s="160">
        <f>IF(C12="","",COUNTIFS(Başvuru!$C:$C,C12,Başvuru!$L:$L,"DÜZELTME",Başvuru!$A:$A,"&lt;&gt;"&amp;"",Başvuru!$F:$F,"&lt;&gt;"&amp;""))</f>
        <v>2</v>
      </c>
      <c r="L12" s="161">
        <f>IF(C12="","",COUNTIFS(Başvuru!$C:$C,C12,Başvuru!$L:$L,"KAEK",Başvuru!$A:$A,"&lt;&gt;"&amp;"",Başvuru!$F:$F,"&lt;&gt;"&amp;""))</f>
        <v>0</v>
      </c>
      <c r="M12" s="162">
        <f>IF(C12="","",COUNTIFS(Başvuru!$C:$C,C12,Başvuru!$L:$L,"GÖRÜŞ",Başvuru!$A:$A,"&lt;&gt;"&amp;"",Başvuru!$F:$F,"&lt;&gt;"&amp;""))</f>
        <v>0</v>
      </c>
      <c r="N12" s="163">
        <f>IF(C12="","",COUNTIFS(Başvuru!$C:$C,C12,Başvuru!$L:$L,"RET",Başvuru!$A:$A,"&lt;&gt;"&amp;"",Başvuru!$F:$F,"&lt;&gt;"&amp;""))</f>
        <v>1</v>
      </c>
      <c r="O12" s="164">
        <f>IF(C12="","",COUNTIFS(Başvuru!$C:$C,C12,Başvuru!$L:$L,"KAPSAM DIŞI",Başvuru!$A:$A,"&lt;&gt;"&amp;"",Başvuru!$F:$F,"&lt;&gt;"&amp;""))</f>
        <v>0</v>
      </c>
      <c r="P12" s="165">
        <f>IF(C12="","",COUNTIFS(Başvuru!$C:$C,C12,Başvuru!$L:$L,"GERİ ÇEKİLDİ",Başvuru!$A:$A,"&lt;&gt;"&amp;"",Başvuru!$F:$F,"&lt;&gt;"&amp;""))</f>
        <v>0</v>
      </c>
      <c r="Q12" s="166" t="s">
        <v>1059</v>
      </c>
      <c r="R12" s="167">
        <f>COUNTIFS(Başvuru!$C:$C,Q12,Başvuru!$A:$A,"&lt;&gt;"&amp;"",Başvuru!$F:$F,"&lt;&gt;"&amp;"")</f>
        <v>2</v>
      </c>
      <c r="S12" s="167">
        <f>RANK(R12,$R$6:$R$324,0)+COUNTIF($R$6:R12,R12)-1</f>
        <v>73</v>
      </c>
    </row>
    <row r="13" spans="2:19" ht="15" customHeight="1" x14ac:dyDescent="0.25">
      <c r="B13" s="168">
        <v>8</v>
      </c>
      <c r="C13" s="169" t="str">
        <f>IFERROR(INDEX($Q$6:$Q$324,MATCH(8,$S$6:$S$324,0)),"")</f>
        <v>Prof. Dr. Mehmet AYVAZ</v>
      </c>
      <c r="D13" s="170">
        <f>IF(C13="","",COUNTIFS(Başvuru!$C:$C,C13,Başvuru!$A:$A,"&lt;&gt;"&amp;"",Başvuru!$F:$F,"&lt;&gt;"&amp;""))</f>
        <v>8</v>
      </c>
      <c r="E13" s="168" t="str">
        <f>IF(C13="","-",IF(D13&gt;0,TEXT(D13/(COUNTIFS(Başvuru!$A:$A,"&lt;&gt;",Başvuru!$F:$F,"&lt;&gt;")-1)*100,"0.0")&amp;"%","-"))</f>
        <v>01%</v>
      </c>
      <c r="F13" s="171">
        <f>IF(C13="","",COUNTIFS(Başvuru!$C:$C,C13,Başvuru!$G:$G,"Bireysel Araştırma",Başvuru!$A:$A,"&lt;&gt;"&amp;"",Başvuru!$F:$F,"&lt;&gt;"&amp;""))</f>
        <v>8</v>
      </c>
      <c r="G13" s="171">
        <f>IF(C13="","",COUNTIFS(Başvuru!$C:$C,C13,Başvuru!$G:$G,"Uzmanlık Tezi",Başvuru!$A:$A,"&lt;&gt;"&amp;"",Başvuru!$F:$F,"&lt;&gt;"&amp;""))</f>
        <v>0</v>
      </c>
      <c r="H13" s="171">
        <f>IF(C13="","",COUNTIFS(Başvuru!$C:$C,C13,Başvuru!$G:$G,"Doktora Tezi",Başvuru!$A:$A,"&lt;&gt;"&amp;"",Başvuru!$F:$F,"&lt;&gt;"&amp;""))</f>
        <v>0</v>
      </c>
      <c r="I13" s="171">
        <f>IF(C13="","",COUNTIFS(Başvuru!$C:$C,C13,Başvuru!$G:$G,"Yüksek Lisans Tezi",Başvuru!$A:$A,"&lt;&gt;"&amp;"",Başvuru!$F:$F,"&lt;&gt;"&amp;""))</f>
        <v>0</v>
      </c>
      <c r="J13" s="172">
        <f>IF(C13="","",COUNTIFS(Başvuru!$C:$C,C13,Başvuru!$L:$L,"ONAY",Başvuru!$A:$A,"&lt;&gt;"&amp;"",Başvuru!$F:$F,"&lt;&gt;"&amp;""))</f>
        <v>3</v>
      </c>
      <c r="K13" s="173">
        <f>IF(C13="","",COUNTIFS(Başvuru!$C:$C,C13,Başvuru!$L:$L,"DÜZELTME",Başvuru!$A:$A,"&lt;&gt;"&amp;"",Başvuru!$F:$F,"&lt;&gt;"&amp;""))</f>
        <v>4</v>
      </c>
      <c r="L13" s="174">
        <f>IF(C13="","",COUNTIFS(Başvuru!$C:$C,C13,Başvuru!$L:$L,"KAEK",Başvuru!$A:$A,"&lt;&gt;"&amp;"",Başvuru!$F:$F,"&lt;&gt;"&amp;""))</f>
        <v>0</v>
      </c>
      <c r="M13" s="175">
        <f>IF(C13="","",COUNTIFS(Başvuru!$C:$C,C13,Başvuru!$L:$L,"GÖRÜŞ",Başvuru!$A:$A,"&lt;&gt;"&amp;"",Başvuru!$F:$F,"&lt;&gt;"&amp;""))</f>
        <v>0</v>
      </c>
      <c r="N13" s="176">
        <f>IF(C13="","",COUNTIFS(Başvuru!$C:$C,C13,Başvuru!$L:$L,"RET",Başvuru!$A:$A,"&lt;&gt;"&amp;"",Başvuru!$F:$F,"&lt;&gt;"&amp;""))</f>
        <v>0</v>
      </c>
      <c r="O13" s="177">
        <f>IF(C13="","",COUNTIFS(Başvuru!$C:$C,C13,Başvuru!$L:$L,"KAPSAM DIŞI",Başvuru!$A:$A,"&lt;&gt;"&amp;"",Başvuru!$F:$F,"&lt;&gt;"&amp;""))</f>
        <v>1</v>
      </c>
      <c r="P13" s="178">
        <f>IF(C13="","",COUNTIFS(Başvuru!$C:$C,C13,Başvuru!$L:$L,"GERİ ÇEKİLDİ",Başvuru!$A:$A,"&lt;&gt;"&amp;"",Başvuru!$F:$F,"&lt;&gt;"&amp;""))</f>
        <v>0</v>
      </c>
      <c r="Q13" s="166" t="s">
        <v>669</v>
      </c>
      <c r="R13" s="167">
        <f>COUNTIFS(Başvuru!$C:$C,Q13,Başvuru!$A:$A,"&lt;&gt;"&amp;"",Başvuru!$F:$F,"&lt;&gt;"&amp;"")</f>
        <v>1</v>
      </c>
      <c r="S13" s="167">
        <f>RANK(R13,$R$6:$R$324,0)+COUNTIF($R$6:R13,R13)-1</f>
        <v>144</v>
      </c>
    </row>
    <row r="14" spans="2:19" ht="15" customHeight="1" x14ac:dyDescent="0.25">
      <c r="B14" s="155">
        <v>9</v>
      </c>
      <c r="C14" s="156" t="str">
        <f>IFERROR(INDEX($Q$6:$Q$324,MATCH(9,$S$6:$S$324,0)),"")</f>
        <v>Prof. Dr. Salih Kutay DEMİRKAN</v>
      </c>
      <c r="D14" s="157">
        <f>IF(C14="","",COUNTIFS(Başvuru!$C:$C,C14,Başvuru!$A:$A,"&lt;&gt;"&amp;"",Başvuru!$F:$F,"&lt;&gt;"&amp;""))</f>
        <v>8</v>
      </c>
      <c r="E14" s="155" t="str">
        <f>IF(C14="","-",IF(D14&gt;0,TEXT(D14/(COUNTIFS(Başvuru!$A:$A,"&lt;&gt;",Başvuru!$F:$F,"&lt;&gt;")-1)*100,"0.0")&amp;"%","-"))</f>
        <v>01%</v>
      </c>
      <c r="F14" s="158">
        <f>IF(C14="","",COUNTIFS(Başvuru!$C:$C,C14,Başvuru!$G:$G,"Bireysel Araştırma",Başvuru!$A:$A,"&lt;&gt;"&amp;"",Başvuru!$F:$F,"&lt;&gt;"&amp;""))</f>
        <v>3</v>
      </c>
      <c r="G14" s="158">
        <f>IF(C14="","",COUNTIFS(Başvuru!$C:$C,C14,Başvuru!$G:$G,"Uzmanlık Tezi",Başvuru!$A:$A,"&lt;&gt;"&amp;"",Başvuru!$F:$F,"&lt;&gt;"&amp;""))</f>
        <v>2</v>
      </c>
      <c r="H14" s="158">
        <f>IF(C14="","",COUNTIFS(Başvuru!$C:$C,C14,Başvuru!$G:$G,"Doktora Tezi",Başvuru!$A:$A,"&lt;&gt;"&amp;"",Başvuru!$F:$F,"&lt;&gt;"&amp;""))</f>
        <v>3</v>
      </c>
      <c r="I14" s="158">
        <f>IF(C14="","",COUNTIFS(Başvuru!$C:$C,C14,Başvuru!$G:$G,"Yüksek Lisans Tezi",Başvuru!$A:$A,"&lt;&gt;"&amp;"",Başvuru!$F:$F,"&lt;&gt;"&amp;""))</f>
        <v>0</v>
      </c>
      <c r="J14" s="159">
        <f>IF(C14="","",COUNTIFS(Başvuru!$C:$C,C14,Başvuru!$L:$L,"ONAY",Başvuru!$A:$A,"&lt;&gt;"&amp;"",Başvuru!$F:$F,"&lt;&gt;"&amp;""))</f>
        <v>3</v>
      </c>
      <c r="K14" s="160">
        <f>IF(C14="","",COUNTIFS(Başvuru!$C:$C,C14,Başvuru!$L:$L,"DÜZELTME",Başvuru!$A:$A,"&lt;&gt;"&amp;"",Başvuru!$F:$F,"&lt;&gt;"&amp;""))</f>
        <v>4</v>
      </c>
      <c r="L14" s="161">
        <f>IF(C14="","",COUNTIFS(Başvuru!$C:$C,C14,Başvuru!$L:$L,"KAEK",Başvuru!$A:$A,"&lt;&gt;"&amp;"",Başvuru!$F:$F,"&lt;&gt;"&amp;""))</f>
        <v>0</v>
      </c>
      <c r="M14" s="162">
        <f>IF(C14="","",COUNTIFS(Başvuru!$C:$C,C14,Başvuru!$L:$L,"GÖRÜŞ",Başvuru!$A:$A,"&lt;&gt;"&amp;"",Başvuru!$F:$F,"&lt;&gt;"&amp;""))</f>
        <v>1</v>
      </c>
      <c r="N14" s="163">
        <f>IF(C14="","",COUNTIFS(Başvuru!$C:$C,C14,Başvuru!$L:$L,"RET",Başvuru!$A:$A,"&lt;&gt;"&amp;"",Başvuru!$F:$F,"&lt;&gt;"&amp;""))</f>
        <v>0</v>
      </c>
      <c r="O14" s="164">
        <f>IF(C14="","",COUNTIFS(Başvuru!$C:$C,C14,Başvuru!$L:$L,"KAPSAM DIŞI",Başvuru!$A:$A,"&lt;&gt;"&amp;"",Başvuru!$F:$F,"&lt;&gt;"&amp;""))</f>
        <v>0</v>
      </c>
      <c r="P14" s="165">
        <f>IF(C14="","",COUNTIFS(Başvuru!$C:$C,C14,Başvuru!$L:$L,"GERİ ÇEKİLDİ",Başvuru!$A:$A,"&lt;&gt;"&amp;"",Başvuru!$F:$F,"&lt;&gt;"&amp;""))</f>
        <v>0</v>
      </c>
      <c r="Q14" s="166" t="s">
        <v>1128</v>
      </c>
      <c r="R14" s="167">
        <f>COUNTIFS(Başvuru!$C:$C,Q14,Başvuru!$A:$A,"&lt;&gt;"&amp;"",Başvuru!$F:$F,"&lt;&gt;"&amp;"")</f>
        <v>2</v>
      </c>
      <c r="S14" s="167">
        <f>RANK(R14,$R$6:$R$324,0)+COUNTIF($R$6:R14,R14)-1</f>
        <v>74</v>
      </c>
    </row>
    <row r="15" spans="2:19" ht="15" customHeight="1" x14ac:dyDescent="0.25">
      <c r="B15" s="168">
        <v>10</v>
      </c>
      <c r="C15" s="169" t="str">
        <f>IFERROR(INDEX($Q$6:$Q$324,MATCH(10,$S$6:$S$324,0)),"")</f>
        <v>Doç. Dr. Cafer BALCI</v>
      </c>
      <c r="D15" s="170">
        <f>IF(C15="","",COUNTIFS(Başvuru!$C:$C,C15,Başvuru!$A:$A,"&lt;&gt;"&amp;"",Başvuru!$F:$F,"&lt;&gt;"&amp;""))</f>
        <v>7</v>
      </c>
      <c r="E15" s="168" t="str">
        <f>IF(C15="","-",IF(D15&gt;0,TEXT(D15/(COUNTIFS(Başvuru!$A:$A,"&lt;&gt;",Başvuru!$F:$F,"&lt;&gt;")-1)*100,"0.0")&amp;"%","-"))</f>
        <v>01%</v>
      </c>
      <c r="F15" s="171">
        <f>IF(C15="","",COUNTIFS(Başvuru!$C:$C,C15,Başvuru!$G:$G,"Bireysel Araştırma",Başvuru!$A:$A,"&lt;&gt;"&amp;"",Başvuru!$F:$F,"&lt;&gt;"&amp;""))</f>
        <v>7</v>
      </c>
      <c r="G15" s="171">
        <f>IF(C15="","",COUNTIFS(Başvuru!$C:$C,C15,Başvuru!$G:$G,"Uzmanlık Tezi",Başvuru!$A:$A,"&lt;&gt;"&amp;"",Başvuru!$F:$F,"&lt;&gt;"&amp;""))</f>
        <v>0</v>
      </c>
      <c r="H15" s="171">
        <f>IF(C15="","",COUNTIFS(Başvuru!$C:$C,C15,Başvuru!$G:$G,"Doktora Tezi",Başvuru!$A:$A,"&lt;&gt;"&amp;"",Başvuru!$F:$F,"&lt;&gt;"&amp;""))</f>
        <v>0</v>
      </c>
      <c r="I15" s="171">
        <f>IF(C15="","",COUNTIFS(Başvuru!$C:$C,C15,Başvuru!$G:$G,"Yüksek Lisans Tezi",Başvuru!$A:$A,"&lt;&gt;"&amp;"",Başvuru!$F:$F,"&lt;&gt;"&amp;""))</f>
        <v>0</v>
      </c>
      <c r="J15" s="172">
        <f>IF(C15="","",COUNTIFS(Başvuru!$C:$C,C15,Başvuru!$L:$L,"ONAY",Başvuru!$A:$A,"&lt;&gt;"&amp;"",Başvuru!$F:$F,"&lt;&gt;"&amp;""))</f>
        <v>2</v>
      </c>
      <c r="K15" s="173">
        <f>IF(C15="","",COUNTIFS(Başvuru!$C:$C,C15,Başvuru!$L:$L,"DÜZELTME",Başvuru!$A:$A,"&lt;&gt;"&amp;"",Başvuru!$F:$F,"&lt;&gt;"&amp;""))</f>
        <v>3</v>
      </c>
      <c r="L15" s="174">
        <f>IF(C15="","",COUNTIFS(Başvuru!$C:$C,C15,Başvuru!$L:$L,"KAEK",Başvuru!$A:$A,"&lt;&gt;"&amp;"",Başvuru!$F:$F,"&lt;&gt;"&amp;""))</f>
        <v>0</v>
      </c>
      <c r="M15" s="175">
        <f>IF(C15="","",COUNTIFS(Başvuru!$C:$C,C15,Başvuru!$L:$L,"GÖRÜŞ",Başvuru!$A:$A,"&lt;&gt;"&amp;"",Başvuru!$F:$F,"&lt;&gt;"&amp;""))</f>
        <v>1</v>
      </c>
      <c r="N15" s="176">
        <f>IF(C15="","",COUNTIFS(Başvuru!$C:$C,C15,Başvuru!$L:$L,"RET",Başvuru!$A:$A,"&lt;&gt;"&amp;"",Başvuru!$F:$F,"&lt;&gt;"&amp;""))</f>
        <v>0</v>
      </c>
      <c r="O15" s="177">
        <f>IF(C15="","",COUNTIFS(Başvuru!$C:$C,C15,Başvuru!$L:$L,"KAPSAM DIŞI",Başvuru!$A:$A,"&lt;&gt;"&amp;"",Başvuru!$F:$F,"&lt;&gt;"&amp;""))</f>
        <v>0</v>
      </c>
      <c r="P15" s="178">
        <f>IF(C15="","",COUNTIFS(Başvuru!$C:$C,C15,Başvuru!$L:$L,"GERİ ÇEKİLDİ",Başvuru!$A:$A,"&lt;&gt;"&amp;"",Başvuru!$F:$F,"&lt;&gt;"&amp;""))</f>
        <v>0</v>
      </c>
      <c r="Q15" s="166" t="s">
        <v>2234</v>
      </c>
      <c r="R15" s="167">
        <f>COUNTIFS(Başvuru!$C:$C,Q15,Başvuru!$A:$A,"&lt;&gt;"&amp;"",Başvuru!$F:$F,"&lt;&gt;"&amp;"")</f>
        <v>4</v>
      </c>
      <c r="S15" s="167">
        <f>RANK(R15,$R$6:$R$324,0)+COUNTIF($R$6:R15,R15)-1</f>
        <v>28</v>
      </c>
    </row>
    <row r="16" spans="2:19" ht="15" customHeight="1" x14ac:dyDescent="0.25">
      <c r="B16" s="155">
        <v>11</v>
      </c>
      <c r="C16" s="156" t="str">
        <f>IFERROR(INDEX($Q$6:$Q$324,MATCH(11,$S$6:$S$324,0)),"")</f>
        <v>Doç. Dr. Cem ÇÖTELİ</v>
      </c>
      <c r="D16" s="157">
        <f>IF(C16="","",COUNTIFS(Başvuru!$C:$C,C16,Başvuru!$A:$A,"&lt;&gt;"&amp;"",Başvuru!$F:$F,"&lt;&gt;"&amp;""))</f>
        <v>7</v>
      </c>
      <c r="E16" s="155" t="str">
        <f>IF(C16="","-",IF(D16&gt;0,TEXT(D16/(COUNTIFS(Başvuru!$A:$A,"&lt;&gt;",Başvuru!$F:$F,"&lt;&gt;")-1)*100,"0.0")&amp;"%","-"))</f>
        <v>01%</v>
      </c>
      <c r="F16" s="158">
        <f>IF(C16="","",COUNTIFS(Başvuru!$C:$C,C16,Başvuru!$G:$G,"Bireysel Araştırma",Başvuru!$A:$A,"&lt;&gt;"&amp;"",Başvuru!$F:$F,"&lt;&gt;"&amp;""))</f>
        <v>7</v>
      </c>
      <c r="G16" s="158">
        <f>IF(C16="","",COUNTIFS(Başvuru!$C:$C,C16,Başvuru!$G:$G,"Uzmanlık Tezi",Başvuru!$A:$A,"&lt;&gt;"&amp;"",Başvuru!$F:$F,"&lt;&gt;"&amp;""))</f>
        <v>0</v>
      </c>
      <c r="H16" s="158">
        <f>IF(C16="","",COUNTIFS(Başvuru!$C:$C,C16,Başvuru!$G:$G,"Doktora Tezi",Başvuru!$A:$A,"&lt;&gt;"&amp;"",Başvuru!$F:$F,"&lt;&gt;"&amp;""))</f>
        <v>0</v>
      </c>
      <c r="I16" s="158">
        <f>IF(C16="","",COUNTIFS(Başvuru!$C:$C,C16,Başvuru!$G:$G,"Yüksek Lisans Tezi",Başvuru!$A:$A,"&lt;&gt;"&amp;"",Başvuru!$F:$F,"&lt;&gt;"&amp;""))</f>
        <v>0</v>
      </c>
      <c r="J16" s="159">
        <f>IF(C16="","",COUNTIFS(Başvuru!$C:$C,C16,Başvuru!$L:$L,"ONAY",Başvuru!$A:$A,"&lt;&gt;"&amp;"",Başvuru!$F:$F,"&lt;&gt;"&amp;""))</f>
        <v>3</v>
      </c>
      <c r="K16" s="160">
        <f>IF(C16="","",COUNTIFS(Başvuru!$C:$C,C16,Başvuru!$L:$L,"DÜZELTME",Başvuru!$A:$A,"&lt;&gt;"&amp;"",Başvuru!$F:$F,"&lt;&gt;"&amp;""))</f>
        <v>2</v>
      </c>
      <c r="L16" s="161">
        <f>IF(C16="","",COUNTIFS(Başvuru!$C:$C,C16,Başvuru!$L:$L,"KAEK",Başvuru!$A:$A,"&lt;&gt;"&amp;"",Başvuru!$F:$F,"&lt;&gt;"&amp;""))</f>
        <v>2</v>
      </c>
      <c r="M16" s="162">
        <f>IF(C16="","",COUNTIFS(Başvuru!$C:$C,C16,Başvuru!$L:$L,"GÖRÜŞ",Başvuru!$A:$A,"&lt;&gt;"&amp;"",Başvuru!$F:$F,"&lt;&gt;"&amp;""))</f>
        <v>0</v>
      </c>
      <c r="N16" s="163">
        <f>IF(C16="","",COUNTIFS(Başvuru!$C:$C,C16,Başvuru!$L:$L,"RET",Başvuru!$A:$A,"&lt;&gt;"&amp;"",Başvuru!$F:$F,"&lt;&gt;"&amp;""))</f>
        <v>0</v>
      </c>
      <c r="O16" s="164">
        <f>IF(C16="","",COUNTIFS(Başvuru!$C:$C,C16,Başvuru!$L:$L,"KAPSAM DIŞI",Başvuru!$A:$A,"&lt;&gt;"&amp;"",Başvuru!$F:$F,"&lt;&gt;"&amp;""))</f>
        <v>0</v>
      </c>
      <c r="P16" s="165">
        <f>IF(C16="","",COUNTIFS(Başvuru!$C:$C,C16,Başvuru!$L:$L,"GERİ ÇEKİLDİ",Başvuru!$A:$A,"&lt;&gt;"&amp;"",Başvuru!$F:$F,"&lt;&gt;"&amp;""))</f>
        <v>0</v>
      </c>
      <c r="Q16" s="166" t="s">
        <v>903</v>
      </c>
      <c r="R16" s="167">
        <f>COUNTIFS(Başvuru!$C:$C,Q16,Başvuru!$A:$A,"&lt;&gt;"&amp;"",Başvuru!$F:$F,"&lt;&gt;"&amp;"")</f>
        <v>1</v>
      </c>
      <c r="S16" s="167">
        <f>RANK(R16,$R$6:$R$324,0)+COUNTIF($R$6:R16,R16)-1</f>
        <v>145</v>
      </c>
    </row>
    <row r="17" spans="2:19" ht="15" customHeight="1" x14ac:dyDescent="0.25">
      <c r="B17" s="168">
        <v>12</v>
      </c>
      <c r="C17" s="169" t="str">
        <f>IFERROR(INDEX($Q$6:$Q$324,MATCH(12,$S$6:$S$324,0)),"")</f>
        <v>Doç. Dr. Utku AKGÖR</v>
      </c>
      <c r="D17" s="170">
        <f>IF(C17="","",COUNTIFS(Başvuru!$C:$C,C17,Başvuru!$A:$A,"&lt;&gt;"&amp;"",Başvuru!$F:$F,"&lt;&gt;"&amp;""))</f>
        <v>7</v>
      </c>
      <c r="E17" s="168" t="str">
        <f>IF(C17="","-",IF(D17&gt;0,TEXT(D17/(COUNTIFS(Başvuru!$A:$A,"&lt;&gt;",Başvuru!$F:$F,"&lt;&gt;")-1)*100,"0.0")&amp;"%","-"))</f>
        <v>01%</v>
      </c>
      <c r="F17" s="171">
        <f>IF(C17="","",COUNTIFS(Başvuru!$C:$C,C17,Başvuru!$G:$G,"Bireysel Araştırma",Başvuru!$A:$A,"&lt;&gt;"&amp;"",Başvuru!$F:$F,"&lt;&gt;"&amp;""))</f>
        <v>6</v>
      </c>
      <c r="G17" s="171">
        <f>IF(C17="","",COUNTIFS(Başvuru!$C:$C,C17,Başvuru!$G:$G,"Uzmanlık Tezi",Başvuru!$A:$A,"&lt;&gt;"&amp;"",Başvuru!$F:$F,"&lt;&gt;"&amp;""))</f>
        <v>1</v>
      </c>
      <c r="H17" s="171">
        <f>IF(C17="","",COUNTIFS(Başvuru!$C:$C,C17,Başvuru!$G:$G,"Doktora Tezi",Başvuru!$A:$A,"&lt;&gt;"&amp;"",Başvuru!$F:$F,"&lt;&gt;"&amp;""))</f>
        <v>0</v>
      </c>
      <c r="I17" s="171">
        <f>IF(C17="","",COUNTIFS(Başvuru!$C:$C,C17,Başvuru!$G:$G,"Yüksek Lisans Tezi",Başvuru!$A:$A,"&lt;&gt;"&amp;"",Başvuru!$F:$F,"&lt;&gt;"&amp;""))</f>
        <v>0</v>
      </c>
      <c r="J17" s="172">
        <f>IF(C17="","",COUNTIFS(Başvuru!$C:$C,C17,Başvuru!$L:$L,"ONAY",Başvuru!$A:$A,"&lt;&gt;"&amp;"",Başvuru!$F:$F,"&lt;&gt;"&amp;""))</f>
        <v>4</v>
      </c>
      <c r="K17" s="173">
        <f>IF(C17="","",COUNTIFS(Başvuru!$C:$C,C17,Başvuru!$L:$L,"DÜZELTME",Başvuru!$A:$A,"&lt;&gt;"&amp;"",Başvuru!$F:$F,"&lt;&gt;"&amp;""))</f>
        <v>2</v>
      </c>
      <c r="L17" s="174">
        <f>IF(C17="","",COUNTIFS(Başvuru!$C:$C,C17,Başvuru!$L:$L,"KAEK",Başvuru!$A:$A,"&lt;&gt;"&amp;"",Başvuru!$F:$F,"&lt;&gt;"&amp;""))</f>
        <v>0</v>
      </c>
      <c r="M17" s="175">
        <f>IF(C17="","",COUNTIFS(Başvuru!$C:$C,C17,Başvuru!$L:$L,"GÖRÜŞ",Başvuru!$A:$A,"&lt;&gt;"&amp;"",Başvuru!$F:$F,"&lt;&gt;"&amp;""))</f>
        <v>0</v>
      </c>
      <c r="N17" s="176">
        <f>IF(C17="","",COUNTIFS(Başvuru!$C:$C,C17,Başvuru!$L:$L,"RET",Başvuru!$A:$A,"&lt;&gt;"&amp;"",Başvuru!$F:$F,"&lt;&gt;"&amp;""))</f>
        <v>1</v>
      </c>
      <c r="O17" s="177">
        <f>IF(C17="","",COUNTIFS(Başvuru!$C:$C,C17,Başvuru!$L:$L,"KAPSAM DIŞI",Başvuru!$A:$A,"&lt;&gt;"&amp;"",Başvuru!$F:$F,"&lt;&gt;"&amp;""))</f>
        <v>0</v>
      </c>
      <c r="P17" s="178">
        <f>IF(C17="","",COUNTIFS(Başvuru!$C:$C,C17,Başvuru!$L:$L,"GERİ ÇEKİLDİ",Başvuru!$A:$A,"&lt;&gt;"&amp;"",Başvuru!$F:$F,"&lt;&gt;"&amp;""))</f>
        <v>0</v>
      </c>
      <c r="Q17" s="166" t="s">
        <v>614</v>
      </c>
      <c r="R17" s="167">
        <f>COUNTIFS(Başvuru!$C:$C,Q17,Başvuru!$A:$A,"&lt;&gt;"&amp;"",Başvuru!$F:$F,"&lt;&gt;"&amp;"")</f>
        <v>2</v>
      </c>
      <c r="S17" s="167">
        <f>RANK(R17,$R$6:$R$324,0)+COUNTIF($R$6:R17,R17)-1</f>
        <v>75</v>
      </c>
    </row>
    <row r="18" spans="2:19" ht="15" customHeight="1" x14ac:dyDescent="0.25">
      <c r="B18" s="155">
        <v>13</v>
      </c>
      <c r="C18" s="156" t="str">
        <f>IFERROR(INDEX($Q$6:$Q$324,MATCH(13,$S$6:$S$324,0)),"")</f>
        <v>Prof. Dr. Burcu Balam DOĞU</v>
      </c>
      <c r="D18" s="157">
        <f>IF(C18="","",COUNTIFS(Başvuru!$C:$C,C18,Başvuru!$A:$A,"&lt;&gt;"&amp;"",Başvuru!$F:$F,"&lt;&gt;"&amp;""))</f>
        <v>7</v>
      </c>
      <c r="E18" s="155" t="str">
        <f>IF(C18="","-",IF(D18&gt;0,TEXT(D18/(COUNTIFS(Başvuru!$A:$A,"&lt;&gt;",Başvuru!$F:$F,"&lt;&gt;")-1)*100,"0.0")&amp;"%","-"))</f>
        <v>01%</v>
      </c>
      <c r="F18" s="158">
        <f>IF(C18="","",COUNTIFS(Başvuru!$C:$C,C18,Başvuru!$G:$G,"Bireysel Araştırma",Başvuru!$A:$A,"&lt;&gt;"&amp;"",Başvuru!$F:$F,"&lt;&gt;"&amp;""))</f>
        <v>7</v>
      </c>
      <c r="G18" s="158">
        <f>IF(C18="","",COUNTIFS(Başvuru!$C:$C,C18,Başvuru!$G:$G,"Uzmanlık Tezi",Başvuru!$A:$A,"&lt;&gt;"&amp;"",Başvuru!$F:$F,"&lt;&gt;"&amp;""))</f>
        <v>0</v>
      </c>
      <c r="H18" s="158">
        <f>IF(C18="","",COUNTIFS(Başvuru!$C:$C,C18,Başvuru!$G:$G,"Doktora Tezi",Başvuru!$A:$A,"&lt;&gt;"&amp;"",Başvuru!$F:$F,"&lt;&gt;"&amp;""))</f>
        <v>0</v>
      </c>
      <c r="I18" s="158">
        <f>IF(C18="","",COUNTIFS(Başvuru!$C:$C,C18,Başvuru!$G:$G,"Yüksek Lisans Tezi",Başvuru!$A:$A,"&lt;&gt;"&amp;"",Başvuru!$F:$F,"&lt;&gt;"&amp;""))</f>
        <v>0</v>
      </c>
      <c r="J18" s="159">
        <f>IF(C18="","",COUNTIFS(Başvuru!$C:$C,C18,Başvuru!$L:$L,"ONAY",Başvuru!$A:$A,"&lt;&gt;"&amp;"",Başvuru!$F:$F,"&lt;&gt;"&amp;""))</f>
        <v>2</v>
      </c>
      <c r="K18" s="160">
        <f>IF(C18="","",COUNTIFS(Başvuru!$C:$C,C18,Başvuru!$L:$L,"DÜZELTME",Başvuru!$A:$A,"&lt;&gt;"&amp;"",Başvuru!$F:$F,"&lt;&gt;"&amp;""))</f>
        <v>5</v>
      </c>
      <c r="L18" s="161">
        <f>IF(C18="","",COUNTIFS(Başvuru!$C:$C,C18,Başvuru!$L:$L,"KAEK",Başvuru!$A:$A,"&lt;&gt;"&amp;"",Başvuru!$F:$F,"&lt;&gt;"&amp;""))</f>
        <v>0</v>
      </c>
      <c r="M18" s="162">
        <f>IF(C18="","",COUNTIFS(Başvuru!$C:$C,C18,Başvuru!$L:$L,"GÖRÜŞ",Başvuru!$A:$A,"&lt;&gt;"&amp;"",Başvuru!$F:$F,"&lt;&gt;"&amp;""))</f>
        <v>0</v>
      </c>
      <c r="N18" s="163">
        <f>IF(C18="","",COUNTIFS(Başvuru!$C:$C,C18,Başvuru!$L:$L,"RET",Başvuru!$A:$A,"&lt;&gt;"&amp;"",Başvuru!$F:$F,"&lt;&gt;"&amp;""))</f>
        <v>0</v>
      </c>
      <c r="O18" s="164">
        <f>IF(C18="","",COUNTIFS(Başvuru!$C:$C,C18,Başvuru!$L:$L,"KAPSAM DIŞI",Başvuru!$A:$A,"&lt;&gt;"&amp;"",Başvuru!$F:$F,"&lt;&gt;"&amp;""))</f>
        <v>0</v>
      </c>
      <c r="P18" s="165">
        <f>IF(C18="","",COUNTIFS(Başvuru!$C:$C,C18,Başvuru!$L:$L,"GERİ ÇEKİLDİ",Başvuru!$A:$A,"&lt;&gt;"&amp;"",Başvuru!$F:$F,"&lt;&gt;"&amp;""))</f>
        <v>0</v>
      </c>
      <c r="Q18" s="166" t="s">
        <v>117</v>
      </c>
      <c r="R18" s="167">
        <f>COUNTIFS(Başvuru!$C:$C,Q18,Başvuru!$A:$A,"&lt;&gt;"&amp;"",Başvuru!$F:$F,"&lt;&gt;"&amp;"")</f>
        <v>1</v>
      </c>
      <c r="S18" s="167">
        <f>RANK(R18,$R$6:$R$324,0)+COUNTIF($R$6:R18,R18)-1</f>
        <v>146</v>
      </c>
    </row>
    <row r="19" spans="2:19" ht="15" customHeight="1" x14ac:dyDescent="0.25">
      <c r="B19" s="168">
        <v>14</v>
      </c>
      <c r="C19" s="169" t="str">
        <f>IFERROR(INDEX($Q$6:$Q$324,MATCH(14,$S$6:$S$324,0)),"")</f>
        <v>Prof. Dr. Mustafa CANKURTARAN</v>
      </c>
      <c r="D19" s="170">
        <f>IF(C19="","",COUNTIFS(Başvuru!$C:$C,C19,Başvuru!$A:$A,"&lt;&gt;"&amp;"",Başvuru!$F:$F,"&lt;&gt;"&amp;""))</f>
        <v>7</v>
      </c>
      <c r="E19" s="168" t="str">
        <f>IF(C19="","-",IF(D19&gt;0,TEXT(D19/(COUNTIFS(Başvuru!$A:$A,"&lt;&gt;",Başvuru!$F:$F,"&lt;&gt;")-1)*100,"0.0")&amp;"%","-"))</f>
        <v>01%</v>
      </c>
      <c r="F19" s="171">
        <f>IF(C19="","",COUNTIFS(Başvuru!$C:$C,C19,Başvuru!$G:$G,"Bireysel Araştırma",Başvuru!$A:$A,"&lt;&gt;"&amp;"",Başvuru!$F:$F,"&lt;&gt;"&amp;""))</f>
        <v>7</v>
      </c>
      <c r="G19" s="171">
        <f>IF(C19="","",COUNTIFS(Başvuru!$C:$C,C19,Başvuru!$G:$G,"Uzmanlık Tezi",Başvuru!$A:$A,"&lt;&gt;"&amp;"",Başvuru!$F:$F,"&lt;&gt;"&amp;""))</f>
        <v>0</v>
      </c>
      <c r="H19" s="171">
        <f>IF(C19="","",COUNTIFS(Başvuru!$C:$C,C19,Başvuru!$G:$G,"Doktora Tezi",Başvuru!$A:$A,"&lt;&gt;"&amp;"",Başvuru!$F:$F,"&lt;&gt;"&amp;""))</f>
        <v>0</v>
      </c>
      <c r="I19" s="171">
        <f>IF(C19="","",COUNTIFS(Başvuru!$C:$C,C19,Başvuru!$G:$G,"Yüksek Lisans Tezi",Başvuru!$A:$A,"&lt;&gt;"&amp;"",Başvuru!$F:$F,"&lt;&gt;"&amp;""))</f>
        <v>0</v>
      </c>
      <c r="J19" s="172">
        <f>IF(C19="","",COUNTIFS(Başvuru!$C:$C,C19,Başvuru!$L:$L,"ONAY",Başvuru!$A:$A,"&lt;&gt;"&amp;"",Başvuru!$F:$F,"&lt;&gt;"&amp;""))</f>
        <v>1</v>
      </c>
      <c r="K19" s="173">
        <f>IF(C19="","",COUNTIFS(Başvuru!$C:$C,C19,Başvuru!$L:$L,"DÜZELTME",Başvuru!$A:$A,"&lt;&gt;"&amp;"",Başvuru!$F:$F,"&lt;&gt;"&amp;""))</f>
        <v>1</v>
      </c>
      <c r="L19" s="174">
        <f>IF(C19="","",COUNTIFS(Başvuru!$C:$C,C19,Başvuru!$L:$L,"KAEK",Başvuru!$A:$A,"&lt;&gt;"&amp;"",Başvuru!$F:$F,"&lt;&gt;"&amp;""))</f>
        <v>0</v>
      </c>
      <c r="M19" s="175">
        <f>IF(C19="","",COUNTIFS(Başvuru!$C:$C,C19,Başvuru!$L:$L,"GÖRÜŞ",Başvuru!$A:$A,"&lt;&gt;"&amp;"",Başvuru!$F:$F,"&lt;&gt;"&amp;""))</f>
        <v>0</v>
      </c>
      <c r="N19" s="176">
        <f>IF(C19="","",COUNTIFS(Başvuru!$C:$C,C19,Başvuru!$L:$L,"RET",Başvuru!$A:$A,"&lt;&gt;"&amp;"",Başvuru!$F:$F,"&lt;&gt;"&amp;""))</f>
        <v>0</v>
      </c>
      <c r="O19" s="177">
        <f>IF(C19="","",COUNTIFS(Başvuru!$C:$C,C19,Başvuru!$L:$L,"KAPSAM DIŞI",Başvuru!$A:$A,"&lt;&gt;"&amp;"",Başvuru!$F:$F,"&lt;&gt;"&amp;""))</f>
        <v>5</v>
      </c>
      <c r="P19" s="178">
        <f>IF(C19="","",COUNTIFS(Başvuru!$C:$C,C19,Başvuru!$L:$L,"GERİ ÇEKİLDİ",Başvuru!$A:$A,"&lt;&gt;"&amp;"",Başvuru!$F:$F,"&lt;&gt;"&amp;""))</f>
        <v>0</v>
      </c>
      <c r="Q19" s="166" t="s">
        <v>2158</v>
      </c>
      <c r="R19" s="167">
        <f>COUNTIFS(Başvuru!$C:$C,Q19,Başvuru!$A:$A,"&lt;&gt;"&amp;"",Başvuru!$F:$F,"&lt;&gt;"&amp;"")</f>
        <v>1</v>
      </c>
      <c r="S19" s="167">
        <f>RANK(R19,$R$6:$R$324,0)+COUNTIF($R$6:R19,R19)-1</f>
        <v>147</v>
      </c>
    </row>
    <row r="20" spans="2:19" ht="15" customHeight="1" x14ac:dyDescent="0.25">
      <c r="B20" s="155">
        <v>15</v>
      </c>
      <c r="C20" s="156" t="str">
        <f>IFERROR(INDEX($Q$6:$Q$324,MATCH(15,$S$6:$S$324,0)),"")</f>
        <v>Doç. Dr. Süleyman Nahit ŞENDUR</v>
      </c>
      <c r="D20" s="157">
        <f>IF(C20="","",COUNTIFS(Başvuru!$C:$C,C20,Başvuru!$A:$A,"&lt;&gt;"&amp;"",Başvuru!$F:$F,"&lt;&gt;"&amp;""))</f>
        <v>6</v>
      </c>
      <c r="E20" s="155" t="str">
        <f>IF(C20="","-",IF(D20&gt;0,TEXT(D20/(COUNTIFS(Başvuru!$A:$A,"&lt;&gt;",Başvuru!$F:$F,"&lt;&gt;")-1)*100,"0.0")&amp;"%","-"))</f>
        <v>01%</v>
      </c>
      <c r="F20" s="158">
        <f>IF(C20="","",COUNTIFS(Başvuru!$C:$C,C20,Başvuru!$G:$G,"Bireysel Araştırma",Başvuru!$A:$A,"&lt;&gt;"&amp;"",Başvuru!$F:$F,"&lt;&gt;"&amp;""))</f>
        <v>5</v>
      </c>
      <c r="G20" s="158">
        <f>IF(C20="","",COUNTIFS(Başvuru!$C:$C,C20,Başvuru!$G:$G,"Uzmanlık Tezi",Başvuru!$A:$A,"&lt;&gt;"&amp;"",Başvuru!$F:$F,"&lt;&gt;"&amp;""))</f>
        <v>1</v>
      </c>
      <c r="H20" s="158">
        <f>IF(C20="","",COUNTIFS(Başvuru!$C:$C,C20,Başvuru!$G:$G,"Doktora Tezi",Başvuru!$A:$A,"&lt;&gt;"&amp;"",Başvuru!$F:$F,"&lt;&gt;"&amp;""))</f>
        <v>0</v>
      </c>
      <c r="I20" s="158">
        <f>IF(C20="","",COUNTIFS(Başvuru!$C:$C,C20,Başvuru!$G:$G,"Yüksek Lisans Tezi",Başvuru!$A:$A,"&lt;&gt;"&amp;"",Başvuru!$F:$F,"&lt;&gt;"&amp;""))</f>
        <v>0</v>
      </c>
      <c r="J20" s="159">
        <f>IF(C20="","",COUNTIFS(Başvuru!$C:$C,C20,Başvuru!$L:$L,"ONAY",Başvuru!$A:$A,"&lt;&gt;"&amp;"",Başvuru!$F:$F,"&lt;&gt;"&amp;""))</f>
        <v>6</v>
      </c>
      <c r="K20" s="160">
        <f>IF(C20="","",COUNTIFS(Başvuru!$C:$C,C20,Başvuru!$L:$L,"DÜZELTME",Başvuru!$A:$A,"&lt;&gt;"&amp;"",Başvuru!$F:$F,"&lt;&gt;"&amp;""))</f>
        <v>0</v>
      </c>
      <c r="L20" s="161">
        <f>IF(C20="","",COUNTIFS(Başvuru!$C:$C,C20,Başvuru!$L:$L,"KAEK",Başvuru!$A:$A,"&lt;&gt;"&amp;"",Başvuru!$F:$F,"&lt;&gt;"&amp;""))</f>
        <v>0</v>
      </c>
      <c r="M20" s="162">
        <f>IF(C20="","",COUNTIFS(Başvuru!$C:$C,C20,Başvuru!$L:$L,"GÖRÜŞ",Başvuru!$A:$A,"&lt;&gt;"&amp;"",Başvuru!$F:$F,"&lt;&gt;"&amp;""))</f>
        <v>0</v>
      </c>
      <c r="N20" s="163">
        <f>IF(C20="","",COUNTIFS(Başvuru!$C:$C,C20,Başvuru!$L:$L,"RET",Başvuru!$A:$A,"&lt;&gt;"&amp;"",Başvuru!$F:$F,"&lt;&gt;"&amp;""))</f>
        <v>0</v>
      </c>
      <c r="O20" s="164">
        <f>IF(C20="","",COUNTIFS(Başvuru!$C:$C,C20,Başvuru!$L:$L,"KAPSAM DIŞI",Başvuru!$A:$A,"&lt;&gt;"&amp;"",Başvuru!$F:$F,"&lt;&gt;"&amp;""))</f>
        <v>0</v>
      </c>
      <c r="P20" s="165">
        <f>IF(C20="","",COUNTIFS(Başvuru!$C:$C,C20,Başvuru!$L:$L,"GERİ ÇEKİLDİ",Başvuru!$A:$A,"&lt;&gt;"&amp;"",Başvuru!$F:$F,"&lt;&gt;"&amp;""))</f>
        <v>0</v>
      </c>
      <c r="Q20" s="166" t="s">
        <v>2206</v>
      </c>
      <c r="R20" s="167">
        <f>COUNTIFS(Başvuru!$C:$C,Q20,Başvuru!$A:$A,"&lt;&gt;"&amp;"",Başvuru!$F:$F,"&lt;&gt;"&amp;"")</f>
        <v>2</v>
      </c>
      <c r="S20" s="167">
        <f>RANK(R20,$R$6:$R$324,0)+COUNTIF($R$6:R20,R20)-1</f>
        <v>76</v>
      </c>
    </row>
    <row r="21" spans="2:19" ht="15" customHeight="1" x14ac:dyDescent="0.25">
      <c r="B21" s="168">
        <v>16</v>
      </c>
      <c r="C21" s="169" t="str">
        <f>IFERROR(INDEX($Q$6:$Q$324,MATCH(16,$S$6:$S$324,0)),"")</f>
        <v>Prof. Dr. Neşe DERİCİOĞLU</v>
      </c>
      <c r="D21" s="170">
        <f>IF(C21="","",COUNTIFS(Başvuru!$C:$C,C21,Başvuru!$A:$A,"&lt;&gt;"&amp;"",Başvuru!$F:$F,"&lt;&gt;"&amp;""))</f>
        <v>6</v>
      </c>
      <c r="E21" s="168" t="str">
        <f>IF(C21="","-",IF(D21&gt;0,TEXT(D21/(COUNTIFS(Başvuru!$A:$A,"&lt;&gt;",Başvuru!$F:$F,"&lt;&gt;")-1)*100,"0.0")&amp;"%","-"))</f>
        <v>01%</v>
      </c>
      <c r="F21" s="171">
        <f>IF(C21="","",COUNTIFS(Başvuru!$C:$C,C21,Başvuru!$G:$G,"Bireysel Araştırma",Başvuru!$A:$A,"&lt;&gt;"&amp;"",Başvuru!$F:$F,"&lt;&gt;"&amp;""))</f>
        <v>6</v>
      </c>
      <c r="G21" s="171">
        <f>IF(C21="","",COUNTIFS(Başvuru!$C:$C,C21,Başvuru!$G:$G,"Uzmanlık Tezi",Başvuru!$A:$A,"&lt;&gt;"&amp;"",Başvuru!$F:$F,"&lt;&gt;"&amp;""))</f>
        <v>0</v>
      </c>
      <c r="H21" s="171">
        <f>IF(C21="","",COUNTIFS(Başvuru!$C:$C,C21,Başvuru!$G:$G,"Doktora Tezi",Başvuru!$A:$A,"&lt;&gt;"&amp;"",Başvuru!$F:$F,"&lt;&gt;"&amp;""))</f>
        <v>0</v>
      </c>
      <c r="I21" s="171">
        <f>IF(C21="","",COUNTIFS(Başvuru!$C:$C,C21,Başvuru!$G:$G,"Yüksek Lisans Tezi",Başvuru!$A:$A,"&lt;&gt;"&amp;"",Başvuru!$F:$F,"&lt;&gt;"&amp;""))</f>
        <v>0</v>
      </c>
      <c r="J21" s="172">
        <f>IF(C21="","",COUNTIFS(Başvuru!$C:$C,C21,Başvuru!$L:$L,"ONAY",Başvuru!$A:$A,"&lt;&gt;"&amp;"",Başvuru!$F:$F,"&lt;&gt;"&amp;""))</f>
        <v>5</v>
      </c>
      <c r="K21" s="173">
        <f>IF(C21="","",COUNTIFS(Başvuru!$C:$C,C21,Başvuru!$L:$L,"DÜZELTME",Başvuru!$A:$A,"&lt;&gt;"&amp;"",Başvuru!$F:$F,"&lt;&gt;"&amp;""))</f>
        <v>1</v>
      </c>
      <c r="L21" s="174">
        <f>IF(C21="","",COUNTIFS(Başvuru!$C:$C,C21,Başvuru!$L:$L,"KAEK",Başvuru!$A:$A,"&lt;&gt;"&amp;"",Başvuru!$F:$F,"&lt;&gt;"&amp;""))</f>
        <v>0</v>
      </c>
      <c r="M21" s="175">
        <f>IF(C21="","",COUNTIFS(Başvuru!$C:$C,C21,Başvuru!$L:$L,"GÖRÜŞ",Başvuru!$A:$A,"&lt;&gt;"&amp;"",Başvuru!$F:$F,"&lt;&gt;"&amp;""))</f>
        <v>0</v>
      </c>
      <c r="N21" s="176">
        <f>IF(C21="","",COUNTIFS(Başvuru!$C:$C,C21,Başvuru!$L:$L,"RET",Başvuru!$A:$A,"&lt;&gt;"&amp;"",Başvuru!$F:$F,"&lt;&gt;"&amp;""))</f>
        <v>0</v>
      </c>
      <c r="O21" s="177">
        <f>IF(C21="","",COUNTIFS(Başvuru!$C:$C,C21,Başvuru!$L:$L,"KAPSAM DIŞI",Başvuru!$A:$A,"&lt;&gt;"&amp;"",Başvuru!$F:$F,"&lt;&gt;"&amp;""))</f>
        <v>0</v>
      </c>
      <c r="P21" s="178">
        <f>IF(C21="","",COUNTIFS(Başvuru!$C:$C,C21,Başvuru!$L:$L,"GERİ ÇEKİLDİ",Başvuru!$A:$A,"&lt;&gt;"&amp;"",Başvuru!$F:$F,"&lt;&gt;"&amp;""))</f>
        <v>0</v>
      </c>
      <c r="Q21" s="166" t="s">
        <v>1006</v>
      </c>
      <c r="R21" s="167">
        <f>COUNTIFS(Başvuru!$C:$C,Q21,Başvuru!$A:$A,"&lt;&gt;"&amp;"",Başvuru!$F:$F,"&lt;&gt;"&amp;"")</f>
        <v>1</v>
      </c>
      <c r="S21" s="167">
        <f>RANK(R21,$R$6:$R$324,0)+COUNTIF($R$6:R21,R21)-1</f>
        <v>148</v>
      </c>
    </row>
    <row r="22" spans="2:19" ht="15" customHeight="1" x14ac:dyDescent="0.25">
      <c r="B22" s="155">
        <v>17</v>
      </c>
      <c r="C22" s="156" t="str">
        <f>IFERROR(INDEX($Q$6:$Q$324,MATCH(17,$S$6:$S$324,0)),"")</f>
        <v>Prof. Dr. Tutku SOYER</v>
      </c>
      <c r="D22" s="157">
        <f>IF(C22="","",COUNTIFS(Başvuru!$C:$C,C22,Başvuru!$A:$A,"&lt;&gt;"&amp;"",Başvuru!$F:$F,"&lt;&gt;"&amp;""))</f>
        <v>6</v>
      </c>
      <c r="E22" s="155" t="str">
        <f>IF(C22="","-",IF(D22&gt;0,TEXT(D22/(COUNTIFS(Başvuru!$A:$A,"&lt;&gt;",Başvuru!$F:$F,"&lt;&gt;")-1)*100,"0.0")&amp;"%","-"))</f>
        <v>01%</v>
      </c>
      <c r="F22" s="158">
        <f>IF(C22="","",COUNTIFS(Başvuru!$C:$C,C22,Başvuru!$G:$G,"Bireysel Araştırma",Başvuru!$A:$A,"&lt;&gt;"&amp;"",Başvuru!$F:$F,"&lt;&gt;"&amp;""))</f>
        <v>5</v>
      </c>
      <c r="G22" s="158">
        <f>IF(C22="","",COUNTIFS(Başvuru!$C:$C,C22,Başvuru!$G:$G,"Uzmanlık Tezi",Başvuru!$A:$A,"&lt;&gt;"&amp;"",Başvuru!$F:$F,"&lt;&gt;"&amp;""))</f>
        <v>1</v>
      </c>
      <c r="H22" s="158">
        <f>IF(C22="","",COUNTIFS(Başvuru!$C:$C,C22,Başvuru!$G:$G,"Doktora Tezi",Başvuru!$A:$A,"&lt;&gt;"&amp;"",Başvuru!$F:$F,"&lt;&gt;"&amp;""))</f>
        <v>0</v>
      </c>
      <c r="I22" s="158">
        <f>IF(C22="","",COUNTIFS(Başvuru!$C:$C,C22,Başvuru!$G:$G,"Yüksek Lisans Tezi",Başvuru!$A:$A,"&lt;&gt;"&amp;"",Başvuru!$F:$F,"&lt;&gt;"&amp;""))</f>
        <v>0</v>
      </c>
      <c r="J22" s="159">
        <f>IF(C22="","",COUNTIFS(Başvuru!$C:$C,C22,Başvuru!$L:$L,"ONAY",Başvuru!$A:$A,"&lt;&gt;"&amp;"",Başvuru!$F:$F,"&lt;&gt;"&amp;""))</f>
        <v>3</v>
      </c>
      <c r="K22" s="160">
        <f>IF(C22="","",COUNTIFS(Başvuru!$C:$C,C22,Başvuru!$L:$L,"DÜZELTME",Başvuru!$A:$A,"&lt;&gt;"&amp;"",Başvuru!$F:$F,"&lt;&gt;"&amp;""))</f>
        <v>3</v>
      </c>
      <c r="L22" s="161">
        <f>IF(C22="","",COUNTIFS(Başvuru!$C:$C,C22,Başvuru!$L:$L,"KAEK",Başvuru!$A:$A,"&lt;&gt;"&amp;"",Başvuru!$F:$F,"&lt;&gt;"&amp;""))</f>
        <v>0</v>
      </c>
      <c r="M22" s="162">
        <f>IF(C22="","",COUNTIFS(Başvuru!$C:$C,C22,Başvuru!$L:$L,"GÖRÜŞ",Başvuru!$A:$A,"&lt;&gt;"&amp;"",Başvuru!$F:$F,"&lt;&gt;"&amp;""))</f>
        <v>0</v>
      </c>
      <c r="N22" s="163">
        <f>IF(C22="","",COUNTIFS(Başvuru!$C:$C,C22,Başvuru!$L:$L,"RET",Başvuru!$A:$A,"&lt;&gt;"&amp;"",Başvuru!$F:$F,"&lt;&gt;"&amp;""))</f>
        <v>0</v>
      </c>
      <c r="O22" s="164">
        <f>IF(C22="","",COUNTIFS(Başvuru!$C:$C,C22,Başvuru!$L:$L,"KAPSAM DIŞI",Başvuru!$A:$A,"&lt;&gt;"&amp;"",Başvuru!$F:$F,"&lt;&gt;"&amp;""))</f>
        <v>0</v>
      </c>
      <c r="P22" s="165">
        <f>IF(C22="","",COUNTIFS(Başvuru!$C:$C,C22,Başvuru!$L:$L,"GERİ ÇEKİLDİ",Başvuru!$A:$A,"&lt;&gt;"&amp;"",Başvuru!$F:$F,"&lt;&gt;"&amp;""))</f>
        <v>0</v>
      </c>
      <c r="Q22" s="166" t="s">
        <v>1304</v>
      </c>
      <c r="R22" s="167">
        <f>COUNTIFS(Başvuru!$C:$C,Q22,Başvuru!$A:$A,"&lt;&gt;"&amp;"",Başvuru!$F:$F,"&lt;&gt;"&amp;"")</f>
        <v>1</v>
      </c>
      <c r="S22" s="167">
        <f>RANK(R22,$R$6:$R$324,0)+COUNTIF($R$6:R22,R22)-1</f>
        <v>149</v>
      </c>
    </row>
    <row r="23" spans="2:19" ht="15" customHeight="1" x14ac:dyDescent="0.25">
      <c r="B23" s="168">
        <v>18</v>
      </c>
      <c r="C23" s="169" t="str">
        <f>IFERROR(INDEX($Q$6:$Q$324,MATCH(18,$S$6:$S$324,0)),"")</f>
        <v>Prof. Dr. Özlem TEKŞAM</v>
      </c>
      <c r="D23" s="170">
        <f>IF(C23="","",COUNTIFS(Başvuru!$C:$C,C23,Başvuru!$A:$A,"&lt;&gt;"&amp;"",Başvuru!$F:$F,"&lt;&gt;"&amp;""))</f>
        <v>6</v>
      </c>
      <c r="E23" s="168" t="str">
        <f>IF(C23="","-",IF(D23&gt;0,TEXT(D23/(COUNTIFS(Başvuru!$A:$A,"&lt;&gt;",Başvuru!$F:$F,"&lt;&gt;")-1)*100,"0.0")&amp;"%","-"))</f>
        <v>01%</v>
      </c>
      <c r="F23" s="171">
        <f>IF(C23="","",COUNTIFS(Başvuru!$C:$C,C23,Başvuru!$G:$G,"Bireysel Araştırma",Başvuru!$A:$A,"&lt;&gt;"&amp;"",Başvuru!$F:$F,"&lt;&gt;"&amp;""))</f>
        <v>4</v>
      </c>
      <c r="G23" s="171">
        <f>IF(C23="","",COUNTIFS(Başvuru!$C:$C,C23,Başvuru!$G:$G,"Uzmanlık Tezi",Başvuru!$A:$A,"&lt;&gt;"&amp;"",Başvuru!$F:$F,"&lt;&gt;"&amp;""))</f>
        <v>2</v>
      </c>
      <c r="H23" s="171">
        <f>IF(C23="","",COUNTIFS(Başvuru!$C:$C,C23,Başvuru!$G:$G,"Doktora Tezi",Başvuru!$A:$A,"&lt;&gt;"&amp;"",Başvuru!$F:$F,"&lt;&gt;"&amp;""))</f>
        <v>0</v>
      </c>
      <c r="I23" s="171">
        <f>IF(C23="","",COUNTIFS(Başvuru!$C:$C,C23,Başvuru!$G:$G,"Yüksek Lisans Tezi",Başvuru!$A:$A,"&lt;&gt;"&amp;"",Başvuru!$F:$F,"&lt;&gt;"&amp;""))</f>
        <v>0</v>
      </c>
      <c r="J23" s="172">
        <f>IF(C23="","",COUNTIFS(Başvuru!$C:$C,C23,Başvuru!$L:$L,"ONAY",Başvuru!$A:$A,"&lt;&gt;"&amp;"",Başvuru!$F:$F,"&lt;&gt;"&amp;""))</f>
        <v>3</v>
      </c>
      <c r="K23" s="173">
        <f>IF(C23="","",COUNTIFS(Başvuru!$C:$C,C23,Başvuru!$L:$L,"DÜZELTME",Başvuru!$A:$A,"&lt;&gt;"&amp;"",Başvuru!$F:$F,"&lt;&gt;"&amp;""))</f>
        <v>1</v>
      </c>
      <c r="L23" s="174">
        <f>IF(C23="","",COUNTIFS(Başvuru!$C:$C,C23,Başvuru!$L:$L,"KAEK",Başvuru!$A:$A,"&lt;&gt;"&amp;"",Başvuru!$F:$F,"&lt;&gt;"&amp;""))</f>
        <v>0</v>
      </c>
      <c r="M23" s="175">
        <f>IF(C23="","",COUNTIFS(Başvuru!$C:$C,C23,Başvuru!$L:$L,"GÖRÜŞ",Başvuru!$A:$A,"&lt;&gt;"&amp;"",Başvuru!$F:$F,"&lt;&gt;"&amp;""))</f>
        <v>0</v>
      </c>
      <c r="N23" s="176">
        <f>IF(C23="","",COUNTIFS(Başvuru!$C:$C,C23,Başvuru!$L:$L,"RET",Başvuru!$A:$A,"&lt;&gt;"&amp;"",Başvuru!$F:$F,"&lt;&gt;"&amp;""))</f>
        <v>0</v>
      </c>
      <c r="O23" s="177">
        <f>IF(C23="","",COUNTIFS(Başvuru!$C:$C,C23,Başvuru!$L:$L,"KAPSAM DIŞI",Başvuru!$A:$A,"&lt;&gt;"&amp;"",Başvuru!$F:$F,"&lt;&gt;"&amp;""))</f>
        <v>0</v>
      </c>
      <c r="P23" s="178">
        <f>IF(C23="","",COUNTIFS(Başvuru!$C:$C,C23,Başvuru!$L:$L,"GERİ ÇEKİLDİ",Başvuru!$A:$A,"&lt;&gt;"&amp;"",Başvuru!$F:$F,"&lt;&gt;"&amp;""))</f>
        <v>0</v>
      </c>
      <c r="Q23" s="166" t="s">
        <v>400</v>
      </c>
      <c r="R23" s="167">
        <f>COUNTIFS(Başvuru!$C:$C,Q23,Başvuru!$A:$A,"&lt;&gt;"&amp;"",Başvuru!$F:$F,"&lt;&gt;"&amp;"")</f>
        <v>3</v>
      </c>
      <c r="S23" s="167">
        <f>RANK(R23,$R$6:$R$324,0)+COUNTIF($R$6:R23,R23)-1</f>
        <v>47</v>
      </c>
    </row>
    <row r="24" spans="2:19" ht="15" customHeight="1" x14ac:dyDescent="0.25">
      <c r="B24" s="155">
        <v>19</v>
      </c>
      <c r="C24" s="156" t="str">
        <f>IFERROR(INDEX($Q$6:$Q$324,MATCH(19,$S$6:$S$324,0)),"")</f>
        <v>Doç. Dr. Duygu AYHAN BAŞER</v>
      </c>
      <c r="D24" s="157">
        <f>IF(C24="","",COUNTIFS(Başvuru!$C:$C,C24,Başvuru!$A:$A,"&lt;&gt;"&amp;"",Başvuru!$F:$F,"&lt;&gt;"&amp;""))</f>
        <v>5</v>
      </c>
      <c r="E24" s="155" t="str">
        <f>IF(C24="","-",IF(D24&gt;0,TEXT(D24/(COUNTIFS(Başvuru!$A:$A,"&lt;&gt;",Başvuru!$F:$F,"&lt;&gt;")-1)*100,"0.0")&amp;"%","-"))</f>
        <v>01%</v>
      </c>
      <c r="F24" s="158">
        <f>IF(C24="","",COUNTIFS(Başvuru!$C:$C,C24,Başvuru!$G:$G,"Bireysel Araştırma",Başvuru!$A:$A,"&lt;&gt;"&amp;"",Başvuru!$F:$F,"&lt;&gt;"&amp;""))</f>
        <v>4</v>
      </c>
      <c r="G24" s="158">
        <f>IF(C24="","",COUNTIFS(Başvuru!$C:$C,C24,Başvuru!$G:$G,"Uzmanlık Tezi",Başvuru!$A:$A,"&lt;&gt;"&amp;"",Başvuru!$F:$F,"&lt;&gt;"&amp;""))</f>
        <v>1</v>
      </c>
      <c r="H24" s="158">
        <f>IF(C24="","",COUNTIFS(Başvuru!$C:$C,C24,Başvuru!$G:$G,"Doktora Tezi",Başvuru!$A:$A,"&lt;&gt;"&amp;"",Başvuru!$F:$F,"&lt;&gt;"&amp;""))</f>
        <v>0</v>
      </c>
      <c r="I24" s="158">
        <f>IF(C24="","",COUNTIFS(Başvuru!$C:$C,C24,Başvuru!$G:$G,"Yüksek Lisans Tezi",Başvuru!$A:$A,"&lt;&gt;"&amp;"",Başvuru!$F:$F,"&lt;&gt;"&amp;""))</f>
        <v>0</v>
      </c>
      <c r="J24" s="159">
        <f>IF(C24="","",COUNTIFS(Başvuru!$C:$C,C24,Başvuru!$L:$L,"ONAY",Başvuru!$A:$A,"&lt;&gt;"&amp;"",Başvuru!$F:$F,"&lt;&gt;"&amp;""))</f>
        <v>2</v>
      </c>
      <c r="K24" s="160">
        <f>IF(C24="","",COUNTIFS(Başvuru!$C:$C,C24,Başvuru!$L:$L,"DÜZELTME",Başvuru!$A:$A,"&lt;&gt;"&amp;"",Başvuru!$F:$F,"&lt;&gt;"&amp;""))</f>
        <v>1</v>
      </c>
      <c r="L24" s="161">
        <f>IF(C24="","",COUNTIFS(Başvuru!$C:$C,C24,Başvuru!$L:$L,"KAEK",Başvuru!$A:$A,"&lt;&gt;"&amp;"",Başvuru!$F:$F,"&lt;&gt;"&amp;""))</f>
        <v>0</v>
      </c>
      <c r="M24" s="162">
        <f>IF(C24="","",COUNTIFS(Başvuru!$C:$C,C24,Başvuru!$L:$L,"GÖRÜŞ",Başvuru!$A:$A,"&lt;&gt;"&amp;"",Başvuru!$F:$F,"&lt;&gt;"&amp;""))</f>
        <v>0</v>
      </c>
      <c r="N24" s="163">
        <f>IF(C24="","",COUNTIFS(Başvuru!$C:$C,C24,Başvuru!$L:$L,"RET",Başvuru!$A:$A,"&lt;&gt;"&amp;"",Başvuru!$F:$F,"&lt;&gt;"&amp;""))</f>
        <v>2</v>
      </c>
      <c r="O24" s="164">
        <f>IF(C24="","",COUNTIFS(Başvuru!$C:$C,C24,Başvuru!$L:$L,"KAPSAM DIŞI",Başvuru!$A:$A,"&lt;&gt;"&amp;"",Başvuru!$F:$F,"&lt;&gt;"&amp;""))</f>
        <v>0</v>
      </c>
      <c r="P24" s="165">
        <f>IF(C24="","",COUNTIFS(Başvuru!$C:$C,C24,Başvuru!$L:$L,"GERİ ÇEKİLDİ",Başvuru!$A:$A,"&lt;&gt;"&amp;"",Başvuru!$F:$F,"&lt;&gt;"&amp;""))</f>
        <v>0</v>
      </c>
      <c r="Q24" s="166" t="s">
        <v>1155</v>
      </c>
      <c r="R24" s="167">
        <f>COUNTIFS(Başvuru!$C:$C,Q24,Başvuru!$A:$A,"&lt;&gt;"&amp;"",Başvuru!$F:$F,"&lt;&gt;"&amp;"")</f>
        <v>1</v>
      </c>
      <c r="S24" s="167">
        <f>RANK(R24,$R$6:$R$324,0)+COUNTIF($R$6:R24,R24)-1</f>
        <v>150</v>
      </c>
    </row>
    <row r="25" spans="2:19" ht="15" customHeight="1" x14ac:dyDescent="0.25">
      <c r="B25" s="168">
        <v>20</v>
      </c>
      <c r="C25" s="169" t="str">
        <f>IFERROR(INDEX($Q$6:$Q$324,MATCH(20,$S$6:$S$324,0)),"")</f>
        <v>Doç. Dr. Ezgi ATİK</v>
      </c>
      <c r="D25" s="170">
        <f>IF(C25="","",COUNTIFS(Başvuru!$C:$C,C25,Başvuru!$A:$A,"&lt;&gt;"&amp;"",Başvuru!$F:$F,"&lt;&gt;"&amp;""))</f>
        <v>5</v>
      </c>
      <c r="E25" s="168" t="str">
        <f>IF(C25="","-",IF(D25&gt;0,TEXT(D25/(COUNTIFS(Başvuru!$A:$A,"&lt;&gt;",Başvuru!$F:$F,"&lt;&gt;")-1)*100,"0.0")&amp;"%","-"))</f>
        <v>01%</v>
      </c>
      <c r="F25" s="171">
        <f>IF(C25="","",COUNTIFS(Başvuru!$C:$C,C25,Başvuru!$G:$G,"Bireysel Araştırma",Başvuru!$A:$A,"&lt;&gt;"&amp;"",Başvuru!$F:$F,"&lt;&gt;"&amp;""))</f>
        <v>5</v>
      </c>
      <c r="G25" s="171">
        <f>IF(C25="","",COUNTIFS(Başvuru!$C:$C,C25,Başvuru!$G:$G,"Uzmanlık Tezi",Başvuru!$A:$A,"&lt;&gt;"&amp;"",Başvuru!$F:$F,"&lt;&gt;"&amp;""))</f>
        <v>0</v>
      </c>
      <c r="H25" s="171">
        <f>IF(C25="","",COUNTIFS(Başvuru!$C:$C,C25,Başvuru!$G:$G,"Doktora Tezi",Başvuru!$A:$A,"&lt;&gt;"&amp;"",Başvuru!$F:$F,"&lt;&gt;"&amp;""))</f>
        <v>0</v>
      </c>
      <c r="I25" s="171">
        <f>IF(C25="","",COUNTIFS(Başvuru!$C:$C,C25,Başvuru!$G:$G,"Yüksek Lisans Tezi",Başvuru!$A:$A,"&lt;&gt;"&amp;"",Başvuru!$F:$F,"&lt;&gt;"&amp;""))</f>
        <v>0</v>
      </c>
      <c r="J25" s="172">
        <f>IF(C25="","",COUNTIFS(Başvuru!$C:$C,C25,Başvuru!$L:$L,"ONAY",Başvuru!$A:$A,"&lt;&gt;"&amp;"",Başvuru!$F:$F,"&lt;&gt;"&amp;""))</f>
        <v>4</v>
      </c>
      <c r="K25" s="173">
        <f>IF(C25="","",COUNTIFS(Başvuru!$C:$C,C25,Başvuru!$L:$L,"DÜZELTME",Başvuru!$A:$A,"&lt;&gt;"&amp;"",Başvuru!$F:$F,"&lt;&gt;"&amp;""))</f>
        <v>1</v>
      </c>
      <c r="L25" s="174">
        <f>IF(C25="","",COUNTIFS(Başvuru!$C:$C,C25,Başvuru!$L:$L,"KAEK",Başvuru!$A:$A,"&lt;&gt;"&amp;"",Başvuru!$F:$F,"&lt;&gt;"&amp;""))</f>
        <v>0</v>
      </c>
      <c r="M25" s="175">
        <f>IF(C25="","",COUNTIFS(Başvuru!$C:$C,C25,Başvuru!$L:$L,"GÖRÜŞ",Başvuru!$A:$A,"&lt;&gt;"&amp;"",Başvuru!$F:$F,"&lt;&gt;"&amp;""))</f>
        <v>0</v>
      </c>
      <c r="N25" s="176">
        <f>IF(C25="","",COUNTIFS(Başvuru!$C:$C,C25,Başvuru!$L:$L,"RET",Başvuru!$A:$A,"&lt;&gt;"&amp;"",Başvuru!$F:$F,"&lt;&gt;"&amp;""))</f>
        <v>0</v>
      </c>
      <c r="O25" s="177">
        <f>IF(C25="","",COUNTIFS(Başvuru!$C:$C,C25,Başvuru!$L:$L,"KAPSAM DIŞI",Başvuru!$A:$A,"&lt;&gt;"&amp;"",Başvuru!$F:$F,"&lt;&gt;"&amp;""))</f>
        <v>0</v>
      </c>
      <c r="P25" s="178">
        <f>IF(C25="","",COUNTIFS(Başvuru!$C:$C,C25,Başvuru!$L:$L,"GERİ ÇEKİLDİ",Başvuru!$A:$A,"&lt;&gt;"&amp;"",Başvuru!$F:$F,"&lt;&gt;"&amp;""))</f>
        <v>0</v>
      </c>
      <c r="Q25" s="166" t="s">
        <v>2044</v>
      </c>
      <c r="R25" s="167">
        <f>COUNTIFS(Başvuru!$C:$C,Q25,Başvuru!$A:$A,"&lt;&gt;"&amp;"",Başvuru!$F:$F,"&lt;&gt;"&amp;"")</f>
        <v>1</v>
      </c>
      <c r="S25" s="167">
        <f>RANK(R25,$R$6:$R$324,0)+COUNTIF($R$6:R25,R25)-1</f>
        <v>151</v>
      </c>
    </row>
    <row r="26" spans="2:19" ht="15" customHeight="1" x14ac:dyDescent="0.25">
      <c r="B26" s="155">
        <v>21</v>
      </c>
      <c r="C26" s="156" t="str">
        <f>IFERROR(INDEX($Q$6:$Q$324,MATCH(21,$S$6:$S$324,0)),"")</f>
        <v>Doç. Dr. Levent KILIÇ</v>
      </c>
      <c r="D26" s="157">
        <f>IF(C26="","",COUNTIFS(Başvuru!$C:$C,C26,Başvuru!$A:$A,"&lt;&gt;"&amp;"",Başvuru!$F:$F,"&lt;&gt;"&amp;""))</f>
        <v>5</v>
      </c>
      <c r="E26" s="155" t="str">
        <f>IF(C26="","-",IF(D26&gt;0,TEXT(D26/(COUNTIFS(Başvuru!$A:$A,"&lt;&gt;",Başvuru!$F:$F,"&lt;&gt;")-1)*100,"0.0")&amp;"%","-"))</f>
        <v>01%</v>
      </c>
      <c r="F26" s="158">
        <f>IF(C26="","",COUNTIFS(Başvuru!$C:$C,C26,Başvuru!$G:$G,"Bireysel Araştırma",Başvuru!$A:$A,"&lt;&gt;"&amp;"",Başvuru!$F:$F,"&lt;&gt;"&amp;""))</f>
        <v>4</v>
      </c>
      <c r="G26" s="158">
        <f>IF(C26="","",COUNTIFS(Başvuru!$C:$C,C26,Başvuru!$G:$G,"Uzmanlık Tezi",Başvuru!$A:$A,"&lt;&gt;"&amp;"",Başvuru!$F:$F,"&lt;&gt;"&amp;""))</f>
        <v>1</v>
      </c>
      <c r="H26" s="158">
        <f>IF(C26="","",COUNTIFS(Başvuru!$C:$C,C26,Başvuru!$G:$G,"Doktora Tezi",Başvuru!$A:$A,"&lt;&gt;"&amp;"",Başvuru!$F:$F,"&lt;&gt;"&amp;""))</f>
        <v>0</v>
      </c>
      <c r="I26" s="158">
        <f>IF(C26="","",COUNTIFS(Başvuru!$C:$C,C26,Başvuru!$G:$G,"Yüksek Lisans Tezi",Başvuru!$A:$A,"&lt;&gt;"&amp;"",Başvuru!$F:$F,"&lt;&gt;"&amp;""))</f>
        <v>0</v>
      </c>
      <c r="J26" s="159">
        <f>IF(C26="","",COUNTIFS(Başvuru!$C:$C,C26,Başvuru!$L:$L,"ONAY",Başvuru!$A:$A,"&lt;&gt;"&amp;"",Başvuru!$F:$F,"&lt;&gt;"&amp;""))</f>
        <v>2</v>
      </c>
      <c r="K26" s="160">
        <f>IF(C26="","",COUNTIFS(Başvuru!$C:$C,C26,Başvuru!$L:$L,"DÜZELTME",Başvuru!$A:$A,"&lt;&gt;"&amp;"",Başvuru!$F:$F,"&lt;&gt;"&amp;""))</f>
        <v>1</v>
      </c>
      <c r="L26" s="161">
        <f>IF(C26="","",COUNTIFS(Başvuru!$C:$C,C26,Başvuru!$L:$L,"KAEK",Başvuru!$A:$A,"&lt;&gt;"&amp;"",Başvuru!$F:$F,"&lt;&gt;"&amp;""))</f>
        <v>0</v>
      </c>
      <c r="M26" s="162">
        <f>IF(C26="","",COUNTIFS(Başvuru!$C:$C,C26,Başvuru!$L:$L,"GÖRÜŞ",Başvuru!$A:$A,"&lt;&gt;"&amp;"",Başvuru!$F:$F,"&lt;&gt;"&amp;""))</f>
        <v>1</v>
      </c>
      <c r="N26" s="163">
        <f>IF(C26="","",COUNTIFS(Başvuru!$C:$C,C26,Başvuru!$L:$L,"RET",Başvuru!$A:$A,"&lt;&gt;"&amp;"",Başvuru!$F:$F,"&lt;&gt;"&amp;""))</f>
        <v>0</v>
      </c>
      <c r="O26" s="164">
        <f>IF(C26="","",COUNTIFS(Başvuru!$C:$C,C26,Başvuru!$L:$L,"KAPSAM DIŞI",Başvuru!$A:$A,"&lt;&gt;"&amp;"",Başvuru!$F:$F,"&lt;&gt;"&amp;""))</f>
        <v>0</v>
      </c>
      <c r="P26" s="165">
        <f>IF(C26="","",COUNTIFS(Başvuru!$C:$C,C26,Başvuru!$L:$L,"GERİ ÇEKİLDİ",Başvuru!$A:$A,"&lt;&gt;"&amp;"",Başvuru!$F:$F,"&lt;&gt;"&amp;""))</f>
        <v>0</v>
      </c>
      <c r="Q26" s="166" t="s">
        <v>95</v>
      </c>
      <c r="R26" s="167">
        <f>COUNTIFS(Başvuru!$C:$C,Q26,Başvuru!$A:$A,"&lt;&gt;"&amp;"",Başvuru!$F:$F,"&lt;&gt;"&amp;"")</f>
        <v>2</v>
      </c>
      <c r="S26" s="167">
        <f>RANK(R26,$R$6:$R$324,0)+COUNTIF($R$6:R26,R26)-1</f>
        <v>77</v>
      </c>
    </row>
    <row r="27" spans="2:19" ht="15" customHeight="1" x14ac:dyDescent="0.25">
      <c r="B27" s="168">
        <v>22</v>
      </c>
      <c r="C27" s="169" t="str">
        <f>IFERROR(INDEX($Q$6:$Q$324,MATCH(22,$S$6:$S$324,0)),"")</f>
        <v>Doç. Dr. İrem KOÇ</v>
      </c>
      <c r="D27" s="170">
        <f>IF(C27="","",COUNTIFS(Başvuru!$C:$C,C27,Başvuru!$A:$A,"&lt;&gt;"&amp;"",Başvuru!$F:$F,"&lt;&gt;"&amp;""))</f>
        <v>5</v>
      </c>
      <c r="E27" s="168" t="str">
        <f>IF(C27="","-",IF(D27&gt;0,TEXT(D27/(COUNTIFS(Başvuru!$A:$A,"&lt;&gt;",Başvuru!$F:$F,"&lt;&gt;")-1)*100,"0.0")&amp;"%","-"))</f>
        <v>01%</v>
      </c>
      <c r="F27" s="171">
        <f>IF(C27="","",COUNTIFS(Başvuru!$C:$C,C27,Başvuru!$G:$G,"Bireysel Araştırma",Başvuru!$A:$A,"&lt;&gt;"&amp;"",Başvuru!$F:$F,"&lt;&gt;"&amp;""))</f>
        <v>5</v>
      </c>
      <c r="G27" s="171">
        <f>IF(C27="","",COUNTIFS(Başvuru!$C:$C,C27,Başvuru!$G:$G,"Uzmanlık Tezi",Başvuru!$A:$A,"&lt;&gt;"&amp;"",Başvuru!$F:$F,"&lt;&gt;"&amp;""))</f>
        <v>0</v>
      </c>
      <c r="H27" s="171">
        <f>IF(C27="","",COUNTIFS(Başvuru!$C:$C,C27,Başvuru!$G:$G,"Doktora Tezi",Başvuru!$A:$A,"&lt;&gt;"&amp;"",Başvuru!$F:$F,"&lt;&gt;"&amp;""))</f>
        <v>0</v>
      </c>
      <c r="I27" s="171">
        <f>IF(C27="","",COUNTIFS(Başvuru!$C:$C,C27,Başvuru!$G:$G,"Yüksek Lisans Tezi",Başvuru!$A:$A,"&lt;&gt;"&amp;"",Başvuru!$F:$F,"&lt;&gt;"&amp;""))</f>
        <v>0</v>
      </c>
      <c r="J27" s="172">
        <f>IF(C27="","",COUNTIFS(Başvuru!$C:$C,C27,Başvuru!$L:$L,"ONAY",Başvuru!$A:$A,"&lt;&gt;"&amp;"",Başvuru!$F:$F,"&lt;&gt;"&amp;""))</f>
        <v>4</v>
      </c>
      <c r="K27" s="173">
        <f>IF(C27="","",COUNTIFS(Başvuru!$C:$C,C27,Başvuru!$L:$L,"DÜZELTME",Başvuru!$A:$A,"&lt;&gt;"&amp;"",Başvuru!$F:$F,"&lt;&gt;"&amp;""))</f>
        <v>1</v>
      </c>
      <c r="L27" s="174">
        <f>IF(C27="","",COUNTIFS(Başvuru!$C:$C,C27,Başvuru!$L:$L,"KAEK",Başvuru!$A:$A,"&lt;&gt;"&amp;"",Başvuru!$F:$F,"&lt;&gt;"&amp;""))</f>
        <v>0</v>
      </c>
      <c r="M27" s="175">
        <f>IF(C27="","",COUNTIFS(Başvuru!$C:$C,C27,Başvuru!$L:$L,"GÖRÜŞ",Başvuru!$A:$A,"&lt;&gt;"&amp;"",Başvuru!$F:$F,"&lt;&gt;"&amp;""))</f>
        <v>0</v>
      </c>
      <c r="N27" s="176">
        <f>IF(C27="","",COUNTIFS(Başvuru!$C:$C,C27,Başvuru!$L:$L,"RET",Başvuru!$A:$A,"&lt;&gt;"&amp;"",Başvuru!$F:$F,"&lt;&gt;"&amp;""))</f>
        <v>0</v>
      </c>
      <c r="O27" s="177">
        <f>IF(C27="","",COUNTIFS(Başvuru!$C:$C,C27,Başvuru!$L:$L,"KAPSAM DIŞI",Başvuru!$A:$A,"&lt;&gt;"&amp;"",Başvuru!$F:$F,"&lt;&gt;"&amp;""))</f>
        <v>0</v>
      </c>
      <c r="P27" s="178">
        <f>IF(C27="","",COUNTIFS(Başvuru!$C:$C,C27,Başvuru!$L:$L,"GERİ ÇEKİLDİ",Başvuru!$A:$A,"&lt;&gt;"&amp;"",Başvuru!$F:$F,"&lt;&gt;"&amp;""))</f>
        <v>0</v>
      </c>
      <c r="Q27" s="166" t="s">
        <v>884</v>
      </c>
      <c r="R27" s="167">
        <f>COUNTIFS(Başvuru!$C:$C,Q27,Başvuru!$A:$A,"&lt;&gt;"&amp;"",Başvuru!$F:$F,"&lt;&gt;"&amp;"")</f>
        <v>2</v>
      </c>
      <c r="S27" s="167">
        <f>RANK(R27,$R$6:$R$324,0)+COUNTIF($R$6:R27,R27)-1</f>
        <v>78</v>
      </c>
    </row>
    <row r="28" spans="2:19" ht="15" customHeight="1" x14ac:dyDescent="0.25">
      <c r="B28" s="155">
        <v>23</v>
      </c>
      <c r="C28" s="156" t="str">
        <f>IFERROR(INDEX($Q$6:$Q$324,MATCH(23,$S$6:$S$324,0)),"")</f>
        <v>Dr. Öğr. Üyesi Burcu KELLECİ ÇAKIR</v>
      </c>
      <c r="D28" s="157">
        <f>IF(C28="","",COUNTIFS(Başvuru!$C:$C,C28,Başvuru!$A:$A,"&lt;&gt;"&amp;"",Başvuru!$F:$F,"&lt;&gt;"&amp;""))</f>
        <v>5</v>
      </c>
      <c r="E28" s="155" t="str">
        <f>IF(C28="","-",IF(D28&gt;0,TEXT(D28/(COUNTIFS(Başvuru!$A:$A,"&lt;&gt;",Başvuru!$F:$F,"&lt;&gt;")-1)*100,"0.0")&amp;"%","-"))</f>
        <v>01%</v>
      </c>
      <c r="F28" s="158">
        <f>IF(C28="","",COUNTIFS(Başvuru!$C:$C,C28,Başvuru!$G:$G,"Bireysel Araştırma",Başvuru!$A:$A,"&lt;&gt;"&amp;"",Başvuru!$F:$F,"&lt;&gt;"&amp;""))</f>
        <v>4</v>
      </c>
      <c r="G28" s="158">
        <f>IF(C28="","",COUNTIFS(Başvuru!$C:$C,C28,Başvuru!$G:$G,"Uzmanlık Tezi",Başvuru!$A:$A,"&lt;&gt;"&amp;"",Başvuru!$F:$F,"&lt;&gt;"&amp;""))</f>
        <v>0</v>
      </c>
      <c r="H28" s="158">
        <f>IF(C28="","",COUNTIFS(Başvuru!$C:$C,C28,Başvuru!$G:$G,"Doktora Tezi",Başvuru!$A:$A,"&lt;&gt;"&amp;"",Başvuru!$F:$F,"&lt;&gt;"&amp;""))</f>
        <v>0</v>
      </c>
      <c r="I28" s="158">
        <f>IF(C28="","",COUNTIFS(Başvuru!$C:$C,C28,Başvuru!$G:$G,"Yüksek Lisans Tezi",Başvuru!$A:$A,"&lt;&gt;"&amp;"",Başvuru!$F:$F,"&lt;&gt;"&amp;""))</f>
        <v>1</v>
      </c>
      <c r="J28" s="159">
        <f>IF(C28="","",COUNTIFS(Başvuru!$C:$C,C28,Başvuru!$L:$L,"ONAY",Başvuru!$A:$A,"&lt;&gt;"&amp;"",Başvuru!$F:$F,"&lt;&gt;"&amp;""))</f>
        <v>4</v>
      </c>
      <c r="K28" s="160">
        <f>IF(C28="","",COUNTIFS(Başvuru!$C:$C,C28,Başvuru!$L:$L,"DÜZELTME",Başvuru!$A:$A,"&lt;&gt;"&amp;"",Başvuru!$F:$F,"&lt;&gt;"&amp;""))</f>
        <v>1</v>
      </c>
      <c r="L28" s="161">
        <f>IF(C28="","",COUNTIFS(Başvuru!$C:$C,C28,Başvuru!$L:$L,"KAEK",Başvuru!$A:$A,"&lt;&gt;"&amp;"",Başvuru!$F:$F,"&lt;&gt;"&amp;""))</f>
        <v>0</v>
      </c>
      <c r="M28" s="162">
        <f>IF(C28="","",COUNTIFS(Başvuru!$C:$C,C28,Başvuru!$L:$L,"GÖRÜŞ",Başvuru!$A:$A,"&lt;&gt;"&amp;"",Başvuru!$F:$F,"&lt;&gt;"&amp;""))</f>
        <v>0</v>
      </c>
      <c r="N28" s="163">
        <f>IF(C28="","",COUNTIFS(Başvuru!$C:$C,C28,Başvuru!$L:$L,"RET",Başvuru!$A:$A,"&lt;&gt;"&amp;"",Başvuru!$F:$F,"&lt;&gt;"&amp;""))</f>
        <v>0</v>
      </c>
      <c r="O28" s="164">
        <f>IF(C28="","",COUNTIFS(Başvuru!$C:$C,C28,Başvuru!$L:$L,"KAPSAM DIŞI",Başvuru!$A:$A,"&lt;&gt;"&amp;"",Başvuru!$F:$F,"&lt;&gt;"&amp;""))</f>
        <v>0</v>
      </c>
      <c r="P28" s="165">
        <f>IF(C28="","",COUNTIFS(Başvuru!$C:$C,C28,Başvuru!$L:$L,"GERİ ÇEKİLDİ",Başvuru!$A:$A,"&lt;&gt;"&amp;"",Başvuru!$F:$F,"&lt;&gt;"&amp;""))</f>
        <v>0</v>
      </c>
      <c r="Q28" s="166" t="s">
        <v>1616</v>
      </c>
      <c r="R28" s="167">
        <f>COUNTIFS(Başvuru!$C:$C,Q28,Başvuru!$A:$A,"&lt;&gt;"&amp;"",Başvuru!$F:$F,"&lt;&gt;"&amp;"")</f>
        <v>7</v>
      </c>
      <c r="S28" s="167">
        <f>RANK(R28,$R$6:$R$324,0)+COUNTIF($R$6:R28,R28)-1</f>
        <v>10</v>
      </c>
    </row>
    <row r="29" spans="2:19" ht="15" customHeight="1" x14ac:dyDescent="0.25">
      <c r="B29" s="168">
        <v>24</v>
      </c>
      <c r="C29" s="169" t="str">
        <f>IFERROR(INDEX($Q$6:$Q$324,MATCH(24,$S$6:$S$324,0)),"")</f>
        <v>Prof. Dr. Alp ÇETİN</v>
      </c>
      <c r="D29" s="170">
        <f>IF(C29="","",COUNTIFS(Başvuru!$C:$C,C29,Başvuru!$A:$A,"&lt;&gt;"&amp;"",Başvuru!$F:$F,"&lt;&gt;"&amp;""))</f>
        <v>5</v>
      </c>
      <c r="E29" s="168" t="str">
        <f>IF(C29="","-",IF(D29&gt;0,TEXT(D29/(COUNTIFS(Başvuru!$A:$A,"&lt;&gt;",Başvuru!$F:$F,"&lt;&gt;")-1)*100,"0.0")&amp;"%","-"))</f>
        <v>01%</v>
      </c>
      <c r="F29" s="171">
        <f>IF(C29="","",COUNTIFS(Başvuru!$C:$C,C29,Başvuru!$G:$G,"Bireysel Araştırma",Başvuru!$A:$A,"&lt;&gt;"&amp;"",Başvuru!$F:$F,"&lt;&gt;"&amp;""))</f>
        <v>4</v>
      </c>
      <c r="G29" s="171">
        <f>IF(C29="","",COUNTIFS(Başvuru!$C:$C,C29,Başvuru!$G:$G,"Uzmanlık Tezi",Başvuru!$A:$A,"&lt;&gt;"&amp;"",Başvuru!$F:$F,"&lt;&gt;"&amp;""))</f>
        <v>1</v>
      </c>
      <c r="H29" s="171">
        <f>IF(C29="","",COUNTIFS(Başvuru!$C:$C,C29,Başvuru!$G:$G,"Doktora Tezi",Başvuru!$A:$A,"&lt;&gt;"&amp;"",Başvuru!$F:$F,"&lt;&gt;"&amp;""))</f>
        <v>0</v>
      </c>
      <c r="I29" s="171">
        <f>IF(C29="","",COUNTIFS(Başvuru!$C:$C,C29,Başvuru!$G:$G,"Yüksek Lisans Tezi",Başvuru!$A:$A,"&lt;&gt;"&amp;"",Başvuru!$F:$F,"&lt;&gt;"&amp;""))</f>
        <v>0</v>
      </c>
      <c r="J29" s="172">
        <f>IF(C29="","",COUNTIFS(Başvuru!$C:$C,C29,Başvuru!$L:$L,"ONAY",Başvuru!$A:$A,"&lt;&gt;"&amp;"",Başvuru!$F:$F,"&lt;&gt;"&amp;""))</f>
        <v>1</v>
      </c>
      <c r="K29" s="173">
        <f>IF(C29="","",COUNTIFS(Başvuru!$C:$C,C29,Başvuru!$L:$L,"DÜZELTME",Başvuru!$A:$A,"&lt;&gt;"&amp;"",Başvuru!$F:$F,"&lt;&gt;"&amp;""))</f>
        <v>1</v>
      </c>
      <c r="L29" s="174">
        <f>IF(C29="","",COUNTIFS(Başvuru!$C:$C,C29,Başvuru!$L:$L,"KAEK",Başvuru!$A:$A,"&lt;&gt;"&amp;"",Başvuru!$F:$F,"&lt;&gt;"&amp;""))</f>
        <v>0</v>
      </c>
      <c r="M29" s="175">
        <f>IF(C29="","",COUNTIFS(Başvuru!$C:$C,C29,Başvuru!$L:$L,"GÖRÜŞ",Başvuru!$A:$A,"&lt;&gt;"&amp;"",Başvuru!$F:$F,"&lt;&gt;"&amp;""))</f>
        <v>0</v>
      </c>
      <c r="N29" s="176">
        <f>IF(C29="","",COUNTIFS(Başvuru!$C:$C,C29,Başvuru!$L:$L,"RET",Başvuru!$A:$A,"&lt;&gt;"&amp;"",Başvuru!$F:$F,"&lt;&gt;"&amp;""))</f>
        <v>2</v>
      </c>
      <c r="O29" s="177">
        <f>IF(C29="","",COUNTIFS(Başvuru!$C:$C,C29,Başvuru!$L:$L,"KAPSAM DIŞI",Başvuru!$A:$A,"&lt;&gt;"&amp;"",Başvuru!$F:$F,"&lt;&gt;"&amp;""))</f>
        <v>0</v>
      </c>
      <c r="P29" s="178">
        <f>IF(C29="","",COUNTIFS(Başvuru!$C:$C,C29,Başvuru!$L:$L,"GERİ ÇEKİLDİ",Başvuru!$A:$A,"&lt;&gt;"&amp;"",Başvuru!$F:$F,"&lt;&gt;"&amp;""))</f>
        <v>0</v>
      </c>
      <c r="Q29" s="166" t="s">
        <v>1626</v>
      </c>
      <c r="R29" s="167">
        <f>COUNTIFS(Başvuru!$C:$C,Q29,Başvuru!$A:$A,"&lt;&gt;"&amp;"",Başvuru!$F:$F,"&lt;&gt;"&amp;"")</f>
        <v>1</v>
      </c>
      <c r="S29" s="167">
        <f>RANK(R29,$R$6:$R$324,0)+COUNTIF($R$6:R29,R29)-1</f>
        <v>152</v>
      </c>
    </row>
    <row r="30" spans="2:19" ht="15" customHeight="1" x14ac:dyDescent="0.25">
      <c r="B30" s="155">
        <v>25</v>
      </c>
      <c r="C30" s="156" t="str">
        <f>IFERROR(INDEX($Q$6:$Q$324,MATCH(25,$S$6:$S$324,0)),"")</f>
        <v>Prof. Dr. Gül KARAKAYA</v>
      </c>
      <c r="D30" s="157">
        <f>IF(C30="","",COUNTIFS(Başvuru!$C:$C,C30,Başvuru!$A:$A,"&lt;&gt;"&amp;"",Başvuru!$F:$F,"&lt;&gt;"&amp;""))</f>
        <v>5</v>
      </c>
      <c r="E30" s="155" t="str">
        <f>IF(C30="","-",IF(D30&gt;0,TEXT(D30/(COUNTIFS(Başvuru!$A:$A,"&lt;&gt;",Başvuru!$F:$F,"&lt;&gt;")-1)*100,"0.0")&amp;"%","-"))</f>
        <v>01%</v>
      </c>
      <c r="F30" s="158">
        <f>IF(C30="","",COUNTIFS(Başvuru!$C:$C,C30,Başvuru!$G:$G,"Bireysel Araştırma",Başvuru!$A:$A,"&lt;&gt;"&amp;"",Başvuru!$F:$F,"&lt;&gt;"&amp;""))</f>
        <v>5</v>
      </c>
      <c r="G30" s="158">
        <f>IF(C30="","",COUNTIFS(Başvuru!$C:$C,C30,Başvuru!$G:$G,"Uzmanlık Tezi",Başvuru!$A:$A,"&lt;&gt;"&amp;"",Başvuru!$F:$F,"&lt;&gt;"&amp;""))</f>
        <v>0</v>
      </c>
      <c r="H30" s="158">
        <f>IF(C30="","",COUNTIFS(Başvuru!$C:$C,C30,Başvuru!$G:$G,"Doktora Tezi",Başvuru!$A:$A,"&lt;&gt;"&amp;"",Başvuru!$F:$F,"&lt;&gt;"&amp;""))</f>
        <v>0</v>
      </c>
      <c r="I30" s="158">
        <f>IF(C30="","",COUNTIFS(Başvuru!$C:$C,C30,Başvuru!$G:$G,"Yüksek Lisans Tezi",Başvuru!$A:$A,"&lt;&gt;"&amp;"",Başvuru!$F:$F,"&lt;&gt;"&amp;""))</f>
        <v>0</v>
      </c>
      <c r="J30" s="159">
        <f>IF(C30="","",COUNTIFS(Başvuru!$C:$C,C30,Başvuru!$L:$L,"ONAY",Başvuru!$A:$A,"&lt;&gt;"&amp;"",Başvuru!$F:$F,"&lt;&gt;"&amp;""))</f>
        <v>4</v>
      </c>
      <c r="K30" s="160">
        <f>IF(C30="","",COUNTIFS(Başvuru!$C:$C,C30,Başvuru!$L:$L,"DÜZELTME",Başvuru!$A:$A,"&lt;&gt;"&amp;"",Başvuru!$F:$F,"&lt;&gt;"&amp;""))</f>
        <v>1</v>
      </c>
      <c r="L30" s="161">
        <f>IF(C30="","",COUNTIFS(Başvuru!$C:$C,C30,Başvuru!$L:$L,"KAEK",Başvuru!$A:$A,"&lt;&gt;"&amp;"",Başvuru!$F:$F,"&lt;&gt;"&amp;""))</f>
        <v>0</v>
      </c>
      <c r="M30" s="162">
        <f>IF(C30="","",COUNTIFS(Başvuru!$C:$C,C30,Başvuru!$L:$L,"GÖRÜŞ",Başvuru!$A:$A,"&lt;&gt;"&amp;"",Başvuru!$F:$F,"&lt;&gt;"&amp;""))</f>
        <v>0</v>
      </c>
      <c r="N30" s="163">
        <f>IF(C30="","",COUNTIFS(Başvuru!$C:$C,C30,Başvuru!$L:$L,"RET",Başvuru!$A:$A,"&lt;&gt;"&amp;"",Başvuru!$F:$F,"&lt;&gt;"&amp;""))</f>
        <v>0</v>
      </c>
      <c r="O30" s="164">
        <f>IF(C30="","",COUNTIFS(Başvuru!$C:$C,C30,Başvuru!$L:$L,"KAPSAM DIŞI",Başvuru!$A:$A,"&lt;&gt;"&amp;"",Başvuru!$F:$F,"&lt;&gt;"&amp;""))</f>
        <v>0</v>
      </c>
      <c r="P30" s="165">
        <f>IF(C30="","",COUNTIFS(Başvuru!$C:$C,C30,Başvuru!$L:$L,"GERİ ÇEKİLDİ",Başvuru!$A:$A,"&lt;&gt;"&amp;"",Başvuru!$F:$F,"&lt;&gt;"&amp;""))</f>
        <v>0</v>
      </c>
      <c r="Q30" s="166" t="s">
        <v>1559</v>
      </c>
      <c r="R30" s="167">
        <f>COUNTIFS(Başvuru!$C:$C,Q30,Başvuru!$A:$A,"&lt;&gt;"&amp;"",Başvuru!$F:$F,"&lt;&gt;"&amp;"")</f>
        <v>7</v>
      </c>
      <c r="S30" s="167">
        <f>RANK(R30,$R$6:$R$324,0)+COUNTIF($R$6:R30,R30)-1</f>
        <v>11</v>
      </c>
    </row>
    <row r="31" spans="2:19" ht="15" customHeight="1" x14ac:dyDescent="0.25">
      <c r="B31" s="168">
        <v>26</v>
      </c>
      <c r="C31" s="169" t="str">
        <f>IFERROR(INDEX($Q$6:$Q$324,MATCH(26,$S$6:$S$324,0)),"")</f>
        <v>Prof. Dr. Murat GÜLTEKİN</v>
      </c>
      <c r="D31" s="170">
        <f>IF(C31="","",COUNTIFS(Başvuru!$C:$C,C31,Başvuru!$A:$A,"&lt;&gt;"&amp;"",Başvuru!$F:$F,"&lt;&gt;"&amp;""))</f>
        <v>5</v>
      </c>
      <c r="E31" s="168" t="str">
        <f>IF(C31="","-",IF(D31&gt;0,TEXT(D31/(COUNTIFS(Başvuru!$A:$A,"&lt;&gt;",Başvuru!$F:$F,"&lt;&gt;")-1)*100,"0.0")&amp;"%","-"))</f>
        <v>01%</v>
      </c>
      <c r="F31" s="171">
        <f>IF(C31="","",COUNTIFS(Başvuru!$C:$C,C31,Başvuru!$G:$G,"Bireysel Araştırma",Başvuru!$A:$A,"&lt;&gt;"&amp;"",Başvuru!$F:$F,"&lt;&gt;"&amp;""))</f>
        <v>5</v>
      </c>
      <c r="G31" s="171">
        <f>IF(C31="","",COUNTIFS(Başvuru!$C:$C,C31,Başvuru!$G:$G,"Uzmanlık Tezi",Başvuru!$A:$A,"&lt;&gt;"&amp;"",Başvuru!$F:$F,"&lt;&gt;"&amp;""))</f>
        <v>0</v>
      </c>
      <c r="H31" s="171">
        <f>IF(C31="","",COUNTIFS(Başvuru!$C:$C,C31,Başvuru!$G:$G,"Doktora Tezi",Başvuru!$A:$A,"&lt;&gt;"&amp;"",Başvuru!$F:$F,"&lt;&gt;"&amp;""))</f>
        <v>0</v>
      </c>
      <c r="I31" s="171">
        <f>IF(C31="","",COUNTIFS(Başvuru!$C:$C,C31,Başvuru!$G:$G,"Yüksek Lisans Tezi",Başvuru!$A:$A,"&lt;&gt;"&amp;"",Başvuru!$F:$F,"&lt;&gt;"&amp;""))</f>
        <v>0</v>
      </c>
      <c r="J31" s="172">
        <f>IF(C31="","",COUNTIFS(Başvuru!$C:$C,C31,Başvuru!$L:$L,"ONAY",Başvuru!$A:$A,"&lt;&gt;"&amp;"",Başvuru!$F:$F,"&lt;&gt;"&amp;""))</f>
        <v>1</v>
      </c>
      <c r="K31" s="173">
        <f>IF(C31="","",COUNTIFS(Başvuru!$C:$C,C31,Başvuru!$L:$L,"DÜZELTME",Başvuru!$A:$A,"&lt;&gt;"&amp;"",Başvuru!$F:$F,"&lt;&gt;"&amp;""))</f>
        <v>0</v>
      </c>
      <c r="L31" s="174">
        <f>IF(C31="","",COUNTIFS(Başvuru!$C:$C,C31,Başvuru!$L:$L,"KAEK",Başvuru!$A:$A,"&lt;&gt;"&amp;"",Başvuru!$F:$F,"&lt;&gt;"&amp;""))</f>
        <v>2</v>
      </c>
      <c r="M31" s="175">
        <f>IF(C31="","",COUNTIFS(Başvuru!$C:$C,C31,Başvuru!$L:$L,"GÖRÜŞ",Başvuru!$A:$A,"&lt;&gt;"&amp;"",Başvuru!$F:$F,"&lt;&gt;"&amp;""))</f>
        <v>1</v>
      </c>
      <c r="N31" s="176">
        <f>IF(C31="","",COUNTIFS(Başvuru!$C:$C,C31,Başvuru!$L:$L,"RET",Başvuru!$A:$A,"&lt;&gt;"&amp;"",Başvuru!$F:$F,"&lt;&gt;"&amp;""))</f>
        <v>1</v>
      </c>
      <c r="O31" s="177">
        <f>IF(C31="","",COUNTIFS(Başvuru!$C:$C,C31,Başvuru!$L:$L,"KAPSAM DIŞI",Başvuru!$A:$A,"&lt;&gt;"&amp;"",Başvuru!$F:$F,"&lt;&gt;"&amp;""))</f>
        <v>0</v>
      </c>
      <c r="P31" s="178">
        <f>IF(C31="","",COUNTIFS(Başvuru!$C:$C,C31,Başvuru!$L:$L,"GERİ ÇEKİLDİ",Başvuru!$A:$A,"&lt;&gt;"&amp;"",Başvuru!$F:$F,"&lt;&gt;"&amp;""))</f>
        <v>0</v>
      </c>
      <c r="Q31" s="166" t="s">
        <v>1739</v>
      </c>
      <c r="R31" s="167">
        <f>COUNTIFS(Başvuru!$C:$C,Q31,Başvuru!$A:$A,"&lt;&gt;"&amp;"",Başvuru!$F:$F,"&lt;&gt;"&amp;"")</f>
        <v>2</v>
      </c>
      <c r="S31" s="167">
        <f>RANK(R31,$R$6:$R$324,0)+COUNTIF($R$6:R31,R31)-1</f>
        <v>79</v>
      </c>
    </row>
    <row r="32" spans="2:19" ht="15" customHeight="1" x14ac:dyDescent="0.25">
      <c r="B32" s="155">
        <v>27</v>
      </c>
      <c r="C32" s="156" t="str">
        <f>IFERROR(INDEX($Q$6:$Q$324,MATCH(27,$S$6:$S$324,0)),"")</f>
        <v>Prof. Dr. Şule ÜNAL CANGÜL</v>
      </c>
      <c r="D32" s="157">
        <f>IF(C32="","",COUNTIFS(Başvuru!$C:$C,C32,Başvuru!$A:$A,"&lt;&gt;"&amp;"",Başvuru!$F:$F,"&lt;&gt;"&amp;""))</f>
        <v>5</v>
      </c>
      <c r="E32" s="155" t="str">
        <f>IF(C32="","-",IF(D32&gt;0,TEXT(D32/(COUNTIFS(Başvuru!$A:$A,"&lt;&gt;",Başvuru!$F:$F,"&lt;&gt;")-1)*100,"0.0")&amp;"%","-"))</f>
        <v>01%</v>
      </c>
      <c r="F32" s="158">
        <f>IF(C32="","",COUNTIFS(Başvuru!$C:$C,C32,Başvuru!$G:$G,"Bireysel Araştırma",Başvuru!$A:$A,"&lt;&gt;"&amp;"",Başvuru!$F:$F,"&lt;&gt;"&amp;""))</f>
        <v>4</v>
      </c>
      <c r="G32" s="158">
        <f>IF(C32="","",COUNTIFS(Başvuru!$C:$C,C32,Başvuru!$G:$G,"Uzmanlık Tezi",Başvuru!$A:$A,"&lt;&gt;"&amp;"",Başvuru!$F:$F,"&lt;&gt;"&amp;""))</f>
        <v>1</v>
      </c>
      <c r="H32" s="158">
        <f>IF(C32="","",COUNTIFS(Başvuru!$C:$C,C32,Başvuru!$G:$G,"Doktora Tezi",Başvuru!$A:$A,"&lt;&gt;"&amp;"",Başvuru!$F:$F,"&lt;&gt;"&amp;""))</f>
        <v>0</v>
      </c>
      <c r="I32" s="158">
        <f>IF(C32="","",COUNTIFS(Başvuru!$C:$C,C32,Başvuru!$G:$G,"Yüksek Lisans Tezi",Başvuru!$A:$A,"&lt;&gt;"&amp;"",Başvuru!$F:$F,"&lt;&gt;"&amp;""))</f>
        <v>0</v>
      </c>
      <c r="J32" s="159">
        <f>IF(C32="","",COUNTIFS(Başvuru!$C:$C,C32,Başvuru!$L:$L,"ONAY",Başvuru!$A:$A,"&lt;&gt;"&amp;"",Başvuru!$F:$F,"&lt;&gt;"&amp;""))</f>
        <v>2</v>
      </c>
      <c r="K32" s="160">
        <f>IF(C32="","",COUNTIFS(Başvuru!$C:$C,C32,Başvuru!$L:$L,"DÜZELTME",Başvuru!$A:$A,"&lt;&gt;"&amp;"",Başvuru!$F:$F,"&lt;&gt;"&amp;""))</f>
        <v>2</v>
      </c>
      <c r="L32" s="161">
        <f>IF(C32="","",COUNTIFS(Başvuru!$C:$C,C32,Başvuru!$L:$L,"KAEK",Başvuru!$A:$A,"&lt;&gt;"&amp;"",Başvuru!$F:$F,"&lt;&gt;"&amp;""))</f>
        <v>1</v>
      </c>
      <c r="M32" s="162">
        <f>IF(C32="","",COUNTIFS(Başvuru!$C:$C,C32,Başvuru!$L:$L,"GÖRÜŞ",Başvuru!$A:$A,"&lt;&gt;"&amp;"",Başvuru!$F:$F,"&lt;&gt;"&amp;""))</f>
        <v>0</v>
      </c>
      <c r="N32" s="163">
        <f>IF(C32="","",COUNTIFS(Başvuru!$C:$C,C32,Başvuru!$L:$L,"RET",Başvuru!$A:$A,"&lt;&gt;"&amp;"",Başvuru!$F:$F,"&lt;&gt;"&amp;""))</f>
        <v>0</v>
      </c>
      <c r="O32" s="164">
        <f>IF(C32="","",COUNTIFS(Başvuru!$C:$C,C32,Başvuru!$L:$L,"KAPSAM DIŞI",Başvuru!$A:$A,"&lt;&gt;"&amp;"",Başvuru!$F:$F,"&lt;&gt;"&amp;""))</f>
        <v>0</v>
      </c>
      <c r="P32" s="165">
        <f>IF(C32="","",COUNTIFS(Başvuru!$C:$C,C32,Başvuru!$L:$L,"GERİ ÇEKİLDİ",Başvuru!$A:$A,"&lt;&gt;"&amp;"",Başvuru!$F:$F,"&lt;&gt;"&amp;""))</f>
        <v>0</v>
      </c>
      <c r="Q32" s="166" t="s">
        <v>707</v>
      </c>
      <c r="R32" s="167">
        <f>COUNTIFS(Başvuru!$C:$C,Q32,Başvuru!$A:$A,"&lt;&gt;"&amp;"",Başvuru!$F:$F,"&lt;&gt;"&amp;"")</f>
        <v>2</v>
      </c>
      <c r="S32" s="167">
        <f>RANK(R32,$R$6:$R$324,0)+COUNTIF($R$6:R32,R32)-1</f>
        <v>80</v>
      </c>
    </row>
    <row r="33" spans="2:19" ht="15" customHeight="1" x14ac:dyDescent="0.25">
      <c r="B33" s="168">
        <v>28</v>
      </c>
      <c r="C33" s="169" t="str">
        <f>IFERROR(INDEX($Q$6:$Q$324,MATCH(28,$S$6:$S$324,0)),"")</f>
        <v>Doç. Dr. Ahmet KIVRAK</v>
      </c>
      <c r="D33" s="170">
        <f>IF(C33="","",COUNTIFS(Başvuru!$C:$C,C33,Başvuru!$A:$A,"&lt;&gt;"&amp;"",Başvuru!$F:$F,"&lt;&gt;"&amp;""))</f>
        <v>4</v>
      </c>
      <c r="E33" s="168" t="str">
        <f>IF(C33="","-",IF(D33&gt;0,TEXT(D33/(COUNTIFS(Başvuru!$A:$A,"&lt;&gt;",Başvuru!$F:$F,"&lt;&gt;")-1)*100,"0.0")&amp;"%","-"))</f>
        <v>01%</v>
      </c>
      <c r="F33" s="171">
        <f>IF(C33="","",COUNTIFS(Başvuru!$C:$C,C33,Başvuru!$G:$G,"Bireysel Araştırma",Başvuru!$A:$A,"&lt;&gt;"&amp;"",Başvuru!$F:$F,"&lt;&gt;"&amp;""))</f>
        <v>4</v>
      </c>
      <c r="G33" s="171">
        <f>IF(C33="","",COUNTIFS(Başvuru!$C:$C,C33,Başvuru!$G:$G,"Uzmanlık Tezi",Başvuru!$A:$A,"&lt;&gt;"&amp;"",Başvuru!$F:$F,"&lt;&gt;"&amp;""))</f>
        <v>0</v>
      </c>
      <c r="H33" s="171">
        <f>IF(C33="","",COUNTIFS(Başvuru!$C:$C,C33,Başvuru!$G:$G,"Doktora Tezi",Başvuru!$A:$A,"&lt;&gt;"&amp;"",Başvuru!$F:$F,"&lt;&gt;"&amp;""))</f>
        <v>0</v>
      </c>
      <c r="I33" s="171">
        <f>IF(C33="","",COUNTIFS(Başvuru!$C:$C,C33,Başvuru!$G:$G,"Yüksek Lisans Tezi",Başvuru!$A:$A,"&lt;&gt;"&amp;"",Başvuru!$F:$F,"&lt;&gt;"&amp;""))</f>
        <v>0</v>
      </c>
      <c r="J33" s="172">
        <f>IF(C33="","",COUNTIFS(Başvuru!$C:$C,C33,Başvuru!$L:$L,"ONAY",Başvuru!$A:$A,"&lt;&gt;"&amp;"",Başvuru!$F:$F,"&lt;&gt;"&amp;""))</f>
        <v>3</v>
      </c>
      <c r="K33" s="173">
        <f>IF(C33="","",COUNTIFS(Başvuru!$C:$C,C33,Başvuru!$L:$L,"DÜZELTME",Başvuru!$A:$A,"&lt;&gt;"&amp;"",Başvuru!$F:$F,"&lt;&gt;"&amp;""))</f>
        <v>1</v>
      </c>
      <c r="L33" s="174">
        <f>IF(C33="","",COUNTIFS(Başvuru!$C:$C,C33,Başvuru!$L:$L,"KAEK",Başvuru!$A:$A,"&lt;&gt;"&amp;"",Başvuru!$F:$F,"&lt;&gt;"&amp;""))</f>
        <v>0</v>
      </c>
      <c r="M33" s="175">
        <f>IF(C33="","",COUNTIFS(Başvuru!$C:$C,C33,Başvuru!$L:$L,"GÖRÜŞ",Başvuru!$A:$A,"&lt;&gt;"&amp;"",Başvuru!$F:$F,"&lt;&gt;"&amp;""))</f>
        <v>0</v>
      </c>
      <c r="N33" s="176">
        <f>IF(C33="","",COUNTIFS(Başvuru!$C:$C,C33,Başvuru!$L:$L,"RET",Başvuru!$A:$A,"&lt;&gt;"&amp;"",Başvuru!$F:$F,"&lt;&gt;"&amp;""))</f>
        <v>0</v>
      </c>
      <c r="O33" s="177">
        <f>IF(C33="","",COUNTIFS(Başvuru!$C:$C,C33,Başvuru!$L:$L,"KAPSAM DIŞI",Başvuru!$A:$A,"&lt;&gt;"&amp;"",Başvuru!$F:$F,"&lt;&gt;"&amp;""))</f>
        <v>0</v>
      </c>
      <c r="P33" s="178">
        <f>IF(C33="","",COUNTIFS(Başvuru!$C:$C,C33,Başvuru!$L:$L,"GERİ ÇEKİLDİ",Başvuru!$A:$A,"&lt;&gt;"&amp;"",Başvuru!$F:$F,"&lt;&gt;"&amp;""))</f>
        <v>0</v>
      </c>
      <c r="Q33" s="166" t="s">
        <v>755</v>
      </c>
      <c r="R33" s="167">
        <f>COUNTIFS(Başvuru!$C:$C,Q33,Başvuru!$A:$A,"&lt;&gt;"&amp;"",Başvuru!$F:$F,"&lt;&gt;"&amp;"")</f>
        <v>2</v>
      </c>
      <c r="S33" s="167">
        <f>RANK(R33,$R$6:$R$324,0)+COUNTIF($R$6:R33,R33)-1</f>
        <v>81</v>
      </c>
    </row>
    <row r="34" spans="2:19" ht="15" customHeight="1" x14ac:dyDescent="0.25">
      <c r="B34" s="155">
        <v>29</v>
      </c>
      <c r="C34" s="156" t="str">
        <f>IFERROR(INDEX($Q$6:$Q$324,MATCH(29,$S$6:$S$324,0)),"")</f>
        <v>Doç. Dr. Dilek ÜNAL</v>
      </c>
      <c r="D34" s="157">
        <f>IF(C34="","",COUNTIFS(Başvuru!$C:$C,C34,Başvuru!$A:$A,"&lt;&gt;"&amp;"",Başvuru!$F:$F,"&lt;&gt;"&amp;""))</f>
        <v>4</v>
      </c>
      <c r="E34" s="155" t="str">
        <f>IF(C34="","-",IF(D34&gt;0,TEXT(D34/(COUNTIFS(Başvuru!$A:$A,"&lt;&gt;",Başvuru!$F:$F,"&lt;&gt;")-1)*100,"0.0")&amp;"%","-"))</f>
        <v>01%</v>
      </c>
      <c r="F34" s="158">
        <f>IF(C34="","",COUNTIFS(Başvuru!$C:$C,C34,Başvuru!$G:$G,"Bireysel Araştırma",Başvuru!$A:$A,"&lt;&gt;"&amp;"",Başvuru!$F:$F,"&lt;&gt;"&amp;""))</f>
        <v>2</v>
      </c>
      <c r="G34" s="158">
        <f>IF(C34="","",COUNTIFS(Başvuru!$C:$C,C34,Başvuru!$G:$G,"Uzmanlık Tezi",Başvuru!$A:$A,"&lt;&gt;"&amp;"",Başvuru!$F:$F,"&lt;&gt;"&amp;""))</f>
        <v>2</v>
      </c>
      <c r="H34" s="158">
        <f>IF(C34="","",COUNTIFS(Başvuru!$C:$C,C34,Başvuru!$G:$G,"Doktora Tezi",Başvuru!$A:$A,"&lt;&gt;"&amp;"",Başvuru!$F:$F,"&lt;&gt;"&amp;""))</f>
        <v>0</v>
      </c>
      <c r="I34" s="158">
        <f>IF(C34="","",COUNTIFS(Başvuru!$C:$C,C34,Başvuru!$G:$G,"Yüksek Lisans Tezi",Başvuru!$A:$A,"&lt;&gt;"&amp;"",Başvuru!$F:$F,"&lt;&gt;"&amp;""))</f>
        <v>0</v>
      </c>
      <c r="J34" s="159">
        <f>IF(C34="","",COUNTIFS(Başvuru!$C:$C,C34,Başvuru!$L:$L,"ONAY",Başvuru!$A:$A,"&lt;&gt;"&amp;"",Başvuru!$F:$F,"&lt;&gt;"&amp;""))</f>
        <v>1</v>
      </c>
      <c r="K34" s="160">
        <f>IF(C34="","",COUNTIFS(Başvuru!$C:$C,C34,Başvuru!$L:$L,"DÜZELTME",Başvuru!$A:$A,"&lt;&gt;"&amp;"",Başvuru!$F:$F,"&lt;&gt;"&amp;""))</f>
        <v>3</v>
      </c>
      <c r="L34" s="161">
        <f>IF(C34="","",COUNTIFS(Başvuru!$C:$C,C34,Başvuru!$L:$L,"KAEK",Başvuru!$A:$A,"&lt;&gt;"&amp;"",Başvuru!$F:$F,"&lt;&gt;"&amp;""))</f>
        <v>0</v>
      </c>
      <c r="M34" s="162">
        <f>IF(C34="","",COUNTIFS(Başvuru!$C:$C,C34,Başvuru!$L:$L,"GÖRÜŞ",Başvuru!$A:$A,"&lt;&gt;"&amp;"",Başvuru!$F:$F,"&lt;&gt;"&amp;""))</f>
        <v>0</v>
      </c>
      <c r="N34" s="163">
        <f>IF(C34="","",COUNTIFS(Başvuru!$C:$C,C34,Başvuru!$L:$L,"RET",Başvuru!$A:$A,"&lt;&gt;"&amp;"",Başvuru!$F:$F,"&lt;&gt;"&amp;""))</f>
        <v>0</v>
      </c>
      <c r="O34" s="164">
        <f>IF(C34="","",COUNTIFS(Başvuru!$C:$C,C34,Başvuru!$L:$L,"KAPSAM DIŞI",Başvuru!$A:$A,"&lt;&gt;"&amp;"",Başvuru!$F:$F,"&lt;&gt;"&amp;""))</f>
        <v>0</v>
      </c>
      <c r="P34" s="165">
        <f>IF(C34="","",COUNTIFS(Başvuru!$C:$C,C34,Başvuru!$L:$L,"GERİ ÇEKİLDİ",Başvuru!$A:$A,"&lt;&gt;"&amp;"",Başvuru!$F:$F,"&lt;&gt;"&amp;""))</f>
        <v>0</v>
      </c>
      <c r="Q34" s="166" t="s">
        <v>955</v>
      </c>
      <c r="R34" s="167">
        <f>COUNTIFS(Başvuru!$C:$C,Q34,Başvuru!$A:$A,"&lt;&gt;"&amp;"",Başvuru!$F:$F,"&lt;&gt;"&amp;"")</f>
        <v>1</v>
      </c>
      <c r="S34" s="167">
        <f>RANK(R34,$R$6:$R$324,0)+COUNTIF($R$6:R34,R34)-1</f>
        <v>153</v>
      </c>
    </row>
    <row r="35" spans="2:19" ht="15" customHeight="1" x14ac:dyDescent="0.25">
      <c r="B35" s="168">
        <v>30</v>
      </c>
      <c r="C35" s="169" t="str">
        <f>IFERROR(INDEX($Q$6:$Q$324,MATCH(30,$S$6:$S$324,0)),"")</f>
        <v>Doç. Dr. Erdem FADILOĞLU</v>
      </c>
      <c r="D35" s="170">
        <f>IF(C35="","",COUNTIFS(Başvuru!$C:$C,C35,Başvuru!$A:$A,"&lt;&gt;"&amp;"",Başvuru!$F:$F,"&lt;&gt;"&amp;""))</f>
        <v>4</v>
      </c>
      <c r="E35" s="168" t="str">
        <f>IF(C35="","-",IF(D35&gt;0,TEXT(D35/(COUNTIFS(Başvuru!$A:$A,"&lt;&gt;",Başvuru!$F:$F,"&lt;&gt;")-1)*100,"0.0")&amp;"%","-"))</f>
        <v>01%</v>
      </c>
      <c r="F35" s="171">
        <f>IF(C35="","",COUNTIFS(Başvuru!$C:$C,C35,Başvuru!$G:$G,"Bireysel Araştırma",Başvuru!$A:$A,"&lt;&gt;"&amp;"",Başvuru!$F:$F,"&lt;&gt;"&amp;""))</f>
        <v>2</v>
      </c>
      <c r="G35" s="171">
        <f>IF(C35="","",COUNTIFS(Başvuru!$C:$C,C35,Başvuru!$G:$G,"Uzmanlık Tezi",Başvuru!$A:$A,"&lt;&gt;"&amp;"",Başvuru!$F:$F,"&lt;&gt;"&amp;""))</f>
        <v>2</v>
      </c>
      <c r="H35" s="171">
        <f>IF(C35="","",COUNTIFS(Başvuru!$C:$C,C35,Başvuru!$G:$G,"Doktora Tezi",Başvuru!$A:$A,"&lt;&gt;"&amp;"",Başvuru!$F:$F,"&lt;&gt;"&amp;""))</f>
        <v>0</v>
      </c>
      <c r="I35" s="171">
        <f>IF(C35="","",COUNTIFS(Başvuru!$C:$C,C35,Başvuru!$G:$G,"Yüksek Lisans Tezi",Başvuru!$A:$A,"&lt;&gt;"&amp;"",Başvuru!$F:$F,"&lt;&gt;"&amp;""))</f>
        <v>0</v>
      </c>
      <c r="J35" s="172">
        <f>IF(C35="","",COUNTIFS(Başvuru!$C:$C,C35,Başvuru!$L:$L,"ONAY",Başvuru!$A:$A,"&lt;&gt;"&amp;"",Başvuru!$F:$F,"&lt;&gt;"&amp;""))</f>
        <v>1</v>
      </c>
      <c r="K35" s="173">
        <f>IF(C35="","",COUNTIFS(Başvuru!$C:$C,C35,Başvuru!$L:$L,"DÜZELTME",Başvuru!$A:$A,"&lt;&gt;"&amp;"",Başvuru!$F:$F,"&lt;&gt;"&amp;""))</f>
        <v>3</v>
      </c>
      <c r="L35" s="174">
        <f>IF(C35="","",COUNTIFS(Başvuru!$C:$C,C35,Başvuru!$L:$L,"KAEK",Başvuru!$A:$A,"&lt;&gt;"&amp;"",Başvuru!$F:$F,"&lt;&gt;"&amp;""))</f>
        <v>0</v>
      </c>
      <c r="M35" s="175">
        <f>IF(C35="","",COUNTIFS(Başvuru!$C:$C,C35,Başvuru!$L:$L,"GÖRÜŞ",Başvuru!$A:$A,"&lt;&gt;"&amp;"",Başvuru!$F:$F,"&lt;&gt;"&amp;""))</f>
        <v>0</v>
      </c>
      <c r="N35" s="176">
        <f>IF(C35="","",COUNTIFS(Başvuru!$C:$C,C35,Başvuru!$L:$L,"RET",Başvuru!$A:$A,"&lt;&gt;"&amp;"",Başvuru!$F:$F,"&lt;&gt;"&amp;""))</f>
        <v>0</v>
      </c>
      <c r="O35" s="177">
        <f>IF(C35="","",COUNTIFS(Başvuru!$C:$C,C35,Başvuru!$L:$L,"KAPSAM DIŞI",Başvuru!$A:$A,"&lt;&gt;"&amp;"",Başvuru!$F:$F,"&lt;&gt;"&amp;""))</f>
        <v>0</v>
      </c>
      <c r="P35" s="178">
        <f>IF(C35="","",COUNTIFS(Başvuru!$C:$C,C35,Başvuru!$L:$L,"GERİ ÇEKİLDİ",Başvuru!$A:$A,"&lt;&gt;"&amp;"",Başvuru!$F:$F,"&lt;&gt;"&amp;""))</f>
        <v>0</v>
      </c>
      <c r="Q35" s="166" t="s">
        <v>222</v>
      </c>
      <c r="R35" s="167">
        <f>COUNTIFS(Başvuru!$C:$C,Q35,Başvuru!$A:$A,"&lt;&gt;"&amp;"",Başvuru!$F:$F,"&lt;&gt;"&amp;"")</f>
        <v>4</v>
      </c>
      <c r="S35" s="167">
        <f>RANK(R35,$R$6:$R$324,0)+COUNTIF($R$6:R35,R35)-1</f>
        <v>29</v>
      </c>
    </row>
    <row r="36" spans="2:19" ht="15" customHeight="1" x14ac:dyDescent="0.25">
      <c r="B36" s="155">
        <v>31</v>
      </c>
      <c r="C36" s="156" t="str">
        <f>IFERROR(INDEX($Q$6:$Q$324,MATCH(31,$S$6:$S$324,0)),"")</f>
        <v>Doç. Dr. Hilal AKSOY</v>
      </c>
      <c r="D36" s="157">
        <f>IF(C36="","",COUNTIFS(Başvuru!$C:$C,C36,Başvuru!$A:$A,"&lt;&gt;"&amp;"",Başvuru!$F:$F,"&lt;&gt;"&amp;""))</f>
        <v>4</v>
      </c>
      <c r="E36" s="155" t="str">
        <f>IF(C36="","-",IF(D36&gt;0,TEXT(D36/(COUNTIFS(Başvuru!$A:$A,"&lt;&gt;",Başvuru!$F:$F,"&lt;&gt;")-1)*100,"0.0")&amp;"%","-"))</f>
        <v>01%</v>
      </c>
      <c r="F36" s="158">
        <f>IF(C36="","",COUNTIFS(Başvuru!$C:$C,C36,Başvuru!$G:$G,"Bireysel Araştırma",Başvuru!$A:$A,"&lt;&gt;"&amp;"",Başvuru!$F:$F,"&lt;&gt;"&amp;""))</f>
        <v>1</v>
      </c>
      <c r="G36" s="158">
        <f>IF(C36="","",COUNTIFS(Başvuru!$C:$C,C36,Başvuru!$G:$G,"Uzmanlık Tezi",Başvuru!$A:$A,"&lt;&gt;"&amp;"",Başvuru!$F:$F,"&lt;&gt;"&amp;""))</f>
        <v>3</v>
      </c>
      <c r="H36" s="158">
        <f>IF(C36="","",COUNTIFS(Başvuru!$C:$C,C36,Başvuru!$G:$G,"Doktora Tezi",Başvuru!$A:$A,"&lt;&gt;"&amp;"",Başvuru!$F:$F,"&lt;&gt;"&amp;""))</f>
        <v>0</v>
      </c>
      <c r="I36" s="158">
        <f>IF(C36="","",COUNTIFS(Başvuru!$C:$C,C36,Başvuru!$G:$G,"Yüksek Lisans Tezi",Başvuru!$A:$A,"&lt;&gt;"&amp;"",Başvuru!$F:$F,"&lt;&gt;"&amp;""))</f>
        <v>0</v>
      </c>
      <c r="J36" s="159">
        <f>IF(C36="","",COUNTIFS(Başvuru!$C:$C,C36,Başvuru!$L:$L,"ONAY",Başvuru!$A:$A,"&lt;&gt;"&amp;"",Başvuru!$F:$F,"&lt;&gt;"&amp;""))</f>
        <v>1</v>
      </c>
      <c r="K36" s="160">
        <f>IF(C36="","",COUNTIFS(Başvuru!$C:$C,C36,Başvuru!$L:$L,"DÜZELTME",Başvuru!$A:$A,"&lt;&gt;"&amp;"",Başvuru!$F:$F,"&lt;&gt;"&amp;""))</f>
        <v>2</v>
      </c>
      <c r="L36" s="161">
        <f>IF(C36="","",COUNTIFS(Başvuru!$C:$C,C36,Başvuru!$L:$L,"KAEK",Başvuru!$A:$A,"&lt;&gt;"&amp;"",Başvuru!$F:$F,"&lt;&gt;"&amp;""))</f>
        <v>0</v>
      </c>
      <c r="M36" s="162">
        <f>IF(C36="","",COUNTIFS(Başvuru!$C:$C,C36,Başvuru!$L:$L,"GÖRÜŞ",Başvuru!$A:$A,"&lt;&gt;"&amp;"",Başvuru!$F:$F,"&lt;&gt;"&amp;""))</f>
        <v>1</v>
      </c>
      <c r="N36" s="163">
        <f>IF(C36="","",COUNTIFS(Başvuru!$C:$C,C36,Başvuru!$L:$L,"RET",Başvuru!$A:$A,"&lt;&gt;"&amp;"",Başvuru!$F:$F,"&lt;&gt;"&amp;""))</f>
        <v>0</v>
      </c>
      <c r="O36" s="164">
        <f>IF(C36="","",COUNTIFS(Başvuru!$C:$C,C36,Başvuru!$L:$L,"KAPSAM DIŞI",Başvuru!$A:$A,"&lt;&gt;"&amp;"",Başvuru!$F:$F,"&lt;&gt;"&amp;""))</f>
        <v>0</v>
      </c>
      <c r="P36" s="165">
        <f>IF(C36="","",COUNTIFS(Başvuru!$C:$C,C36,Başvuru!$L:$L,"GERİ ÇEKİLDİ",Başvuru!$A:$A,"&lt;&gt;"&amp;"",Başvuru!$F:$F,"&lt;&gt;"&amp;""))</f>
        <v>0</v>
      </c>
      <c r="Q36" s="166" t="s">
        <v>1137</v>
      </c>
      <c r="R36" s="167">
        <f>COUNTIFS(Başvuru!$C:$C,Q36,Başvuru!$A:$A,"&lt;&gt;"&amp;"",Başvuru!$F:$F,"&lt;&gt;"&amp;"")</f>
        <v>5</v>
      </c>
      <c r="S36" s="167">
        <f>RANK(R36,$R$6:$R$324,0)+COUNTIF($R$6:R36,R36)-1</f>
        <v>19</v>
      </c>
    </row>
    <row r="37" spans="2:19" ht="15" customHeight="1" x14ac:dyDescent="0.25">
      <c r="B37" s="168">
        <v>32</v>
      </c>
      <c r="C37" s="169" t="str">
        <f>IFERROR(INDEX($Q$6:$Q$324,MATCH(32,$S$6:$S$324,0)),"")</f>
        <v>Doç. Dr. Kübra AYKAÇ</v>
      </c>
      <c r="D37" s="170">
        <f>IF(C37="","",COUNTIFS(Başvuru!$C:$C,C37,Başvuru!$A:$A,"&lt;&gt;"&amp;"",Başvuru!$F:$F,"&lt;&gt;"&amp;""))</f>
        <v>4</v>
      </c>
      <c r="E37" s="168" t="str">
        <f>IF(C37="","-",IF(D37&gt;0,TEXT(D37/(COUNTIFS(Başvuru!$A:$A,"&lt;&gt;",Başvuru!$F:$F,"&lt;&gt;")-1)*100,"0.0")&amp;"%","-"))</f>
        <v>01%</v>
      </c>
      <c r="F37" s="171">
        <f>IF(C37="","",COUNTIFS(Başvuru!$C:$C,C37,Başvuru!$G:$G,"Bireysel Araştırma",Başvuru!$A:$A,"&lt;&gt;"&amp;"",Başvuru!$F:$F,"&lt;&gt;"&amp;""))</f>
        <v>3</v>
      </c>
      <c r="G37" s="171">
        <f>IF(C37="","",COUNTIFS(Başvuru!$C:$C,C37,Başvuru!$G:$G,"Uzmanlık Tezi",Başvuru!$A:$A,"&lt;&gt;"&amp;"",Başvuru!$F:$F,"&lt;&gt;"&amp;""))</f>
        <v>1</v>
      </c>
      <c r="H37" s="171">
        <f>IF(C37="","",COUNTIFS(Başvuru!$C:$C,C37,Başvuru!$G:$G,"Doktora Tezi",Başvuru!$A:$A,"&lt;&gt;"&amp;"",Başvuru!$F:$F,"&lt;&gt;"&amp;""))</f>
        <v>0</v>
      </c>
      <c r="I37" s="171">
        <f>IF(C37="","",COUNTIFS(Başvuru!$C:$C,C37,Başvuru!$G:$G,"Yüksek Lisans Tezi",Başvuru!$A:$A,"&lt;&gt;"&amp;"",Başvuru!$F:$F,"&lt;&gt;"&amp;""))</f>
        <v>0</v>
      </c>
      <c r="J37" s="172">
        <f>IF(C37="","",COUNTIFS(Başvuru!$C:$C,C37,Başvuru!$L:$L,"ONAY",Başvuru!$A:$A,"&lt;&gt;"&amp;"",Başvuru!$F:$F,"&lt;&gt;"&amp;""))</f>
        <v>1</v>
      </c>
      <c r="K37" s="173">
        <f>IF(C37="","",COUNTIFS(Başvuru!$C:$C,C37,Başvuru!$L:$L,"DÜZELTME",Başvuru!$A:$A,"&lt;&gt;"&amp;"",Başvuru!$F:$F,"&lt;&gt;"&amp;""))</f>
        <v>3</v>
      </c>
      <c r="L37" s="174">
        <f>IF(C37="","",COUNTIFS(Başvuru!$C:$C,C37,Başvuru!$L:$L,"KAEK",Başvuru!$A:$A,"&lt;&gt;"&amp;"",Başvuru!$F:$F,"&lt;&gt;"&amp;""))</f>
        <v>0</v>
      </c>
      <c r="M37" s="175">
        <f>IF(C37="","",COUNTIFS(Başvuru!$C:$C,C37,Başvuru!$L:$L,"GÖRÜŞ",Başvuru!$A:$A,"&lt;&gt;"&amp;"",Başvuru!$F:$F,"&lt;&gt;"&amp;""))</f>
        <v>0</v>
      </c>
      <c r="N37" s="176">
        <f>IF(C37="","",COUNTIFS(Başvuru!$C:$C,C37,Başvuru!$L:$L,"RET",Başvuru!$A:$A,"&lt;&gt;"&amp;"",Başvuru!$F:$F,"&lt;&gt;"&amp;""))</f>
        <v>0</v>
      </c>
      <c r="O37" s="177">
        <f>IF(C37="","",COUNTIFS(Başvuru!$C:$C,C37,Başvuru!$L:$L,"KAPSAM DIŞI",Başvuru!$A:$A,"&lt;&gt;"&amp;"",Başvuru!$F:$F,"&lt;&gt;"&amp;""))</f>
        <v>0</v>
      </c>
      <c r="P37" s="178">
        <f>IF(C37="","",COUNTIFS(Başvuru!$C:$C,C37,Başvuru!$L:$L,"GERİ ÇEKİLDİ",Başvuru!$A:$A,"&lt;&gt;"&amp;"",Başvuru!$F:$F,"&lt;&gt;"&amp;""))</f>
        <v>0</v>
      </c>
      <c r="Q37" s="166" t="s">
        <v>968</v>
      </c>
      <c r="R37" s="167">
        <f>COUNTIFS(Başvuru!$C:$C,Q37,Başvuru!$A:$A,"&lt;&gt;"&amp;"",Başvuru!$F:$F,"&lt;&gt;"&amp;"")</f>
        <v>2</v>
      </c>
      <c r="S37" s="167">
        <f>RANK(R37,$R$6:$R$324,0)+COUNTIF($R$6:R37,R37)-1</f>
        <v>82</v>
      </c>
    </row>
    <row r="38" spans="2:19" ht="15" customHeight="1" x14ac:dyDescent="0.25">
      <c r="B38" s="155">
        <v>33</v>
      </c>
      <c r="C38" s="156" t="str">
        <f>IFERROR(INDEX($Q$6:$Q$324,MATCH(33,$S$6:$S$324,0)),"")</f>
        <v>Doç. Dr. Mesut ALTAN</v>
      </c>
      <c r="D38" s="157">
        <f>IF(C38="","",COUNTIFS(Başvuru!$C:$C,C38,Başvuru!$A:$A,"&lt;&gt;"&amp;"",Başvuru!$F:$F,"&lt;&gt;"&amp;""))</f>
        <v>4</v>
      </c>
      <c r="E38" s="155" t="str">
        <f>IF(C38="","-",IF(D38&gt;0,TEXT(D38/(COUNTIFS(Başvuru!$A:$A,"&lt;&gt;",Başvuru!$F:$F,"&lt;&gt;")-1)*100,"0.0")&amp;"%","-"))</f>
        <v>01%</v>
      </c>
      <c r="F38" s="158">
        <f>IF(C38="","",COUNTIFS(Başvuru!$C:$C,C38,Başvuru!$G:$G,"Bireysel Araştırma",Başvuru!$A:$A,"&lt;&gt;"&amp;"",Başvuru!$F:$F,"&lt;&gt;"&amp;""))</f>
        <v>4</v>
      </c>
      <c r="G38" s="158">
        <f>IF(C38="","",COUNTIFS(Başvuru!$C:$C,C38,Başvuru!$G:$G,"Uzmanlık Tezi",Başvuru!$A:$A,"&lt;&gt;"&amp;"",Başvuru!$F:$F,"&lt;&gt;"&amp;""))</f>
        <v>0</v>
      </c>
      <c r="H38" s="158">
        <f>IF(C38="","",COUNTIFS(Başvuru!$C:$C,C38,Başvuru!$G:$G,"Doktora Tezi",Başvuru!$A:$A,"&lt;&gt;"&amp;"",Başvuru!$F:$F,"&lt;&gt;"&amp;""))</f>
        <v>0</v>
      </c>
      <c r="I38" s="158">
        <f>IF(C38="","",COUNTIFS(Başvuru!$C:$C,C38,Başvuru!$G:$G,"Yüksek Lisans Tezi",Başvuru!$A:$A,"&lt;&gt;"&amp;"",Başvuru!$F:$F,"&lt;&gt;"&amp;""))</f>
        <v>0</v>
      </c>
      <c r="J38" s="159">
        <f>IF(C38="","",COUNTIFS(Başvuru!$C:$C,C38,Başvuru!$L:$L,"ONAY",Başvuru!$A:$A,"&lt;&gt;"&amp;"",Başvuru!$F:$F,"&lt;&gt;"&amp;""))</f>
        <v>3</v>
      </c>
      <c r="K38" s="160">
        <f>IF(C38="","",COUNTIFS(Başvuru!$C:$C,C38,Başvuru!$L:$L,"DÜZELTME",Başvuru!$A:$A,"&lt;&gt;"&amp;"",Başvuru!$F:$F,"&lt;&gt;"&amp;""))</f>
        <v>0</v>
      </c>
      <c r="L38" s="161">
        <f>IF(C38="","",COUNTIFS(Başvuru!$C:$C,C38,Başvuru!$L:$L,"KAEK",Başvuru!$A:$A,"&lt;&gt;"&amp;"",Başvuru!$F:$F,"&lt;&gt;"&amp;""))</f>
        <v>0</v>
      </c>
      <c r="M38" s="162">
        <f>IF(C38="","",COUNTIFS(Başvuru!$C:$C,C38,Başvuru!$L:$L,"GÖRÜŞ",Başvuru!$A:$A,"&lt;&gt;"&amp;"",Başvuru!$F:$F,"&lt;&gt;"&amp;""))</f>
        <v>0</v>
      </c>
      <c r="N38" s="163">
        <f>IF(C38="","",COUNTIFS(Başvuru!$C:$C,C38,Başvuru!$L:$L,"RET",Başvuru!$A:$A,"&lt;&gt;"&amp;"",Başvuru!$F:$F,"&lt;&gt;"&amp;""))</f>
        <v>0</v>
      </c>
      <c r="O38" s="164">
        <f>IF(C38="","",COUNTIFS(Başvuru!$C:$C,C38,Başvuru!$L:$L,"KAPSAM DIŞI",Başvuru!$A:$A,"&lt;&gt;"&amp;"",Başvuru!$F:$F,"&lt;&gt;"&amp;""))</f>
        <v>0</v>
      </c>
      <c r="P38" s="165">
        <f>IF(C38="","",COUNTIFS(Başvuru!$C:$C,C38,Başvuru!$L:$L,"GERİ ÇEKİLDİ",Başvuru!$A:$A,"&lt;&gt;"&amp;"",Başvuru!$F:$F,"&lt;&gt;"&amp;""))</f>
        <v>0</v>
      </c>
      <c r="Q38" s="166" t="s">
        <v>2118</v>
      </c>
      <c r="R38" s="167">
        <f>COUNTIFS(Başvuru!$C:$C,Q38,Başvuru!$A:$A,"&lt;&gt;"&amp;"",Başvuru!$F:$F,"&lt;&gt;"&amp;"")</f>
        <v>1</v>
      </c>
      <c r="S38" s="167">
        <f>RANK(R38,$R$6:$R$324,0)+COUNTIF($R$6:R38,R38)-1</f>
        <v>154</v>
      </c>
    </row>
    <row r="39" spans="2:19" ht="15" customHeight="1" x14ac:dyDescent="0.25">
      <c r="B39" s="168">
        <v>34</v>
      </c>
      <c r="C39" s="169" t="str">
        <f>IFERROR(INDEX($Q$6:$Q$324,MATCH(34,$S$6:$S$324,0)),"")</f>
        <v>Dr. Öğr. Üyesi Aycan UYSAL</v>
      </c>
      <c r="D39" s="170">
        <f>IF(C39="","",COUNTIFS(Başvuru!$C:$C,C39,Başvuru!$A:$A,"&lt;&gt;"&amp;"",Başvuru!$F:$F,"&lt;&gt;"&amp;""))</f>
        <v>4</v>
      </c>
      <c r="E39" s="168" t="str">
        <f>IF(C39="","-",IF(D39&gt;0,TEXT(D39/(COUNTIFS(Başvuru!$A:$A,"&lt;&gt;",Başvuru!$F:$F,"&lt;&gt;")-1)*100,"0.0")&amp;"%","-"))</f>
        <v>01%</v>
      </c>
      <c r="F39" s="171">
        <f>IF(C39="","",COUNTIFS(Başvuru!$C:$C,C39,Başvuru!$G:$G,"Bireysel Araştırma",Başvuru!$A:$A,"&lt;&gt;"&amp;"",Başvuru!$F:$F,"&lt;&gt;"&amp;""))</f>
        <v>3</v>
      </c>
      <c r="G39" s="171">
        <f>IF(C39="","",COUNTIFS(Başvuru!$C:$C,C39,Başvuru!$G:$G,"Uzmanlık Tezi",Başvuru!$A:$A,"&lt;&gt;"&amp;"",Başvuru!$F:$F,"&lt;&gt;"&amp;""))</f>
        <v>1</v>
      </c>
      <c r="H39" s="171">
        <f>IF(C39="","",COUNTIFS(Başvuru!$C:$C,C39,Başvuru!$G:$G,"Doktora Tezi",Başvuru!$A:$A,"&lt;&gt;"&amp;"",Başvuru!$F:$F,"&lt;&gt;"&amp;""))</f>
        <v>0</v>
      </c>
      <c r="I39" s="171">
        <f>IF(C39="","",COUNTIFS(Başvuru!$C:$C,C39,Başvuru!$G:$G,"Yüksek Lisans Tezi",Başvuru!$A:$A,"&lt;&gt;"&amp;"",Başvuru!$F:$F,"&lt;&gt;"&amp;""))</f>
        <v>0</v>
      </c>
      <c r="J39" s="172">
        <f>IF(C39="","",COUNTIFS(Başvuru!$C:$C,C39,Başvuru!$L:$L,"ONAY",Başvuru!$A:$A,"&lt;&gt;"&amp;"",Başvuru!$F:$F,"&lt;&gt;"&amp;""))</f>
        <v>4</v>
      </c>
      <c r="K39" s="173">
        <f>IF(C39="","",COUNTIFS(Başvuru!$C:$C,C39,Başvuru!$L:$L,"DÜZELTME",Başvuru!$A:$A,"&lt;&gt;"&amp;"",Başvuru!$F:$F,"&lt;&gt;"&amp;""))</f>
        <v>0</v>
      </c>
      <c r="L39" s="174">
        <f>IF(C39="","",COUNTIFS(Başvuru!$C:$C,C39,Başvuru!$L:$L,"KAEK",Başvuru!$A:$A,"&lt;&gt;"&amp;"",Başvuru!$F:$F,"&lt;&gt;"&amp;""))</f>
        <v>0</v>
      </c>
      <c r="M39" s="175">
        <f>IF(C39="","",COUNTIFS(Başvuru!$C:$C,C39,Başvuru!$L:$L,"GÖRÜŞ",Başvuru!$A:$A,"&lt;&gt;"&amp;"",Başvuru!$F:$F,"&lt;&gt;"&amp;""))</f>
        <v>0</v>
      </c>
      <c r="N39" s="176">
        <f>IF(C39="","",COUNTIFS(Başvuru!$C:$C,C39,Başvuru!$L:$L,"RET",Başvuru!$A:$A,"&lt;&gt;"&amp;"",Başvuru!$F:$F,"&lt;&gt;"&amp;""))</f>
        <v>0</v>
      </c>
      <c r="O39" s="177">
        <f>IF(C39="","",COUNTIFS(Başvuru!$C:$C,C39,Başvuru!$L:$L,"KAPSAM DIŞI",Başvuru!$A:$A,"&lt;&gt;"&amp;"",Başvuru!$F:$F,"&lt;&gt;"&amp;""))</f>
        <v>0</v>
      </c>
      <c r="P39" s="178">
        <f>IF(C39="","",COUNTIFS(Başvuru!$C:$C,C39,Başvuru!$L:$L,"GERİ ÇEKİLDİ",Başvuru!$A:$A,"&lt;&gt;"&amp;"",Başvuru!$F:$F,"&lt;&gt;"&amp;""))</f>
        <v>0</v>
      </c>
      <c r="Q39" s="166" t="s">
        <v>1980</v>
      </c>
      <c r="R39" s="167">
        <f>COUNTIFS(Başvuru!$C:$C,Q39,Başvuru!$A:$A,"&lt;&gt;"&amp;"",Başvuru!$F:$F,"&lt;&gt;"&amp;"")</f>
        <v>2</v>
      </c>
      <c r="S39" s="167">
        <f>RANK(R39,$R$6:$R$324,0)+COUNTIF($R$6:R39,R39)-1</f>
        <v>83</v>
      </c>
    </row>
    <row r="40" spans="2:19" ht="15" customHeight="1" x14ac:dyDescent="0.25">
      <c r="B40" s="155">
        <v>35</v>
      </c>
      <c r="C40" s="156" t="str">
        <f>IFERROR(INDEX($Q$6:$Q$324,MATCH(35,$S$6:$S$324,0)),"")</f>
        <v>Dr. Öğr. Üyesi Ece ÖZOĞUL</v>
      </c>
      <c r="D40" s="157">
        <f>IF(C40="","",COUNTIFS(Başvuru!$C:$C,C40,Başvuru!$A:$A,"&lt;&gt;"&amp;"",Başvuru!$F:$F,"&lt;&gt;"&amp;""))</f>
        <v>4</v>
      </c>
      <c r="E40" s="155" t="str">
        <f>IF(C40="","-",IF(D40&gt;0,TEXT(D40/(COUNTIFS(Başvuru!$A:$A,"&lt;&gt;",Başvuru!$F:$F,"&lt;&gt;")-1)*100,"0.0")&amp;"%","-"))</f>
        <v>01%</v>
      </c>
      <c r="F40" s="158">
        <f>IF(C40="","",COUNTIFS(Başvuru!$C:$C,C40,Başvuru!$G:$G,"Bireysel Araştırma",Başvuru!$A:$A,"&lt;&gt;"&amp;"",Başvuru!$F:$F,"&lt;&gt;"&amp;""))</f>
        <v>4</v>
      </c>
      <c r="G40" s="158">
        <f>IF(C40="","",COUNTIFS(Başvuru!$C:$C,C40,Başvuru!$G:$G,"Uzmanlık Tezi",Başvuru!$A:$A,"&lt;&gt;"&amp;"",Başvuru!$F:$F,"&lt;&gt;"&amp;""))</f>
        <v>0</v>
      </c>
      <c r="H40" s="158">
        <f>IF(C40="","",COUNTIFS(Başvuru!$C:$C,C40,Başvuru!$G:$G,"Doktora Tezi",Başvuru!$A:$A,"&lt;&gt;"&amp;"",Başvuru!$F:$F,"&lt;&gt;"&amp;""))</f>
        <v>0</v>
      </c>
      <c r="I40" s="158">
        <f>IF(C40="","",COUNTIFS(Başvuru!$C:$C,C40,Başvuru!$G:$G,"Yüksek Lisans Tezi",Başvuru!$A:$A,"&lt;&gt;"&amp;"",Başvuru!$F:$F,"&lt;&gt;"&amp;""))</f>
        <v>0</v>
      </c>
      <c r="J40" s="159">
        <f>IF(C40="","",COUNTIFS(Başvuru!$C:$C,C40,Başvuru!$L:$L,"ONAY",Başvuru!$A:$A,"&lt;&gt;"&amp;"",Başvuru!$F:$F,"&lt;&gt;"&amp;""))</f>
        <v>3</v>
      </c>
      <c r="K40" s="160">
        <f>IF(C40="","",COUNTIFS(Başvuru!$C:$C,C40,Başvuru!$L:$L,"DÜZELTME",Başvuru!$A:$A,"&lt;&gt;"&amp;"",Başvuru!$F:$F,"&lt;&gt;"&amp;""))</f>
        <v>1</v>
      </c>
      <c r="L40" s="161">
        <f>IF(C40="","",COUNTIFS(Başvuru!$C:$C,C40,Başvuru!$L:$L,"KAEK",Başvuru!$A:$A,"&lt;&gt;"&amp;"",Başvuru!$F:$F,"&lt;&gt;"&amp;""))</f>
        <v>0</v>
      </c>
      <c r="M40" s="162">
        <f>IF(C40="","",COUNTIFS(Başvuru!$C:$C,C40,Başvuru!$L:$L,"GÖRÜŞ",Başvuru!$A:$A,"&lt;&gt;"&amp;"",Başvuru!$F:$F,"&lt;&gt;"&amp;""))</f>
        <v>0</v>
      </c>
      <c r="N40" s="163">
        <f>IF(C40="","",COUNTIFS(Başvuru!$C:$C,C40,Başvuru!$L:$L,"RET",Başvuru!$A:$A,"&lt;&gt;"&amp;"",Başvuru!$F:$F,"&lt;&gt;"&amp;""))</f>
        <v>0</v>
      </c>
      <c r="O40" s="164">
        <f>IF(C40="","",COUNTIFS(Başvuru!$C:$C,C40,Başvuru!$L:$L,"KAPSAM DIŞI",Başvuru!$A:$A,"&lt;&gt;"&amp;"",Başvuru!$F:$F,"&lt;&gt;"&amp;""))</f>
        <v>0</v>
      </c>
      <c r="P40" s="165">
        <f>IF(C40="","",COUNTIFS(Başvuru!$C:$C,C40,Başvuru!$L:$L,"GERİ ÇEKİLDİ",Başvuru!$A:$A,"&lt;&gt;"&amp;"",Başvuru!$F:$F,"&lt;&gt;"&amp;""))</f>
        <v>0</v>
      </c>
      <c r="Q40" s="166" t="s">
        <v>86</v>
      </c>
      <c r="R40" s="167">
        <f>COUNTIFS(Başvuru!$C:$C,Q40,Başvuru!$A:$A,"&lt;&gt;"&amp;"",Başvuru!$F:$F,"&lt;&gt;"&amp;"")</f>
        <v>1</v>
      </c>
      <c r="S40" s="167">
        <f>RANK(R40,$R$6:$R$324,0)+COUNTIF($R$6:R40,R40)-1</f>
        <v>155</v>
      </c>
    </row>
    <row r="41" spans="2:19" ht="15" customHeight="1" x14ac:dyDescent="0.25">
      <c r="B41" s="168">
        <v>36</v>
      </c>
      <c r="C41" s="169" t="str">
        <f>IFERROR(INDEX($Q$6:$Q$324,MATCH(36,$S$6:$S$324,0)),"")</f>
        <v>Dr. Öğr. Üyesi Selen ADİLOĞLU</v>
      </c>
      <c r="D41" s="170">
        <f>IF(C41="","",COUNTIFS(Başvuru!$C:$C,C41,Başvuru!$A:$A,"&lt;&gt;"&amp;"",Başvuru!$F:$F,"&lt;&gt;"&amp;""))</f>
        <v>4</v>
      </c>
      <c r="E41" s="168" t="str">
        <f>IF(C41="","-",IF(D41&gt;0,TEXT(D41/(COUNTIFS(Başvuru!$A:$A,"&lt;&gt;",Başvuru!$F:$F,"&lt;&gt;")-1)*100,"0.0")&amp;"%","-"))</f>
        <v>01%</v>
      </c>
      <c r="F41" s="171">
        <f>IF(C41="","",COUNTIFS(Başvuru!$C:$C,C41,Başvuru!$G:$G,"Bireysel Araştırma",Başvuru!$A:$A,"&lt;&gt;"&amp;"",Başvuru!$F:$F,"&lt;&gt;"&amp;""))</f>
        <v>4</v>
      </c>
      <c r="G41" s="171">
        <f>IF(C41="","",COUNTIFS(Başvuru!$C:$C,C41,Başvuru!$G:$G,"Uzmanlık Tezi",Başvuru!$A:$A,"&lt;&gt;"&amp;"",Başvuru!$F:$F,"&lt;&gt;"&amp;""))</f>
        <v>0</v>
      </c>
      <c r="H41" s="171">
        <f>IF(C41="","",COUNTIFS(Başvuru!$C:$C,C41,Başvuru!$G:$G,"Doktora Tezi",Başvuru!$A:$A,"&lt;&gt;"&amp;"",Başvuru!$F:$F,"&lt;&gt;"&amp;""))</f>
        <v>0</v>
      </c>
      <c r="I41" s="171">
        <f>IF(C41="","",COUNTIFS(Başvuru!$C:$C,C41,Başvuru!$G:$G,"Yüksek Lisans Tezi",Başvuru!$A:$A,"&lt;&gt;"&amp;"",Başvuru!$F:$F,"&lt;&gt;"&amp;""))</f>
        <v>0</v>
      </c>
      <c r="J41" s="172">
        <f>IF(C41="","",COUNTIFS(Başvuru!$C:$C,C41,Başvuru!$L:$L,"ONAY",Başvuru!$A:$A,"&lt;&gt;"&amp;"",Başvuru!$F:$F,"&lt;&gt;"&amp;""))</f>
        <v>1</v>
      </c>
      <c r="K41" s="173">
        <f>IF(C41="","",COUNTIFS(Başvuru!$C:$C,C41,Başvuru!$L:$L,"DÜZELTME",Başvuru!$A:$A,"&lt;&gt;"&amp;"",Başvuru!$F:$F,"&lt;&gt;"&amp;""))</f>
        <v>3</v>
      </c>
      <c r="L41" s="174">
        <f>IF(C41="","",COUNTIFS(Başvuru!$C:$C,C41,Başvuru!$L:$L,"KAEK",Başvuru!$A:$A,"&lt;&gt;"&amp;"",Başvuru!$F:$F,"&lt;&gt;"&amp;""))</f>
        <v>0</v>
      </c>
      <c r="M41" s="175">
        <f>IF(C41="","",COUNTIFS(Başvuru!$C:$C,C41,Başvuru!$L:$L,"GÖRÜŞ",Başvuru!$A:$A,"&lt;&gt;"&amp;"",Başvuru!$F:$F,"&lt;&gt;"&amp;""))</f>
        <v>0</v>
      </c>
      <c r="N41" s="176">
        <f>IF(C41="","",COUNTIFS(Başvuru!$C:$C,C41,Başvuru!$L:$L,"RET",Başvuru!$A:$A,"&lt;&gt;"&amp;"",Başvuru!$F:$F,"&lt;&gt;"&amp;""))</f>
        <v>0</v>
      </c>
      <c r="O41" s="177">
        <f>IF(C41="","",COUNTIFS(Başvuru!$C:$C,C41,Başvuru!$L:$L,"KAPSAM DIŞI",Başvuru!$A:$A,"&lt;&gt;"&amp;"",Başvuru!$F:$F,"&lt;&gt;"&amp;""))</f>
        <v>0</v>
      </c>
      <c r="P41" s="178">
        <f>IF(C41="","",COUNTIFS(Başvuru!$C:$C,C41,Başvuru!$L:$L,"GERİ ÇEKİLDİ",Başvuru!$A:$A,"&lt;&gt;"&amp;"",Başvuru!$F:$F,"&lt;&gt;"&amp;""))</f>
        <v>0</v>
      </c>
      <c r="Q41" s="166" t="s">
        <v>604</v>
      </c>
      <c r="R41" s="167">
        <f>COUNTIFS(Başvuru!$C:$C,Q41,Başvuru!$A:$A,"&lt;&gt;"&amp;"",Başvuru!$F:$F,"&lt;&gt;"&amp;"")</f>
        <v>1</v>
      </c>
      <c r="S41" s="167">
        <f>RANK(R41,$R$6:$R$324,0)+COUNTIF($R$6:R41,R41)-1</f>
        <v>156</v>
      </c>
    </row>
    <row r="42" spans="2:19" ht="15" customHeight="1" x14ac:dyDescent="0.25">
      <c r="B42" s="155">
        <v>37</v>
      </c>
      <c r="C42" s="156" t="str">
        <f>IFERROR(INDEX($Q$6:$Q$324,MATCH(37,$S$6:$S$324,0)),"")</f>
        <v>Dr. Öğr. Üyesi Serkan UYSAL</v>
      </c>
      <c r="D42" s="157">
        <f>IF(C42="","",COUNTIFS(Başvuru!$C:$C,C42,Başvuru!$A:$A,"&lt;&gt;"&amp;"",Başvuru!$F:$F,"&lt;&gt;"&amp;""))</f>
        <v>4</v>
      </c>
      <c r="E42" s="155" t="str">
        <f>IF(C42="","-",IF(D42&gt;0,TEXT(D42/(COUNTIFS(Başvuru!$A:$A,"&lt;&gt;",Başvuru!$F:$F,"&lt;&gt;")-1)*100,"0.0")&amp;"%","-"))</f>
        <v>01%</v>
      </c>
      <c r="F42" s="158">
        <f>IF(C42="","",COUNTIFS(Başvuru!$C:$C,C42,Başvuru!$G:$G,"Bireysel Araştırma",Başvuru!$A:$A,"&lt;&gt;"&amp;"",Başvuru!$F:$F,"&lt;&gt;"&amp;""))</f>
        <v>4</v>
      </c>
      <c r="G42" s="158">
        <f>IF(C42="","",COUNTIFS(Başvuru!$C:$C,C42,Başvuru!$G:$G,"Uzmanlık Tezi",Başvuru!$A:$A,"&lt;&gt;"&amp;"",Başvuru!$F:$F,"&lt;&gt;"&amp;""))</f>
        <v>0</v>
      </c>
      <c r="H42" s="158">
        <f>IF(C42="","",COUNTIFS(Başvuru!$C:$C,C42,Başvuru!$G:$G,"Doktora Tezi",Başvuru!$A:$A,"&lt;&gt;"&amp;"",Başvuru!$F:$F,"&lt;&gt;"&amp;""))</f>
        <v>0</v>
      </c>
      <c r="I42" s="158">
        <f>IF(C42="","",COUNTIFS(Başvuru!$C:$C,C42,Başvuru!$G:$G,"Yüksek Lisans Tezi",Başvuru!$A:$A,"&lt;&gt;"&amp;"",Başvuru!$F:$F,"&lt;&gt;"&amp;""))</f>
        <v>0</v>
      </c>
      <c r="J42" s="159">
        <f>IF(C42="","",COUNTIFS(Başvuru!$C:$C,C42,Başvuru!$L:$L,"ONAY",Başvuru!$A:$A,"&lt;&gt;"&amp;"",Başvuru!$F:$F,"&lt;&gt;"&amp;""))</f>
        <v>3</v>
      </c>
      <c r="K42" s="160">
        <f>IF(C42="","",COUNTIFS(Başvuru!$C:$C,C42,Başvuru!$L:$L,"DÜZELTME",Başvuru!$A:$A,"&lt;&gt;"&amp;"",Başvuru!$F:$F,"&lt;&gt;"&amp;""))</f>
        <v>1</v>
      </c>
      <c r="L42" s="161">
        <f>IF(C42="","",COUNTIFS(Başvuru!$C:$C,C42,Başvuru!$L:$L,"KAEK",Başvuru!$A:$A,"&lt;&gt;"&amp;"",Başvuru!$F:$F,"&lt;&gt;"&amp;""))</f>
        <v>0</v>
      </c>
      <c r="M42" s="162">
        <f>IF(C42="","",COUNTIFS(Başvuru!$C:$C,C42,Başvuru!$L:$L,"GÖRÜŞ",Başvuru!$A:$A,"&lt;&gt;"&amp;"",Başvuru!$F:$F,"&lt;&gt;"&amp;""))</f>
        <v>0</v>
      </c>
      <c r="N42" s="163">
        <f>IF(C42="","",COUNTIFS(Başvuru!$C:$C,C42,Başvuru!$L:$L,"RET",Başvuru!$A:$A,"&lt;&gt;"&amp;"",Başvuru!$F:$F,"&lt;&gt;"&amp;""))</f>
        <v>0</v>
      </c>
      <c r="O42" s="164">
        <f>IF(C42="","",COUNTIFS(Başvuru!$C:$C,C42,Başvuru!$L:$L,"KAPSAM DIŞI",Başvuru!$A:$A,"&lt;&gt;"&amp;"",Başvuru!$F:$F,"&lt;&gt;"&amp;""))</f>
        <v>0</v>
      </c>
      <c r="P42" s="165">
        <f>IF(C42="","",COUNTIFS(Başvuru!$C:$C,C42,Başvuru!$L:$L,"GERİ ÇEKİLDİ",Başvuru!$A:$A,"&lt;&gt;"&amp;"",Başvuru!$F:$F,"&lt;&gt;"&amp;""))</f>
        <v>0</v>
      </c>
      <c r="Q42" s="166" t="s">
        <v>1396</v>
      </c>
      <c r="R42" s="167">
        <f>COUNTIFS(Başvuru!$C:$C,Q42,Başvuru!$A:$A,"&lt;&gt;"&amp;"",Başvuru!$F:$F,"&lt;&gt;"&amp;"")</f>
        <v>1</v>
      </c>
      <c r="S42" s="167">
        <f>RANK(R42,$R$6:$R$324,0)+COUNTIF($R$6:R42,R42)-1</f>
        <v>157</v>
      </c>
    </row>
    <row r="43" spans="2:19" ht="15" customHeight="1" x14ac:dyDescent="0.25">
      <c r="B43" s="168">
        <v>38</v>
      </c>
      <c r="C43" s="169" t="str">
        <f>IFERROR(INDEX($Q$6:$Q$324,MATCH(38,$S$6:$S$324,0)),"")</f>
        <v>Prof. Dr. Ali Fuat KALYONCU</v>
      </c>
      <c r="D43" s="170">
        <f>IF(C43="","",COUNTIFS(Başvuru!$C:$C,C43,Başvuru!$A:$A,"&lt;&gt;"&amp;"",Başvuru!$F:$F,"&lt;&gt;"&amp;""))</f>
        <v>4</v>
      </c>
      <c r="E43" s="168" t="str">
        <f>IF(C43="","-",IF(D43&gt;0,TEXT(D43/(COUNTIFS(Başvuru!$A:$A,"&lt;&gt;",Başvuru!$F:$F,"&lt;&gt;")-1)*100,"0.0")&amp;"%","-"))</f>
        <v>01%</v>
      </c>
      <c r="F43" s="171">
        <f>IF(C43="","",COUNTIFS(Başvuru!$C:$C,C43,Başvuru!$G:$G,"Bireysel Araştırma",Başvuru!$A:$A,"&lt;&gt;"&amp;"",Başvuru!$F:$F,"&lt;&gt;"&amp;""))</f>
        <v>4</v>
      </c>
      <c r="G43" s="171">
        <f>IF(C43="","",COUNTIFS(Başvuru!$C:$C,C43,Başvuru!$G:$G,"Uzmanlık Tezi",Başvuru!$A:$A,"&lt;&gt;"&amp;"",Başvuru!$F:$F,"&lt;&gt;"&amp;""))</f>
        <v>0</v>
      </c>
      <c r="H43" s="171">
        <f>IF(C43="","",COUNTIFS(Başvuru!$C:$C,C43,Başvuru!$G:$G,"Doktora Tezi",Başvuru!$A:$A,"&lt;&gt;"&amp;"",Başvuru!$F:$F,"&lt;&gt;"&amp;""))</f>
        <v>0</v>
      </c>
      <c r="I43" s="171">
        <f>IF(C43="","",COUNTIFS(Başvuru!$C:$C,C43,Başvuru!$G:$G,"Yüksek Lisans Tezi",Başvuru!$A:$A,"&lt;&gt;"&amp;"",Başvuru!$F:$F,"&lt;&gt;"&amp;""))</f>
        <v>0</v>
      </c>
      <c r="J43" s="172">
        <f>IF(C43="","",COUNTIFS(Başvuru!$C:$C,C43,Başvuru!$L:$L,"ONAY",Başvuru!$A:$A,"&lt;&gt;"&amp;"",Başvuru!$F:$F,"&lt;&gt;"&amp;""))</f>
        <v>0</v>
      </c>
      <c r="K43" s="173">
        <f>IF(C43="","",COUNTIFS(Başvuru!$C:$C,C43,Başvuru!$L:$L,"DÜZELTME",Başvuru!$A:$A,"&lt;&gt;"&amp;"",Başvuru!$F:$F,"&lt;&gt;"&amp;""))</f>
        <v>3</v>
      </c>
      <c r="L43" s="174">
        <f>IF(C43="","",COUNTIFS(Başvuru!$C:$C,C43,Başvuru!$L:$L,"KAEK",Başvuru!$A:$A,"&lt;&gt;"&amp;"",Başvuru!$F:$F,"&lt;&gt;"&amp;""))</f>
        <v>0</v>
      </c>
      <c r="M43" s="175">
        <f>IF(C43="","",COUNTIFS(Başvuru!$C:$C,C43,Başvuru!$L:$L,"GÖRÜŞ",Başvuru!$A:$A,"&lt;&gt;"&amp;"",Başvuru!$F:$F,"&lt;&gt;"&amp;""))</f>
        <v>0</v>
      </c>
      <c r="N43" s="176">
        <f>IF(C43="","",COUNTIFS(Başvuru!$C:$C,C43,Başvuru!$L:$L,"RET",Başvuru!$A:$A,"&lt;&gt;"&amp;"",Başvuru!$F:$F,"&lt;&gt;"&amp;""))</f>
        <v>1</v>
      </c>
      <c r="O43" s="177">
        <f>IF(C43="","",COUNTIFS(Başvuru!$C:$C,C43,Başvuru!$L:$L,"KAPSAM DIŞI",Başvuru!$A:$A,"&lt;&gt;"&amp;"",Başvuru!$F:$F,"&lt;&gt;"&amp;""))</f>
        <v>0</v>
      </c>
      <c r="P43" s="178">
        <f>IF(C43="","",COUNTIFS(Başvuru!$C:$C,C43,Başvuru!$L:$L,"GERİ ÇEKİLDİ",Başvuru!$A:$A,"&lt;&gt;"&amp;"",Başvuru!$F:$F,"&lt;&gt;"&amp;""))</f>
        <v>0</v>
      </c>
      <c r="Q43" s="166" t="s">
        <v>540</v>
      </c>
      <c r="R43" s="167">
        <f>COUNTIFS(Başvuru!$C:$C,Q43,Başvuru!$A:$A,"&lt;&gt;"&amp;"",Başvuru!$F:$F,"&lt;&gt;"&amp;"")</f>
        <v>2</v>
      </c>
      <c r="S43" s="167">
        <f>RANK(R43,$R$6:$R$324,0)+COUNTIF($R$6:R43,R43)-1</f>
        <v>84</v>
      </c>
    </row>
    <row r="44" spans="2:19" ht="15" customHeight="1" x14ac:dyDescent="0.25">
      <c r="B44" s="155">
        <v>39</v>
      </c>
      <c r="C44" s="156" t="str">
        <f>IFERROR(INDEX($Q$6:$Q$324,MATCH(39,$S$6:$S$324,0)),"")</f>
        <v>Prof. Dr. Ayşe KİN İŞLER</v>
      </c>
      <c r="D44" s="157">
        <f>IF(C44="","",COUNTIFS(Başvuru!$C:$C,C44,Başvuru!$A:$A,"&lt;&gt;"&amp;"",Başvuru!$F:$F,"&lt;&gt;"&amp;""))</f>
        <v>4</v>
      </c>
      <c r="E44" s="155" t="str">
        <f>IF(C44="","-",IF(D44&gt;0,TEXT(D44/(COUNTIFS(Başvuru!$A:$A,"&lt;&gt;",Başvuru!$F:$F,"&lt;&gt;")-1)*100,"0.0")&amp;"%","-"))</f>
        <v>01%</v>
      </c>
      <c r="F44" s="158">
        <f>IF(C44="","",COUNTIFS(Başvuru!$C:$C,C44,Başvuru!$G:$G,"Bireysel Araştırma",Başvuru!$A:$A,"&lt;&gt;"&amp;"",Başvuru!$F:$F,"&lt;&gt;"&amp;""))</f>
        <v>1</v>
      </c>
      <c r="G44" s="158">
        <f>IF(C44="","",COUNTIFS(Başvuru!$C:$C,C44,Başvuru!$G:$G,"Uzmanlık Tezi",Başvuru!$A:$A,"&lt;&gt;"&amp;"",Başvuru!$F:$F,"&lt;&gt;"&amp;""))</f>
        <v>0</v>
      </c>
      <c r="H44" s="158">
        <f>IF(C44="","",COUNTIFS(Başvuru!$C:$C,C44,Başvuru!$G:$G,"Doktora Tezi",Başvuru!$A:$A,"&lt;&gt;"&amp;"",Başvuru!$F:$F,"&lt;&gt;"&amp;""))</f>
        <v>1</v>
      </c>
      <c r="I44" s="158">
        <f>IF(C44="","",COUNTIFS(Başvuru!$C:$C,C44,Başvuru!$G:$G,"Yüksek Lisans Tezi",Başvuru!$A:$A,"&lt;&gt;"&amp;"",Başvuru!$F:$F,"&lt;&gt;"&amp;""))</f>
        <v>2</v>
      </c>
      <c r="J44" s="159">
        <f>IF(C44="","",COUNTIFS(Başvuru!$C:$C,C44,Başvuru!$L:$L,"ONAY",Başvuru!$A:$A,"&lt;&gt;"&amp;"",Başvuru!$F:$F,"&lt;&gt;"&amp;""))</f>
        <v>2</v>
      </c>
      <c r="K44" s="160">
        <f>IF(C44="","",COUNTIFS(Başvuru!$C:$C,C44,Başvuru!$L:$L,"DÜZELTME",Başvuru!$A:$A,"&lt;&gt;"&amp;"",Başvuru!$F:$F,"&lt;&gt;"&amp;""))</f>
        <v>2</v>
      </c>
      <c r="L44" s="161">
        <f>IF(C44="","",COUNTIFS(Başvuru!$C:$C,C44,Başvuru!$L:$L,"KAEK",Başvuru!$A:$A,"&lt;&gt;"&amp;"",Başvuru!$F:$F,"&lt;&gt;"&amp;""))</f>
        <v>0</v>
      </c>
      <c r="M44" s="162">
        <f>IF(C44="","",COUNTIFS(Başvuru!$C:$C,C44,Başvuru!$L:$L,"GÖRÜŞ",Başvuru!$A:$A,"&lt;&gt;"&amp;"",Başvuru!$F:$F,"&lt;&gt;"&amp;""))</f>
        <v>0</v>
      </c>
      <c r="N44" s="163">
        <f>IF(C44="","",COUNTIFS(Başvuru!$C:$C,C44,Başvuru!$L:$L,"RET",Başvuru!$A:$A,"&lt;&gt;"&amp;"",Başvuru!$F:$F,"&lt;&gt;"&amp;""))</f>
        <v>0</v>
      </c>
      <c r="O44" s="164">
        <f>IF(C44="","",COUNTIFS(Başvuru!$C:$C,C44,Başvuru!$L:$L,"KAPSAM DIŞI",Başvuru!$A:$A,"&lt;&gt;"&amp;"",Başvuru!$F:$F,"&lt;&gt;"&amp;""))</f>
        <v>0</v>
      </c>
      <c r="P44" s="165">
        <f>IF(C44="","",COUNTIFS(Başvuru!$C:$C,C44,Başvuru!$L:$L,"GERİ ÇEKİLDİ",Başvuru!$A:$A,"&lt;&gt;"&amp;"",Başvuru!$F:$F,"&lt;&gt;"&amp;""))</f>
        <v>0</v>
      </c>
      <c r="Q44" s="166" t="s">
        <v>389</v>
      </c>
      <c r="R44" s="167">
        <f>COUNTIFS(Başvuru!$C:$C,Q44,Başvuru!$A:$A,"&lt;&gt;"&amp;"",Başvuru!$F:$F,"&lt;&gt;"&amp;"")</f>
        <v>4</v>
      </c>
      <c r="S44" s="167">
        <f>RANK(R44,$R$6:$R$324,0)+COUNTIF($R$6:R44,R44)-1</f>
        <v>30</v>
      </c>
    </row>
    <row r="45" spans="2:19" ht="15" customHeight="1" x14ac:dyDescent="0.25">
      <c r="B45" s="168">
        <v>40</v>
      </c>
      <c r="C45" s="169" t="str">
        <f>IFERROR(INDEX($Q$6:$Q$324,MATCH(40,$S$6:$S$324,0)),"")</f>
        <v>Prof. Dr. Deniz DOĞRU ERSÖZ</v>
      </c>
      <c r="D45" s="170">
        <f>IF(C45="","",COUNTIFS(Başvuru!$C:$C,C45,Başvuru!$A:$A,"&lt;&gt;"&amp;"",Başvuru!$F:$F,"&lt;&gt;"&amp;""))</f>
        <v>4</v>
      </c>
      <c r="E45" s="168" t="str">
        <f>IF(C45="","-",IF(D45&gt;0,TEXT(D45/(COUNTIFS(Başvuru!$A:$A,"&lt;&gt;",Başvuru!$F:$F,"&lt;&gt;")-1)*100,"0.0")&amp;"%","-"))</f>
        <v>01%</v>
      </c>
      <c r="F45" s="171">
        <f>IF(C45="","",COUNTIFS(Başvuru!$C:$C,C45,Başvuru!$G:$G,"Bireysel Araştırma",Başvuru!$A:$A,"&lt;&gt;"&amp;"",Başvuru!$F:$F,"&lt;&gt;"&amp;""))</f>
        <v>4</v>
      </c>
      <c r="G45" s="171">
        <f>IF(C45="","",COUNTIFS(Başvuru!$C:$C,C45,Başvuru!$G:$G,"Uzmanlık Tezi",Başvuru!$A:$A,"&lt;&gt;"&amp;"",Başvuru!$F:$F,"&lt;&gt;"&amp;""))</f>
        <v>0</v>
      </c>
      <c r="H45" s="171">
        <f>IF(C45="","",COUNTIFS(Başvuru!$C:$C,C45,Başvuru!$G:$G,"Doktora Tezi",Başvuru!$A:$A,"&lt;&gt;"&amp;"",Başvuru!$F:$F,"&lt;&gt;"&amp;""))</f>
        <v>0</v>
      </c>
      <c r="I45" s="171">
        <f>IF(C45="","",COUNTIFS(Başvuru!$C:$C,C45,Başvuru!$G:$G,"Yüksek Lisans Tezi",Başvuru!$A:$A,"&lt;&gt;"&amp;"",Başvuru!$F:$F,"&lt;&gt;"&amp;""))</f>
        <v>0</v>
      </c>
      <c r="J45" s="172">
        <f>IF(C45="","",COUNTIFS(Başvuru!$C:$C,C45,Başvuru!$L:$L,"ONAY",Başvuru!$A:$A,"&lt;&gt;"&amp;"",Başvuru!$F:$F,"&lt;&gt;"&amp;""))</f>
        <v>1</v>
      </c>
      <c r="K45" s="173">
        <f>IF(C45="","",COUNTIFS(Başvuru!$C:$C,C45,Başvuru!$L:$L,"DÜZELTME",Başvuru!$A:$A,"&lt;&gt;"&amp;"",Başvuru!$F:$F,"&lt;&gt;"&amp;""))</f>
        <v>0</v>
      </c>
      <c r="L45" s="174">
        <f>IF(C45="","",COUNTIFS(Başvuru!$C:$C,C45,Başvuru!$L:$L,"KAEK",Başvuru!$A:$A,"&lt;&gt;"&amp;"",Başvuru!$F:$F,"&lt;&gt;"&amp;""))</f>
        <v>3</v>
      </c>
      <c r="M45" s="175">
        <f>IF(C45="","",COUNTIFS(Başvuru!$C:$C,C45,Başvuru!$L:$L,"GÖRÜŞ",Başvuru!$A:$A,"&lt;&gt;"&amp;"",Başvuru!$F:$F,"&lt;&gt;"&amp;""))</f>
        <v>0</v>
      </c>
      <c r="N45" s="176">
        <f>IF(C45="","",COUNTIFS(Başvuru!$C:$C,C45,Başvuru!$L:$L,"RET",Başvuru!$A:$A,"&lt;&gt;"&amp;"",Başvuru!$F:$F,"&lt;&gt;"&amp;""))</f>
        <v>0</v>
      </c>
      <c r="O45" s="177">
        <f>IF(C45="","",COUNTIFS(Başvuru!$C:$C,C45,Başvuru!$L:$L,"KAPSAM DIŞI",Başvuru!$A:$A,"&lt;&gt;"&amp;"",Başvuru!$F:$F,"&lt;&gt;"&amp;""))</f>
        <v>0</v>
      </c>
      <c r="P45" s="178">
        <f>IF(C45="","",COUNTIFS(Başvuru!$C:$C,C45,Başvuru!$L:$L,"GERİ ÇEKİLDİ",Başvuru!$A:$A,"&lt;&gt;"&amp;"",Başvuru!$F:$F,"&lt;&gt;"&amp;""))</f>
        <v>0</v>
      </c>
      <c r="Q45" s="166" t="s">
        <v>2536</v>
      </c>
      <c r="R45" s="167">
        <f>COUNTIFS(Başvuru!$C:$C,Q45,Başvuru!$A:$A,"&lt;&gt;"&amp;"",Başvuru!$F:$F,"&lt;&gt;"&amp;"")</f>
        <v>1</v>
      </c>
      <c r="S45" s="167">
        <f>RANK(R45,$R$6:$R$324,0)+COUNTIF($R$6:R45,R45)-1</f>
        <v>158</v>
      </c>
    </row>
    <row r="46" spans="2:19" ht="15" customHeight="1" x14ac:dyDescent="0.25">
      <c r="B46" s="155">
        <v>41</v>
      </c>
      <c r="C46" s="156" t="str">
        <f>IFERROR(INDEX($Q$6:$Q$324,MATCH(41,$S$6:$S$324,0)),"")</f>
        <v>Prof. Dr. Fatma Gökçem YILDIZ SARIKAYA</v>
      </c>
      <c r="D46" s="157">
        <f>IF(C46="","",COUNTIFS(Başvuru!$C:$C,C46,Başvuru!$A:$A,"&lt;&gt;"&amp;"",Başvuru!$F:$F,"&lt;&gt;"&amp;""))</f>
        <v>4</v>
      </c>
      <c r="E46" s="155" t="str">
        <f>IF(C46="","-",IF(D46&gt;0,TEXT(D46/(COUNTIFS(Başvuru!$A:$A,"&lt;&gt;",Başvuru!$F:$F,"&lt;&gt;")-1)*100,"0.0")&amp;"%","-"))</f>
        <v>01%</v>
      </c>
      <c r="F46" s="158">
        <f>IF(C46="","",COUNTIFS(Başvuru!$C:$C,C46,Başvuru!$G:$G,"Bireysel Araştırma",Başvuru!$A:$A,"&lt;&gt;"&amp;"",Başvuru!$F:$F,"&lt;&gt;"&amp;""))</f>
        <v>4</v>
      </c>
      <c r="G46" s="158">
        <f>IF(C46="","",COUNTIFS(Başvuru!$C:$C,C46,Başvuru!$G:$G,"Uzmanlık Tezi",Başvuru!$A:$A,"&lt;&gt;"&amp;"",Başvuru!$F:$F,"&lt;&gt;"&amp;""))</f>
        <v>0</v>
      </c>
      <c r="H46" s="158">
        <f>IF(C46="","",COUNTIFS(Başvuru!$C:$C,C46,Başvuru!$G:$G,"Doktora Tezi",Başvuru!$A:$A,"&lt;&gt;"&amp;"",Başvuru!$F:$F,"&lt;&gt;"&amp;""))</f>
        <v>0</v>
      </c>
      <c r="I46" s="158">
        <f>IF(C46="","",COUNTIFS(Başvuru!$C:$C,C46,Başvuru!$G:$G,"Yüksek Lisans Tezi",Başvuru!$A:$A,"&lt;&gt;"&amp;"",Başvuru!$F:$F,"&lt;&gt;"&amp;""))</f>
        <v>0</v>
      </c>
      <c r="J46" s="159">
        <f>IF(C46="","",COUNTIFS(Başvuru!$C:$C,C46,Başvuru!$L:$L,"ONAY",Başvuru!$A:$A,"&lt;&gt;"&amp;"",Başvuru!$F:$F,"&lt;&gt;"&amp;""))</f>
        <v>3</v>
      </c>
      <c r="K46" s="160">
        <f>IF(C46="","",COUNTIFS(Başvuru!$C:$C,C46,Başvuru!$L:$L,"DÜZELTME",Başvuru!$A:$A,"&lt;&gt;"&amp;"",Başvuru!$F:$F,"&lt;&gt;"&amp;""))</f>
        <v>0</v>
      </c>
      <c r="L46" s="161">
        <f>IF(C46="","",COUNTIFS(Başvuru!$C:$C,C46,Başvuru!$L:$L,"KAEK",Başvuru!$A:$A,"&lt;&gt;"&amp;"",Başvuru!$F:$F,"&lt;&gt;"&amp;""))</f>
        <v>0</v>
      </c>
      <c r="M46" s="162">
        <f>IF(C46="","",COUNTIFS(Başvuru!$C:$C,C46,Başvuru!$L:$L,"GÖRÜŞ",Başvuru!$A:$A,"&lt;&gt;"&amp;"",Başvuru!$F:$F,"&lt;&gt;"&amp;""))</f>
        <v>1</v>
      </c>
      <c r="N46" s="163">
        <f>IF(C46="","",COUNTIFS(Başvuru!$C:$C,C46,Başvuru!$L:$L,"RET",Başvuru!$A:$A,"&lt;&gt;"&amp;"",Başvuru!$F:$F,"&lt;&gt;"&amp;""))</f>
        <v>0</v>
      </c>
      <c r="O46" s="164">
        <f>IF(C46="","",COUNTIFS(Başvuru!$C:$C,C46,Başvuru!$L:$L,"KAPSAM DIŞI",Başvuru!$A:$A,"&lt;&gt;"&amp;"",Başvuru!$F:$F,"&lt;&gt;"&amp;""))</f>
        <v>0</v>
      </c>
      <c r="P46" s="165">
        <f>IF(C46="","",COUNTIFS(Başvuru!$C:$C,C46,Başvuru!$L:$L,"GERİ ÇEKİLDİ",Başvuru!$A:$A,"&lt;&gt;"&amp;"",Başvuru!$F:$F,"&lt;&gt;"&amp;""))</f>
        <v>0</v>
      </c>
      <c r="Q46" s="166" t="s">
        <v>2459</v>
      </c>
      <c r="R46" s="167">
        <f>COUNTIFS(Başvuru!$C:$C,Q46,Başvuru!$A:$A,"&lt;&gt;"&amp;"",Başvuru!$F:$F,"&lt;&gt;"&amp;"")</f>
        <v>1</v>
      </c>
      <c r="S46" s="167">
        <f>RANK(R46,$R$6:$R$324,0)+COUNTIF($R$6:R46,R46)-1</f>
        <v>159</v>
      </c>
    </row>
    <row r="47" spans="2:19" ht="15" customHeight="1" x14ac:dyDescent="0.25">
      <c r="B47" s="168">
        <v>42</v>
      </c>
      <c r="C47" s="169" t="str">
        <f>IFERROR(INDEX($Q$6:$Q$324,MATCH(42,$S$6:$S$324,0)),"")</f>
        <v>Prof. Dr. Hatice Yasemin BALABAN</v>
      </c>
      <c r="D47" s="170">
        <f>IF(C47="","",COUNTIFS(Başvuru!$C:$C,C47,Başvuru!$A:$A,"&lt;&gt;"&amp;"",Başvuru!$F:$F,"&lt;&gt;"&amp;""))</f>
        <v>4</v>
      </c>
      <c r="E47" s="168" t="str">
        <f>IF(C47="","-",IF(D47&gt;0,TEXT(D47/(COUNTIFS(Başvuru!$A:$A,"&lt;&gt;",Başvuru!$F:$F,"&lt;&gt;")-1)*100,"0.0")&amp;"%","-"))</f>
        <v>01%</v>
      </c>
      <c r="F47" s="171">
        <f>IF(C47="","",COUNTIFS(Başvuru!$C:$C,C47,Başvuru!$G:$G,"Bireysel Araştırma",Başvuru!$A:$A,"&lt;&gt;"&amp;"",Başvuru!$F:$F,"&lt;&gt;"&amp;""))</f>
        <v>4</v>
      </c>
      <c r="G47" s="171">
        <f>IF(C47="","",COUNTIFS(Başvuru!$C:$C,C47,Başvuru!$G:$G,"Uzmanlık Tezi",Başvuru!$A:$A,"&lt;&gt;"&amp;"",Başvuru!$F:$F,"&lt;&gt;"&amp;""))</f>
        <v>0</v>
      </c>
      <c r="H47" s="171">
        <f>IF(C47="","",COUNTIFS(Başvuru!$C:$C,C47,Başvuru!$G:$G,"Doktora Tezi",Başvuru!$A:$A,"&lt;&gt;"&amp;"",Başvuru!$F:$F,"&lt;&gt;"&amp;""))</f>
        <v>0</v>
      </c>
      <c r="I47" s="171">
        <f>IF(C47="","",COUNTIFS(Başvuru!$C:$C,C47,Başvuru!$G:$G,"Yüksek Lisans Tezi",Başvuru!$A:$A,"&lt;&gt;"&amp;"",Başvuru!$F:$F,"&lt;&gt;"&amp;""))</f>
        <v>0</v>
      </c>
      <c r="J47" s="172">
        <f>IF(C47="","",COUNTIFS(Başvuru!$C:$C,C47,Başvuru!$L:$L,"ONAY",Başvuru!$A:$A,"&lt;&gt;"&amp;"",Başvuru!$F:$F,"&lt;&gt;"&amp;""))</f>
        <v>0</v>
      </c>
      <c r="K47" s="173">
        <f>IF(C47="","",COUNTIFS(Başvuru!$C:$C,C47,Başvuru!$L:$L,"DÜZELTME",Başvuru!$A:$A,"&lt;&gt;"&amp;"",Başvuru!$F:$F,"&lt;&gt;"&amp;""))</f>
        <v>2</v>
      </c>
      <c r="L47" s="174">
        <f>IF(C47="","",COUNTIFS(Başvuru!$C:$C,C47,Başvuru!$L:$L,"KAEK",Başvuru!$A:$A,"&lt;&gt;"&amp;"",Başvuru!$F:$F,"&lt;&gt;"&amp;""))</f>
        <v>0</v>
      </c>
      <c r="M47" s="175">
        <f>IF(C47="","",COUNTIFS(Başvuru!$C:$C,C47,Başvuru!$L:$L,"GÖRÜŞ",Başvuru!$A:$A,"&lt;&gt;"&amp;"",Başvuru!$F:$F,"&lt;&gt;"&amp;""))</f>
        <v>0</v>
      </c>
      <c r="N47" s="176">
        <f>IF(C47="","",COUNTIFS(Başvuru!$C:$C,C47,Başvuru!$L:$L,"RET",Başvuru!$A:$A,"&lt;&gt;"&amp;"",Başvuru!$F:$F,"&lt;&gt;"&amp;""))</f>
        <v>0</v>
      </c>
      <c r="O47" s="177">
        <f>IF(C47="","",COUNTIFS(Başvuru!$C:$C,C47,Başvuru!$L:$L,"KAPSAM DIŞI",Başvuru!$A:$A,"&lt;&gt;"&amp;"",Başvuru!$F:$F,"&lt;&gt;"&amp;""))</f>
        <v>1</v>
      </c>
      <c r="P47" s="178">
        <f>IF(C47="","",COUNTIFS(Başvuru!$C:$C,C47,Başvuru!$L:$L,"GERİ ÇEKİLDİ",Başvuru!$A:$A,"&lt;&gt;"&amp;"",Başvuru!$F:$F,"&lt;&gt;"&amp;""))</f>
        <v>0</v>
      </c>
      <c r="Q47" s="166" t="s">
        <v>520</v>
      </c>
      <c r="R47" s="167">
        <f>COUNTIFS(Başvuru!$C:$C,Q47,Başvuru!$A:$A,"&lt;&gt;"&amp;"",Başvuru!$F:$F,"&lt;&gt;"&amp;"")</f>
        <v>5</v>
      </c>
      <c r="S47" s="167">
        <f>RANK(R47,$R$6:$R$324,0)+COUNTIF($R$6:R47,R47)-1</f>
        <v>20</v>
      </c>
    </row>
    <row r="48" spans="2:19" ht="15" customHeight="1" x14ac:dyDescent="0.25">
      <c r="B48" s="155">
        <v>43</v>
      </c>
      <c r="C48" s="156" t="str">
        <f>IFERROR(INDEX($Q$6:$Q$324,MATCH(43,$S$6:$S$324,0)),"")</f>
        <v>Prof. Dr. Umut KALYONCU</v>
      </c>
      <c r="D48" s="157">
        <f>IF(C48="","",COUNTIFS(Başvuru!$C:$C,C48,Başvuru!$A:$A,"&lt;&gt;"&amp;"",Başvuru!$F:$F,"&lt;&gt;"&amp;""))</f>
        <v>4</v>
      </c>
      <c r="E48" s="155" t="str">
        <f>IF(C48="","-",IF(D48&gt;0,TEXT(D48/(COUNTIFS(Başvuru!$A:$A,"&lt;&gt;",Başvuru!$F:$F,"&lt;&gt;")-1)*100,"0.0")&amp;"%","-"))</f>
        <v>01%</v>
      </c>
      <c r="F48" s="158">
        <f>IF(C48="","",COUNTIFS(Başvuru!$C:$C,C48,Başvuru!$G:$G,"Bireysel Araştırma",Başvuru!$A:$A,"&lt;&gt;"&amp;"",Başvuru!$F:$F,"&lt;&gt;"&amp;""))</f>
        <v>4</v>
      </c>
      <c r="G48" s="158">
        <f>IF(C48="","",COUNTIFS(Başvuru!$C:$C,C48,Başvuru!$G:$G,"Uzmanlık Tezi",Başvuru!$A:$A,"&lt;&gt;"&amp;"",Başvuru!$F:$F,"&lt;&gt;"&amp;""))</f>
        <v>0</v>
      </c>
      <c r="H48" s="158">
        <f>IF(C48="","",COUNTIFS(Başvuru!$C:$C,C48,Başvuru!$G:$G,"Doktora Tezi",Başvuru!$A:$A,"&lt;&gt;"&amp;"",Başvuru!$F:$F,"&lt;&gt;"&amp;""))</f>
        <v>0</v>
      </c>
      <c r="I48" s="158">
        <f>IF(C48="","",COUNTIFS(Başvuru!$C:$C,C48,Başvuru!$G:$G,"Yüksek Lisans Tezi",Başvuru!$A:$A,"&lt;&gt;"&amp;"",Başvuru!$F:$F,"&lt;&gt;"&amp;""))</f>
        <v>0</v>
      </c>
      <c r="J48" s="159">
        <f>IF(C48="","",COUNTIFS(Başvuru!$C:$C,C48,Başvuru!$L:$L,"ONAY",Başvuru!$A:$A,"&lt;&gt;"&amp;"",Başvuru!$F:$F,"&lt;&gt;"&amp;""))</f>
        <v>2</v>
      </c>
      <c r="K48" s="160">
        <f>IF(C48="","",COUNTIFS(Başvuru!$C:$C,C48,Başvuru!$L:$L,"DÜZELTME",Başvuru!$A:$A,"&lt;&gt;"&amp;"",Başvuru!$F:$F,"&lt;&gt;"&amp;""))</f>
        <v>1</v>
      </c>
      <c r="L48" s="161">
        <f>IF(C48="","",COUNTIFS(Başvuru!$C:$C,C48,Başvuru!$L:$L,"KAEK",Başvuru!$A:$A,"&lt;&gt;"&amp;"",Başvuru!$F:$F,"&lt;&gt;"&amp;""))</f>
        <v>0</v>
      </c>
      <c r="M48" s="162">
        <f>IF(C48="","",COUNTIFS(Başvuru!$C:$C,C48,Başvuru!$L:$L,"GÖRÜŞ",Başvuru!$A:$A,"&lt;&gt;"&amp;"",Başvuru!$F:$F,"&lt;&gt;"&amp;""))</f>
        <v>0</v>
      </c>
      <c r="N48" s="163">
        <f>IF(C48="","",COUNTIFS(Başvuru!$C:$C,C48,Başvuru!$L:$L,"RET",Başvuru!$A:$A,"&lt;&gt;"&amp;"",Başvuru!$F:$F,"&lt;&gt;"&amp;""))</f>
        <v>1</v>
      </c>
      <c r="O48" s="164">
        <f>IF(C48="","",COUNTIFS(Başvuru!$C:$C,C48,Başvuru!$L:$L,"KAPSAM DIŞI",Başvuru!$A:$A,"&lt;&gt;"&amp;"",Başvuru!$F:$F,"&lt;&gt;"&amp;""))</f>
        <v>0</v>
      </c>
      <c r="P48" s="165">
        <f>IF(C48="","",COUNTIFS(Başvuru!$C:$C,C48,Başvuru!$L:$L,"GERİ ÇEKİLDİ",Başvuru!$A:$A,"&lt;&gt;"&amp;"",Başvuru!$F:$F,"&lt;&gt;"&amp;""))</f>
        <v>0</v>
      </c>
      <c r="Q48" s="166" t="s">
        <v>1440</v>
      </c>
      <c r="R48" s="167">
        <f>COUNTIFS(Başvuru!$C:$C,Q48,Başvuru!$A:$A,"&lt;&gt;"&amp;"",Başvuru!$F:$F,"&lt;&gt;"&amp;"")</f>
        <v>1</v>
      </c>
      <c r="S48" s="167">
        <f>RANK(R48,$R$6:$R$324,0)+COUNTIF($R$6:R48,R48)-1</f>
        <v>160</v>
      </c>
    </row>
    <row r="49" spans="2:19" ht="15" customHeight="1" x14ac:dyDescent="0.25">
      <c r="B49" s="168">
        <v>44</v>
      </c>
      <c r="C49" s="169" t="str">
        <f>IFERROR(INDEX($Q$6:$Q$324,MATCH(44,$S$6:$S$324,0)),"")</f>
        <v>Prof. Dr. Çağrı Mesut TEMUÇİN</v>
      </c>
      <c r="D49" s="170">
        <f>IF(C49="","",COUNTIFS(Başvuru!$C:$C,C49,Başvuru!$A:$A,"&lt;&gt;"&amp;"",Başvuru!$F:$F,"&lt;&gt;"&amp;""))</f>
        <v>4</v>
      </c>
      <c r="E49" s="168" t="str">
        <f>IF(C49="","-",IF(D49&gt;0,TEXT(D49/(COUNTIFS(Başvuru!$A:$A,"&lt;&gt;",Başvuru!$F:$F,"&lt;&gt;")-1)*100,"0.0")&amp;"%","-"))</f>
        <v>01%</v>
      </c>
      <c r="F49" s="171">
        <f>IF(C49="","",COUNTIFS(Başvuru!$C:$C,C49,Başvuru!$G:$G,"Bireysel Araştırma",Başvuru!$A:$A,"&lt;&gt;"&amp;"",Başvuru!$F:$F,"&lt;&gt;"&amp;""))</f>
        <v>4</v>
      </c>
      <c r="G49" s="171">
        <f>IF(C49="","",COUNTIFS(Başvuru!$C:$C,C49,Başvuru!$G:$G,"Uzmanlık Tezi",Başvuru!$A:$A,"&lt;&gt;"&amp;"",Başvuru!$F:$F,"&lt;&gt;"&amp;""))</f>
        <v>0</v>
      </c>
      <c r="H49" s="171">
        <f>IF(C49="","",COUNTIFS(Başvuru!$C:$C,C49,Başvuru!$G:$G,"Doktora Tezi",Başvuru!$A:$A,"&lt;&gt;"&amp;"",Başvuru!$F:$F,"&lt;&gt;"&amp;""))</f>
        <v>0</v>
      </c>
      <c r="I49" s="171">
        <f>IF(C49="","",COUNTIFS(Başvuru!$C:$C,C49,Başvuru!$G:$G,"Yüksek Lisans Tezi",Başvuru!$A:$A,"&lt;&gt;"&amp;"",Başvuru!$F:$F,"&lt;&gt;"&amp;""))</f>
        <v>0</v>
      </c>
      <c r="J49" s="172">
        <f>IF(C49="","",COUNTIFS(Başvuru!$C:$C,C49,Başvuru!$L:$L,"ONAY",Başvuru!$A:$A,"&lt;&gt;"&amp;"",Başvuru!$F:$F,"&lt;&gt;"&amp;""))</f>
        <v>3</v>
      </c>
      <c r="K49" s="173">
        <f>IF(C49="","",COUNTIFS(Başvuru!$C:$C,C49,Başvuru!$L:$L,"DÜZELTME",Başvuru!$A:$A,"&lt;&gt;"&amp;"",Başvuru!$F:$F,"&lt;&gt;"&amp;""))</f>
        <v>1</v>
      </c>
      <c r="L49" s="174">
        <f>IF(C49="","",COUNTIFS(Başvuru!$C:$C,C49,Başvuru!$L:$L,"KAEK",Başvuru!$A:$A,"&lt;&gt;"&amp;"",Başvuru!$F:$F,"&lt;&gt;"&amp;""))</f>
        <v>0</v>
      </c>
      <c r="M49" s="175">
        <f>IF(C49="","",COUNTIFS(Başvuru!$C:$C,C49,Başvuru!$L:$L,"GÖRÜŞ",Başvuru!$A:$A,"&lt;&gt;"&amp;"",Başvuru!$F:$F,"&lt;&gt;"&amp;""))</f>
        <v>0</v>
      </c>
      <c r="N49" s="176">
        <f>IF(C49="","",COUNTIFS(Başvuru!$C:$C,C49,Başvuru!$L:$L,"RET",Başvuru!$A:$A,"&lt;&gt;"&amp;"",Başvuru!$F:$F,"&lt;&gt;"&amp;""))</f>
        <v>0</v>
      </c>
      <c r="O49" s="177">
        <f>IF(C49="","",COUNTIFS(Başvuru!$C:$C,C49,Başvuru!$L:$L,"KAPSAM DIŞI",Başvuru!$A:$A,"&lt;&gt;"&amp;"",Başvuru!$F:$F,"&lt;&gt;"&amp;""))</f>
        <v>0</v>
      </c>
      <c r="P49" s="178">
        <f>IF(C49="","",COUNTIFS(Başvuru!$C:$C,C49,Başvuru!$L:$L,"GERİ ÇEKİLDİ",Başvuru!$A:$A,"&lt;&gt;"&amp;"",Başvuru!$F:$F,"&lt;&gt;"&amp;""))</f>
        <v>0</v>
      </c>
      <c r="Q49" s="166" t="s">
        <v>1729</v>
      </c>
      <c r="R49" s="167">
        <f>COUNTIFS(Başvuru!$C:$C,Q49,Başvuru!$A:$A,"&lt;&gt;"&amp;"",Başvuru!$F:$F,"&lt;&gt;"&amp;"")</f>
        <v>2</v>
      </c>
      <c r="S49" s="167">
        <f>RANK(R49,$R$6:$R$324,0)+COUNTIF($R$6:R49,R49)-1</f>
        <v>85</v>
      </c>
    </row>
    <row r="50" spans="2:19" ht="15" customHeight="1" x14ac:dyDescent="0.25">
      <c r="B50" s="155">
        <v>45</v>
      </c>
      <c r="C50" s="156" t="str">
        <f>IFERROR(INDEX($Q$6:$Q$324,MATCH(45,$S$6:$S$324,0)),"")</f>
        <v>Prof. Dr. Ömer KARADAĞ</v>
      </c>
      <c r="D50" s="157">
        <f>IF(C50="","",COUNTIFS(Başvuru!$C:$C,C50,Başvuru!$A:$A,"&lt;&gt;"&amp;"",Başvuru!$F:$F,"&lt;&gt;"&amp;""))</f>
        <v>4</v>
      </c>
      <c r="E50" s="155" t="str">
        <f>IF(C50="","-",IF(D50&gt;0,TEXT(D50/(COUNTIFS(Başvuru!$A:$A,"&lt;&gt;",Başvuru!$F:$F,"&lt;&gt;")-1)*100,"0.0")&amp;"%","-"))</f>
        <v>01%</v>
      </c>
      <c r="F50" s="158">
        <f>IF(C50="","",COUNTIFS(Başvuru!$C:$C,C50,Başvuru!$G:$G,"Bireysel Araştırma",Başvuru!$A:$A,"&lt;&gt;"&amp;"",Başvuru!$F:$F,"&lt;&gt;"&amp;""))</f>
        <v>4</v>
      </c>
      <c r="G50" s="158">
        <f>IF(C50="","",COUNTIFS(Başvuru!$C:$C,C50,Başvuru!$G:$G,"Uzmanlık Tezi",Başvuru!$A:$A,"&lt;&gt;"&amp;"",Başvuru!$F:$F,"&lt;&gt;"&amp;""))</f>
        <v>0</v>
      </c>
      <c r="H50" s="158">
        <f>IF(C50="","",COUNTIFS(Başvuru!$C:$C,C50,Başvuru!$G:$G,"Doktora Tezi",Başvuru!$A:$A,"&lt;&gt;"&amp;"",Başvuru!$F:$F,"&lt;&gt;"&amp;""))</f>
        <v>0</v>
      </c>
      <c r="I50" s="158">
        <f>IF(C50="","",COUNTIFS(Başvuru!$C:$C,C50,Başvuru!$G:$G,"Yüksek Lisans Tezi",Başvuru!$A:$A,"&lt;&gt;"&amp;"",Başvuru!$F:$F,"&lt;&gt;"&amp;""))</f>
        <v>0</v>
      </c>
      <c r="J50" s="159">
        <f>IF(C50="","",COUNTIFS(Başvuru!$C:$C,C50,Başvuru!$L:$L,"ONAY",Başvuru!$A:$A,"&lt;&gt;"&amp;"",Başvuru!$F:$F,"&lt;&gt;"&amp;""))</f>
        <v>3</v>
      </c>
      <c r="K50" s="160">
        <f>IF(C50="","",COUNTIFS(Başvuru!$C:$C,C50,Başvuru!$L:$L,"DÜZELTME",Başvuru!$A:$A,"&lt;&gt;"&amp;"",Başvuru!$F:$F,"&lt;&gt;"&amp;""))</f>
        <v>1</v>
      </c>
      <c r="L50" s="161">
        <f>IF(C50="","",COUNTIFS(Başvuru!$C:$C,C50,Başvuru!$L:$L,"KAEK",Başvuru!$A:$A,"&lt;&gt;"&amp;"",Başvuru!$F:$F,"&lt;&gt;"&amp;""))</f>
        <v>0</v>
      </c>
      <c r="M50" s="162">
        <f>IF(C50="","",COUNTIFS(Başvuru!$C:$C,C50,Başvuru!$L:$L,"GÖRÜŞ",Başvuru!$A:$A,"&lt;&gt;"&amp;"",Başvuru!$F:$F,"&lt;&gt;"&amp;""))</f>
        <v>0</v>
      </c>
      <c r="N50" s="163">
        <f>IF(C50="","",COUNTIFS(Başvuru!$C:$C,C50,Başvuru!$L:$L,"RET",Başvuru!$A:$A,"&lt;&gt;"&amp;"",Başvuru!$F:$F,"&lt;&gt;"&amp;""))</f>
        <v>0</v>
      </c>
      <c r="O50" s="164">
        <f>IF(C50="","",COUNTIFS(Başvuru!$C:$C,C50,Başvuru!$L:$L,"KAPSAM DIŞI",Başvuru!$A:$A,"&lt;&gt;"&amp;"",Başvuru!$F:$F,"&lt;&gt;"&amp;""))</f>
        <v>0</v>
      </c>
      <c r="P50" s="165">
        <f>IF(C50="","",COUNTIFS(Başvuru!$C:$C,C50,Başvuru!$L:$L,"GERİ ÇEKİLDİ",Başvuru!$A:$A,"&lt;&gt;"&amp;"",Başvuru!$F:$F,"&lt;&gt;"&amp;""))</f>
        <v>0</v>
      </c>
      <c r="Q50" s="166" t="s">
        <v>908</v>
      </c>
      <c r="R50" s="167">
        <f>COUNTIFS(Başvuru!$C:$C,Q50,Başvuru!$A:$A,"&lt;&gt;"&amp;"",Başvuru!$F:$F,"&lt;&gt;"&amp;"")</f>
        <v>1</v>
      </c>
      <c r="S50" s="167">
        <f>RANK(R50,$R$6:$R$324,0)+COUNTIF($R$6:R50,R50)-1</f>
        <v>161</v>
      </c>
    </row>
    <row r="51" spans="2:19" ht="15" customHeight="1" x14ac:dyDescent="0.25">
      <c r="B51" s="168">
        <v>46</v>
      </c>
      <c r="C51" s="169" t="str">
        <f>IFERROR(INDEX($Q$6:$Q$324,MATCH(46,$S$6:$S$324,0)),"")</f>
        <v>Prof. Dr. Ümit Yavuz MALKAN</v>
      </c>
      <c r="D51" s="170">
        <f>IF(C51="","",COUNTIFS(Başvuru!$C:$C,C51,Başvuru!$A:$A,"&lt;&gt;"&amp;"",Başvuru!$F:$F,"&lt;&gt;"&amp;""))</f>
        <v>4</v>
      </c>
      <c r="E51" s="168" t="str">
        <f>IF(C51="","-",IF(D51&gt;0,TEXT(D51/(COUNTIFS(Başvuru!$A:$A,"&lt;&gt;",Başvuru!$F:$F,"&lt;&gt;")-1)*100,"0.0")&amp;"%","-"))</f>
        <v>01%</v>
      </c>
      <c r="F51" s="171">
        <f>IF(C51="","",COUNTIFS(Başvuru!$C:$C,C51,Başvuru!$G:$G,"Bireysel Araştırma",Başvuru!$A:$A,"&lt;&gt;"&amp;"",Başvuru!$F:$F,"&lt;&gt;"&amp;""))</f>
        <v>4</v>
      </c>
      <c r="G51" s="171">
        <f>IF(C51="","",COUNTIFS(Başvuru!$C:$C,C51,Başvuru!$G:$G,"Uzmanlık Tezi",Başvuru!$A:$A,"&lt;&gt;"&amp;"",Başvuru!$F:$F,"&lt;&gt;"&amp;""))</f>
        <v>0</v>
      </c>
      <c r="H51" s="171">
        <f>IF(C51="","",COUNTIFS(Başvuru!$C:$C,C51,Başvuru!$G:$G,"Doktora Tezi",Başvuru!$A:$A,"&lt;&gt;"&amp;"",Başvuru!$F:$F,"&lt;&gt;"&amp;""))</f>
        <v>0</v>
      </c>
      <c r="I51" s="171">
        <f>IF(C51="","",COUNTIFS(Başvuru!$C:$C,C51,Başvuru!$G:$G,"Yüksek Lisans Tezi",Başvuru!$A:$A,"&lt;&gt;"&amp;"",Başvuru!$F:$F,"&lt;&gt;"&amp;""))</f>
        <v>0</v>
      </c>
      <c r="J51" s="172">
        <f>IF(C51="","",COUNTIFS(Başvuru!$C:$C,C51,Başvuru!$L:$L,"ONAY",Başvuru!$A:$A,"&lt;&gt;"&amp;"",Başvuru!$F:$F,"&lt;&gt;"&amp;""))</f>
        <v>3</v>
      </c>
      <c r="K51" s="173">
        <f>IF(C51="","",COUNTIFS(Başvuru!$C:$C,C51,Başvuru!$L:$L,"DÜZELTME",Başvuru!$A:$A,"&lt;&gt;"&amp;"",Başvuru!$F:$F,"&lt;&gt;"&amp;""))</f>
        <v>1</v>
      </c>
      <c r="L51" s="174">
        <f>IF(C51="","",COUNTIFS(Başvuru!$C:$C,C51,Başvuru!$L:$L,"KAEK",Başvuru!$A:$A,"&lt;&gt;"&amp;"",Başvuru!$F:$F,"&lt;&gt;"&amp;""))</f>
        <v>0</v>
      </c>
      <c r="M51" s="175">
        <f>IF(C51="","",COUNTIFS(Başvuru!$C:$C,C51,Başvuru!$L:$L,"GÖRÜŞ",Başvuru!$A:$A,"&lt;&gt;"&amp;"",Başvuru!$F:$F,"&lt;&gt;"&amp;""))</f>
        <v>0</v>
      </c>
      <c r="N51" s="176">
        <f>IF(C51="","",COUNTIFS(Başvuru!$C:$C,C51,Başvuru!$L:$L,"RET",Başvuru!$A:$A,"&lt;&gt;"&amp;"",Başvuru!$F:$F,"&lt;&gt;"&amp;""))</f>
        <v>0</v>
      </c>
      <c r="O51" s="177">
        <f>IF(C51="","",COUNTIFS(Başvuru!$C:$C,C51,Başvuru!$L:$L,"KAPSAM DIŞI",Başvuru!$A:$A,"&lt;&gt;"&amp;"",Başvuru!$F:$F,"&lt;&gt;"&amp;""))</f>
        <v>0</v>
      </c>
      <c r="P51" s="178">
        <f>IF(C51="","",COUNTIFS(Başvuru!$C:$C,C51,Başvuru!$L:$L,"GERİ ÇEKİLDİ",Başvuru!$A:$A,"&lt;&gt;"&amp;"",Başvuru!$F:$F,"&lt;&gt;"&amp;""))</f>
        <v>0</v>
      </c>
      <c r="Q51" s="166" t="s">
        <v>81</v>
      </c>
      <c r="R51" s="167">
        <f>COUNTIFS(Başvuru!$C:$C,Q51,Başvuru!$A:$A,"&lt;&gt;"&amp;"",Başvuru!$F:$F,"&lt;&gt;"&amp;"")</f>
        <v>3</v>
      </c>
      <c r="S51" s="167">
        <f>RANK(R51,$R$6:$R$324,0)+COUNTIF($R$6:R51,R51)-1</f>
        <v>48</v>
      </c>
    </row>
    <row r="52" spans="2:19" ht="15" customHeight="1" x14ac:dyDescent="0.25">
      <c r="B52" s="155">
        <v>47</v>
      </c>
      <c r="C52" s="156" t="str">
        <f>IFERROR(INDEX($Q$6:$Q$324,MATCH(47,$S$6:$S$324,0)),"")</f>
        <v>Doç. Dr. Başak YALICI ARMAĞAN</v>
      </c>
      <c r="D52" s="157">
        <f>IF(C52="","",COUNTIFS(Başvuru!$C:$C,C52,Başvuru!$A:$A,"&lt;&gt;"&amp;"",Başvuru!$F:$F,"&lt;&gt;"&amp;""))</f>
        <v>3</v>
      </c>
      <c r="E52" s="155" t="str">
        <f>IF(C52="","-",IF(D52&gt;0,TEXT(D52/(COUNTIFS(Başvuru!$A:$A,"&lt;&gt;",Başvuru!$F:$F,"&lt;&gt;")-1)*100,"0.0")&amp;"%","-"))</f>
        <v>00%</v>
      </c>
      <c r="F52" s="158">
        <f>IF(C52="","",COUNTIFS(Başvuru!$C:$C,C52,Başvuru!$G:$G,"Bireysel Araştırma",Başvuru!$A:$A,"&lt;&gt;"&amp;"",Başvuru!$F:$F,"&lt;&gt;"&amp;""))</f>
        <v>1</v>
      </c>
      <c r="G52" s="158">
        <f>IF(C52="","",COUNTIFS(Başvuru!$C:$C,C52,Başvuru!$G:$G,"Uzmanlık Tezi",Başvuru!$A:$A,"&lt;&gt;"&amp;"",Başvuru!$F:$F,"&lt;&gt;"&amp;""))</f>
        <v>2</v>
      </c>
      <c r="H52" s="158">
        <f>IF(C52="","",COUNTIFS(Başvuru!$C:$C,C52,Başvuru!$G:$G,"Doktora Tezi",Başvuru!$A:$A,"&lt;&gt;"&amp;"",Başvuru!$F:$F,"&lt;&gt;"&amp;""))</f>
        <v>0</v>
      </c>
      <c r="I52" s="158">
        <f>IF(C52="","",COUNTIFS(Başvuru!$C:$C,C52,Başvuru!$G:$G,"Yüksek Lisans Tezi",Başvuru!$A:$A,"&lt;&gt;"&amp;"",Başvuru!$F:$F,"&lt;&gt;"&amp;""))</f>
        <v>0</v>
      </c>
      <c r="J52" s="159">
        <f>IF(C52="","",COUNTIFS(Başvuru!$C:$C,C52,Başvuru!$L:$L,"ONAY",Başvuru!$A:$A,"&lt;&gt;"&amp;"",Başvuru!$F:$F,"&lt;&gt;"&amp;""))</f>
        <v>1</v>
      </c>
      <c r="K52" s="160">
        <f>IF(C52="","",COUNTIFS(Başvuru!$C:$C,C52,Başvuru!$L:$L,"DÜZELTME",Başvuru!$A:$A,"&lt;&gt;"&amp;"",Başvuru!$F:$F,"&lt;&gt;"&amp;""))</f>
        <v>1</v>
      </c>
      <c r="L52" s="161">
        <f>IF(C52="","",COUNTIFS(Başvuru!$C:$C,C52,Başvuru!$L:$L,"KAEK",Başvuru!$A:$A,"&lt;&gt;"&amp;"",Başvuru!$F:$F,"&lt;&gt;"&amp;""))</f>
        <v>1</v>
      </c>
      <c r="M52" s="162">
        <f>IF(C52="","",COUNTIFS(Başvuru!$C:$C,C52,Başvuru!$L:$L,"GÖRÜŞ",Başvuru!$A:$A,"&lt;&gt;"&amp;"",Başvuru!$F:$F,"&lt;&gt;"&amp;""))</f>
        <v>0</v>
      </c>
      <c r="N52" s="163">
        <f>IF(C52="","",COUNTIFS(Başvuru!$C:$C,C52,Başvuru!$L:$L,"RET",Başvuru!$A:$A,"&lt;&gt;"&amp;"",Başvuru!$F:$F,"&lt;&gt;"&amp;""))</f>
        <v>0</v>
      </c>
      <c r="O52" s="164">
        <f>IF(C52="","",COUNTIFS(Başvuru!$C:$C,C52,Başvuru!$L:$L,"KAPSAM DIŞI",Başvuru!$A:$A,"&lt;&gt;"&amp;"",Başvuru!$F:$F,"&lt;&gt;"&amp;""))</f>
        <v>0</v>
      </c>
      <c r="P52" s="165">
        <f>IF(C52="","",COUNTIFS(Başvuru!$C:$C,C52,Başvuru!$L:$L,"GERİ ÇEKİLDİ",Başvuru!$A:$A,"&lt;&gt;"&amp;"",Başvuru!$F:$F,"&lt;&gt;"&amp;""))</f>
        <v>0</v>
      </c>
      <c r="Q52" s="166" t="s">
        <v>849</v>
      </c>
      <c r="R52" s="167">
        <f>COUNTIFS(Başvuru!$C:$C,Q52,Başvuru!$A:$A,"&lt;&gt;"&amp;"",Başvuru!$F:$F,"&lt;&gt;"&amp;"")</f>
        <v>1</v>
      </c>
      <c r="S52" s="167">
        <f>RANK(R52,$R$6:$R$324,0)+COUNTIF($R$6:R52,R52)-1</f>
        <v>162</v>
      </c>
    </row>
    <row r="53" spans="2:19" ht="15" customHeight="1" x14ac:dyDescent="0.25">
      <c r="B53" s="168">
        <v>48</v>
      </c>
      <c r="C53" s="169" t="str">
        <f>IFERROR(INDEX($Q$6:$Q$324,MATCH(48,$S$6:$S$324,0)),"")</f>
        <v>Doç. Dr. Gamze DURHAN</v>
      </c>
      <c r="D53" s="170">
        <f>IF(C53="","",COUNTIFS(Başvuru!$C:$C,C53,Başvuru!$A:$A,"&lt;&gt;"&amp;"",Başvuru!$F:$F,"&lt;&gt;"&amp;""))</f>
        <v>3</v>
      </c>
      <c r="E53" s="168" t="str">
        <f>IF(C53="","-",IF(D53&gt;0,TEXT(D53/(COUNTIFS(Başvuru!$A:$A,"&lt;&gt;",Başvuru!$F:$F,"&lt;&gt;")-1)*100,"0.0")&amp;"%","-"))</f>
        <v>00%</v>
      </c>
      <c r="F53" s="171">
        <f>IF(C53="","",COUNTIFS(Başvuru!$C:$C,C53,Başvuru!$G:$G,"Bireysel Araştırma",Başvuru!$A:$A,"&lt;&gt;"&amp;"",Başvuru!$F:$F,"&lt;&gt;"&amp;""))</f>
        <v>2</v>
      </c>
      <c r="G53" s="171">
        <f>IF(C53="","",COUNTIFS(Başvuru!$C:$C,C53,Başvuru!$G:$G,"Uzmanlık Tezi",Başvuru!$A:$A,"&lt;&gt;"&amp;"",Başvuru!$F:$F,"&lt;&gt;"&amp;""))</f>
        <v>1</v>
      </c>
      <c r="H53" s="171">
        <f>IF(C53="","",COUNTIFS(Başvuru!$C:$C,C53,Başvuru!$G:$G,"Doktora Tezi",Başvuru!$A:$A,"&lt;&gt;"&amp;"",Başvuru!$F:$F,"&lt;&gt;"&amp;""))</f>
        <v>0</v>
      </c>
      <c r="I53" s="171">
        <f>IF(C53="","",COUNTIFS(Başvuru!$C:$C,C53,Başvuru!$G:$G,"Yüksek Lisans Tezi",Başvuru!$A:$A,"&lt;&gt;"&amp;"",Başvuru!$F:$F,"&lt;&gt;"&amp;""))</f>
        <v>0</v>
      </c>
      <c r="J53" s="172">
        <f>IF(C53="","",COUNTIFS(Başvuru!$C:$C,C53,Başvuru!$L:$L,"ONAY",Başvuru!$A:$A,"&lt;&gt;"&amp;"",Başvuru!$F:$F,"&lt;&gt;"&amp;""))</f>
        <v>3</v>
      </c>
      <c r="K53" s="173">
        <f>IF(C53="","",COUNTIFS(Başvuru!$C:$C,C53,Başvuru!$L:$L,"DÜZELTME",Başvuru!$A:$A,"&lt;&gt;"&amp;"",Başvuru!$F:$F,"&lt;&gt;"&amp;""))</f>
        <v>0</v>
      </c>
      <c r="L53" s="174">
        <f>IF(C53="","",COUNTIFS(Başvuru!$C:$C,C53,Başvuru!$L:$L,"KAEK",Başvuru!$A:$A,"&lt;&gt;"&amp;"",Başvuru!$F:$F,"&lt;&gt;"&amp;""))</f>
        <v>0</v>
      </c>
      <c r="M53" s="175">
        <f>IF(C53="","",COUNTIFS(Başvuru!$C:$C,C53,Başvuru!$L:$L,"GÖRÜŞ",Başvuru!$A:$A,"&lt;&gt;"&amp;"",Başvuru!$F:$F,"&lt;&gt;"&amp;""))</f>
        <v>0</v>
      </c>
      <c r="N53" s="176">
        <f>IF(C53="","",COUNTIFS(Başvuru!$C:$C,C53,Başvuru!$L:$L,"RET",Başvuru!$A:$A,"&lt;&gt;"&amp;"",Başvuru!$F:$F,"&lt;&gt;"&amp;""))</f>
        <v>0</v>
      </c>
      <c r="O53" s="177">
        <f>IF(C53="","",COUNTIFS(Başvuru!$C:$C,C53,Başvuru!$L:$L,"KAPSAM DIŞI",Başvuru!$A:$A,"&lt;&gt;"&amp;"",Başvuru!$F:$F,"&lt;&gt;"&amp;""))</f>
        <v>0</v>
      </c>
      <c r="P53" s="178">
        <f>IF(C53="","",COUNTIFS(Başvuru!$C:$C,C53,Başvuru!$L:$L,"GERİ ÇEKİLDİ",Başvuru!$A:$A,"&lt;&gt;"&amp;"",Başvuru!$F:$F,"&lt;&gt;"&amp;""))</f>
        <v>0</v>
      </c>
      <c r="Q53" s="166" t="s">
        <v>2176</v>
      </c>
      <c r="R53" s="167">
        <f>COUNTIFS(Başvuru!$C:$C,Q53,Başvuru!$A:$A,"&lt;&gt;"&amp;"",Başvuru!$F:$F,"&lt;&gt;"&amp;"")</f>
        <v>2</v>
      </c>
      <c r="S53" s="167">
        <f>RANK(R53,$R$6:$R$324,0)+COUNTIF($R$6:R53,R53)-1</f>
        <v>86</v>
      </c>
    </row>
    <row r="54" spans="2:19" ht="15" customHeight="1" x14ac:dyDescent="0.25">
      <c r="B54" s="155">
        <v>49</v>
      </c>
      <c r="C54" s="156" t="str">
        <f>IFERROR(INDEX($Q$6:$Q$324,MATCH(49,$S$6:$S$324,0)),"")</f>
        <v>Doç. Dr. Hacı Hasan YETER</v>
      </c>
      <c r="D54" s="157">
        <f>IF(C54="","",COUNTIFS(Başvuru!$C:$C,C54,Başvuru!$A:$A,"&lt;&gt;"&amp;"",Başvuru!$F:$F,"&lt;&gt;"&amp;""))</f>
        <v>3</v>
      </c>
      <c r="E54" s="155" t="str">
        <f>IF(C54="","-",IF(D54&gt;0,TEXT(D54/(COUNTIFS(Başvuru!$A:$A,"&lt;&gt;",Başvuru!$F:$F,"&lt;&gt;")-1)*100,"0.0")&amp;"%","-"))</f>
        <v>00%</v>
      </c>
      <c r="F54" s="158">
        <f>IF(C54="","",COUNTIFS(Başvuru!$C:$C,C54,Başvuru!$G:$G,"Bireysel Araştırma",Başvuru!$A:$A,"&lt;&gt;"&amp;"",Başvuru!$F:$F,"&lt;&gt;"&amp;""))</f>
        <v>3</v>
      </c>
      <c r="G54" s="158">
        <f>IF(C54="","",COUNTIFS(Başvuru!$C:$C,C54,Başvuru!$G:$G,"Uzmanlık Tezi",Başvuru!$A:$A,"&lt;&gt;"&amp;"",Başvuru!$F:$F,"&lt;&gt;"&amp;""))</f>
        <v>0</v>
      </c>
      <c r="H54" s="158">
        <f>IF(C54="","",COUNTIFS(Başvuru!$C:$C,C54,Başvuru!$G:$G,"Doktora Tezi",Başvuru!$A:$A,"&lt;&gt;"&amp;"",Başvuru!$F:$F,"&lt;&gt;"&amp;""))</f>
        <v>0</v>
      </c>
      <c r="I54" s="158">
        <f>IF(C54="","",COUNTIFS(Başvuru!$C:$C,C54,Başvuru!$G:$G,"Yüksek Lisans Tezi",Başvuru!$A:$A,"&lt;&gt;"&amp;"",Başvuru!$F:$F,"&lt;&gt;"&amp;""))</f>
        <v>0</v>
      </c>
      <c r="J54" s="159">
        <f>IF(C54="","",COUNTIFS(Başvuru!$C:$C,C54,Başvuru!$L:$L,"ONAY",Başvuru!$A:$A,"&lt;&gt;"&amp;"",Başvuru!$F:$F,"&lt;&gt;"&amp;""))</f>
        <v>1</v>
      </c>
      <c r="K54" s="160">
        <f>IF(C54="","",COUNTIFS(Başvuru!$C:$C,C54,Başvuru!$L:$L,"DÜZELTME",Başvuru!$A:$A,"&lt;&gt;"&amp;"",Başvuru!$F:$F,"&lt;&gt;"&amp;""))</f>
        <v>0</v>
      </c>
      <c r="L54" s="161">
        <f>IF(C54="","",COUNTIFS(Başvuru!$C:$C,C54,Başvuru!$L:$L,"KAEK",Başvuru!$A:$A,"&lt;&gt;"&amp;"",Başvuru!$F:$F,"&lt;&gt;"&amp;""))</f>
        <v>0</v>
      </c>
      <c r="M54" s="162">
        <f>IF(C54="","",COUNTIFS(Başvuru!$C:$C,C54,Başvuru!$L:$L,"GÖRÜŞ",Başvuru!$A:$A,"&lt;&gt;"&amp;"",Başvuru!$F:$F,"&lt;&gt;"&amp;""))</f>
        <v>0</v>
      </c>
      <c r="N54" s="163">
        <f>IF(C54="","",COUNTIFS(Başvuru!$C:$C,C54,Başvuru!$L:$L,"RET",Başvuru!$A:$A,"&lt;&gt;"&amp;"",Başvuru!$F:$F,"&lt;&gt;"&amp;""))</f>
        <v>0</v>
      </c>
      <c r="O54" s="164">
        <f>IF(C54="","",COUNTIFS(Başvuru!$C:$C,C54,Başvuru!$L:$L,"KAPSAM DIŞI",Başvuru!$A:$A,"&lt;&gt;"&amp;"",Başvuru!$F:$F,"&lt;&gt;"&amp;""))</f>
        <v>0</v>
      </c>
      <c r="P54" s="165">
        <f>IF(C54="","",COUNTIFS(Başvuru!$C:$C,C54,Başvuru!$L:$L,"GERİ ÇEKİLDİ",Başvuru!$A:$A,"&lt;&gt;"&amp;"",Başvuru!$F:$F,"&lt;&gt;"&amp;""))</f>
        <v>0</v>
      </c>
      <c r="Q54" s="166" t="s">
        <v>591</v>
      </c>
      <c r="R54" s="167">
        <f>COUNTIFS(Başvuru!$C:$C,Q54,Başvuru!$A:$A,"&lt;&gt;"&amp;"",Başvuru!$F:$F,"&lt;&gt;"&amp;"")</f>
        <v>3</v>
      </c>
      <c r="S54" s="167">
        <f>RANK(R54,$R$6:$R$324,0)+COUNTIF($R$6:R54,R54)-1</f>
        <v>49</v>
      </c>
    </row>
    <row r="55" spans="2:19" ht="15" customHeight="1" x14ac:dyDescent="0.25">
      <c r="B55" s="168">
        <v>50</v>
      </c>
      <c r="C55" s="169" t="str">
        <f>IFERROR(INDEX($Q$6:$Q$324,MATCH(50,$S$6:$S$324,0)),"")</f>
        <v>Doç. Dr. Hayriye HIZARCIOĞLU GÜLŞEN</v>
      </c>
      <c r="D55" s="170">
        <f>IF(C55="","",COUNTIFS(Başvuru!$C:$C,C55,Başvuru!$A:$A,"&lt;&gt;"&amp;"",Başvuru!$F:$F,"&lt;&gt;"&amp;""))</f>
        <v>3</v>
      </c>
      <c r="E55" s="168" t="str">
        <f>IF(C55="","-",IF(D55&gt;0,TEXT(D55/(COUNTIFS(Başvuru!$A:$A,"&lt;&gt;",Başvuru!$F:$F,"&lt;&gt;")-1)*100,"0.0")&amp;"%","-"))</f>
        <v>00%</v>
      </c>
      <c r="F55" s="171">
        <f>IF(C55="","",COUNTIFS(Başvuru!$C:$C,C55,Başvuru!$G:$G,"Bireysel Araştırma",Başvuru!$A:$A,"&lt;&gt;"&amp;"",Başvuru!$F:$F,"&lt;&gt;"&amp;""))</f>
        <v>3</v>
      </c>
      <c r="G55" s="171">
        <f>IF(C55="","",COUNTIFS(Başvuru!$C:$C,C55,Başvuru!$G:$G,"Uzmanlık Tezi",Başvuru!$A:$A,"&lt;&gt;"&amp;"",Başvuru!$F:$F,"&lt;&gt;"&amp;""))</f>
        <v>0</v>
      </c>
      <c r="H55" s="171">
        <f>IF(C55="","",COUNTIFS(Başvuru!$C:$C,C55,Başvuru!$G:$G,"Doktora Tezi",Başvuru!$A:$A,"&lt;&gt;"&amp;"",Başvuru!$F:$F,"&lt;&gt;"&amp;""))</f>
        <v>0</v>
      </c>
      <c r="I55" s="171">
        <f>IF(C55="","",COUNTIFS(Başvuru!$C:$C,C55,Başvuru!$G:$G,"Yüksek Lisans Tezi",Başvuru!$A:$A,"&lt;&gt;"&amp;"",Başvuru!$F:$F,"&lt;&gt;"&amp;""))</f>
        <v>0</v>
      </c>
      <c r="J55" s="172">
        <f>IF(C55="","",COUNTIFS(Başvuru!$C:$C,C55,Başvuru!$L:$L,"ONAY",Başvuru!$A:$A,"&lt;&gt;"&amp;"",Başvuru!$F:$F,"&lt;&gt;"&amp;""))</f>
        <v>3</v>
      </c>
      <c r="K55" s="173">
        <f>IF(C55="","",COUNTIFS(Başvuru!$C:$C,C55,Başvuru!$L:$L,"DÜZELTME",Başvuru!$A:$A,"&lt;&gt;"&amp;"",Başvuru!$F:$F,"&lt;&gt;"&amp;""))</f>
        <v>0</v>
      </c>
      <c r="L55" s="174">
        <f>IF(C55="","",COUNTIFS(Başvuru!$C:$C,C55,Başvuru!$L:$L,"KAEK",Başvuru!$A:$A,"&lt;&gt;"&amp;"",Başvuru!$F:$F,"&lt;&gt;"&amp;""))</f>
        <v>0</v>
      </c>
      <c r="M55" s="175">
        <f>IF(C55="","",COUNTIFS(Başvuru!$C:$C,C55,Başvuru!$L:$L,"GÖRÜŞ",Başvuru!$A:$A,"&lt;&gt;"&amp;"",Başvuru!$F:$F,"&lt;&gt;"&amp;""))</f>
        <v>0</v>
      </c>
      <c r="N55" s="176">
        <f>IF(C55="","",COUNTIFS(Başvuru!$C:$C,C55,Başvuru!$L:$L,"RET",Başvuru!$A:$A,"&lt;&gt;"&amp;"",Başvuru!$F:$F,"&lt;&gt;"&amp;""))</f>
        <v>0</v>
      </c>
      <c r="O55" s="177">
        <f>IF(C55="","",COUNTIFS(Başvuru!$C:$C,C55,Başvuru!$L:$L,"KAPSAM DIŞI",Başvuru!$A:$A,"&lt;&gt;"&amp;"",Başvuru!$F:$F,"&lt;&gt;"&amp;""))</f>
        <v>0</v>
      </c>
      <c r="P55" s="178">
        <f>IF(C55="","",COUNTIFS(Başvuru!$C:$C,C55,Başvuru!$L:$L,"GERİ ÇEKİLDİ",Başvuru!$A:$A,"&lt;&gt;"&amp;"",Başvuru!$F:$F,"&lt;&gt;"&amp;""))</f>
        <v>0</v>
      </c>
      <c r="Q55" s="166" t="s">
        <v>326</v>
      </c>
      <c r="R55" s="167">
        <f>COUNTIFS(Başvuru!$C:$C,Q55,Başvuru!$A:$A,"&lt;&gt;"&amp;"",Başvuru!$F:$F,"&lt;&gt;"&amp;"")</f>
        <v>2</v>
      </c>
      <c r="S55" s="167">
        <f>RANK(R55,$R$6:$R$324,0)+COUNTIF($R$6:R55,R55)-1</f>
        <v>87</v>
      </c>
    </row>
    <row r="56" spans="2:19" ht="15" customHeight="1" x14ac:dyDescent="0.25">
      <c r="B56" s="155">
        <v>51</v>
      </c>
      <c r="C56" s="156" t="str">
        <f>IFERROR(INDEX($Q$6:$Q$324,MATCH(51,$S$6:$S$324,0)),"")</f>
        <v>Dr. Öğr. Üyesi Ahmet KIVRAK</v>
      </c>
      <c r="D56" s="157">
        <f>IF(C56="","",COUNTIFS(Başvuru!$C:$C,C56,Başvuru!$A:$A,"&lt;&gt;"&amp;"",Başvuru!$F:$F,"&lt;&gt;"&amp;""))</f>
        <v>3</v>
      </c>
      <c r="E56" s="155" t="str">
        <f>IF(C56="","-",IF(D56&gt;0,TEXT(D56/(COUNTIFS(Başvuru!$A:$A,"&lt;&gt;",Başvuru!$F:$F,"&lt;&gt;")-1)*100,"0.0")&amp;"%","-"))</f>
        <v>00%</v>
      </c>
      <c r="F56" s="158">
        <f>IF(C56="","",COUNTIFS(Başvuru!$C:$C,C56,Başvuru!$G:$G,"Bireysel Araştırma",Başvuru!$A:$A,"&lt;&gt;"&amp;"",Başvuru!$F:$F,"&lt;&gt;"&amp;""))</f>
        <v>2</v>
      </c>
      <c r="G56" s="158">
        <f>IF(C56="","",COUNTIFS(Başvuru!$C:$C,C56,Başvuru!$G:$G,"Uzmanlık Tezi",Başvuru!$A:$A,"&lt;&gt;"&amp;"",Başvuru!$F:$F,"&lt;&gt;"&amp;""))</f>
        <v>1</v>
      </c>
      <c r="H56" s="158">
        <f>IF(C56="","",COUNTIFS(Başvuru!$C:$C,C56,Başvuru!$G:$G,"Doktora Tezi",Başvuru!$A:$A,"&lt;&gt;"&amp;"",Başvuru!$F:$F,"&lt;&gt;"&amp;""))</f>
        <v>0</v>
      </c>
      <c r="I56" s="158">
        <f>IF(C56="","",COUNTIFS(Başvuru!$C:$C,C56,Başvuru!$G:$G,"Yüksek Lisans Tezi",Başvuru!$A:$A,"&lt;&gt;"&amp;"",Başvuru!$F:$F,"&lt;&gt;"&amp;""))</f>
        <v>0</v>
      </c>
      <c r="J56" s="159">
        <f>IF(C56="","",COUNTIFS(Başvuru!$C:$C,C56,Başvuru!$L:$L,"ONAY",Başvuru!$A:$A,"&lt;&gt;"&amp;"",Başvuru!$F:$F,"&lt;&gt;"&amp;""))</f>
        <v>2</v>
      </c>
      <c r="K56" s="160">
        <f>IF(C56="","",COUNTIFS(Başvuru!$C:$C,C56,Başvuru!$L:$L,"DÜZELTME",Başvuru!$A:$A,"&lt;&gt;"&amp;"",Başvuru!$F:$F,"&lt;&gt;"&amp;""))</f>
        <v>1</v>
      </c>
      <c r="L56" s="161">
        <f>IF(C56="","",COUNTIFS(Başvuru!$C:$C,C56,Başvuru!$L:$L,"KAEK",Başvuru!$A:$A,"&lt;&gt;"&amp;"",Başvuru!$F:$F,"&lt;&gt;"&amp;""))</f>
        <v>0</v>
      </c>
      <c r="M56" s="162">
        <f>IF(C56="","",COUNTIFS(Başvuru!$C:$C,C56,Başvuru!$L:$L,"GÖRÜŞ",Başvuru!$A:$A,"&lt;&gt;"&amp;"",Başvuru!$F:$F,"&lt;&gt;"&amp;""))</f>
        <v>0</v>
      </c>
      <c r="N56" s="163">
        <f>IF(C56="","",COUNTIFS(Başvuru!$C:$C,C56,Başvuru!$L:$L,"RET",Başvuru!$A:$A,"&lt;&gt;"&amp;"",Başvuru!$F:$F,"&lt;&gt;"&amp;""))</f>
        <v>0</v>
      </c>
      <c r="O56" s="164">
        <f>IF(C56="","",COUNTIFS(Başvuru!$C:$C,C56,Başvuru!$L:$L,"KAPSAM DIŞI",Başvuru!$A:$A,"&lt;&gt;"&amp;"",Başvuru!$F:$F,"&lt;&gt;"&amp;""))</f>
        <v>0</v>
      </c>
      <c r="P56" s="165">
        <f>IF(C56="","",COUNTIFS(Başvuru!$C:$C,C56,Başvuru!$L:$L,"GERİ ÇEKİLDİ",Başvuru!$A:$A,"&lt;&gt;"&amp;"",Başvuru!$F:$F,"&lt;&gt;"&amp;""))</f>
        <v>0</v>
      </c>
      <c r="Q56" s="166" t="s">
        <v>1405</v>
      </c>
      <c r="R56" s="167">
        <f>COUNTIFS(Başvuru!$C:$C,Q56,Başvuru!$A:$A,"&lt;&gt;"&amp;"",Başvuru!$F:$F,"&lt;&gt;"&amp;"")</f>
        <v>3</v>
      </c>
      <c r="S56" s="167">
        <f>RANK(R56,$R$6:$R$324,0)+COUNTIF($R$6:R56,R56)-1</f>
        <v>50</v>
      </c>
    </row>
    <row r="57" spans="2:19" ht="15" customHeight="1" x14ac:dyDescent="0.25">
      <c r="B57" s="168">
        <v>52</v>
      </c>
      <c r="C57" s="169" t="str">
        <f>IFERROR(INDEX($Q$6:$Q$324,MATCH(52,$S$6:$S$324,0)),"")</f>
        <v>Dr. Öğr. Üyesi Emre KARA</v>
      </c>
      <c r="D57" s="170">
        <f>IF(C57="","",COUNTIFS(Başvuru!$C:$C,C57,Başvuru!$A:$A,"&lt;&gt;"&amp;"",Başvuru!$F:$F,"&lt;&gt;"&amp;""))</f>
        <v>3</v>
      </c>
      <c r="E57" s="168" t="str">
        <f>IF(C57="","-",IF(D57&gt;0,TEXT(D57/(COUNTIFS(Başvuru!$A:$A,"&lt;&gt;",Başvuru!$F:$F,"&lt;&gt;")-1)*100,"0.0")&amp;"%","-"))</f>
        <v>00%</v>
      </c>
      <c r="F57" s="171">
        <f>IF(C57="","",COUNTIFS(Başvuru!$C:$C,C57,Başvuru!$G:$G,"Bireysel Araştırma",Başvuru!$A:$A,"&lt;&gt;"&amp;"",Başvuru!$F:$F,"&lt;&gt;"&amp;""))</f>
        <v>2</v>
      </c>
      <c r="G57" s="171">
        <f>IF(C57="","",COUNTIFS(Başvuru!$C:$C,C57,Başvuru!$G:$G,"Uzmanlık Tezi",Başvuru!$A:$A,"&lt;&gt;"&amp;"",Başvuru!$F:$F,"&lt;&gt;"&amp;""))</f>
        <v>0</v>
      </c>
      <c r="H57" s="171">
        <f>IF(C57="","",COUNTIFS(Başvuru!$C:$C,C57,Başvuru!$G:$G,"Doktora Tezi",Başvuru!$A:$A,"&lt;&gt;"&amp;"",Başvuru!$F:$F,"&lt;&gt;"&amp;""))</f>
        <v>0</v>
      </c>
      <c r="I57" s="171">
        <f>IF(C57="","",COUNTIFS(Başvuru!$C:$C,C57,Başvuru!$G:$G,"Yüksek Lisans Tezi",Başvuru!$A:$A,"&lt;&gt;"&amp;"",Başvuru!$F:$F,"&lt;&gt;"&amp;""))</f>
        <v>1</v>
      </c>
      <c r="J57" s="172">
        <f>IF(C57="","",COUNTIFS(Başvuru!$C:$C,C57,Başvuru!$L:$L,"ONAY",Başvuru!$A:$A,"&lt;&gt;"&amp;"",Başvuru!$F:$F,"&lt;&gt;"&amp;""))</f>
        <v>1</v>
      </c>
      <c r="K57" s="173">
        <f>IF(C57="","",COUNTIFS(Başvuru!$C:$C,C57,Başvuru!$L:$L,"DÜZELTME",Başvuru!$A:$A,"&lt;&gt;"&amp;"",Başvuru!$F:$F,"&lt;&gt;"&amp;""))</f>
        <v>2</v>
      </c>
      <c r="L57" s="174">
        <f>IF(C57="","",COUNTIFS(Başvuru!$C:$C,C57,Başvuru!$L:$L,"KAEK",Başvuru!$A:$A,"&lt;&gt;"&amp;"",Başvuru!$F:$F,"&lt;&gt;"&amp;""))</f>
        <v>0</v>
      </c>
      <c r="M57" s="175">
        <f>IF(C57="","",COUNTIFS(Başvuru!$C:$C,C57,Başvuru!$L:$L,"GÖRÜŞ",Başvuru!$A:$A,"&lt;&gt;"&amp;"",Başvuru!$F:$F,"&lt;&gt;"&amp;""))</f>
        <v>0</v>
      </c>
      <c r="N57" s="176">
        <f>IF(C57="","",COUNTIFS(Başvuru!$C:$C,C57,Başvuru!$L:$L,"RET",Başvuru!$A:$A,"&lt;&gt;"&amp;"",Başvuru!$F:$F,"&lt;&gt;"&amp;""))</f>
        <v>0</v>
      </c>
      <c r="O57" s="177">
        <f>IF(C57="","",COUNTIFS(Başvuru!$C:$C,C57,Başvuru!$L:$L,"KAPSAM DIŞI",Başvuru!$A:$A,"&lt;&gt;"&amp;"",Başvuru!$F:$F,"&lt;&gt;"&amp;""))</f>
        <v>0</v>
      </c>
      <c r="P57" s="178">
        <f>IF(C57="","",COUNTIFS(Başvuru!$C:$C,C57,Başvuru!$L:$L,"GERİ ÇEKİLDİ",Başvuru!$A:$A,"&lt;&gt;"&amp;"",Başvuru!$F:$F,"&lt;&gt;"&amp;""))</f>
        <v>0</v>
      </c>
      <c r="Q57" s="166" t="s">
        <v>1458</v>
      </c>
      <c r="R57" s="167">
        <f>COUNTIFS(Başvuru!$C:$C,Q57,Başvuru!$A:$A,"&lt;&gt;"&amp;"",Başvuru!$F:$F,"&lt;&gt;"&amp;"")</f>
        <v>4</v>
      </c>
      <c r="S57" s="167">
        <f>RANK(R57,$R$6:$R$324,0)+COUNTIF($R$6:R57,R57)-1</f>
        <v>31</v>
      </c>
    </row>
    <row r="58" spans="2:19" ht="15" customHeight="1" x14ac:dyDescent="0.25">
      <c r="B58" s="155">
        <v>53</v>
      </c>
      <c r="C58" s="156" t="str">
        <f>IFERROR(INDEX($Q$6:$Q$324,MATCH(53,$S$6:$S$324,0)),"")</f>
        <v>Dr. Öğr. Üyesi Gizem ÜREL DEMİR</v>
      </c>
      <c r="D58" s="157">
        <f>IF(C58="","",COUNTIFS(Başvuru!$C:$C,C58,Başvuru!$A:$A,"&lt;&gt;"&amp;"",Başvuru!$F:$F,"&lt;&gt;"&amp;""))</f>
        <v>3</v>
      </c>
      <c r="E58" s="155" t="str">
        <f>IF(C58="","-",IF(D58&gt;0,TEXT(D58/(COUNTIFS(Başvuru!$A:$A,"&lt;&gt;",Başvuru!$F:$F,"&lt;&gt;")-1)*100,"0.0")&amp;"%","-"))</f>
        <v>00%</v>
      </c>
      <c r="F58" s="158">
        <f>IF(C58="","",COUNTIFS(Başvuru!$C:$C,C58,Başvuru!$G:$G,"Bireysel Araştırma",Başvuru!$A:$A,"&lt;&gt;"&amp;"",Başvuru!$F:$F,"&lt;&gt;"&amp;""))</f>
        <v>3</v>
      </c>
      <c r="G58" s="158">
        <f>IF(C58="","",COUNTIFS(Başvuru!$C:$C,C58,Başvuru!$G:$G,"Uzmanlık Tezi",Başvuru!$A:$A,"&lt;&gt;"&amp;"",Başvuru!$F:$F,"&lt;&gt;"&amp;""))</f>
        <v>0</v>
      </c>
      <c r="H58" s="158">
        <f>IF(C58="","",COUNTIFS(Başvuru!$C:$C,C58,Başvuru!$G:$G,"Doktora Tezi",Başvuru!$A:$A,"&lt;&gt;"&amp;"",Başvuru!$F:$F,"&lt;&gt;"&amp;""))</f>
        <v>0</v>
      </c>
      <c r="I58" s="158">
        <f>IF(C58="","",COUNTIFS(Başvuru!$C:$C,C58,Başvuru!$G:$G,"Yüksek Lisans Tezi",Başvuru!$A:$A,"&lt;&gt;"&amp;"",Başvuru!$F:$F,"&lt;&gt;"&amp;""))</f>
        <v>0</v>
      </c>
      <c r="J58" s="159">
        <f>IF(C58="","",COUNTIFS(Başvuru!$C:$C,C58,Başvuru!$L:$L,"ONAY",Başvuru!$A:$A,"&lt;&gt;"&amp;"",Başvuru!$F:$F,"&lt;&gt;"&amp;""))</f>
        <v>3</v>
      </c>
      <c r="K58" s="160">
        <f>IF(C58="","",COUNTIFS(Başvuru!$C:$C,C58,Başvuru!$L:$L,"DÜZELTME",Başvuru!$A:$A,"&lt;&gt;"&amp;"",Başvuru!$F:$F,"&lt;&gt;"&amp;""))</f>
        <v>0</v>
      </c>
      <c r="L58" s="161">
        <f>IF(C58="","",COUNTIFS(Başvuru!$C:$C,C58,Başvuru!$L:$L,"KAEK",Başvuru!$A:$A,"&lt;&gt;"&amp;"",Başvuru!$F:$F,"&lt;&gt;"&amp;""))</f>
        <v>0</v>
      </c>
      <c r="M58" s="162">
        <f>IF(C58="","",COUNTIFS(Başvuru!$C:$C,C58,Başvuru!$L:$L,"GÖRÜŞ",Başvuru!$A:$A,"&lt;&gt;"&amp;"",Başvuru!$F:$F,"&lt;&gt;"&amp;""))</f>
        <v>0</v>
      </c>
      <c r="N58" s="163">
        <f>IF(C58="","",COUNTIFS(Başvuru!$C:$C,C58,Başvuru!$L:$L,"RET",Başvuru!$A:$A,"&lt;&gt;"&amp;"",Başvuru!$F:$F,"&lt;&gt;"&amp;""))</f>
        <v>0</v>
      </c>
      <c r="O58" s="164">
        <f>IF(C58="","",COUNTIFS(Başvuru!$C:$C,C58,Başvuru!$L:$L,"KAPSAM DIŞI",Başvuru!$A:$A,"&lt;&gt;"&amp;"",Başvuru!$F:$F,"&lt;&gt;"&amp;""))</f>
        <v>0</v>
      </c>
      <c r="P58" s="165">
        <f>IF(C58="","",COUNTIFS(Başvuru!$C:$C,C58,Başvuru!$L:$L,"GERİ ÇEKİLDİ",Başvuru!$A:$A,"&lt;&gt;"&amp;"",Başvuru!$F:$F,"&lt;&gt;"&amp;""))</f>
        <v>0</v>
      </c>
      <c r="Q58" s="166" t="s">
        <v>922</v>
      </c>
      <c r="R58" s="167">
        <f>COUNTIFS(Başvuru!$C:$C,Q58,Başvuru!$A:$A,"&lt;&gt;"&amp;"",Başvuru!$F:$F,"&lt;&gt;"&amp;"")</f>
        <v>1</v>
      </c>
      <c r="S58" s="167">
        <f>RANK(R58,$R$6:$R$324,0)+COUNTIF($R$6:R58,R58)-1</f>
        <v>163</v>
      </c>
    </row>
    <row r="59" spans="2:19" ht="15" customHeight="1" x14ac:dyDescent="0.25">
      <c r="B59" s="168">
        <v>54</v>
      </c>
      <c r="C59" s="169" t="str">
        <f>IFERROR(INDEX($Q$6:$Q$324,MATCH(54,$S$6:$S$324,0)),"")</f>
        <v>Dr. Öğr. Üyesi Murat ÇAĞAN</v>
      </c>
      <c r="D59" s="170">
        <f>IF(C59="","",COUNTIFS(Başvuru!$C:$C,C59,Başvuru!$A:$A,"&lt;&gt;"&amp;"",Başvuru!$F:$F,"&lt;&gt;"&amp;""))</f>
        <v>3</v>
      </c>
      <c r="E59" s="168" t="str">
        <f>IF(C59="","-",IF(D59&gt;0,TEXT(D59/(COUNTIFS(Başvuru!$A:$A,"&lt;&gt;",Başvuru!$F:$F,"&lt;&gt;")-1)*100,"0.0")&amp;"%","-"))</f>
        <v>00%</v>
      </c>
      <c r="F59" s="171">
        <f>IF(C59="","",COUNTIFS(Başvuru!$C:$C,C59,Başvuru!$G:$G,"Bireysel Araştırma",Başvuru!$A:$A,"&lt;&gt;"&amp;"",Başvuru!$F:$F,"&lt;&gt;"&amp;""))</f>
        <v>1</v>
      </c>
      <c r="G59" s="171">
        <f>IF(C59="","",COUNTIFS(Başvuru!$C:$C,C59,Başvuru!$G:$G,"Uzmanlık Tezi",Başvuru!$A:$A,"&lt;&gt;"&amp;"",Başvuru!$F:$F,"&lt;&gt;"&amp;""))</f>
        <v>2</v>
      </c>
      <c r="H59" s="171">
        <f>IF(C59="","",COUNTIFS(Başvuru!$C:$C,C59,Başvuru!$G:$G,"Doktora Tezi",Başvuru!$A:$A,"&lt;&gt;"&amp;"",Başvuru!$F:$F,"&lt;&gt;"&amp;""))</f>
        <v>0</v>
      </c>
      <c r="I59" s="171">
        <f>IF(C59="","",COUNTIFS(Başvuru!$C:$C,C59,Başvuru!$G:$G,"Yüksek Lisans Tezi",Başvuru!$A:$A,"&lt;&gt;"&amp;"",Başvuru!$F:$F,"&lt;&gt;"&amp;""))</f>
        <v>0</v>
      </c>
      <c r="J59" s="172">
        <f>IF(C59="","",COUNTIFS(Başvuru!$C:$C,C59,Başvuru!$L:$L,"ONAY",Başvuru!$A:$A,"&lt;&gt;"&amp;"",Başvuru!$F:$F,"&lt;&gt;"&amp;""))</f>
        <v>2</v>
      </c>
      <c r="K59" s="173">
        <f>IF(C59="","",COUNTIFS(Başvuru!$C:$C,C59,Başvuru!$L:$L,"DÜZELTME",Başvuru!$A:$A,"&lt;&gt;"&amp;"",Başvuru!$F:$F,"&lt;&gt;"&amp;""))</f>
        <v>1</v>
      </c>
      <c r="L59" s="174">
        <f>IF(C59="","",COUNTIFS(Başvuru!$C:$C,C59,Başvuru!$L:$L,"KAEK",Başvuru!$A:$A,"&lt;&gt;"&amp;"",Başvuru!$F:$F,"&lt;&gt;"&amp;""))</f>
        <v>0</v>
      </c>
      <c r="M59" s="175">
        <f>IF(C59="","",COUNTIFS(Başvuru!$C:$C,C59,Başvuru!$L:$L,"GÖRÜŞ",Başvuru!$A:$A,"&lt;&gt;"&amp;"",Başvuru!$F:$F,"&lt;&gt;"&amp;""))</f>
        <v>0</v>
      </c>
      <c r="N59" s="176">
        <f>IF(C59="","",COUNTIFS(Başvuru!$C:$C,C59,Başvuru!$L:$L,"RET",Başvuru!$A:$A,"&lt;&gt;"&amp;"",Başvuru!$F:$F,"&lt;&gt;"&amp;""))</f>
        <v>0</v>
      </c>
      <c r="O59" s="177">
        <f>IF(C59="","",COUNTIFS(Başvuru!$C:$C,C59,Başvuru!$L:$L,"KAPSAM DIŞI",Başvuru!$A:$A,"&lt;&gt;"&amp;"",Başvuru!$F:$F,"&lt;&gt;"&amp;""))</f>
        <v>0</v>
      </c>
      <c r="P59" s="178">
        <f>IF(C59="","",COUNTIFS(Başvuru!$C:$C,C59,Başvuru!$L:$L,"GERİ ÇEKİLDİ",Başvuru!$A:$A,"&lt;&gt;"&amp;"",Başvuru!$F:$F,"&lt;&gt;"&amp;""))</f>
        <v>0</v>
      </c>
      <c r="Q59" s="166" t="s">
        <v>1233</v>
      </c>
      <c r="R59" s="167">
        <f>COUNTIFS(Başvuru!$C:$C,Q59,Başvuru!$A:$A,"&lt;&gt;"&amp;"",Başvuru!$F:$F,"&lt;&gt;"&amp;"")</f>
        <v>1</v>
      </c>
      <c r="S59" s="167">
        <f>RANK(R59,$R$6:$R$324,0)+COUNTIF($R$6:R59,R59)-1</f>
        <v>164</v>
      </c>
    </row>
    <row r="60" spans="2:19" ht="15" customHeight="1" x14ac:dyDescent="0.25">
      <c r="B60" s="155">
        <v>55</v>
      </c>
      <c r="C60" s="156" t="str">
        <f>IFERROR(INDEX($Q$6:$Q$324,MATCH(55,$S$6:$S$324,0)),"")</f>
        <v>Dr. Öğr. Üyesi Yiğitcan KARANFİL</v>
      </c>
      <c r="D60" s="157">
        <f>IF(C60="","",COUNTIFS(Başvuru!$C:$C,C60,Başvuru!$A:$A,"&lt;&gt;"&amp;"",Başvuru!$F:$F,"&lt;&gt;"&amp;""))</f>
        <v>3</v>
      </c>
      <c r="E60" s="155" t="str">
        <f>IF(C60="","-",IF(D60&gt;0,TEXT(D60/(COUNTIFS(Başvuru!$A:$A,"&lt;&gt;",Başvuru!$F:$F,"&lt;&gt;")-1)*100,"0.0")&amp;"%","-"))</f>
        <v>00%</v>
      </c>
      <c r="F60" s="158">
        <f>IF(C60="","",COUNTIFS(Başvuru!$C:$C,C60,Başvuru!$G:$G,"Bireysel Araştırma",Başvuru!$A:$A,"&lt;&gt;"&amp;"",Başvuru!$F:$F,"&lt;&gt;"&amp;""))</f>
        <v>3</v>
      </c>
      <c r="G60" s="158">
        <f>IF(C60="","",COUNTIFS(Başvuru!$C:$C,C60,Başvuru!$G:$G,"Uzmanlık Tezi",Başvuru!$A:$A,"&lt;&gt;"&amp;"",Başvuru!$F:$F,"&lt;&gt;"&amp;""))</f>
        <v>0</v>
      </c>
      <c r="H60" s="158">
        <f>IF(C60="","",COUNTIFS(Başvuru!$C:$C,C60,Başvuru!$G:$G,"Doktora Tezi",Başvuru!$A:$A,"&lt;&gt;"&amp;"",Başvuru!$F:$F,"&lt;&gt;"&amp;""))</f>
        <v>0</v>
      </c>
      <c r="I60" s="158">
        <f>IF(C60="","",COUNTIFS(Başvuru!$C:$C,C60,Başvuru!$G:$G,"Yüksek Lisans Tezi",Başvuru!$A:$A,"&lt;&gt;"&amp;"",Başvuru!$F:$F,"&lt;&gt;"&amp;""))</f>
        <v>0</v>
      </c>
      <c r="J60" s="159">
        <f>IF(C60="","",COUNTIFS(Başvuru!$C:$C,C60,Başvuru!$L:$L,"ONAY",Başvuru!$A:$A,"&lt;&gt;"&amp;"",Başvuru!$F:$F,"&lt;&gt;"&amp;""))</f>
        <v>2</v>
      </c>
      <c r="K60" s="160">
        <f>IF(C60="","",COUNTIFS(Başvuru!$C:$C,C60,Başvuru!$L:$L,"DÜZELTME",Başvuru!$A:$A,"&lt;&gt;"&amp;"",Başvuru!$F:$F,"&lt;&gt;"&amp;""))</f>
        <v>0</v>
      </c>
      <c r="L60" s="161">
        <f>IF(C60="","",COUNTIFS(Başvuru!$C:$C,C60,Başvuru!$L:$L,"KAEK",Başvuru!$A:$A,"&lt;&gt;"&amp;"",Başvuru!$F:$F,"&lt;&gt;"&amp;""))</f>
        <v>0</v>
      </c>
      <c r="M60" s="162">
        <f>IF(C60="","",COUNTIFS(Başvuru!$C:$C,C60,Başvuru!$L:$L,"GÖRÜŞ",Başvuru!$A:$A,"&lt;&gt;"&amp;"",Başvuru!$F:$F,"&lt;&gt;"&amp;""))</f>
        <v>0</v>
      </c>
      <c r="N60" s="163">
        <f>IF(C60="","",COUNTIFS(Başvuru!$C:$C,C60,Başvuru!$L:$L,"RET",Başvuru!$A:$A,"&lt;&gt;"&amp;"",Başvuru!$F:$F,"&lt;&gt;"&amp;""))</f>
        <v>0</v>
      </c>
      <c r="O60" s="164">
        <f>IF(C60="","",COUNTIFS(Başvuru!$C:$C,C60,Başvuru!$L:$L,"KAPSAM DIŞI",Başvuru!$A:$A,"&lt;&gt;"&amp;"",Başvuru!$F:$F,"&lt;&gt;"&amp;""))</f>
        <v>0</v>
      </c>
      <c r="P60" s="165">
        <f>IF(C60="","",COUNTIFS(Başvuru!$C:$C,C60,Başvuru!$L:$L,"GERİ ÇEKİLDİ",Başvuru!$A:$A,"&lt;&gt;"&amp;"",Başvuru!$F:$F,"&lt;&gt;"&amp;""))</f>
        <v>0</v>
      </c>
      <c r="Q60" s="166" t="s">
        <v>68</v>
      </c>
      <c r="R60" s="167">
        <f>COUNTIFS(Başvuru!$C:$C,Q60,Başvuru!$A:$A,"&lt;&gt;"&amp;"",Başvuru!$F:$F,"&lt;&gt;"&amp;"")</f>
        <v>4</v>
      </c>
      <c r="S60" s="167">
        <f>RANK(R60,$R$6:$R$324,0)+COUNTIF($R$6:R60,R60)-1</f>
        <v>32</v>
      </c>
    </row>
    <row r="61" spans="2:19" ht="15" customHeight="1" x14ac:dyDescent="0.25">
      <c r="B61" s="168">
        <v>56</v>
      </c>
      <c r="C61" s="169" t="str">
        <f>IFERROR(INDEX($Q$6:$Q$324,MATCH(56,$S$6:$S$324,0)),"")</f>
        <v>Prof. Dr. Ayşe Tomris ERBAŞ</v>
      </c>
      <c r="D61" s="170">
        <f>IF(C61="","",COUNTIFS(Başvuru!$C:$C,C61,Başvuru!$A:$A,"&lt;&gt;"&amp;"",Başvuru!$F:$F,"&lt;&gt;"&amp;""))</f>
        <v>3</v>
      </c>
      <c r="E61" s="168" t="str">
        <f>IF(C61="","-",IF(D61&gt;0,TEXT(D61/(COUNTIFS(Başvuru!$A:$A,"&lt;&gt;",Başvuru!$F:$F,"&lt;&gt;")-1)*100,"0.0")&amp;"%","-"))</f>
        <v>00%</v>
      </c>
      <c r="F61" s="171">
        <f>IF(C61="","",COUNTIFS(Başvuru!$C:$C,C61,Başvuru!$G:$G,"Bireysel Araştırma",Başvuru!$A:$A,"&lt;&gt;"&amp;"",Başvuru!$F:$F,"&lt;&gt;"&amp;""))</f>
        <v>3</v>
      </c>
      <c r="G61" s="171">
        <f>IF(C61="","",COUNTIFS(Başvuru!$C:$C,C61,Başvuru!$G:$G,"Uzmanlık Tezi",Başvuru!$A:$A,"&lt;&gt;"&amp;"",Başvuru!$F:$F,"&lt;&gt;"&amp;""))</f>
        <v>0</v>
      </c>
      <c r="H61" s="171">
        <f>IF(C61="","",COUNTIFS(Başvuru!$C:$C,C61,Başvuru!$G:$G,"Doktora Tezi",Başvuru!$A:$A,"&lt;&gt;"&amp;"",Başvuru!$F:$F,"&lt;&gt;"&amp;""))</f>
        <v>0</v>
      </c>
      <c r="I61" s="171">
        <f>IF(C61="","",COUNTIFS(Başvuru!$C:$C,C61,Başvuru!$G:$G,"Yüksek Lisans Tezi",Başvuru!$A:$A,"&lt;&gt;"&amp;"",Başvuru!$F:$F,"&lt;&gt;"&amp;""))</f>
        <v>0</v>
      </c>
      <c r="J61" s="172">
        <f>IF(C61="","",COUNTIFS(Başvuru!$C:$C,C61,Başvuru!$L:$L,"ONAY",Başvuru!$A:$A,"&lt;&gt;"&amp;"",Başvuru!$F:$F,"&lt;&gt;"&amp;""))</f>
        <v>3</v>
      </c>
      <c r="K61" s="173">
        <f>IF(C61="","",COUNTIFS(Başvuru!$C:$C,C61,Başvuru!$L:$L,"DÜZELTME",Başvuru!$A:$A,"&lt;&gt;"&amp;"",Başvuru!$F:$F,"&lt;&gt;"&amp;""))</f>
        <v>0</v>
      </c>
      <c r="L61" s="174">
        <f>IF(C61="","",COUNTIFS(Başvuru!$C:$C,C61,Başvuru!$L:$L,"KAEK",Başvuru!$A:$A,"&lt;&gt;"&amp;"",Başvuru!$F:$F,"&lt;&gt;"&amp;""))</f>
        <v>0</v>
      </c>
      <c r="M61" s="175">
        <f>IF(C61="","",COUNTIFS(Başvuru!$C:$C,C61,Başvuru!$L:$L,"GÖRÜŞ",Başvuru!$A:$A,"&lt;&gt;"&amp;"",Başvuru!$F:$F,"&lt;&gt;"&amp;""))</f>
        <v>0</v>
      </c>
      <c r="N61" s="176">
        <f>IF(C61="","",COUNTIFS(Başvuru!$C:$C,C61,Başvuru!$L:$L,"RET",Başvuru!$A:$A,"&lt;&gt;"&amp;"",Başvuru!$F:$F,"&lt;&gt;"&amp;""))</f>
        <v>0</v>
      </c>
      <c r="O61" s="177">
        <f>IF(C61="","",COUNTIFS(Başvuru!$C:$C,C61,Başvuru!$L:$L,"KAPSAM DIŞI",Başvuru!$A:$A,"&lt;&gt;"&amp;"",Başvuru!$F:$F,"&lt;&gt;"&amp;""))</f>
        <v>0</v>
      </c>
      <c r="P61" s="178">
        <f>IF(C61="","",COUNTIFS(Başvuru!$C:$C,C61,Başvuru!$L:$L,"GERİ ÇEKİLDİ",Başvuru!$A:$A,"&lt;&gt;"&amp;"",Başvuru!$F:$F,"&lt;&gt;"&amp;""))</f>
        <v>0</v>
      </c>
      <c r="Q61" s="166" t="s">
        <v>2083</v>
      </c>
      <c r="R61" s="167">
        <f>COUNTIFS(Başvuru!$C:$C,Q61,Başvuru!$A:$A,"&lt;&gt;"&amp;"",Başvuru!$F:$F,"&lt;&gt;"&amp;"")</f>
        <v>1</v>
      </c>
      <c r="S61" s="167">
        <f>RANK(R61,$R$6:$R$324,0)+COUNTIF($R$6:R61,R61)-1</f>
        <v>165</v>
      </c>
    </row>
    <row r="62" spans="2:19" ht="15" customHeight="1" x14ac:dyDescent="0.25">
      <c r="B62" s="155">
        <v>57</v>
      </c>
      <c r="C62" s="156" t="str">
        <f>IFERROR(INDEX($Q$6:$Q$324,MATCH(57,$S$6:$S$324,0)),"")</f>
        <v>Prof. Dr. Dilek ASLAN</v>
      </c>
      <c r="D62" s="157">
        <f>IF(C62="","",COUNTIFS(Başvuru!$C:$C,C62,Başvuru!$A:$A,"&lt;&gt;"&amp;"",Başvuru!$F:$F,"&lt;&gt;"&amp;""))</f>
        <v>3</v>
      </c>
      <c r="E62" s="155" t="str">
        <f>IF(C62="","-",IF(D62&gt;0,TEXT(D62/(COUNTIFS(Başvuru!$A:$A,"&lt;&gt;",Başvuru!$F:$F,"&lt;&gt;")-1)*100,"0.0")&amp;"%","-"))</f>
        <v>00%</v>
      </c>
      <c r="F62" s="158">
        <f>IF(C62="","",COUNTIFS(Başvuru!$C:$C,C62,Başvuru!$G:$G,"Bireysel Araştırma",Başvuru!$A:$A,"&lt;&gt;"&amp;"",Başvuru!$F:$F,"&lt;&gt;"&amp;""))</f>
        <v>0</v>
      </c>
      <c r="G62" s="158">
        <f>IF(C62="","",COUNTIFS(Başvuru!$C:$C,C62,Başvuru!$G:$G,"Uzmanlık Tezi",Başvuru!$A:$A,"&lt;&gt;"&amp;"",Başvuru!$F:$F,"&lt;&gt;"&amp;""))</f>
        <v>2</v>
      </c>
      <c r="H62" s="158">
        <f>IF(C62="","",COUNTIFS(Başvuru!$C:$C,C62,Başvuru!$G:$G,"Doktora Tezi",Başvuru!$A:$A,"&lt;&gt;"&amp;"",Başvuru!$F:$F,"&lt;&gt;"&amp;""))</f>
        <v>1</v>
      </c>
      <c r="I62" s="158">
        <f>IF(C62="","",COUNTIFS(Başvuru!$C:$C,C62,Başvuru!$G:$G,"Yüksek Lisans Tezi",Başvuru!$A:$A,"&lt;&gt;"&amp;"",Başvuru!$F:$F,"&lt;&gt;"&amp;""))</f>
        <v>0</v>
      </c>
      <c r="J62" s="159">
        <f>IF(C62="","",COUNTIFS(Başvuru!$C:$C,C62,Başvuru!$L:$L,"ONAY",Başvuru!$A:$A,"&lt;&gt;"&amp;"",Başvuru!$F:$F,"&lt;&gt;"&amp;""))</f>
        <v>3</v>
      </c>
      <c r="K62" s="160">
        <f>IF(C62="","",COUNTIFS(Başvuru!$C:$C,C62,Başvuru!$L:$L,"DÜZELTME",Başvuru!$A:$A,"&lt;&gt;"&amp;"",Başvuru!$F:$F,"&lt;&gt;"&amp;""))</f>
        <v>0</v>
      </c>
      <c r="L62" s="161">
        <f>IF(C62="","",COUNTIFS(Başvuru!$C:$C,C62,Başvuru!$L:$L,"KAEK",Başvuru!$A:$A,"&lt;&gt;"&amp;"",Başvuru!$F:$F,"&lt;&gt;"&amp;""))</f>
        <v>0</v>
      </c>
      <c r="M62" s="162">
        <f>IF(C62="","",COUNTIFS(Başvuru!$C:$C,C62,Başvuru!$L:$L,"GÖRÜŞ",Başvuru!$A:$A,"&lt;&gt;"&amp;"",Başvuru!$F:$F,"&lt;&gt;"&amp;""))</f>
        <v>0</v>
      </c>
      <c r="N62" s="163">
        <f>IF(C62="","",COUNTIFS(Başvuru!$C:$C,C62,Başvuru!$L:$L,"RET",Başvuru!$A:$A,"&lt;&gt;"&amp;"",Başvuru!$F:$F,"&lt;&gt;"&amp;""))</f>
        <v>0</v>
      </c>
      <c r="O62" s="164">
        <f>IF(C62="","",COUNTIFS(Başvuru!$C:$C,C62,Başvuru!$L:$L,"KAPSAM DIŞI",Başvuru!$A:$A,"&lt;&gt;"&amp;"",Başvuru!$F:$F,"&lt;&gt;"&amp;""))</f>
        <v>0</v>
      </c>
      <c r="P62" s="165">
        <f>IF(C62="","",COUNTIFS(Başvuru!$C:$C,C62,Başvuru!$L:$L,"GERİ ÇEKİLDİ",Başvuru!$A:$A,"&lt;&gt;"&amp;"",Başvuru!$F:$F,"&lt;&gt;"&amp;""))</f>
        <v>0</v>
      </c>
      <c r="Q62" s="166" t="s">
        <v>1369</v>
      </c>
      <c r="R62" s="167">
        <f>COUNTIFS(Başvuru!$C:$C,Q62,Başvuru!$A:$A,"&lt;&gt;"&amp;"",Başvuru!$F:$F,"&lt;&gt;"&amp;"")</f>
        <v>2</v>
      </c>
      <c r="S62" s="167">
        <f>RANK(R62,$R$6:$R$324,0)+COUNTIF($R$6:R62,R62)-1</f>
        <v>88</v>
      </c>
    </row>
    <row r="63" spans="2:19" ht="15" customHeight="1" x14ac:dyDescent="0.25">
      <c r="B63" s="168">
        <v>58</v>
      </c>
      <c r="C63" s="169" t="str">
        <f>IFERROR(INDEX($Q$6:$Q$324,MATCH(58,$S$6:$S$324,0)),"")</f>
        <v>Prof. Dr. Ebru DAMADOĞLU</v>
      </c>
      <c r="D63" s="170">
        <f>IF(C63="","",COUNTIFS(Başvuru!$C:$C,C63,Başvuru!$A:$A,"&lt;&gt;"&amp;"",Başvuru!$F:$F,"&lt;&gt;"&amp;""))</f>
        <v>3</v>
      </c>
      <c r="E63" s="168" t="str">
        <f>IF(C63="","-",IF(D63&gt;0,TEXT(D63/(COUNTIFS(Başvuru!$A:$A,"&lt;&gt;",Başvuru!$F:$F,"&lt;&gt;")-1)*100,"0.0")&amp;"%","-"))</f>
        <v>00%</v>
      </c>
      <c r="F63" s="171">
        <f>IF(C63="","",COUNTIFS(Başvuru!$C:$C,C63,Başvuru!$G:$G,"Bireysel Araştırma",Başvuru!$A:$A,"&lt;&gt;"&amp;"",Başvuru!$F:$F,"&lt;&gt;"&amp;""))</f>
        <v>3</v>
      </c>
      <c r="G63" s="171">
        <f>IF(C63="","",COUNTIFS(Başvuru!$C:$C,C63,Başvuru!$G:$G,"Uzmanlık Tezi",Başvuru!$A:$A,"&lt;&gt;"&amp;"",Başvuru!$F:$F,"&lt;&gt;"&amp;""))</f>
        <v>0</v>
      </c>
      <c r="H63" s="171">
        <f>IF(C63="","",COUNTIFS(Başvuru!$C:$C,C63,Başvuru!$G:$G,"Doktora Tezi",Başvuru!$A:$A,"&lt;&gt;"&amp;"",Başvuru!$F:$F,"&lt;&gt;"&amp;""))</f>
        <v>0</v>
      </c>
      <c r="I63" s="171">
        <f>IF(C63="","",COUNTIFS(Başvuru!$C:$C,C63,Başvuru!$G:$G,"Yüksek Lisans Tezi",Başvuru!$A:$A,"&lt;&gt;"&amp;"",Başvuru!$F:$F,"&lt;&gt;"&amp;""))</f>
        <v>0</v>
      </c>
      <c r="J63" s="172">
        <f>IF(C63="","",COUNTIFS(Başvuru!$C:$C,C63,Başvuru!$L:$L,"ONAY",Başvuru!$A:$A,"&lt;&gt;"&amp;"",Başvuru!$F:$F,"&lt;&gt;"&amp;""))</f>
        <v>3</v>
      </c>
      <c r="K63" s="173">
        <f>IF(C63="","",COUNTIFS(Başvuru!$C:$C,C63,Başvuru!$L:$L,"DÜZELTME",Başvuru!$A:$A,"&lt;&gt;"&amp;"",Başvuru!$F:$F,"&lt;&gt;"&amp;""))</f>
        <v>0</v>
      </c>
      <c r="L63" s="174">
        <f>IF(C63="","",COUNTIFS(Başvuru!$C:$C,C63,Başvuru!$L:$L,"KAEK",Başvuru!$A:$A,"&lt;&gt;"&amp;"",Başvuru!$F:$F,"&lt;&gt;"&amp;""))</f>
        <v>0</v>
      </c>
      <c r="M63" s="175">
        <f>IF(C63="","",COUNTIFS(Başvuru!$C:$C,C63,Başvuru!$L:$L,"GÖRÜŞ",Başvuru!$A:$A,"&lt;&gt;"&amp;"",Başvuru!$F:$F,"&lt;&gt;"&amp;""))</f>
        <v>0</v>
      </c>
      <c r="N63" s="176">
        <f>IF(C63="","",COUNTIFS(Başvuru!$C:$C,C63,Başvuru!$L:$L,"RET",Başvuru!$A:$A,"&lt;&gt;"&amp;"",Başvuru!$F:$F,"&lt;&gt;"&amp;""))</f>
        <v>0</v>
      </c>
      <c r="O63" s="177">
        <f>IF(C63="","",COUNTIFS(Başvuru!$C:$C,C63,Başvuru!$L:$L,"KAPSAM DIŞI",Başvuru!$A:$A,"&lt;&gt;"&amp;"",Başvuru!$F:$F,"&lt;&gt;"&amp;""))</f>
        <v>0</v>
      </c>
      <c r="P63" s="178">
        <f>IF(C63="","",COUNTIFS(Başvuru!$C:$C,C63,Başvuru!$L:$L,"GERİ ÇEKİLDİ",Başvuru!$A:$A,"&lt;&gt;"&amp;"",Başvuru!$F:$F,"&lt;&gt;"&amp;""))</f>
        <v>0</v>
      </c>
      <c r="Q63" s="166" t="s">
        <v>262</v>
      </c>
      <c r="R63" s="167">
        <f>COUNTIFS(Başvuru!$C:$C,Q63,Başvuru!$A:$A,"&lt;&gt;"&amp;"",Başvuru!$F:$F,"&lt;&gt;"&amp;"")</f>
        <v>5</v>
      </c>
      <c r="S63" s="167">
        <f>RANK(R63,$R$6:$R$324,0)+COUNTIF($R$6:R63,R63)-1</f>
        <v>21</v>
      </c>
    </row>
    <row r="64" spans="2:19" ht="15" customHeight="1" x14ac:dyDescent="0.25">
      <c r="B64" s="155">
        <v>59</v>
      </c>
      <c r="C64" s="156" t="str">
        <f>IFERROR(INDEX($Q$6:$Q$324,MATCH(59,$S$6:$S$324,0)),"")</f>
        <v>Prof. Dr. Fadime İrsel TEZER FİLİK</v>
      </c>
      <c r="D64" s="157">
        <f>IF(C64="","",COUNTIFS(Başvuru!$C:$C,C64,Başvuru!$A:$A,"&lt;&gt;"&amp;"",Başvuru!$F:$F,"&lt;&gt;"&amp;""))</f>
        <v>3</v>
      </c>
      <c r="E64" s="155" t="str">
        <f>IF(C64="","-",IF(D64&gt;0,TEXT(D64/(COUNTIFS(Başvuru!$A:$A,"&lt;&gt;",Başvuru!$F:$F,"&lt;&gt;")-1)*100,"0.0")&amp;"%","-"))</f>
        <v>00%</v>
      </c>
      <c r="F64" s="158">
        <f>IF(C64="","",COUNTIFS(Başvuru!$C:$C,C64,Başvuru!$G:$G,"Bireysel Araştırma",Başvuru!$A:$A,"&lt;&gt;"&amp;"",Başvuru!$F:$F,"&lt;&gt;"&amp;""))</f>
        <v>1</v>
      </c>
      <c r="G64" s="158">
        <f>IF(C64="","",COUNTIFS(Başvuru!$C:$C,C64,Başvuru!$G:$G,"Uzmanlık Tezi",Başvuru!$A:$A,"&lt;&gt;"&amp;"",Başvuru!$F:$F,"&lt;&gt;"&amp;""))</f>
        <v>2</v>
      </c>
      <c r="H64" s="158">
        <f>IF(C64="","",COUNTIFS(Başvuru!$C:$C,C64,Başvuru!$G:$G,"Doktora Tezi",Başvuru!$A:$A,"&lt;&gt;"&amp;"",Başvuru!$F:$F,"&lt;&gt;"&amp;""))</f>
        <v>0</v>
      </c>
      <c r="I64" s="158">
        <f>IF(C64="","",COUNTIFS(Başvuru!$C:$C,C64,Başvuru!$G:$G,"Yüksek Lisans Tezi",Başvuru!$A:$A,"&lt;&gt;"&amp;"",Başvuru!$F:$F,"&lt;&gt;"&amp;""))</f>
        <v>0</v>
      </c>
      <c r="J64" s="159">
        <f>IF(C64="","",COUNTIFS(Başvuru!$C:$C,C64,Başvuru!$L:$L,"ONAY",Başvuru!$A:$A,"&lt;&gt;"&amp;"",Başvuru!$F:$F,"&lt;&gt;"&amp;""))</f>
        <v>3</v>
      </c>
      <c r="K64" s="160">
        <f>IF(C64="","",COUNTIFS(Başvuru!$C:$C,C64,Başvuru!$L:$L,"DÜZELTME",Başvuru!$A:$A,"&lt;&gt;"&amp;"",Başvuru!$F:$F,"&lt;&gt;"&amp;""))</f>
        <v>0</v>
      </c>
      <c r="L64" s="161">
        <f>IF(C64="","",COUNTIFS(Başvuru!$C:$C,C64,Başvuru!$L:$L,"KAEK",Başvuru!$A:$A,"&lt;&gt;"&amp;"",Başvuru!$F:$F,"&lt;&gt;"&amp;""))</f>
        <v>0</v>
      </c>
      <c r="M64" s="162">
        <f>IF(C64="","",COUNTIFS(Başvuru!$C:$C,C64,Başvuru!$L:$L,"GÖRÜŞ",Başvuru!$A:$A,"&lt;&gt;"&amp;"",Başvuru!$F:$F,"&lt;&gt;"&amp;""))</f>
        <v>0</v>
      </c>
      <c r="N64" s="163">
        <f>IF(C64="","",COUNTIFS(Başvuru!$C:$C,C64,Başvuru!$L:$L,"RET",Başvuru!$A:$A,"&lt;&gt;"&amp;"",Başvuru!$F:$F,"&lt;&gt;"&amp;""))</f>
        <v>0</v>
      </c>
      <c r="O64" s="164">
        <f>IF(C64="","",COUNTIFS(Başvuru!$C:$C,C64,Başvuru!$L:$L,"KAPSAM DIŞI",Başvuru!$A:$A,"&lt;&gt;"&amp;"",Başvuru!$F:$F,"&lt;&gt;"&amp;""))</f>
        <v>0</v>
      </c>
      <c r="P64" s="165">
        <f>IF(C64="","",COUNTIFS(Başvuru!$C:$C,C64,Başvuru!$L:$L,"GERİ ÇEKİLDİ",Başvuru!$A:$A,"&lt;&gt;"&amp;"",Başvuru!$F:$F,"&lt;&gt;"&amp;""))</f>
        <v>0</v>
      </c>
      <c r="Q64" s="166" t="s">
        <v>2445</v>
      </c>
      <c r="R64" s="167">
        <f>COUNTIFS(Başvuru!$C:$C,Q64,Başvuru!$A:$A,"&lt;&gt;"&amp;"",Başvuru!$F:$F,"&lt;&gt;"&amp;"")</f>
        <v>2</v>
      </c>
      <c r="S64" s="167">
        <f>RANK(R64,$R$6:$R$324,0)+COUNTIF($R$6:R64,R64)-1</f>
        <v>89</v>
      </c>
    </row>
    <row r="65" spans="2:19" ht="15" customHeight="1" x14ac:dyDescent="0.25">
      <c r="B65" s="168">
        <v>60</v>
      </c>
      <c r="C65" s="169" t="str">
        <f>IFERROR(INDEX($Q$6:$Q$324,MATCH(60,$S$6:$S$324,0)),"")</f>
        <v>Prof. Dr. Hakan GÖKER</v>
      </c>
      <c r="D65" s="170">
        <f>IF(C65="","",COUNTIFS(Başvuru!$C:$C,C65,Başvuru!$A:$A,"&lt;&gt;"&amp;"",Başvuru!$F:$F,"&lt;&gt;"&amp;""))</f>
        <v>3</v>
      </c>
      <c r="E65" s="168" t="str">
        <f>IF(C65="","-",IF(D65&gt;0,TEXT(D65/(COUNTIFS(Başvuru!$A:$A,"&lt;&gt;",Başvuru!$F:$F,"&lt;&gt;")-1)*100,"0.0")&amp;"%","-"))</f>
        <v>00%</v>
      </c>
      <c r="F65" s="171">
        <f>IF(C65="","",COUNTIFS(Başvuru!$C:$C,C65,Başvuru!$G:$G,"Bireysel Araştırma",Başvuru!$A:$A,"&lt;&gt;"&amp;"",Başvuru!$F:$F,"&lt;&gt;"&amp;""))</f>
        <v>3</v>
      </c>
      <c r="G65" s="171">
        <f>IF(C65="","",COUNTIFS(Başvuru!$C:$C,C65,Başvuru!$G:$G,"Uzmanlık Tezi",Başvuru!$A:$A,"&lt;&gt;"&amp;"",Başvuru!$F:$F,"&lt;&gt;"&amp;""))</f>
        <v>0</v>
      </c>
      <c r="H65" s="171">
        <f>IF(C65="","",COUNTIFS(Başvuru!$C:$C,C65,Başvuru!$G:$G,"Doktora Tezi",Başvuru!$A:$A,"&lt;&gt;"&amp;"",Başvuru!$F:$F,"&lt;&gt;"&amp;""))</f>
        <v>0</v>
      </c>
      <c r="I65" s="171">
        <f>IF(C65="","",COUNTIFS(Başvuru!$C:$C,C65,Başvuru!$G:$G,"Yüksek Lisans Tezi",Başvuru!$A:$A,"&lt;&gt;"&amp;"",Başvuru!$F:$F,"&lt;&gt;"&amp;""))</f>
        <v>0</v>
      </c>
      <c r="J65" s="172">
        <f>IF(C65="","",COUNTIFS(Başvuru!$C:$C,C65,Başvuru!$L:$L,"ONAY",Başvuru!$A:$A,"&lt;&gt;"&amp;"",Başvuru!$F:$F,"&lt;&gt;"&amp;""))</f>
        <v>0</v>
      </c>
      <c r="K65" s="173">
        <f>IF(C65="","",COUNTIFS(Başvuru!$C:$C,C65,Başvuru!$L:$L,"DÜZELTME",Başvuru!$A:$A,"&lt;&gt;"&amp;"",Başvuru!$F:$F,"&lt;&gt;"&amp;""))</f>
        <v>2</v>
      </c>
      <c r="L65" s="174">
        <f>IF(C65="","",COUNTIFS(Başvuru!$C:$C,C65,Başvuru!$L:$L,"KAEK",Başvuru!$A:$A,"&lt;&gt;"&amp;"",Başvuru!$F:$F,"&lt;&gt;"&amp;""))</f>
        <v>0</v>
      </c>
      <c r="M65" s="175">
        <f>IF(C65="","",COUNTIFS(Başvuru!$C:$C,C65,Başvuru!$L:$L,"GÖRÜŞ",Başvuru!$A:$A,"&lt;&gt;"&amp;"",Başvuru!$F:$F,"&lt;&gt;"&amp;""))</f>
        <v>0</v>
      </c>
      <c r="N65" s="176">
        <f>IF(C65="","",COUNTIFS(Başvuru!$C:$C,C65,Başvuru!$L:$L,"RET",Başvuru!$A:$A,"&lt;&gt;"&amp;"",Başvuru!$F:$F,"&lt;&gt;"&amp;""))</f>
        <v>0</v>
      </c>
      <c r="O65" s="177">
        <f>IF(C65="","",COUNTIFS(Başvuru!$C:$C,C65,Başvuru!$L:$L,"KAPSAM DIŞI",Başvuru!$A:$A,"&lt;&gt;"&amp;"",Başvuru!$F:$F,"&lt;&gt;"&amp;""))</f>
        <v>0</v>
      </c>
      <c r="P65" s="178">
        <f>IF(C65="","",COUNTIFS(Başvuru!$C:$C,C65,Başvuru!$L:$L,"GERİ ÇEKİLDİ",Başvuru!$A:$A,"&lt;&gt;"&amp;"",Başvuru!$F:$F,"&lt;&gt;"&amp;""))</f>
        <v>0</v>
      </c>
      <c r="Q65" s="166" t="s">
        <v>555</v>
      </c>
      <c r="R65" s="167">
        <f>COUNTIFS(Başvuru!$C:$C,Q65,Başvuru!$A:$A,"&lt;&gt;"&amp;"",Başvuru!$F:$F,"&lt;&gt;"&amp;"")</f>
        <v>10</v>
      </c>
      <c r="S65" s="167">
        <f>RANK(R65,$R$6:$R$324,0)+COUNTIF($R$6:R65,R65)-1</f>
        <v>3</v>
      </c>
    </row>
    <row r="66" spans="2:19" ht="15" customHeight="1" x14ac:dyDescent="0.25">
      <c r="B66" s="155">
        <v>61</v>
      </c>
      <c r="C66" s="156" t="str">
        <f>IFERROR(INDEX($Q$6:$Q$324,MATCH(61,$S$6:$S$324,0)),"")</f>
        <v>Prof. Dr. Kudret AYTEMİR</v>
      </c>
      <c r="D66" s="157">
        <f>IF(C66="","",COUNTIFS(Başvuru!$C:$C,C66,Başvuru!$A:$A,"&lt;&gt;"&amp;"",Başvuru!$F:$F,"&lt;&gt;"&amp;""))</f>
        <v>3</v>
      </c>
      <c r="E66" s="155" t="str">
        <f>IF(C66="","-",IF(D66&gt;0,TEXT(D66/(COUNTIFS(Başvuru!$A:$A,"&lt;&gt;",Başvuru!$F:$F,"&lt;&gt;")-1)*100,"0.0")&amp;"%","-"))</f>
        <v>00%</v>
      </c>
      <c r="F66" s="158">
        <f>IF(C66="","",COUNTIFS(Başvuru!$C:$C,C66,Başvuru!$G:$G,"Bireysel Araştırma",Başvuru!$A:$A,"&lt;&gt;"&amp;"",Başvuru!$F:$F,"&lt;&gt;"&amp;""))</f>
        <v>2</v>
      </c>
      <c r="G66" s="158">
        <f>IF(C66="","",COUNTIFS(Başvuru!$C:$C,C66,Başvuru!$G:$G,"Uzmanlık Tezi",Başvuru!$A:$A,"&lt;&gt;"&amp;"",Başvuru!$F:$F,"&lt;&gt;"&amp;""))</f>
        <v>1</v>
      </c>
      <c r="H66" s="158">
        <f>IF(C66="","",COUNTIFS(Başvuru!$C:$C,C66,Başvuru!$G:$G,"Doktora Tezi",Başvuru!$A:$A,"&lt;&gt;"&amp;"",Başvuru!$F:$F,"&lt;&gt;"&amp;""))</f>
        <v>0</v>
      </c>
      <c r="I66" s="158">
        <f>IF(C66="","",COUNTIFS(Başvuru!$C:$C,C66,Başvuru!$G:$G,"Yüksek Lisans Tezi",Başvuru!$A:$A,"&lt;&gt;"&amp;"",Başvuru!$F:$F,"&lt;&gt;"&amp;""))</f>
        <v>0</v>
      </c>
      <c r="J66" s="159">
        <f>IF(C66="","",COUNTIFS(Başvuru!$C:$C,C66,Başvuru!$L:$L,"ONAY",Başvuru!$A:$A,"&lt;&gt;"&amp;"",Başvuru!$F:$F,"&lt;&gt;"&amp;""))</f>
        <v>2</v>
      </c>
      <c r="K66" s="160">
        <f>IF(C66="","",COUNTIFS(Başvuru!$C:$C,C66,Başvuru!$L:$L,"DÜZELTME",Başvuru!$A:$A,"&lt;&gt;"&amp;"",Başvuru!$F:$F,"&lt;&gt;"&amp;""))</f>
        <v>0</v>
      </c>
      <c r="L66" s="161">
        <f>IF(C66="","",COUNTIFS(Başvuru!$C:$C,C66,Başvuru!$L:$L,"KAEK",Başvuru!$A:$A,"&lt;&gt;"&amp;"",Başvuru!$F:$F,"&lt;&gt;"&amp;""))</f>
        <v>1</v>
      </c>
      <c r="M66" s="162">
        <f>IF(C66="","",COUNTIFS(Başvuru!$C:$C,C66,Başvuru!$L:$L,"GÖRÜŞ",Başvuru!$A:$A,"&lt;&gt;"&amp;"",Başvuru!$F:$F,"&lt;&gt;"&amp;""))</f>
        <v>0</v>
      </c>
      <c r="N66" s="163">
        <f>IF(C66="","",COUNTIFS(Başvuru!$C:$C,C66,Başvuru!$L:$L,"RET",Başvuru!$A:$A,"&lt;&gt;"&amp;"",Başvuru!$F:$F,"&lt;&gt;"&amp;""))</f>
        <v>0</v>
      </c>
      <c r="O66" s="164">
        <f>IF(C66="","",COUNTIFS(Başvuru!$C:$C,C66,Başvuru!$L:$L,"KAPSAM DIŞI",Başvuru!$A:$A,"&lt;&gt;"&amp;"",Başvuru!$F:$F,"&lt;&gt;"&amp;""))</f>
        <v>0</v>
      </c>
      <c r="P66" s="165">
        <f>IF(C66="","",COUNTIFS(Başvuru!$C:$C,C66,Başvuru!$L:$L,"GERİ ÇEKİLDİ",Başvuru!$A:$A,"&lt;&gt;"&amp;"",Başvuru!$F:$F,"&lt;&gt;"&amp;""))</f>
        <v>0</v>
      </c>
      <c r="Q66" s="166" t="s">
        <v>988</v>
      </c>
      <c r="R66" s="167">
        <f>COUNTIFS(Başvuru!$C:$C,Q66,Başvuru!$A:$A,"&lt;&gt;"&amp;"",Başvuru!$F:$F,"&lt;&gt;"&amp;"")</f>
        <v>4</v>
      </c>
      <c r="S66" s="167">
        <f>RANK(R66,$R$6:$R$324,0)+COUNTIF($R$6:R66,R66)-1</f>
        <v>33</v>
      </c>
    </row>
    <row r="67" spans="2:19" ht="15" customHeight="1" x14ac:dyDescent="0.25">
      <c r="B67" s="168">
        <v>62</v>
      </c>
      <c r="C67" s="169" t="str">
        <f>IFERROR(INDEX($Q$6:$Q$324,MATCH(62,$S$6:$S$324,0)),"")</f>
        <v>Prof. Dr. Meryem Aslı TUNCER</v>
      </c>
      <c r="D67" s="170">
        <f>IF(C67="","",COUNTIFS(Başvuru!$C:$C,C67,Başvuru!$A:$A,"&lt;&gt;"&amp;"",Başvuru!$F:$F,"&lt;&gt;"&amp;""))</f>
        <v>3</v>
      </c>
      <c r="E67" s="168" t="str">
        <f>IF(C67="","-",IF(D67&gt;0,TEXT(D67/(COUNTIFS(Başvuru!$A:$A,"&lt;&gt;",Başvuru!$F:$F,"&lt;&gt;")-1)*100,"0.0")&amp;"%","-"))</f>
        <v>00%</v>
      </c>
      <c r="F67" s="171">
        <f>IF(C67="","",COUNTIFS(Başvuru!$C:$C,C67,Başvuru!$G:$G,"Bireysel Araştırma",Başvuru!$A:$A,"&lt;&gt;"&amp;"",Başvuru!$F:$F,"&lt;&gt;"&amp;""))</f>
        <v>1</v>
      </c>
      <c r="G67" s="171">
        <f>IF(C67="","",COUNTIFS(Başvuru!$C:$C,C67,Başvuru!$G:$G,"Uzmanlık Tezi",Başvuru!$A:$A,"&lt;&gt;"&amp;"",Başvuru!$F:$F,"&lt;&gt;"&amp;""))</f>
        <v>2</v>
      </c>
      <c r="H67" s="171">
        <f>IF(C67="","",COUNTIFS(Başvuru!$C:$C,C67,Başvuru!$G:$G,"Doktora Tezi",Başvuru!$A:$A,"&lt;&gt;"&amp;"",Başvuru!$F:$F,"&lt;&gt;"&amp;""))</f>
        <v>0</v>
      </c>
      <c r="I67" s="171">
        <f>IF(C67="","",COUNTIFS(Başvuru!$C:$C,C67,Başvuru!$G:$G,"Yüksek Lisans Tezi",Başvuru!$A:$A,"&lt;&gt;"&amp;"",Başvuru!$F:$F,"&lt;&gt;"&amp;""))</f>
        <v>0</v>
      </c>
      <c r="J67" s="172">
        <f>IF(C67="","",COUNTIFS(Başvuru!$C:$C,C67,Başvuru!$L:$L,"ONAY",Başvuru!$A:$A,"&lt;&gt;"&amp;"",Başvuru!$F:$F,"&lt;&gt;"&amp;""))</f>
        <v>2</v>
      </c>
      <c r="K67" s="173">
        <f>IF(C67="","",COUNTIFS(Başvuru!$C:$C,C67,Başvuru!$L:$L,"DÜZELTME",Başvuru!$A:$A,"&lt;&gt;"&amp;"",Başvuru!$F:$F,"&lt;&gt;"&amp;""))</f>
        <v>1</v>
      </c>
      <c r="L67" s="174">
        <f>IF(C67="","",COUNTIFS(Başvuru!$C:$C,C67,Başvuru!$L:$L,"KAEK",Başvuru!$A:$A,"&lt;&gt;"&amp;"",Başvuru!$F:$F,"&lt;&gt;"&amp;""))</f>
        <v>0</v>
      </c>
      <c r="M67" s="175">
        <f>IF(C67="","",COUNTIFS(Başvuru!$C:$C,C67,Başvuru!$L:$L,"GÖRÜŞ",Başvuru!$A:$A,"&lt;&gt;"&amp;"",Başvuru!$F:$F,"&lt;&gt;"&amp;""))</f>
        <v>0</v>
      </c>
      <c r="N67" s="176">
        <f>IF(C67="","",COUNTIFS(Başvuru!$C:$C,C67,Başvuru!$L:$L,"RET",Başvuru!$A:$A,"&lt;&gt;"&amp;"",Başvuru!$F:$F,"&lt;&gt;"&amp;""))</f>
        <v>0</v>
      </c>
      <c r="O67" s="177">
        <f>IF(C67="","",COUNTIFS(Başvuru!$C:$C,C67,Başvuru!$L:$L,"KAPSAM DIŞI",Başvuru!$A:$A,"&lt;&gt;"&amp;"",Başvuru!$F:$F,"&lt;&gt;"&amp;""))</f>
        <v>0</v>
      </c>
      <c r="P67" s="178">
        <f>IF(C67="","",COUNTIFS(Başvuru!$C:$C,C67,Başvuru!$L:$L,"GERİ ÇEKİLDİ",Başvuru!$A:$A,"&lt;&gt;"&amp;"",Başvuru!$F:$F,"&lt;&gt;"&amp;""))</f>
        <v>0</v>
      </c>
      <c r="Q67" s="166" t="s">
        <v>2351</v>
      </c>
      <c r="R67" s="167">
        <f>COUNTIFS(Başvuru!$C:$C,Q67,Başvuru!$A:$A,"&lt;&gt;"&amp;"",Başvuru!$F:$F,"&lt;&gt;"&amp;"")</f>
        <v>1</v>
      </c>
      <c r="S67" s="167">
        <f>RANK(R67,$R$6:$R$324,0)+COUNTIF($R$6:R67,R67)-1</f>
        <v>166</v>
      </c>
    </row>
    <row r="68" spans="2:19" ht="15" customHeight="1" x14ac:dyDescent="0.25">
      <c r="B68" s="155">
        <v>63</v>
      </c>
      <c r="C68" s="156" t="str">
        <f>IFERROR(INDEX($Q$6:$Q$324,MATCH(63,$S$6:$S$324,0)),"")</f>
        <v>Prof. Dr. Oğuz IŞIK</v>
      </c>
      <c r="D68" s="157">
        <f>IF(C68="","",COUNTIFS(Başvuru!$C:$C,C68,Başvuru!$A:$A,"&lt;&gt;"&amp;"",Başvuru!$F:$F,"&lt;&gt;"&amp;""))</f>
        <v>3</v>
      </c>
      <c r="E68" s="155" t="str">
        <f>IF(C68="","-",IF(D68&gt;0,TEXT(D68/(COUNTIFS(Başvuru!$A:$A,"&lt;&gt;",Başvuru!$F:$F,"&lt;&gt;")-1)*100,"0.0")&amp;"%","-"))</f>
        <v>00%</v>
      </c>
      <c r="F68" s="158">
        <f>IF(C68="","",COUNTIFS(Başvuru!$C:$C,C68,Başvuru!$G:$G,"Bireysel Araştırma",Başvuru!$A:$A,"&lt;&gt;"&amp;"",Başvuru!$F:$F,"&lt;&gt;"&amp;""))</f>
        <v>0</v>
      </c>
      <c r="G68" s="158">
        <f>IF(C68="","",COUNTIFS(Başvuru!$C:$C,C68,Başvuru!$G:$G,"Uzmanlık Tezi",Başvuru!$A:$A,"&lt;&gt;"&amp;"",Başvuru!$F:$F,"&lt;&gt;"&amp;""))</f>
        <v>0</v>
      </c>
      <c r="H68" s="158">
        <f>IF(C68="","",COUNTIFS(Başvuru!$C:$C,C68,Başvuru!$G:$G,"Doktora Tezi",Başvuru!$A:$A,"&lt;&gt;"&amp;"",Başvuru!$F:$F,"&lt;&gt;"&amp;""))</f>
        <v>3</v>
      </c>
      <c r="I68" s="158">
        <f>IF(C68="","",COUNTIFS(Başvuru!$C:$C,C68,Başvuru!$G:$G,"Yüksek Lisans Tezi",Başvuru!$A:$A,"&lt;&gt;"&amp;"",Başvuru!$F:$F,"&lt;&gt;"&amp;""))</f>
        <v>0</v>
      </c>
      <c r="J68" s="159">
        <f>IF(C68="","",COUNTIFS(Başvuru!$C:$C,C68,Başvuru!$L:$L,"ONAY",Başvuru!$A:$A,"&lt;&gt;"&amp;"",Başvuru!$F:$F,"&lt;&gt;"&amp;""))</f>
        <v>1</v>
      </c>
      <c r="K68" s="160">
        <f>IF(C68="","",COUNTIFS(Başvuru!$C:$C,C68,Başvuru!$L:$L,"DÜZELTME",Başvuru!$A:$A,"&lt;&gt;"&amp;"",Başvuru!$F:$F,"&lt;&gt;"&amp;""))</f>
        <v>2</v>
      </c>
      <c r="L68" s="161">
        <f>IF(C68="","",COUNTIFS(Başvuru!$C:$C,C68,Başvuru!$L:$L,"KAEK",Başvuru!$A:$A,"&lt;&gt;"&amp;"",Başvuru!$F:$F,"&lt;&gt;"&amp;""))</f>
        <v>0</v>
      </c>
      <c r="M68" s="162">
        <f>IF(C68="","",COUNTIFS(Başvuru!$C:$C,C68,Başvuru!$L:$L,"GÖRÜŞ",Başvuru!$A:$A,"&lt;&gt;"&amp;"",Başvuru!$F:$F,"&lt;&gt;"&amp;""))</f>
        <v>0</v>
      </c>
      <c r="N68" s="163">
        <f>IF(C68="","",COUNTIFS(Başvuru!$C:$C,C68,Başvuru!$L:$L,"RET",Başvuru!$A:$A,"&lt;&gt;"&amp;"",Başvuru!$F:$F,"&lt;&gt;"&amp;""))</f>
        <v>0</v>
      </c>
      <c r="O68" s="164">
        <f>IF(C68="","",COUNTIFS(Başvuru!$C:$C,C68,Başvuru!$L:$L,"KAPSAM DIŞI",Başvuru!$A:$A,"&lt;&gt;"&amp;"",Başvuru!$F:$F,"&lt;&gt;"&amp;""))</f>
        <v>0</v>
      </c>
      <c r="P68" s="165">
        <f>IF(C68="","",COUNTIFS(Başvuru!$C:$C,C68,Başvuru!$L:$L,"GERİ ÇEKİLDİ",Başvuru!$A:$A,"&lt;&gt;"&amp;"",Başvuru!$F:$F,"&lt;&gt;"&amp;""))</f>
        <v>0</v>
      </c>
      <c r="Q68" s="166" t="s">
        <v>1905</v>
      </c>
      <c r="R68" s="167">
        <f>COUNTIFS(Başvuru!$C:$C,Q68,Başvuru!$A:$A,"&lt;&gt;"&amp;"",Başvuru!$F:$F,"&lt;&gt;"&amp;"")</f>
        <v>1</v>
      </c>
      <c r="S68" s="167">
        <f>RANK(R68,$R$6:$R$324,0)+COUNTIF($R$6:R68,R68)-1</f>
        <v>167</v>
      </c>
    </row>
    <row r="69" spans="2:19" ht="15" customHeight="1" x14ac:dyDescent="0.25">
      <c r="B69" s="168">
        <v>64</v>
      </c>
      <c r="C69" s="169" t="str">
        <f>IFERROR(INDEX($Q$6:$Q$324,MATCH(64,$S$6:$S$324,0)),"")</f>
        <v>Prof. Dr. Seza ÖZEN</v>
      </c>
      <c r="D69" s="170">
        <f>IF(C69="","",COUNTIFS(Başvuru!$C:$C,C69,Başvuru!$A:$A,"&lt;&gt;"&amp;"",Başvuru!$F:$F,"&lt;&gt;"&amp;""))</f>
        <v>3</v>
      </c>
      <c r="E69" s="168" t="str">
        <f>IF(C69="","-",IF(D69&gt;0,TEXT(D69/(COUNTIFS(Başvuru!$A:$A,"&lt;&gt;",Başvuru!$F:$F,"&lt;&gt;")-1)*100,"0.0")&amp;"%","-"))</f>
        <v>00%</v>
      </c>
      <c r="F69" s="171">
        <f>IF(C69="","",COUNTIFS(Başvuru!$C:$C,C69,Başvuru!$G:$G,"Bireysel Araştırma",Başvuru!$A:$A,"&lt;&gt;"&amp;"",Başvuru!$F:$F,"&lt;&gt;"&amp;""))</f>
        <v>3</v>
      </c>
      <c r="G69" s="171">
        <f>IF(C69="","",COUNTIFS(Başvuru!$C:$C,C69,Başvuru!$G:$G,"Uzmanlık Tezi",Başvuru!$A:$A,"&lt;&gt;"&amp;"",Başvuru!$F:$F,"&lt;&gt;"&amp;""))</f>
        <v>0</v>
      </c>
      <c r="H69" s="171">
        <f>IF(C69="","",COUNTIFS(Başvuru!$C:$C,C69,Başvuru!$G:$G,"Doktora Tezi",Başvuru!$A:$A,"&lt;&gt;"&amp;"",Başvuru!$F:$F,"&lt;&gt;"&amp;""))</f>
        <v>0</v>
      </c>
      <c r="I69" s="171">
        <f>IF(C69="","",COUNTIFS(Başvuru!$C:$C,C69,Başvuru!$G:$G,"Yüksek Lisans Tezi",Başvuru!$A:$A,"&lt;&gt;"&amp;"",Başvuru!$F:$F,"&lt;&gt;"&amp;""))</f>
        <v>0</v>
      </c>
      <c r="J69" s="172">
        <f>IF(C69="","",COUNTIFS(Başvuru!$C:$C,C69,Başvuru!$L:$L,"ONAY",Başvuru!$A:$A,"&lt;&gt;"&amp;"",Başvuru!$F:$F,"&lt;&gt;"&amp;""))</f>
        <v>0</v>
      </c>
      <c r="K69" s="173">
        <f>IF(C69="","",COUNTIFS(Başvuru!$C:$C,C69,Başvuru!$L:$L,"DÜZELTME",Başvuru!$A:$A,"&lt;&gt;"&amp;"",Başvuru!$F:$F,"&lt;&gt;"&amp;""))</f>
        <v>2</v>
      </c>
      <c r="L69" s="174">
        <f>IF(C69="","",COUNTIFS(Başvuru!$C:$C,C69,Başvuru!$L:$L,"KAEK",Başvuru!$A:$A,"&lt;&gt;"&amp;"",Başvuru!$F:$F,"&lt;&gt;"&amp;""))</f>
        <v>0</v>
      </c>
      <c r="M69" s="175">
        <f>IF(C69="","",COUNTIFS(Başvuru!$C:$C,C69,Başvuru!$L:$L,"GÖRÜŞ",Başvuru!$A:$A,"&lt;&gt;"&amp;"",Başvuru!$F:$F,"&lt;&gt;"&amp;""))</f>
        <v>1</v>
      </c>
      <c r="N69" s="176">
        <f>IF(C69="","",COUNTIFS(Başvuru!$C:$C,C69,Başvuru!$L:$L,"RET",Başvuru!$A:$A,"&lt;&gt;"&amp;"",Başvuru!$F:$F,"&lt;&gt;"&amp;""))</f>
        <v>0</v>
      </c>
      <c r="O69" s="177">
        <f>IF(C69="","",COUNTIFS(Başvuru!$C:$C,C69,Başvuru!$L:$L,"KAPSAM DIŞI",Başvuru!$A:$A,"&lt;&gt;"&amp;"",Başvuru!$F:$F,"&lt;&gt;"&amp;""))</f>
        <v>0</v>
      </c>
      <c r="P69" s="178">
        <f>IF(C69="","",COUNTIFS(Başvuru!$C:$C,C69,Başvuru!$L:$L,"GERİ ÇEKİLDİ",Başvuru!$A:$A,"&lt;&gt;"&amp;"",Başvuru!$F:$F,"&lt;&gt;"&amp;""))</f>
        <v>0</v>
      </c>
      <c r="Q69" s="166" t="s">
        <v>405</v>
      </c>
      <c r="R69" s="167">
        <f>COUNTIFS(Başvuru!$C:$C,Q69,Başvuru!$A:$A,"&lt;&gt;"&amp;"",Başvuru!$F:$F,"&lt;&gt;"&amp;"")</f>
        <v>1</v>
      </c>
      <c r="S69" s="167">
        <f>RANK(R69,$R$6:$R$324,0)+COUNTIF($R$6:R69,R69)-1</f>
        <v>168</v>
      </c>
    </row>
    <row r="70" spans="2:19" ht="15" customHeight="1" x14ac:dyDescent="0.25">
      <c r="B70" s="155">
        <v>65</v>
      </c>
      <c r="C70" s="156" t="str">
        <f>IFERROR(INDEX($Q$6:$Q$324,MATCH(65,$S$6:$S$324,0)),"")</f>
        <v>Prof. Dr. Sibel DOĞAN GÜNAYDIN</v>
      </c>
      <c r="D70" s="157">
        <f>IF(C70="","",COUNTIFS(Başvuru!$C:$C,C70,Başvuru!$A:$A,"&lt;&gt;"&amp;"",Başvuru!$F:$F,"&lt;&gt;"&amp;""))</f>
        <v>3</v>
      </c>
      <c r="E70" s="155" t="str">
        <f>IF(C70="","-",IF(D70&gt;0,TEXT(D70/(COUNTIFS(Başvuru!$A:$A,"&lt;&gt;",Başvuru!$F:$F,"&lt;&gt;")-1)*100,"0.0")&amp;"%","-"))</f>
        <v>00%</v>
      </c>
      <c r="F70" s="158">
        <f>IF(C70="","",COUNTIFS(Başvuru!$C:$C,C70,Başvuru!$G:$G,"Bireysel Araştırma",Başvuru!$A:$A,"&lt;&gt;"&amp;"",Başvuru!$F:$F,"&lt;&gt;"&amp;""))</f>
        <v>2</v>
      </c>
      <c r="G70" s="158">
        <f>IF(C70="","",COUNTIFS(Başvuru!$C:$C,C70,Başvuru!$G:$G,"Uzmanlık Tezi",Başvuru!$A:$A,"&lt;&gt;"&amp;"",Başvuru!$F:$F,"&lt;&gt;"&amp;""))</f>
        <v>1</v>
      </c>
      <c r="H70" s="158">
        <f>IF(C70="","",COUNTIFS(Başvuru!$C:$C,C70,Başvuru!$G:$G,"Doktora Tezi",Başvuru!$A:$A,"&lt;&gt;"&amp;"",Başvuru!$F:$F,"&lt;&gt;"&amp;""))</f>
        <v>0</v>
      </c>
      <c r="I70" s="158">
        <f>IF(C70="","",COUNTIFS(Başvuru!$C:$C,C70,Başvuru!$G:$G,"Yüksek Lisans Tezi",Başvuru!$A:$A,"&lt;&gt;"&amp;"",Başvuru!$F:$F,"&lt;&gt;"&amp;""))</f>
        <v>0</v>
      </c>
      <c r="J70" s="159">
        <f>IF(C70="","",COUNTIFS(Başvuru!$C:$C,C70,Başvuru!$L:$L,"ONAY",Başvuru!$A:$A,"&lt;&gt;"&amp;"",Başvuru!$F:$F,"&lt;&gt;"&amp;""))</f>
        <v>1</v>
      </c>
      <c r="K70" s="160">
        <f>IF(C70="","",COUNTIFS(Başvuru!$C:$C,C70,Başvuru!$L:$L,"DÜZELTME",Başvuru!$A:$A,"&lt;&gt;"&amp;"",Başvuru!$F:$F,"&lt;&gt;"&amp;""))</f>
        <v>2</v>
      </c>
      <c r="L70" s="161">
        <f>IF(C70="","",COUNTIFS(Başvuru!$C:$C,C70,Başvuru!$L:$L,"KAEK",Başvuru!$A:$A,"&lt;&gt;"&amp;"",Başvuru!$F:$F,"&lt;&gt;"&amp;""))</f>
        <v>0</v>
      </c>
      <c r="M70" s="162">
        <f>IF(C70="","",COUNTIFS(Başvuru!$C:$C,C70,Başvuru!$L:$L,"GÖRÜŞ",Başvuru!$A:$A,"&lt;&gt;"&amp;"",Başvuru!$F:$F,"&lt;&gt;"&amp;""))</f>
        <v>0</v>
      </c>
      <c r="N70" s="163">
        <f>IF(C70="","",COUNTIFS(Başvuru!$C:$C,C70,Başvuru!$L:$L,"RET",Başvuru!$A:$A,"&lt;&gt;"&amp;"",Başvuru!$F:$F,"&lt;&gt;"&amp;""))</f>
        <v>0</v>
      </c>
      <c r="O70" s="164">
        <f>IF(C70="","",COUNTIFS(Başvuru!$C:$C,C70,Başvuru!$L:$L,"KAPSAM DIŞI",Başvuru!$A:$A,"&lt;&gt;"&amp;"",Başvuru!$F:$F,"&lt;&gt;"&amp;""))</f>
        <v>0</v>
      </c>
      <c r="P70" s="165">
        <f>IF(C70="","",COUNTIFS(Başvuru!$C:$C,C70,Başvuru!$L:$L,"GERİ ÇEKİLDİ",Başvuru!$A:$A,"&lt;&gt;"&amp;"",Başvuru!$F:$F,"&lt;&gt;"&amp;""))</f>
        <v>0</v>
      </c>
      <c r="Q70" s="166" t="s">
        <v>1852</v>
      </c>
      <c r="R70" s="167">
        <f>COUNTIFS(Başvuru!$C:$C,Q70,Başvuru!$A:$A,"&lt;&gt;"&amp;"",Başvuru!$F:$F,"&lt;&gt;"&amp;"")</f>
        <v>1</v>
      </c>
      <c r="S70" s="167">
        <f>RANK(R70,$R$6:$R$324,0)+COUNTIF($R$6:R70,R70)-1</f>
        <v>169</v>
      </c>
    </row>
    <row r="71" spans="2:19" ht="15" customHeight="1" x14ac:dyDescent="0.25">
      <c r="B71" s="168">
        <v>66</v>
      </c>
      <c r="C71" s="169" t="str">
        <f>IFERROR(INDEX($Q$6:$Q$324,MATCH(66,$S$6:$S$324,0)),"")</f>
        <v>Prof. Dr. Sinem AKGÜL</v>
      </c>
      <c r="D71" s="170">
        <f>IF(C71="","",COUNTIFS(Başvuru!$C:$C,C71,Başvuru!$A:$A,"&lt;&gt;"&amp;"",Başvuru!$F:$F,"&lt;&gt;"&amp;""))</f>
        <v>3</v>
      </c>
      <c r="E71" s="168" t="str">
        <f>IF(C71="","-",IF(D71&gt;0,TEXT(D71/(COUNTIFS(Başvuru!$A:$A,"&lt;&gt;",Başvuru!$F:$F,"&lt;&gt;")-1)*100,"0.0")&amp;"%","-"))</f>
        <v>00%</v>
      </c>
      <c r="F71" s="171">
        <f>IF(C71="","",COUNTIFS(Başvuru!$C:$C,C71,Başvuru!$G:$G,"Bireysel Araştırma",Başvuru!$A:$A,"&lt;&gt;"&amp;"",Başvuru!$F:$F,"&lt;&gt;"&amp;""))</f>
        <v>2</v>
      </c>
      <c r="G71" s="171">
        <f>IF(C71="","",COUNTIFS(Başvuru!$C:$C,C71,Başvuru!$G:$G,"Uzmanlık Tezi",Başvuru!$A:$A,"&lt;&gt;"&amp;"",Başvuru!$F:$F,"&lt;&gt;"&amp;""))</f>
        <v>1</v>
      </c>
      <c r="H71" s="171">
        <f>IF(C71="","",COUNTIFS(Başvuru!$C:$C,C71,Başvuru!$G:$G,"Doktora Tezi",Başvuru!$A:$A,"&lt;&gt;"&amp;"",Başvuru!$F:$F,"&lt;&gt;"&amp;""))</f>
        <v>0</v>
      </c>
      <c r="I71" s="171">
        <f>IF(C71="","",COUNTIFS(Başvuru!$C:$C,C71,Başvuru!$G:$G,"Yüksek Lisans Tezi",Başvuru!$A:$A,"&lt;&gt;"&amp;"",Başvuru!$F:$F,"&lt;&gt;"&amp;""))</f>
        <v>0</v>
      </c>
      <c r="J71" s="172">
        <f>IF(C71="","",COUNTIFS(Başvuru!$C:$C,C71,Başvuru!$L:$L,"ONAY",Başvuru!$A:$A,"&lt;&gt;"&amp;"",Başvuru!$F:$F,"&lt;&gt;"&amp;""))</f>
        <v>1</v>
      </c>
      <c r="K71" s="173">
        <f>IF(C71="","",COUNTIFS(Başvuru!$C:$C,C71,Başvuru!$L:$L,"DÜZELTME",Başvuru!$A:$A,"&lt;&gt;"&amp;"",Başvuru!$F:$F,"&lt;&gt;"&amp;""))</f>
        <v>1</v>
      </c>
      <c r="L71" s="174">
        <f>IF(C71="","",COUNTIFS(Başvuru!$C:$C,C71,Başvuru!$L:$L,"KAEK",Başvuru!$A:$A,"&lt;&gt;"&amp;"",Başvuru!$F:$F,"&lt;&gt;"&amp;""))</f>
        <v>1</v>
      </c>
      <c r="M71" s="175">
        <f>IF(C71="","",COUNTIFS(Başvuru!$C:$C,C71,Başvuru!$L:$L,"GÖRÜŞ",Başvuru!$A:$A,"&lt;&gt;"&amp;"",Başvuru!$F:$F,"&lt;&gt;"&amp;""))</f>
        <v>0</v>
      </c>
      <c r="N71" s="176">
        <f>IF(C71="","",COUNTIFS(Başvuru!$C:$C,C71,Başvuru!$L:$L,"RET",Başvuru!$A:$A,"&lt;&gt;"&amp;"",Başvuru!$F:$F,"&lt;&gt;"&amp;""))</f>
        <v>0</v>
      </c>
      <c r="O71" s="177">
        <f>IF(C71="","",COUNTIFS(Başvuru!$C:$C,C71,Başvuru!$L:$L,"KAPSAM DIŞI",Başvuru!$A:$A,"&lt;&gt;"&amp;"",Başvuru!$F:$F,"&lt;&gt;"&amp;""))</f>
        <v>0</v>
      </c>
      <c r="P71" s="178">
        <f>IF(C71="","",COUNTIFS(Başvuru!$C:$C,C71,Başvuru!$L:$L,"GERİ ÇEKİLDİ",Başvuru!$A:$A,"&lt;&gt;"&amp;"",Başvuru!$F:$F,"&lt;&gt;"&amp;""))</f>
        <v>0</v>
      </c>
      <c r="Q71" s="166" t="s">
        <v>2547</v>
      </c>
      <c r="R71" s="167">
        <f>COUNTIFS(Başvuru!$C:$C,Q71,Başvuru!$A:$A,"&lt;&gt;"&amp;"",Başvuru!$F:$F,"&lt;&gt;"&amp;"")</f>
        <v>1</v>
      </c>
      <c r="S71" s="167">
        <f>RANK(R71,$R$6:$R$324,0)+COUNTIF($R$6:R71,R71)-1</f>
        <v>170</v>
      </c>
    </row>
    <row r="72" spans="2:19" ht="15" customHeight="1" x14ac:dyDescent="0.25">
      <c r="B72" s="155">
        <v>67</v>
      </c>
      <c r="C72" s="156" t="str">
        <f>IFERROR(INDEX($Q$6:$Q$324,MATCH(67,$S$6:$S$324,0)),"")</f>
        <v>Prof. Dr. Sıddika Songül YALÇIN</v>
      </c>
      <c r="D72" s="157">
        <f>IF(C72="","",COUNTIFS(Başvuru!$C:$C,C72,Başvuru!$A:$A,"&lt;&gt;"&amp;"",Başvuru!$F:$F,"&lt;&gt;"&amp;""))</f>
        <v>3</v>
      </c>
      <c r="E72" s="155" t="str">
        <f>IF(C72="","-",IF(D72&gt;0,TEXT(D72/(COUNTIFS(Başvuru!$A:$A,"&lt;&gt;",Başvuru!$F:$F,"&lt;&gt;")-1)*100,"0.0")&amp;"%","-"))</f>
        <v>00%</v>
      </c>
      <c r="F72" s="158">
        <f>IF(C72="","",COUNTIFS(Başvuru!$C:$C,C72,Başvuru!$G:$G,"Bireysel Araştırma",Başvuru!$A:$A,"&lt;&gt;"&amp;"",Başvuru!$F:$F,"&lt;&gt;"&amp;""))</f>
        <v>2</v>
      </c>
      <c r="G72" s="158">
        <f>IF(C72="","",COUNTIFS(Başvuru!$C:$C,C72,Başvuru!$G:$G,"Uzmanlık Tezi",Başvuru!$A:$A,"&lt;&gt;"&amp;"",Başvuru!$F:$F,"&lt;&gt;"&amp;""))</f>
        <v>0</v>
      </c>
      <c r="H72" s="158">
        <f>IF(C72="","",COUNTIFS(Başvuru!$C:$C,C72,Başvuru!$G:$G,"Doktora Tezi",Başvuru!$A:$A,"&lt;&gt;"&amp;"",Başvuru!$F:$F,"&lt;&gt;"&amp;""))</f>
        <v>1</v>
      </c>
      <c r="I72" s="158">
        <f>IF(C72="","",COUNTIFS(Başvuru!$C:$C,C72,Başvuru!$G:$G,"Yüksek Lisans Tezi",Başvuru!$A:$A,"&lt;&gt;"&amp;"",Başvuru!$F:$F,"&lt;&gt;"&amp;""))</f>
        <v>0</v>
      </c>
      <c r="J72" s="159">
        <f>IF(C72="","",COUNTIFS(Başvuru!$C:$C,C72,Başvuru!$L:$L,"ONAY",Başvuru!$A:$A,"&lt;&gt;"&amp;"",Başvuru!$F:$F,"&lt;&gt;"&amp;""))</f>
        <v>3</v>
      </c>
      <c r="K72" s="160">
        <f>IF(C72="","",COUNTIFS(Başvuru!$C:$C,C72,Başvuru!$L:$L,"DÜZELTME",Başvuru!$A:$A,"&lt;&gt;"&amp;"",Başvuru!$F:$F,"&lt;&gt;"&amp;""))</f>
        <v>0</v>
      </c>
      <c r="L72" s="161">
        <f>IF(C72="","",COUNTIFS(Başvuru!$C:$C,C72,Başvuru!$L:$L,"KAEK",Başvuru!$A:$A,"&lt;&gt;"&amp;"",Başvuru!$F:$F,"&lt;&gt;"&amp;""))</f>
        <v>0</v>
      </c>
      <c r="M72" s="162">
        <f>IF(C72="","",COUNTIFS(Başvuru!$C:$C,C72,Başvuru!$L:$L,"GÖRÜŞ",Başvuru!$A:$A,"&lt;&gt;"&amp;"",Başvuru!$F:$F,"&lt;&gt;"&amp;""))</f>
        <v>0</v>
      </c>
      <c r="N72" s="163">
        <f>IF(C72="","",COUNTIFS(Başvuru!$C:$C,C72,Başvuru!$L:$L,"RET",Başvuru!$A:$A,"&lt;&gt;"&amp;"",Başvuru!$F:$F,"&lt;&gt;"&amp;""))</f>
        <v>0</v>
      </c>
      <c r="O72" s="164">
        <f>IF(C72="","",COUNTIFS(Başvuru!$C:$C,C72,Başvuru!$L:$L,"KAPSAM DIŞI",Başvuru!$A:$A,"&lt;&gt;"&amp;"",Başvuru!$F:$F,"&lt;&gt;"&amp;""))</f>
        <v>0</v>
      </c>
      <c r="P72" s="165">
        <f>IF(C72="","",COUNTIFS(Başvuru!$C:$C,C72,Başvuru!$L:$L,"GERİ ÇEKİLDİ",Başvuru!$A:$A,"&lt;&gt;"&amp;"",Başvuru!$F:$F,"&lt;&gt;"&amp;""))</f>
        <v>0</v>
      </c>
      <c r="Q72" s="166" t="s">
        <v>125</v>
      </c>
      <c r="R72" s="167">
        <f>COUNTIFS(Başvuru!$C:$C,Q72,Başvuru!$A:$A,"&lt;&gt;"&amp;"",Başvuru!$F:$F,"&lt;&gt;"&amp;"")</f>
        <v>2</v>
      </c>
      <c r="S72" s="167">
        <f>RANK(R72,$R$6:$R$324,0)+COUNTIF($R$6:R72,R72)-1</f>
        <v>90</v>
      </c>
    </row>
    <row r="73" spans="2:19" ht="15" customHeight="1" x14ac:dyDescent="0.25">
      <c r="B73" s="168">
        <v>68</v>
      </c>
      <c r="C73" s="169" t="str">
        <f>IFERROR(INDEX($Q$6:$Q$324,MATCH(68,$S$6:$S$324,0)),"")</f>
        <v>Prof. Dr. Özgür UĞURLUOĞLU</v>
      </c>
      <c r="D73" s="170">
        <f>IF(C73="","",COUNTIFS(Başvuru!$C:$C,C73,Başvuru!$A:$A,"&lt;&gt;"&amp;"",Başvuru!$F:$F,"&lt;&gt;"&amp;""))</f>
        <v>3</v>
      </c>
      <c r="E73" s="168" t="str">
        <f>IF(C73="","-",IF(D73&gt;0,TEXT(D73/(COUNTIFS(Başvuru!$A:$A,"&lt;&gt;",Başvuru!$F:$F,"&lt;&gt;")-1)*100,"0.0")&amp;"%","-"))</f>
        <v>00%</v>
      </c>
      <c r="F73" s="171">
        <f>IF(C73="","",COUNTIFS(Başvuru!$C:$C,C73,Başvuru!$G:$G,"Bireysel Araştırma",Başvuru!$A:$A,"&lt;&gt;"&amp;"",Başvuru!$F:$F,"&lt;&gt;"&amp;""))</f>
        <v>0</v>
      </c>
      <c r="G73" s="171">
        <f>IF(C73="","",COUNTIFS(Başvuru!$C:$C,C73,Başvuru!$G:$G,"Uzmanlık Tezi",Başvuru!$A:$A,"&lt;&gt;"&amp;"",Başvuru!$F:$F,"&lt;&gt;"&amp;""))</f>
        <v>0</v>
      </c>
      <c r="H73" s="171">
        <f>IF(C73="","",COUNTIFS(Başvuru!$C:$C,C73,Başvuru!$G:$G,"Doktora Tezi",Başvuru!$A:$A,"&lt;&gt;"&amp;"",Başvuru!$F:$F,"&lt;&gt;"&amp;""))</f>
        <v>3</v>
      </c>
      <c r="I73" s="171">
        <f>IF(C73="","",COUNTIFS(Başvuru!$C:$C,C73,Başvuru!$G:$G,"Yüksek Lisans Tezi",Başvuru!$A:$A,"&lt;&gt;"&amp;"",Başvuru!$F:$F,"&lt;&gt;"&amp;""))</f>
        <v>0</v>
      </c>
      <c r="J73" s="172">
        <f>IF(C73="","",COUNTIFS(Başvuru!$C:$C,C73,Başvuru!$L:$L,"ONAY",Başvuru!$A:$A,"&lt;&gt;"&amp;"",Başvuru!$F:$F,"&lt;&gt;"&amp;""))</f>
        <v>1</v>
      </c>
      <c r="K73" s="173">
        <f>IF(C73="","",COUNTIFS(Başvuru!$C:$C,C73,Başvuru!$L:$L,"DÜZELTME",Başvuru!$A:$A,"&lt;&gt;"&amp;"",Başvuru!$F:$F,"&lt;&gt;"&amp;""))</f>
        <v>1</v>
      </c>
      <c r="L73" s="174">
        <f>IF(C73="","",COUNTIFS(Başvuru!$C:$C,C73,Başvuru!$L:$L,"KAEK",Başvuru!$A:$A,"&lt;&gt;"&amp;"",Başvuru!$F:$F,"&lt;&gt;"&amp;""))</f>
        <v>0</v>
      </c>
      <c r="M73" s="175">
        <f>IF(C73="","",COUNTIFS(Başvuru!$C:$C,C73,Başvuru!$L:$L,"GÖRÜŞ",Başvuru!$A:$A,"&lt;&gt;"&amp;"",Başvuru!$F:$F,"&lt;&gt;"&amp;""))</f>
        <v>1</v>
      </c>
      <c r="N73" s="176">
        <f>IF(C73="","",COUNTIFS(Başvuru!$C:$C,C73,Başvuru!$L:$L,"RET",Başvuru!$A:$A,"&lt;&gt;"&amp;"",Başvuru!$F:$F,"&lt;&gt;"&amp;""))</f>
        <v>0</v>
      </c>
      <c r="O73" s="177">
        <f>IF(C73="","",COUNTIFS(Başvuru!$C:$C,C73,Başvuru!$L:$L,"KAPSAM DIŞI",Başvuru!$A:$A,"&lt;&gt;"&amp;"",Başvuru!$F:$F,"&lt;&gt;"&amp;""))</f>
        <v>0</v>
      </c>
      <c r="P73" s="178">
        <f>IF(C73="","",COUNTIFS(Başvuru!$C:$C,C73,Başvuru!$L:$L,"GERİ ÇEKİLDİ",Başvuru!$A:$A,"&lt;&gt;"&amp;"",Başvuru!$F:$F,"&lt;&gt;"&amp;""))</f>
        <v>0</v>
      </c>
      <c r="Q73" s="166" t="s">
        <v>1695</v>
      </c>
      <c r="R73" s="167">
        <f>COUNTIFS(Başvuru!$C:$C,Q73,Başvuru!$A:$A,"&lt;&gt;"&amp;"",Başvuru!$F:$F,"&lt;&gt;"&amp;"")</f>
        <v>2</v>
      </c>
      <c r="S73" s="167">
        <f>RANK(R73,$R$6:$R$324,0)+COUNTIF($R$6:R73,R73)-1</f>
        <v>91</v>
      </c>
    </row>
    <row r="74" spans="2:19" ht="15" customHeight="1" x14ac:dyDescent="0.25">
      <c r="B74" s="155">
        <v>69</v>
      </c>
      <c r="C74" s="156" t="str">
        <f>IFERROR(INDEX($Q$6:$Q$324,MATCH(69,$S$6:$S$324,0)),"")</f>
        <v>Doç. Dr. Melike OCAK</v>
      </c>
      <c r="D74" s="157">
        <f>IF(C74="","",COUNTIFS(Başvuru!$C:$C,C74,Başvuru!$A:$A,"&lt;&gt;"&amp;"",Başvuru!$F:$F,"&lt;&gt;"&amp;""))</f>
        <v>3</v>
      </c>
      <c r="E74" s="155" t="str">
        <f>IF(C74="","-",IF(D74&gt;0,TEXT(D74/(COUNTIFS(Başvuru!$A:$A,"&lt;&gt;",Başvuru!$F:$F,"&lt;&gt;")-1)*100,"0.0")&amp;"%","-"))</f>
        <v>00%</v>
      </c>
      <c r="F74" s="158">
        <f>IF(C74="","",COUNTIFS(Başvuru!$C:$C,C74,Başvuru!$G:$G,"Bireysel Araştırma",Başvuru!$A:$A,"&lt;&gt;"&amp;"",Başvuru!$F:$F,"&lt;&gt;"&amp;""))</f>
        <v>3</v>
      </c>
      <c r="G74" s="158">
        <f>IF(C74="","",COUNTIFS(Başvuru!$C:$C,C74,Başvuru!$G:$G,"Uzmanlık Tezi",Başvuru!$A:$A,"&lt;&gt;"&amp;"",Başvuru!$F:$F,"&lt;&gt;"&amp;""))</f>
        <v>0</v>
      </c>
      <c r="H74" s="158">
        <f>IF(C74="","",COUNTIFS(Başvuru!$C:$C,C74,Başvuru!$G:$G,"Doktora Tezi",Başvuru!$A:$A,"&lt;&gt;"&amp;"",Başvuru!$F:$F,"&lt;&gt;"&amp;""))</f>
        <v>0</v>
      </c>
      <c r="I74" s="158">
        <f>IF(C74="","",COUNTIFS(Başvuru!$C:$C,C74,Başvuru!$G:$G,"Yüksek Lisans Tezi",Başvuru!$A:$A,"&lt;&gt;"&amp;"",Başvuru!$F:$F,"&lt;&gt;"&amp;""))</f>
        <v>0</v>
      </c>
      <c r="J74" s="159">
        <f>IF(C74="","",COUNTIFS(Başvuru!$C:$C,C74,Başvuru!$L:$L,"ONAY",Başvuru!$A:$A,"&lt;&gt;"&amp;"",Başvuru!$F:$F,"&lt;&gt;"&amp;""))</f>
        <v>2</v>
      </c>
      <c r="K74" s="160">
        <f>IF(C74="","",COUNTIFS(Başvuru!$C:$C,C74,Başvuru!$L:$L,"DÜZELTME",Başvuru!$A:$A,"&lt;&gt;"&amp;"",Başvuru!$F:$F,"&lt;&gt;"&amp;""))</f>
        <v>1</v>
      </c>
      <c r="L74" s="161">
        <f>IF(C74="","",COUNTIFS(Başvuru!$C:$C,C74,Başvuru!$L:$L,"KAEK",Başvuru!$A:$A,"&lt;&gt;"&amp;"",Başvuru!$F:$F,"&lt;&gt;"&amp;""))</f>
        <v>0</v>
      </c>
      <c r="M74" s="162">
        <f>IF(C74="","",COUNTIFS(Başvuru!$C:$C,C74,Başvuru!$L:$L,"GÖRÜŞ",Başvuru!$A:$A,"&lt;&gt;"&amp;"",Başvuru!$F:$F,"&lt;&gt;"&amp;""))</f>
        <v>0</v>
      </c>
      <c r="N74" s="163">
        <f>IF(C74="","",COUNTIFS(Başvuru!$C:$C,C74,Başvuru!$L:$L,"RET",Başvuru!$A:$A,"&lt;&gt;"&amp;"",Başvuru!$F:$F,"&lt;&gt;"&amp;""))</f>
        <v>0</v>
      </c>
      <c r="O74" s="164">
        <f>IF(C74="","",COUNTIFS(Başvuru!$C:$C,C74,Başvuru!$L:$L,"KAPSAM DIŞI",Başvuru!$A:$A,"&lt;&gt;"&amp;"",Başvuru!$F:$F,"&lt;&gt;"&amp;""))</f>
        <v>0</v>
      </c>
      <c r="P74" s="165">
        <f>IF(C74="","",COUNTIFS(Başvuru!$C:$C,C74,Başvuru!$L:$L,"GERİ ÇEKİLDİ",Başvuru!$A:$A,"&lt;&gt;"&amp;"",Başvuru!$F:$F,"&lt;&gt;"&amp;""))</f>
        <v>0</v>
      </c>
      <c r="Q74" s="166" t="s">
        <v>1564</v>
      </c>
      <c r="R74" s="167">
        <f>COUNTIFS(Başvuru!$C:$C,Q74,Başvuru!$A:$A,"&lt;&gt;"&amp;"",Başvuru!$F:$F,"&lt;&gt;"&amp;"")</f>
        <v>2</v>
      </c>
      <c r="S74" s="167">
        <f>RANK(R74,$R$6:$R$324,0)+COUNTIF($R$6:R74,R74)-1</f>
        <v>92</v>
      </c>
    </row>
    <row r="75" spans="2:19" ht="15" customHeight="1" x14ac:dyDescent="0.25">
      <c r="B75" s="168">
        <v>70</v>
      </c>
      <c r="C75" s="169" t="str">
        <f>IFERROR(INDEX($Q$6:$Q$324,MATCH(70,$S$6:$S$324,0)),"")</f>
        <v>Prof. Dr. Selin AYTAÇ EYÜPOĞLU</v>
      </c>
      <c r="D75" s="170">
        <f>IF(C75="","",COUNTIFS(Başvuru!$C:$C,C75,Başvuru!$A:$A,"&lt;&gt;"&amp;"",Başvuru!$F:$F,"&lt;&gt;"&amp;""))</f>
        <v>3</v>
      </c>
      <c r="E75" s="168" t="str">
        <f>IF(C75="","-",IF(D75&gt;0,TEXT(D75/(COUNTIFS(Başvuru!$A:$A,"&lt;&gt;",Başvuru!$F:$F,"&lt;&gt;")-1)*100,"0.0")&amp;"%","-"))</f>
        <v>00%</v>
      </c>
      <c r="F75" s="171">
        <f>IF(C75="","",COUNTIFS(Başvuru!$C:$C,C75,Başvuru!$G:$G,"Bireysel Araştırma",Başvuru!$A:$A,"&lt;&gt;"&amp;"",Başvuru!$F:$F,"&lt;&gt;"&amp;""))</f>
        <v>3</v>
      </c>
      <c r="G75" s="171">
        <f>IF(C75="","",COUNTIFS(Başvuru!$C:$C,C75,Başvuru!$G:$G,"Uzmanlık Tezi",Başvuru!$A:$A,"&lt;&gt;"&amp;"",Başvuru!$F:$F,"&lt;&gt;"&amp;""))</f>
        <v>0</v>
      </c>
      <c r="H75" s="171">
        <f>IF(C75="","",COUNTIFS(Başvuru!$C:$C,C75,Başvuru!$G:$G,"Doktora Tezi",Başvuru!$A:$A,"&lt;&gt;"&amp;"",Başvuru!$F:$F,"&lt;&gt;"&amp;""))</f>
        <v>0</v>
      </c>
      <c r="I75" s="171">
        <f>IF(C75="","",COUNTIFS(Başvuru!$C:$C,C75,Başvuru!$G:$G,"Yüksek Lisans Tezi",Başvuru!$A:$A,"&lt;&gt;"&amp;"",Başvuru!$F:$F,"&lt;&gt;"&amp;""))</f>
        <v>0</v>
      </c>
      <c r="J75" s="172">
        <f>IF(C75="","",COUNTIFS(Başvuru!$C:$C,C75,Başvuru!$L:$L,"ONAY",Başvuru!$A:$A,"&lt;&gt;"&amp;"",Başvuru!$F:$F,"&lt;&gt;"&amp;""))</f>
        <v>2</v>
      </c>
      <c r="K75" s="173">
        <f>IF(C75="","",COUNTIFS(Başvuru!$C:$C,C75,Başvuru!$L:$L,"DÜZELTME",Başvuru!$A:$A,"&lt;&gt;"&amp;"",Başvuru!$F:$F,"&lt;&gt;"&amp;""))</f>
        <v>1</v>
      </c>
      <c r="L75" s="174">
        <f>IF(C75="","",COUNTIFS(Başvuru!$C:$C,C75,Başvuru!$L:$L,"KAEK",Başvuru!$A:$A,"&lt;&gt;"&amp;"",Başvuru!$F:$F,"&lt;&gt;"&amp;""))</f>
        <v>0</v>
      </c>
      <c r="M75" s="175">
        <f>IF(C75="","",COUNTIFS(Başvuru!$C:$C,C75,Başvuru!$L:$L,"GÖRÜŞ",Başvuru!$A:$A,"&lt;&gt;"&amp;"",Başvuru!$F:$F,"&lt;&gt;"&amp;""))</f>
        <v>0</v>
      </c>
      <c r="N75" s="176">
        <f>IF(C75="","",COUNTIFS(Başvuru!$C:$C,C75,Başvuru!$L:$L,"RET",Başvuru!$A:$A,"&lt;&gt;"&amp;"",Başvuru!$F:$F,"&lt;&gt;"&amp;""))</f>
        <v>0</v>
      </c>
      <c r="O75" s="177">
        <f>IF(C75="","",COUNTIFS(Başvuru!$C:$C,C75,Başvuru!$L:$L,"KAPSAM DIŞI",Başvuru!$A:$A,"&lt;&gt;"&amp;"",Başvuru!$F:$F,"&lt;&gt;"&amp;""))</f>
        <v>0</v>
      </c>
      <c r="P75" s="178">
        <f>IF(C75="","",COUNTIFS(Başvuru!$C:$C,C75,Başvuru!$L:$L,"GERİ ÇEKİLDİ",Başvuru!$A:$A,"&lt;&gt;"&amp;"",Başvuru!$F:$F,"&lt;&gt;"&amp;""))</f>
        <v>0</v>
      </c>
      <c r="Q75" s="166" t="s">
        <v>1957</v>
      </c>
      <c r="R75" s="167">
        <f>COUNTIFS(Başvuru!$C:$C,Q75,Başvuru!$A:$A,"&lt;&gt;"&amp;"",Başvuru!$F:$F,"&lt;&gt;"&amp;"")</f>
        <v>1</v>
      </c>
      <c r="S75" s="167">
        <f>RANK(R75,$R$6:$R$324,0)+COUNTIF($R$6:R75,R75)-1</f>
        <v>171</v>
      </c>
    </row>
    <row r="76" spans="2:19" ht="15" customHeight="1" x14ac:dyDescent="0.25">
      <c r="B76" s="155">
        <v>71</v>
      </c>
      <c r="C76" s="156" t="str">
        <f>IFERROR(INDEX($Q$6:$Q$324,MATCH(71,$S$6:$S$324,0)),"")</f>
        <v>Arş. Gör. Dr. Eymen YILMAZ</v>
      </c>
      <c r="D76" s="157">
        <f>IF(C76="","",COUNTIFS(Başvuru!$C:$C,C76,Başvuru!$A:$A,"&lt;&gt;"&amp;"",Başvuru!$F:$F,"&lt;&gt;"&amp;""))</f>
        <v>2</v>
      </c>
      <c r="E76" s="155" t="str">
        <f>IF(C76="","-",IF(D76&gt;0,TEXT(D76/(COUNTIFS(Başvuru!$A:$A,"&lt;&gt;",Başvuru!$F:$F,"&lt;&gt;")-1)*100,"0.0")&amp;"%","-"))</f>
        <v>00%</v>
      </c>
      <c r="F76" s="158">
        <f>IF(C76="","",COUNTIFS(Başvuru!$C:$C,C76,Başvuru!$G:$G,"Bireysel Araştırma",Başvuru!$A:$A,"&lt;&gt;"&amp;"",Başvuru!$F:$F,"&lt;&gt;"&amp;""))</f>
        <v>2</v>
      </c>
      <c r="G76" s="158">
        <f>IF(C76="","",COUNTIFS(Başvuru!$C:$C,C76,Başvuru!$G:$G,"Uzmanlık Tezi",Başvuru!$A:$A,"&lt;&gt;"&amp;"",Başvuru!$F:$F,"&lt;&gt;"&amp;""))</f>
        <v>0</v>
      </c>
      <c r="H76" s="158">
        <f>IF(C76="","",COUNTIFS(Başvuru!$C:$C,C76,Başvuru!$G:$G,"Doktora Tezi",Başvuru!$A:$A,"&lt;&gt;"&amp;"",Başvuru!$F:$F,"&lt;&gt;"&amp;""))</f>
        <v>0</v>
      </c>
      <c r="I76" s="158">
        <f>IF(C76="","",COUNTIFS(Başvuru!$C:$C,C76,Başvuru!$G:$G,"Yüksek Lisans Tezi",Başvuru!$A:$A,"&lt;&gt;"&amp;"",Başvuru!$F:$F,"&lt;&gt;"&amp;""))</f>
        <v>0</v>
      </c>
      <c r="J76" s="159">
        <f>IF(C76="","",COUNTIFS(Başvuru!$C:$C,C76,Başvuru!$L:$L,"ONAY",Başvuru!$A:$A,"&lt;&gt;"&amp;"",Başvuru!$F:$F,"&lt;&gt;"&amp;""))</f>
        <v>2</v>
      </c>
      <c r="K76" s="160">
        <f>IF(C76="","",COUNTIFS(Başvuru!$C:$C,C76,Başvuru!$L:$L,"DÜZELTME",Başvuru!$A:$A,"&lt;&gt;"&amp;"",Başvuru!$F:$F,"&lt;&gt;"&amp;""))</f>
        <v>0</v>
      </c>
      <c r="L76" s="161">
        <f>IF(C76="","",COUNTIFS(Başvuru!$C:$C,C76,Başvuru!$L:$L,"KAEK",Başvuru!$A:$A,"&lt;&gt;"&amp;"",Başvuru!$F:$F,"&lt;&gt;"&amp;""))</f>
        <v>0</v>
      </c>
      <c r="M76" s="162">
        <f>IF(C76="","",COUNTIFS(Başvuru!$C:$C,C76,Başvuru!$L:$L,"GÖRÜŞ",Başvuru!$A:$A,"&lt;&gt;"&amp;"",Başvuru!$F:$F,"&lt;&gt;"&amp;""))</f>
        <v>0</v>
      </c>
      <c r="N76" s="163">
        <f>IF(C76="","",COUNTIFS(Başvuru!$C:$C,C76,Başvuru!$L:$L,"RET",Başvuru!$A:$A,"&lt;&gt;"&amp;"",Başvuru!$F:$F,"&lt;&gt;"&amp;""))</f>
        <v>0</v>
      </c>
      <c r="O76" s="164">
        <f>IF(C76="","",COUNTIFS(Başvuru!$C:$C,C76,Başvuru!$L:$L,"KAPSAM DIŞI",Başvuru!$A:$A,"&lt;&gt;"&amp;"",Başvuru!$F:$F,"&lt;&gt;"&amp;""))</f>
        <v>0</v>
      </c>
      <c r="P76" s="165">
        <f>IF(C76="","",COUNTIFS(Başvuru!$C:$C,C76,Başvuru!$L:$L,"GERİ ÇEKİLDİ",Başvuru!$A:$A,"&lt;&gt;"&amp;"",Başvuru!$F:$F,"&lt;&gt;"&amp;""))</f>
        <v>0</v>
      </c>
      <c r="Q76" s="166" t="s">
        <v>333</v>
      </c>
      <c r="R76" s="167">
        <f>COUNTIFS(Başvuru!$C:$C,Q76,Başvuru!$A:$A,"&lt;&gt;"&amp;"",Başvuru!$F:$F,"&lt;&gt;"&amp;"")</f>
        <v>2</v>
      </c>
      <c r="S76" s="167">
        <f>RANK(R76,$R$6:$R$324,0)+COUNTIF($R$6:R76,R76)-1</f>
        <v>93</v>
      </c>
    </row>
    <row r="77" spans="2:19" ht="15" customHeight="1" x14ac:dyDescent="0.25">
      <c r="B77" s="168">
        <v>72</v>
      </c>
      <c r="C77" s="169" t="str">
        <f>IFERROR(INDEX($Q$6:$Q$324,MATCH(72,$S$6:$S$324,0)),"")</f>
        <v>Arş. Gör. Dr. Sebiha Şükran GÜNDEŞLİ</v>
      </c>
      <c r="D77" s="170">
        <f>IF(C77="","",COUNTIFS(Başvuru!$C:$C,C77,Başvuru!$A:$A,"&lt;&gt;"&amp;"",Başvuru!$F:$F,"&lt;&gt;"&amp;""))</f>
        <v>2</v>
      </c>
      <c r="E77" s="168" t="str">
        <f>IF(C77="","-",IF(D77&gt;0,TEXT(D77/(COUNTIFS(Başvuru!$A:$A,"&lt;&gt;",Başvuru!$F:$F,"&lt;&gt;")-1)*100,"0.0")&amp;"%","-"))</f>
        <v>00%</v>
      </c>
      <c r="F77" s="171">
        <f>IF(C77="","",COUNTIFS(Başvuru!$C:$C,C77,Başvuru!$G:$G,"Bireysel Araştırma",Başvuru!$A:$A,"&lt;&gt;"&amp;"",Başvuru!$F:$F,"&lt;&gt;"&amp;""))</f>
        <v>2</v>
      </c>
      <c r="G77" s="171">
        <f>IF(C77="","",COUNTIFS(Başvuru!$C:$C,C77,Başvuru!$G:$G,"Uzmanlık Tezi",Başvuru!$A:$A,"&lt;&gt;"&amp;"",Başvuru!$F:$F,"&lt;&gt;"&amp;""))</f>
        <v>0</v>
      </c>
      <c r="H77" s="171">
        <f>IF(C77="","",COUNTIFS(Başvuru!$C:$C,C77,Başvuru!$G:$G,"Doktora Tezi",Başvuru!$A:$A,"&lt;&gt;"&amp;"",Başvuru!$F:$F,"&lt;&gt;"&amp;""))</f>
        <v>0</v>
      </c>
      <c r="I77" s="171">
        <f>IF(C77="","",COUNTIFS(Başvuru!$C:$C,C77,Başvuru!$G:$G,"Yüksek Lisans Tezi",Başvuru!$A:$A,"&lt;&gt;"&amp;"",Başvuru!$F:$F,"&lt;&gt;"&amp;""))</f>
        <v>0</v>
      </c>
      <c r="J77" s="172">
        <f>IF(C77="","",COUNTIFS(Başvuru!$C:$C,C77,Başvuru!$L:$L,"ONAY",Başvuru!$A:$A,"&lt;&gt;"&amp;"",Başvuru!$F:$F,"&lt;&gt;"&amp;""))</f>
        <v>1</v>
      </c>
      <c r="K77" s="173">
        <f>IF(C77="","",COUNTIFS(Başvuru!$C:$C,C77,Başvuru!$L:$L,"DÜZELTME",Başvuru!$A:$A,"&lt;&gt;"&amp;"",Başvuru!$F:$F,"&lt;&gt;"&amp;""))</f>
        <v>1</v>
      </c>
      <c r="L77" s="174">
        <f>IF(C77="","",COUNTIFS(Başvuru!$C:$C,C77,Başvuru!$L:$L,"KAEK",Başvuru!$A:$A,"&lt;&gt;"&amp;"",Başvuru!$F:$F,"&lt;&gt;"&amp;""))</f>
        <v>0</v>
      </c>
      <c r="M77" s="175">
        <f>IF(C77="","",COUNTIFS(Başvuru!$C:$C,C77,Başvuru!$L:$L,"GÖRÜŞ",Başvuru!$A:$A,"&lt;&gt;"&amp;"",Başvuru!$F:$F,"&lt;&gt;"&amp;""))</f>
        <v>0</v>
      </c>
      <c r="N77" s="176">
        <f>IF(C77="","",COUNTIFS(Başvuru!$C:$C,C77,Başvuru!$L:$L,"RET",Başvuru!$A:$A,"&lt;&gt;"&amp;"",Başvuru!$F:$F,"&lt;&gt;"&amp;""))</f>
        <v>0</v>
      </c>
      <c r="O77" s="177">
        <f>IF(C77="","",COUNTIFS(Başvuru!$C:$C,C77,Başvuru!$L:$L,"KAPSAM DIŞI",Başvuru!$A:$A,"&lt;&gt;"&amp;"",Başvuru!$F:$F,"&lt;&gt;"&amp;""))</f>
        <v>0</v>
      </c>
      <c r="P77" s="178">
        <f>IF(C77="","",COUNTIFS(Başvuru!$C:$C,C77,Başvuru!$L:$L,"GERİ ÇEKİLDİ",Başvuru!$A:$A,"&lt;&gt;"&amp;"",Başvuru!$F:$F,"&lt;&gt;"&amp;""))</f>
        <v>0</v>
      </c>
      <c r="Q77" s="166" t="s">
        <v>817</v>
      </c>
      <c r="R77" s="167">
        <f>COUNTIFS(Başvuru!$C:$C,Q77,Başvuru!$A:$A,"&lt;&gt;"&amp;"",Başvuru!$F:$F,"&lt;&gt;"&amp;"")</f>
        <v>1</v>
      </c>
      <c r="S77" s="167">
        <f>RANK(R77,$R$6:$R$324,0)+COUNTIF($R$6:R77,R77)-1</f>
        <v>172</v>
      </c>
    </row>
    <row r="78" spans="2:19" ht="15" customHeight="1" x14ac:dyDescent="0.25">
      <c r="B78" s="155">
        <v>73</v>
      </c>
      <c r="C78" s="156" t="str">
        <f>IFERROR(INDEX($Q$6:$Q$324,MATCH(73,$S$6:$S$324,0)),"")</f>
        <v>Arş. Gör. Dr. Şükran BAYRAK</v>
      </c>
      <c r="D78" s="157">
        <f>IF(C78="","",COUNTIFS(Başvuru!$C:$C,C78,Başvuru!$A:$A,"&lt;&gt;"&amp;"",Başvuru!$F:$F,"&lt;&gt;"&amp;""))</f>
        <v>2</v>
      </c>
      <c r="E78" s="155" t="str">
        <f>IF(C78="","-",IF(D78&gt;0,TEXT(D78/(COUNTIFS(Başvuru!$A:$A,"&lt;&gt;",Başvuru!$F:$F,"&lt;&gt;")-1)*100,"0.0")&amp;"%","-"))</f>
        <v>00%</v>
      </c>
      <c r="F78" s="158">
        <f>IF(C78="","",COUNTIFS(Başvuru!$C:$C,C78,Başvuru!$G:$G,"Bireysel Araştırma",Başvuru!$A:$A,"&lt;&gt;"&amp;"",Başvuru!$F:$F,"&lt;&gt;"&amp;""))</f>
        <v>2</v>
      </c>
      <c r="G78" s="158">
        <f>IF(C78="","",COUNTIFS(Başvuru!$C:$C,C78,Başvuru!$G:$G,"Uzmanlık Tezi",Başvuru!$A:$A,"&lt;&gt;"&amp;"",Başvuru!$F:$F,"&lt;&gt;"&amp;""))</f>
        <v>0</v>
      </c>
      <c r="H78" s="158">
        <f>IF(C78="","",COUNTIFS(Başvuru!$C:$C,C78,Başvuru!$G:$G,"Doktora Tezi",Başvuru!$A:$A,"&lt;&gt;"&amp;"",Başvuru!$F:$F,"&lt;&gt;"&amp;""))</f>
        <v>0</v>
      </c>
      <c r="I78" s="158">
        <f>IF(C78="","",COUNTIFS(Başvuru!$C:$C,C78,Başvuru!$G:$G,"Yüksek Lisans Tezi",Başvuru!$A:$A,"&lt;&gt;"&amp;"",Başvuru!$F:$F,"&lt;&gt;"&amp;""))</f>
        <v>0</v>
      </c>
      <c r="J78" s="159">
        <f>IF(C78="","",COUNTIFS(Başvuru!$C:$C,C78,Başvuru!$L:$L,"ONAY",Başvuru!$A:$A,"&lt;&gt;"&amp;"",Başvuru!$F:$F,"&lt;&gt;"&amp;""))</f>
        <v>1</v>
      </c>
      <c r="K78" s="160">
        <f>IF(C78="","",COUNTIFS(Başvuru!$C:$C,C78,Başvuru!$L:$L,"DÜZELTME",Başvuru!$A:$A,"&lt;&gt;"&amp;"",Başvuru!$F:$F,"&lt;&gt;"&amp;""))</f>
        <v>1</v>
      </c>
      <c r="L78" s="161">
        <f>IF(C78="","",COUNTIFS(Başvuru!$C:$C,C78,Başvuru!$L:$L,"KAEK",Başvuru!$A:$A,"&lt;&gt;"&amp;"",Başvuru!$F:$F,"&lt;&gt;"&amp;""))</f>
        <v>0</v>
      </c>
      <c r="M78" s="162">
        <f>IF(C78="","",COUNTIFS(Başvuru!$C:$C,C78,Başvuru!$L:$L,"GÖRÜŞ",Başvuru!$A:$A,"&lt;&gt;"&amp;"",Başvuru!$F:$F,"&lt;&gt;"&amp;""))</f>
        <v>0</v>
      </c>
      <c r="N78" s="163">
        <f>IF(C78="","",COUNTIFS(Başvuru!$C:$C,C78,Başvuru!$L:$L,"RET",Başvuru!$A:$A,"&lt;&gt;"&amp;"",Başvuru!$F:$F,"&lt;&gt;"&amp;""))</f>
        <v>0</v>
      </c>
      <c r="O78" s="164">
        <f>IF(C78="","",COUNTIFS(Başvuru!$C:$C,C78,Başvuru!$L:$L,"KAPSAM DIŞI",Başvuru!$A:$A,"&lt;&gt;"&amp;"",Başvuru!$F:$F,"&lt;&gt;"&amp;""))</f>
        <v>0</v>
      </c>
      <c r="P78" s="165">
        <f>IF(C78="","",COUNTIFS(Başvuru!$C:$C,C78,Başvuru!$L:$L,"GERİ ÇEKİLDİ",Başvuru!$A:$A,"&lt;&gt;"&amp;"",Başvuru!$F:$F,"&lt;&gt;"&amp;""))</f>
        <v>0</v>
      </c>
      <c r="Q78" s="166" t="s">
        <v>717</v>
      </c>
      <c r="R78" s="167">
        <f>COUNTIFS(Başvuru!$C:$C,Q78,Başvuru!$A:$A,"&lt;&gt;"&amp;"",Başvuru!$F:$F,"&lt;&gt;"&amp;"")</f>
        <v>1</v>
      </c>
      <c r="S78" s="167">
        <f>RANK(R78,$R$6:$R$324,0)+COUNTIF($R$6:R78,R78)-1</f>
        <v>173</v>
      </c>
    </row>
    <row r="79" spans="2:19" ht="15" customHeight="1" x14ac:dyDescent="0.25">
      <c r="B79" s="168">
        <v>74</v>
      </c>
      <c r="C79" s="169" t="str">
        <f>IFERROR(INDEX($Q$6:$Q$324,MATCH(74,$S$6:$S$324,0)),"")</f>
        <v>Doç. Dr. Adalet Elçin YILDIZ</v>
      </c>
      <c r="D79" s="170">
        <f>IF(C79="","",COUNTIFS(Başvuru!$C:$C,C79,Başvuru!$A:$A,"&lt;&gt;"&amp;"",Başvuru!$F:$F,"&lt;&gt;"&amp;""))</f>
        <v>2</v>
      </c>
      <c r="E79" s="168" t="str">
        <f>IF(C79="","-",IF(D79&gt;0,TEXT(D79/(COUNTIFS(Başvuru!$A:$A,"&lt;&gt;",Başvuru!$F:$F,"&lt;&gt;")-1)*100,"0.0")&amp;"%","-"))</f>
        <v>00%</v>
      </c>
      <c r="F79" s="171">
        <f>IF(C79="","",COUNTIFS(Başvuru!$C:$C,C79,Başvuru!$G:$G,"Bireysel Araştırma",Başvuru!$A:$A,"&lt;&gt;"&amp;"",Başvuru!$F:$F,"&lt;&gt;"&amp;""))</f>
        <v>1</v>
      </c>
      <c r="G79" s="171">
        <f>IF(C79="","",COUNTIFS(Başvuru!$C:$C,C79,Başvuru!$G:$G,"Uzmanlık Tezi",Başvuru!$A:$A,"&lt;&gt;"&amp;"",Başvuru!$F:$F,"&lt;&gt;"&amp;""))</f>
        <v>1</v>
      </c>
      <c r="H79" s="171">
        <f>IF(C79="","",COUNTIFS(Başvuru!$C:$C,C79,Başvuru!$G:$G,"Doktora Tezi",Başvuru!$A:$A,"&lt;&gt;"&amp;"",Başvuru!$F:$F,"&lt;&gt;"&amp;""))</f>
        <v>0</v>
      </c>
      <c r="I79" s="171">
        <f>IF(C79="","",COUNTIFS(Başvuru!$C:$C,C79,Başvuru!$G:$G,"Yüksek Lisans Tezi",Başvuru!$A:$A,"&lt;&gt;"&amp;"",Başvuru!$F:$F,"&lt;&gt;"&amp;""))</f>
        <v>0</v>
      </c>
      <c r="J79" s="172">
        <f>IF(C79="","",COUNTIFS(Başvuru!$C:$C,C79,Başvuru!$L:$L,"ONAY",Başvuru!$A:$A,"&lt;&gt;"&amp;"",Başvuru!$F:$F,"&lt;&gt;"&amp;""))</f>
        <v>0</v>
      </c>
      <c r="K79" s="173">
        <f>IF(C79="","",COUNTIFS(Başvuru!$C:$C,C79,Başvuru!$L:$L,"DÜZELTME",Başvuru!$A:$A,"&lt;&gt;"&amp;"",Başvuru!$F:$F,"&lt;&gt;"&amp;""))</f>
        <v>2</v>
      </c>
      <c r="L79" s="174">
        <f>IF(C79="","",COUNTIFS(Başvuru!$C:$C,C79,Başvuru!$L:$L,"KAEK",Başvuru!$A:$A,"&lt;&gt;"&amp;"",Başvuru!$F:$F,"&lt;&gt;"&amp;""))</f>
        <v>0</v>
      </c>
      <c r="M79" s="175">
        <f>IF(C79="","",COUNTIFS(Başvuru!$C:$C,C79,Başvuru!$L:$L,"GÖRÜŞ",Başvuru!$A:$A,"&lt;&gt;"&amp;"",Başvuru!$F:$F,"&lt;&gt;"&amp;""))</f>
        <v>0</v>
      </c>
      <c r="N79" s="176">
        <f>IF(C79="","",COUNTIFS(Başvuru!$C:$C,C79,Başvuru!$L:$L,"RET",Başvuru!$A:$A,"&lt;&gt;"&amp;"",Başvuru!$F:$F,"&lt;&gt;"&amp;""))</f>
        <v>0</v>
      </c>
      <c r="O79" s="177">
        <f>IF(C79="","",COUNTIFS(Başvuru!$C:$C,C79,Başvuru!$L:$L,"KAPSAM DIŞI",Başvuru!$A:$A,"&lt;&gt;"&amp;"",Başvuru!$F:$F,"&lt;&gt;"&amp;""))</f>
        <v>0</v>
      </c>
      <c r="P79" s="178">
        <f>IF(C79="","",COUNTIFS(Başvuru!$C:$C,C79,Başvuru!$L:$L,"GERİ ÇEKİLDİ",Başvuru!$A:$A,"&lt;&gt;"&amp;"",Başvuru!$F:$F,"&lt;&gt;"&amp;""))</f>
        <v>0</v>
      </c>
      <c r="Q79" s="166" t="s">
        <v>1217</v>
      </c>
      <c r="R79" s="167">
        <f>COUNTIFS(Başvuru!$C:$C,Q79,Başvuru!$A:$A,"&lt;&gt;"&amp;"",Başvuru!$F:$F,"&lt;&gt;"&amp;"")</f>
        <v>1</v>
      </c>
      <c r="S79" s="167">
        <f>RANK(R79,$R$6:$R$324,0)+COUNTIF($R$6:R79,R79)-1</f>
        <v>174</v>
      </c>
    </row>
    <row r="80" spans="2:19" ht="15" customHeight="1" x14ac:dyDescent="0.25">
      <c r="B80" s="155">
        <v>75</v>
      </c>
      <c r="C80" s="156" t="str">
        <f>IFERROR(INDEX($Q$6:$Q$324,MATCH(75,$S$6:$S$324,0)),"")</f>
        <v>Doç. Dr. Aslıhan AYKARA</v>
      </c>
      <c r="D80" s="157">
        <f>IF(C80="","",COUNTIFS(Başvuru!$C:$C,C80,Başvuru!$A:$A,"&lt;&gt;"&amp;"",Başvuru!$F:$F,"&lt;&gt;"&amp;""))</f>
        <v>2</v>
      </c>
      <c r="E80" s="155" t="str">
        <f>IF(C80="","-",IF(D80&gt;0,TEXT(D80/(COUNTIFS(Başvuru!$A:$A,"&lt;&gt;",Başvuru!$F:$F,"&lt;&gt;")-1)*100,"0.0")&amp;"%","-"))</f>
        <v>00%</v>
      </c>
      <c r="F80" s="158">
        <f>IF(C80="","",COUNTIFS(Başvuru!$C:$C,C80,Başvuru!$G:$G,"Bireysel Araştırma",Başvuru!$A:$A,"&lt;&gt;"&amp;"",Başvuru!$F:$F,"&lt;&gt;"&amp;""))</f>
        <v>0</v>
      </c>
      <c r="G80" s="158">
        <f>IF(C80="","",COUNTIFS(Başvuru!$C:$C,C80,Başvuru!$G:$G,"Uzmanlık Tezi",Başvuru!$A:$A,"&lt;&gt;"&amp;"",Başvuru!$F:$F,"&lt;&gt;"&amp;""))</f>
        <v>0</v>
      </c>
      <c r="H80" s="158">
        <f>IF(C80="","",COUNTIFS(Başvuru!$C:$C,C80,Başvuru!$G:$G,"Doktora Tezi",Başvuru!$A:$A,"&lt;&gt;"&amp;"",Başvuru!$F:$F,"&lt;&gt;"&amp;""))</f>
        <v>2</v>
      </c>
      <c r="I80" s="158">
        <f>IF(C80="","",COUNTIFS(Başvuru!$C:$C,C80,Başvuru!$G:$G,"Yüksek Lisans Tezi",Başvuru!$A:$A,"&lt;&gt;"&amp;"",Başvuru!$F:$F,"&lt;&gt;"&amp;""))</f>
        <v>0</v>
      </c>
      <c r="J80" s="159">
        <f>IF(C80="","",COUNTIFS(Başvuru!$C:$C,C80,Başvuru!$L:$L,"ONAY",Başvuru!$A:$A,"&lt;&gt;"&amp;"",Başvuru!$F:$F,"&lt;&gt;"&amp;""))</f>
        <v>2</v>
      </c>
      <c r="K80" s="160">
        <f>IF(C80="","",COUNTIFS(Başvuru!$C:$C,C80,Başvuru!$L:$L,"DÜZELTME",Başvuru!$A:$A,"&lt;&gt;"&amp;"",Başvuru!$F:$F,"&lt;&gt;"&amp;""))</f>
        <v>0</v>
      </c>
      <c r="L80" s="161">
        <f>IF(C80="","",COUNTIFS(Başvuru!$C:$C,C80,Başvuru!$L:$L,"KAEK",Başvuru!$A:$A,"&lt;&gt;"&amp;"",Başvuru!$F:$F,"&lt;&gt;"&amp;""))</f>
        <v>0</v>
      </c>
      <c r="M80" s="162">
        <f>IF(C80="","",COUNTIFS(Başvuru!$C:$C,C80,Başvuru!$L:$L,"GÖRÜŞ",Başvuru!$A:$A,"&lt;&gt;"&amp;"",Başvuru!$F:$F,"&lt;&gt;"&amp;""))</f>
        <v>0</v>
      </c>
      <c r="N80" s="163">
        <f>IF(C80="","",COUNTIFS(Başvuru!$C:$C,C80,Başvuru!$L:$L,"RET",Başvuru!$A:$A,"&lt;&gt;"&amp;"",Başvuru!$F:$F,"&lt;&gt;"&amp;""))</f>
        <v>0</v>
      </c>
      <c r="O80" s="164">
        <f>IF(C80="","",COUNTIFS(Başvuru!$C:$C,C80,Başvuru!$L:$L,"KAPSAM DIŞI",Başvuru!$A:$A,"&lt;&gt;"&amp;"",Başvuru!$F:$F,"&lt;&gt;"&amp;""))</f>
        <v>0</v>
      </c>
      <c r="P80" s="165">
        <f>IF(C80="","",COUNTIFS(Başvuru!$C:$C,C80,Başvuru!$L:$L,"GERİ ÇEKİLDİ",Başvuru!$A:$A,"&lt;&gt;"&amp;"",Başvuru!$F:$F,"&lt;&gt;"&amp;""))</f>
        <v>0</v>
      </c>
      <c r="Q80" s="166" t="s">
        <v>2300</v>
      </c>
      <c r="R80" s="167">
        <f>COUNTIFS(Başvuru!$C:$C,Q80,Başvuru!$A:$A,"&lt;&gt;"&amp;"",Başvuru!$F:$F,"&lt;&gt;"&amp;"")</f>
        <v>1</v>
      </c>
      <c r="S80" s="167">
        <f>RANK(R80,$R$6:$R$324,0)+COUNTIF($R$6:R80,R80)-1</f>
        <v>175</v>
      </c>
    </row>
    <row r="81" spans="2:19" ht="15" customHeight="1" x14ac:dyDescent="0.25">
      <c r="B81" s="168">
        <v>76</v>
      </c>
      <c r="C81" s="169" t="str">
        <f>IFERROR(INDEX($Q$6:$Q$324,MATCH(76,$S$6:$S$324,0)),"")</f>
        <v>Doç. Dr. Barış SEZER</v>
      </c>
      <c r="D81" s="170">
        <f>IF(C81="","",COUNTIFS(Başvuru!$C:$C,C81,Başvuru!$A:$A,"&lt;&gt;"&amp;"",Başvuru!$F:$F,"&lt;&gt;"&amp;""))</f>
        <v>2</v>
      </c>
      <c r="E81" s="168" t="str">
        <f>IF(C81="","-",IF(D81&gt;0,TEXT(D81/(COUNTIFS(Başvuru!$A:$A,"&lt;&gt;",Başvuru!$F:$F,"&lt;&gt;")-1)*100,"0.0")&amp;"%","-"))</f>
        <v>00%</v>
      </c>
      <c r="F81" s="171">
        <f>IF(C81="","",COUNTIFS(Başvuru!$C:$C,C81,Başvuru!$G:$G,"Bireysel Araştırma",Başvuru!$A:$A,"&lt;&gt;"&amp;"",Başvuru!$F:$F,"&lt;&gt;"&amp;""))</f>
        <v>1</v>
      </c>
      <c r="G81" s="171">
        <f>IF(C81="","",COUNTIFS(Başvuru!$C:$C,C81,Başvuru!$G:$G,"Uzmanlık Tezi",Başvuru!$A:$A,"&lt;&gt;"&amp;"",Başvuru!$F:$F,"&lt;&gt;"&amp;""))</f>
        <v>0</v>
      </c>
      <c r="H81" s="171">
        <f>IF(C81="","",COUNTIFS(Başvuru!$C:$C,C81,Başvuru!$G:$G,"Doktora Tezi",Başvuru!$A:$A,"&lt;&gt;"&amp;"",Başvuru!$F:$F,"&lt;&gt;"&amp;""))</f>
        <v>1</v>
      </c>
      <c r="I81" s="171">
        <f>IF(C81="","",COUNTIFS(Başvuru!$C:$C,C81,Başvuru!$G:$G,"Yüksek Lisans Tezi",Başvuru!$A:$A,"&lt;&gt;"&amp;"",Başvuru!$F:$F,"&lt;&gt;"&amp;""))</f>
        <v>0</v>
      </c>
      <c r="J81" s="172">
        <f>IF(C81="","",COUNTIFS(Başvuru!$C:$C,C81,Başvuru!$L:$L,"ONAY",Başvuru!$A:$A,"&lt;&gt;"&amp;"",Başvuru!$F:$F,"&lt;&gt;"&amp;""))</f>
        <v>2</v>
      </c>
      <c r="K81" s="173">
        <f>IF(C81="","",COUNTIFS(Başvuru!$C:$C,C81,Başvuru!$L:$L,"DÜZELTME",Başvuru!$A:$A,"&lt;&gt;"&amp;"",Başvuru!$F:$F,"&lt;&gt;"&amp;""))</f>
        <v>0</v>
      </c>
      <c r="L81" s="174">
        <f>IF(C81="","",COUNTIFS(Başvuru!$C:$C,C81,Başvuru!$L:$L,"KAEK",Başvuru!$A:$A,"&lt;&gt;"&amp;"",Başvuru!$F:$F,"&lt;&gt;"&amp;""))</f>
        <v>0</v>
      </c>
      <c r="M81" s="175">
        <f>IF(C81="","",COUNTIFS(Başvuru!$C:$C,C81,Başvuru!$L:$L,"GÖRÜŞ",Başvuru!$A:$A,"&lt;&gt;"&amp;"",Başvuru!$F:$F,"&lt;&gt;"&amp;""))</f>
        <v>0</v>
      </c>
      <c r="N81" s="176">
        <f>IF(C81="","",COUNTIFS(Başvuru!$C:$C,C81,Başvuru!$L:$L,"RET",Başvuru!$A:$A,"&lt;&gt;"&amp;"",Başvuru!$F:$F,"&lt;&gt;"&amp;""))</f>
        <v>0</v>
      </c>
      <c r="O81" s="177">
        <f>IF(C81="","",COUNTIFS(Başvuru!$C:$C,C81,Başvuru!$L:$L,"KAPSAM DIŞI",Başvuru!$A:$A,"&lt;&gt;"&amp;"",Başvuru!$F:$F,"&lt;&gt;"&amp;""))</f>
        <v>0</v>
      </c>
      <c r="P81" s="178">
        <f>IF(C81="","",COUNTIFS(Başvuru!$C:$C,C81,Başvuru!$L:$L,"GERİ ÇEKİLDİ",Başvuru!$A:$A,"&lt;&gt;"&amp;"",Başvuru!$F:$F,"&lt;&gt;"&amp;""))</f>
        <v>0</v>
      </c>
      <c r="Q81" s="166" t="s">
        <v>742</v>
      </c>
      <c r="R81" s="167">
        <f>COUNTIFS(Başvuru!$C:$C,Q81,Başvuru!$A:$A,"&lt;&gt;"&amp;"",Başvuru!$F:$F,"&lt;&gt;"&amp;"")</f>
        <v>6</v>
      </c>
      <c r="S81" s="167">
        <f>RANK(R81,$R$6:$R$324,0)+COUNTIF($R$6:R81,R81)-1</f>
        <v>15</v>
      </c>
    </row>
    <row r="82" spans="2:19" ht="15" customHeight="1" x14ac:dyDescent="0.25">
      <c r="B82" s="155">
        <v>77</v>
      </c>
      <c r="C82" s="156" t="str">
        <f>IFERROR(INDEX($Q$6:$Q$324,MATCH(77,$S$6:$S$324,0)),"")</f>
        <v>Doç. Dr. Burcu ERSÖZ ALAN</v>
      </c>
      <c r="D82" s="157">
        <f>IF(C82="","",COUNTIFS(Başvuru!$C:$C,C82,Başvuru!$A:$A,"&lt;&gt;"&amp;"",Başvuru!$F:$F,"&lt;&gt;"&amp;""))</f>
        <v>2</v>
      </c>
      <c r="E82" s="155" t="str">
        <f>IF(C82="","-",IF(D82&gt;0,TEXT(D82/(COUNTIFS(Başvuru!$A:$A,"&lt;&gt;",Başvuru!$F:$F,"&lt;&gt;")-1)*100,"0.0")&amp;"%","-"))</f>
        <v>00%</v>
      </c>
      <c r="F82" s="158">
        <f>IF(C82="","",COUNTIFS(Başvuru!$C:$C,C82,Başvuru!$G:$G,"Bireysel Araştırma",Başvuru!$A:$A,"&lt;&gt;"&amp;"",Başvuru!$F:$F,"&lt;&gt;"&amp;""))</f>
        <v>0</v>
      </c>
      <c r="G82" s="158">
        <f>IF(C82="","",COUNTIFS(Başvuru!$C:$C,C82,Başvuru!$G:$G,"Uzmanlık Tezi",Başvuru!$A:$A,"&lt;&gt;"&amp;"",Başvuru!$F:$F,"&lt;&gt;"&amp;""))</f>
        <v>2</v>
      </c>
      <c r="H82" s="158">
        <f>IF(C82="","",COUNTIFS(Başvuru!$C:$C,C82,Başvuru!$G:$G,"Doktora Tezi",Başvuru!$A:$A,"&lt;&gt;"&amp;"",Başvuru!$F:$F,"&lt;&gt;"&amp;""))</f>
        <v>0</v>
      </c>
      <c r="I82" s="158">
        <f>IF(C82="","",COUNTIFS(Başvuru!$C:$C,C82,Başvuru!$G:$G,"Yüksek Lisans Tezi",Başvuru!$A:$A,"&lt;&gt;"&amp;"",Başvuru!$F:$F,"&lt;&gt;"&amp;""))</f>
        <v>0</v>
      </c>
      <c r="J82" s="159">
        <f>IF(C82="","",COUNTIFS(Başvuru!$C:$C,C82,Başvuru!$L:$L,"ONAY",Başvuru!$A:$A,"&lt;&gt;"&amp;"",Başvuru!$F:$F,"&lt;&gt;"&amp;""))</f>
        <v>2</v>
      </c>
      <c r="K82" s="160">
        <f>IF(C82="","",COUNTIFS(Başvuru!$C:$C,C82,Başvuru!$L:$L,"DÜZELTME",Başvuru!$A:$A,"&lt;&gt;"&amp;"",Başvuru!$F:$F,"&lt;&gt;"&amp;""))</f>
        <v>0</v>
      </c>
      <c r="L82" s="161">
        <f>IF(C82="","",COUNTIFS(Başvuru!$C:$C,C82,Başvuru!$L:$L,"KAEK",Başvuru!$A:$A,"&lt;&gt;"&amp;"",Başvuru!$F:$F,"&lt;&gt;"&amp;""))</f>
        <v>0</v>
      </c>
      <c r="M82" s="162">
        <f>IF(C82="","",COUNTIFS(Başvuru!$C:$C,C82,Başvuru!$L:$L,"GÖRÜŞ",Başvuru!$A:$A,"&lt;&gt;"&amp;"",Başvuru!$F:$F,"&lt;&gt;"&amp;""))</f>
        <v>0</v>
      </c>
      <c r="N82" s="163">
        <f>IF(C82="","",COUNTIFS(Başvuru!$C:$C,C82,Başvuru!$L:$L,"RET",Başvuru!$A:$A,"&lt;&gt;"&amp;"",Başvuru!$F:$F,"&lt;&gt;"&amp;""))</f>
        <v>0</v>
      </c>
      <c r="O82" s="164">
        <f>IF(C82="","",COUNTIFS(Başvuru!$C:$C,C82,Başvuru!$L:$L,"KAPSAM DIŞI",Başvuru!$A:$A,"&lt;&gt;"&amp;"",Başvuru!$F:$F,"&lt;&gt;"&amp;""))</f>
        <v>0</v>
      </c>
      <c r="P82" s="165">
        <f>IF(C82="","",COUNTIFS(Başvuru!$C:$C,C82,Başvuru!$L:$L,"GERİ ÇEKİLDİ",Başvuru!$A:$A,"&lt;&gt;"&amp;"",Başvuru!$F:$F,"&lt;&gt;"&amp;""))</f>
        <v>0</v>
      </c>
      <c r="Q82" s="166" t="s">
        <v>2105</v>
      </c>
      <c r="R82" s="167">
        <f>COUNTIFS(Başvuru!$C:$C,Q82,Başvuru!$A:$A,"&lt;&gt;"&amp;"",Başvuru!$F:$F,"&lt;&gt;"&amp;"")</f>
        <v>1</v>
      </c>
      <c r="S82" s="167">
        <f>RANK(R82,$R$6:$R$324,0)+COUNTIF($R$6:R82,R82)-1</f>
        <v>176</v>
      </c>
    </row>
    <row r="83" spans="2:19" ht="15" customHeight="1" x14ac:dyDescent="0.25">
      <c r="B83" s="168">
        <v>78</v>
      </c>
      <c r="C83" s="169" t="str">
        <f>IFERROR(INDEX($Q$6:$Q$324,MATCH(78,$S$6:$S$324,0)),"")</f>
        <v>Doç. Dr. Burcu HATİBOĞLU</v>
      </c>
      <c r="D83" s="170">
        <f>IF(C83="","",COUNTIFS(Başvuru!$C:$C,C83,Başvuru!$A:$A,"&lt;&gt;"&amp;"",Başvuru!$F:$F,"&lt;&gt;"&amp;""))</f>
        <v>2</v>
      </c>
      <c r="E83" s="168" t="str">
        <f>IF(C83="","-",IF(D83&gt;0,TEXT(D83/(COUNTIFS(Başvuru!$A:$A,"&lt;&gt;",Başvuru!$F:$F,"&lt;&gt;")-1)*100,"0.0")&amp;"%","-"))</f>
        <v>00%</v>
      </c>
      <c r="F83" s="171">
        <f>IF(C83="","",COUNTIFS(Başvuru!$C:$C,C83,Başvuru!$G:$G,"Bireysel Araştırma",Başvuru!$A:$A,"&lt;&gt;"&amp;"",Başvuru!$F:$F,"&lt;&gt;"&amp;""))</f>
        <v>0</v>
      </c>
      <c r="G83" s="171">
        <f>IF(C83="","",COUNTIFS(Başvuru!$C:$C,C83,Başvuru!$G:$G,"Uzmanlık Tezi",Başvuru!$A:$A,"&lt;&gt;"&amp;"",Başvuru!$F:$F,"&lt;&gt;"&amp;""))</f>
        <v>0</v>
      </c>
      <c r="H83" s="171">
        <f>IF(C83="","",COUNTIFS(Başvuru!$C:$C,C83,Başvuru!$G:$G,"Doktora Tezi",Başvuru!$A:$A,"&lt;&gt;"&amp;"",Başvuru!$F:$F,"&lt;&gt;"&amp;""))</f>
        <v>2</v>
      </c>
      <c r="I83" s="171">
        <f>IF(C83="","",COUNTIFS(Başvuru!$C:$C,C83,Başvuru!$G:$G,"Yüksek Lisans Tezi",Başvuru!$A:$A,"&lt;&gt;"&amp;"",Başvuru!$F:$F,"&lt;&gt;"&amp;""))</f>
        <v>0</v>
      </c>
      <c r="J83" s="172">
        <f>IF(C83="","",COUNTIFS(Başvuru!$C:$C,C83,Başvuru!$L:$L,"ONAY",Başvuru!$A:$A,"&lt;&gt;"&amp;"",Başvuru!$F:$F,"&lt;&gt;"&amp;""))</f>
        <v>2</v>
      </c>
      <c r="K83" s="173">
        <f>IF(C83="","",COUNTIFS(Başvuru!$C:$C,C83,Başvuru!$L:$L,"DÜZELTME",Başvuru!$A:$A,"&lt;&gt;"&amp;"",Başvuru!$F:$F,"&lt;&gt;"&amp;""))</f>
        <v>0</v>
      </c>
      <c r="L83" s="174">
        <f>IF(C83="","",COUNTIFS(Başvuru!$C:$C,C83,Başvuru!$L:$L,"KAEK",Başvuru!$A:$A,"&lt;&gt;"&amp;"",Başvuru!$F:$F,"&lt;&gt;"&amp;""))</f>
        <v>0</v>
      </c>
      <c r="M83" s="175">
        <f>IF(C83="","",COUNTIFS(Başvuru!$C:$C,C83,Başvuru!$L:$L,"GÖRÜŞ",Başvuru!$A:$A,"&lt;&gt;"&amp;"",Başvuru!$F:$F,"&lt;&gt;"&amp;""))</f>
        <v>0</v>
      </c>
      <c r="N83" s="176">
        <f>IF(C83="","",COUNTIFS(Başvuru!$C:$C,C83,Başvuru!$L:$L,"RET",Başvuru!$A:$A,"&lt;&gt;"&amp;"",Başvuru!$F:$F,"&lt;&gt;"&amp;""))</f>
        <v>0</v>
      </c>
      <c r="O83" s="177">
        <f>IF(C83="","",COUNTIFS(Başvuru!$C:$C,C83,Başvuru!$L:$L,"KAPSAM DIŞI",Başvuru!$A:$A,"&lt;&gt;"&amp;"",Başvuru!$F:$F,"&lt;&gt;"&amp;""))</f>
        <v>0</v>
      </c>
      <c r="P83" s="178">
        <f>IF(C83="","",COUNTIFS(Başvuru!$C:$C,C83,Başvuru!$L:$L,"GERİ ÇEKİLDİ",Başvuru!$A:$A,"&lt;&gt;"&amp;"",Başvuru!$F:$F,"&lt;&gt;"&amp;""))</f>
        <v>0</v>
      </c>
      <c r="Q83" s="166" t="s">
        <v>195</v>
      </c>
      <c r="R83" s="167">
        <f>COUNTIFS(Başvuru!$C:$C,Q83,Başvuru!$A:$A,"&lt;&gt;"&amp;"",Başvuru!$F:$F,"&lt;&gt;"&amp;"")</f>
        <v>1</v>
      </c>
      <c r="S83" s="167">
        <f>RANK(R83,$R$6:$R$324,0)+COUNTIF($R$6:R83,R83)-1</f>
        <v>177</v>
      </c>
    </row>
    <row r="84" spans="2:19" ht="15" customHeight="1" x14ac:dyDescent="0.25">
      <c r="B84" s="155">
        <v>79</v>
      </c>
      <c r="C84" s="156" t="str">
        <f>IFERROR(INDEX($Q$6:$Q$324,MATCH(79,$S$6:$S$324,0)),"")</f>
        <v>Doç. Dr. Cem ŞİMŞEK</v>
      </c>
      <c r="D84" s="157">
        <f>IF(C84="","",COUNTIFS(Başvuru!$C:$C,C84,Başvuru!$A:$A,"&lt;&gt;"&amp;"",Başvuru!$F:$F,"&lt;&gt;"&amp;""))</f>
        <v>2</v>
      </c>
      <c r="E84" s="155" t="str">
        <f>IF(C84="","-",IF(D84&gt;0,TEXT(D84/(COUNTIFS(Başvuru!$A:$A,"&lt;&gt;",Başvuru!$F:$F,"&lt;&gt;")-1)*100,"0.0")&amp;"%","-"))</f>
        <v>00%</v>
      </c>
      <c r="F84" s="158">
        <f>IF(C84="","",COUNTIFS(Başvuru!$C:$C,C84,Başvuru!$G:$G,"Bireysel Araştırma",Başvuru!$A:$A,"&lt;&gt;"&amp;"",Başvuru!$F:$F,"&lt;&gt;"&amp;""))</f>
        <v>2</v>
      </c>
      <c r="G84" s="158">
        <f>IF(C84="","",COUNTIFS(Başvuru!$C:$C,C84,Başvuru!$G:$G,"Uzmanlık Tezi",Başvuru!$A:$A,"&lt;&gt;"&amp;"",Başvuru!$F:$F,"&lt;&gt;"&amp;""))</f>
        <v>0</v>
      </c>
      <c r="H84" s="158">
        <f>IF(C84="","",COUNTIFS(Başvuru!$C:$C,C84,Başvuru!$G:$G,"Doktora Tezi",Başvuru!$A:$A,"&lt;&gt;"&amp;"",Başvuru!$F:$F,"&lt;&gt;"&amp;""))</f>
        <v>0</v>
      </c>
      <c r="I84" s="158">
        <f>IF(C84="","",COUNTIFS(Başvuru!$C:$C,C84,Başvuru!$G:$G,"Yüksek Lisans Tezi",Başvuru!$A:$A,"&lt;&gt;"&amp;"",Başvuru!$F:$F,"&lt;&gt;"&amp;""))</f>
        <v>0</v>
      </c>
      <c r="J84" s="159">
        <f>IF(C84="","",COUNTIFS(Başvuru!$C:$C,C84,Başvuru!$L:$L,"ONAY",Başvuru!$A:$A,"&lt;&gt;"&amp;"",Başvuru!$F:$F,"&lt;&gt;"&amp;""))</f>
        <v>0</v>
      </c>
      <c r="K84" s="160">
        <f>IF(C84="","",COUNTIFS(Başvuru!$C:$C,C84,Başvuru!$L:$L,"DÜZELTME",Başvuru!$A:$A,"&lt;&gt;"&amp;"",Başvuru!$F:$F,"&lt;&gt;"&amp;""))</f>
        <v>2</v>
      </c>
      <c r="L84" s="161">
        <f>IF(C84="","",COUNTIFS(Başvuru!$C:$C,C84,Başvuru!$L:$L,"KAEK",Başvuru!$A:$A,"&lt;&gt;"&amp;"",Başvuru!$F:$F,"&lt;&gt;"&amp;""))</f>
        <v>0</v>
      </c>
      <c r="M84" s="162">
        <f>IF(C84="","",COUNTIFS(Başvuru!$C:$C,C84,Başvuru!$L:$L,"GÖRÜŞ",Başvuru!$A:$A,"&lt;&gt;"&amp;"",Başvuru!$F:$F,"&lt;&gt;"&amp;""))</f>
        <v>0</v>
      </c>
      <c r="N84" s="163">
        <f>IF(C84="","",COUNTIFS(Başvuru!$C:$C,C84,Başvuru!$L:$L,"RET",Başvuru!$A:$A,"&lt;&gt;"&amp;"",Başvuru!$F:$F,"&lt;&gt;"&amp;""))</f>
        <v>0</v>
      </c>
      <c r="O84" s="164">
        <f>IF(C84="","",COUNTIFS(Başvuru!$C:$C,C84,Başvuru!$L:$L,"KAPSAM DIŞI",Başvuru!$A:$A,"&lt;&gt;"&amp;"",Başvuru!$F:$F,"&lt;&gt;"&amp;""))</f>
        <v>0</v>
      </c>
      <c r="P84" s="165">
        <f>IF(C84="","",COUNTIFS(Başvuru!$C:$C,C84,Başvuru!$L:$L,"GERİ ÇEKİLDİ",Başvuru!$A:$A,"&lt;&gt;"&amp;"",Başvuru!$F:$F,"&lt;&gt;"&amp;""))</f>
        <v>0</v>
      </c>
      <c r="Q84" s="166" t="s">
        <v>664</v>
      </c>
      <c r="R84" s="167">
        <f>COUNTIFS(Başvuru!$C:$C,Q84,Başvuru!$A:$A,"&lt;&gt;"&amp;"",Başvuru!$F:$F,"&lt;&gt;"&amp;"")</f>
        <v>7</v>
      </c>
      <c r="S84" s="167">
        <f>RANK(R84,$R$6:$R$324,0)+COUNTIF($R$6:R84,R84)-1</f>
        <v>12</v>
      </c>
    </row>
    <row r="85" spans="2:19" ht="15" customHeight="1" x14ac:dyDescent="0.25">
      <c r="B85" s="168">
        <v>80</v>
      </c>
      <c r="C85" s="169" t="str">
        <f>IFERROR(INDEX($Q$6:$Q$324,MATCH(80,$S$6:$S$324,0)),"")</f>
        <v>Doç. Dr. Ceren GÜNENÇ BEŞER</v>
      </c>
      <c r="D85" s="170">
        <f>IF(C85="","",COUNTIFS(Başvuru!$C:$C,C85,Başvuru!$A:$A,"&lt;&gt;"&amp;"",Başvuru!$F:$F,"&lt;&gt;"&amp;""))</f>
        <v>2</v>
      </c>
      <c r="E85" s="168" t="str">
        <f>IF(C85="","-",IF(D85&gt;0,TEXT(D85/(COUNTIFS(Başvuru!$A:$A,"&lt;&gt;",Başvuru!$F:$F,"&lt;&gt;")-1)*100,"0.0")&amp;"%","-"))</f>
        <v>00%</v>
      </c>
      <c r="F85" s="171">
        <f>IF(C85="","",COUNTIFS(Başvuru!$C:$C,C85,Başvuru!$G:$G,"Bireysel Araştırma",Başvuru!$A:$A,"&lt;&gt;"&amp;"",Başvuru!$F:$F,"&lt;&gt;"&amp;""))</f>
        <v>0</v>
      </c>
      <c r="G85" s="171">
        <f>IF(C85="","",COUNTIFS(Başvuru!$C:$C,C85,Başvuru!$G:$G,"Uzmanlık Tezi",Başvuru!$A:$A,"&lt;&gt;"&amp;"",Başvuru!$F:$F,"&lt;&gt;"&amp;""))</f>
        <v>0</v>
      </c>
      <c r="H85" s="171">
        <f>IF(C85="","",COUNTIFS(Başvuru!$C:$C,C85,Başvuru!$G:$G,"Doktora Tezi",Başvuru!$A:$A,"&lt;&gt;"&amp;"",Başvuru!$F:$F,"&lt;&gt;"&amp;""))</f>
        <v>1</v>
      </c>
      <c r="I85" s="171">
        <f>IF(C85="","",COUNTIFS(Başvuru!$C:$C,C85,Başvuru!$G:$G,"Yüksek Lisans Tezi",Başvuru!$A:$A,"&lt;&gt;"&amp;"",Başvuru!$F:$F,"&lt;&gt;"&amp;""))</f>
        <v>1</v>
      </c>
      <c r="J85" s="172">
        <f>IF(C85="","",COUNTIFS(Başvuru!$C:$C,C85,Başvuru!$L:$L,"ONAY",Başvuru!$A:$A,"&lt;&gt;"&amp;"",Başvuru!$F:$F,"&lt;&gt;"&amp;""))</f>
        <v>2</v>
      </c>
      <c r="K85" s="173">
        <f>IF(C85="","",COUNTIFS(Başvuru!$C:$C,C85,Başvuru!$L:$L,"DÜZELTME",Başvuru!$A:$A,"&lt;&gt;"&amp;"",Başvuru!$F:$F,"&lt;&gt;"&amp;""))</f>
        <v>0</v>
      </c>
      <c r="L85" s="174">
        <f>IF(C85="","",COUNTIFS(Başvuru!$C:$C,C85,Başvuru!$L:$L,"KAEK",Başvuru!$A:$A,"&lt;&gt;"&amp;"",Başvuru!$F:$F,"&lt;&gt;"&amp;""))</f>
        <v>0</v>
      </c>
      <c r="M85" s="175">
        <f>IF(C85="","",COUNTIFS(Başvuru!$C:$C,C85,Başvuru!$L:$L,"GÖRÜŞ",Başvuru!$A:$A,"&lt;&gt;"&amp;"",Başvuru!$F:$F,"&lt;&gt;"&amp;""))</f>
        <v>0</v>
      </c>
      <c r="N85" s="176">
        <f>IF(C85="","",COUNTIFS(Başvuru!$C:$C,C85,Başvuru!$L:$L,"RET",Başvuru!$A:$A,"&lt;&gt;"&amp;"",Başvuru!$F:$F,"&lt;&gt;"&amp;""))</f>
        <v>0</v>
      </c>
      <c r="O85" s="177">
        <f>IF(C85="","",COUNTIFS(Başvuru!$C:$C,C85,Başvuru!$L:$L,"KAPSAM DIŞI",Başvuru!$A:$A,"&lt;&gt;"&amp;"",Başvuru!$F:$F,"&lt;&gt;"&amp;""))</f>
        <v>0</v>
      </c>
      <c r="P85" s="178">
        <f>IF(C85="","",COUNTIFS(Başvuru!$C:$C,C85,Başvuru!$L:$L,"GERİ ÇEKİLDİ",Başvuru!$A:$A,"&lt;&gt;"&amp;"",Başvuru!$F:$F,"&lt;&gt;"&amp;""))</f>
        <v>0</v>
      </c>
      <c r="Q85" s="166" t="s">
        <v>1222</v>
      </c>
      <c r="R85" s="167">
        <f>COUNTIFS(Başvuru!$C:$C,Q85,Başvuru!$A:$A,"&lt;&gt;"&amp;"",Başvuru!$F:$F,"&lt;&gt;"&amp;"")</f>
        <v>1</v>
      </c>
      <c r="S85" s="167">
        <f>RANK(R85,$R$6:$R$324,0)+COUNTIF($R$6:R85,R85)-1</f>
        <v>178</v>
      </c>
    </row>
    <row r="86" spans="2:19" ht="15" customHeight="1" x14ac:dyDescent="0.25">
      <c r="B86" s="155">
        <v>81</v>
      </c>
      <c r="C86" s="156" t="str">
        <f>IFERROR(INDEX($Q$6:$Q$324,MATCH(81,$S$6:$S$324,0)),"")</f>
        <v>Doç. Dr. Ceren ÖZKUL KOÇAK</v>
      </c>
      <c r="D86" s="157">
        <f>IF(C86="","",COUNTIFS(Başvuru!$C:$C,C86,Başvuru!$A:$A,"&lt;&gt;"&amp;"",Başvuru!$F:$F,"&lt;&gt;"&amp;""))</f>
        <v>2</v>
      </c>
      <c r="E86" s="155" t="str">
        <f>IF(C86="","-",IF(D86&gt;0,TEXT(D86/(COUNTIFS(Başvuru!$A:$A,"&lt;&gt;",Başvuru!$F:$F,"&lt;&gt;")-1)*100,"0.0")&amp;"%","-"))</f>
        <v>00%</v>
      </c>
      <c r="F86" s="158">
        <f>IF(C86="","",COUNTIFS(Başvuru!$C:$C,C86,Başvuru!$G:$G,"Bireysel Araştırma",Başvuru!$A:$A,"&lt;&gt;"&amp;"",Başvuru!$F:$F,"&lt;&gt;"&amp;""))</f>
        <v>1</v>
      </c>
      <c r="G86" s="158">
        <f>IF(C86="","",COUNTIFS(Başvuru!$C:$C,C86,Başvuru!$G:$G,"Uzmanlık Tezi",Başvuru!$A:$A,"&lt;&gt;"&amp;"",Başvuru!$F:$F,"&lt;&gt;"&amp;""))</f>
        <v>0</v>
      </c>
      <c r="H86" s="158">
        <f>IF(C86="","",COUNTIFS(Başvuru!$C:$C,C86,Başvuru!$G:$G,"Doktora Tezi",Başvuru!$A:$A,"&lt;&gt;"&amp;"",Başvuru!$F:$F,"&lt;&gt;"&amp;""))</f>
        <v>1</v>
      </c>
      <c r="I86" s="158">
        <f>IF(C86="","",COUNTIFS(Başvuru!$C:$C,C86,Başvuru!$G:$G,"Yüksek Lisans Tezi",Başvuru!$A:$A,"&lt;&gt;"&amp;"",Başvuru!$F:$F,"&lt;&gt;"&amp;""))</f>
        <v>0</v>
      </c>
      <c r="J86" s="159">
        <f>IF(C86="","",COUNTIFS(Başvuru!$C:$C,C86,Başvuru!$L:$L,"ONAY",Başvuru!$A:$A,"&lt;&gt;"&amp;"",Başvuru!$F:$F,"&lt;&gt;"&amp;""))</f>
        <v>0</v>
      </c>
      <c r="K86" s="160">
        <f>IF(C86="","",COUNTIFS(Başvuru!$C:$C,C86,Başvuru!$L:$L,"DÜZELTME",Başvuru!$A:$A,"&lt;&gt;"&amp;"",Başvuru!$F:$F,"&lt;&gt;"&amp;""))</f>
        <v>2</v>
      </c>
      <c r="L86" s="161">
        <f>IF(C86="","",COUNTIFS(Başvuru!$C:$C,C86,Başvuru!$L:$L,"KAEK",Başvuru!$A:$A,"&lt;&gt;"&amp;"",Başvuru!$F:$F,"&lt;&gt;"&amp;""))</f>
        <v>0</v>
      </c>
      <c r="M86" s="162">
        <f>IF(C86="","",COUNTIFS(Başvuru!$C:$C,C86,Başvuru!$L:$L,"GÖRÜŞ",Başvuru!$A:$A,"&lt;&gt;"&amp;"",Başvuru!$F:$F,"&lt;&gt;"&amp;""))</f>
        <v>0</v>
      </c>
      <c r="N86" s="163">
        <f>IF(C86="","",COUNTIFS(Başvuru!$C:$C,C86,Başvuru!$L:$L,"RET",Başvuru!$A:$A,"&lt;&gt;"&amp;"",Başvuru!$F:$F,"&lt;&gt;"&amp;""))</f>
        <v>0</v>
      </c>
      <c r="O86" s="164">
        <f>IF(C86="","",COUNTIFS(Başvuru!$C:$C,C86,Başvuru!$L:$L,"KAPSAM DIŞI",Başvuru!$A:$A,"&lt;&gt;"&amp;"",Başvuru!$F:$F,"&lt;&gt;"&amp;""))</f>
        <v>0</v>
      </c>
      <c r="P86" s="165">
        <f>IF(C86="","",COUNTIFS(Başvuru!$C:$C,C86,Başvuru!$L:$L,"GERİ ÇEKİLDİ",Başvuru!$A:$A,"&lt;&gt;"&amp;"",Başvuru!$F:$F,"&lt;&gt;"&amp;""))</f>
        <v>0</v>
      </c>
      <c r="Q86" s="166" t="s">
        <v>1764</v>
      </c>
      <c r="R86" s="167">
        <f>COUNTIFS(Başvuru!$C:$C,Q86,Başvuru!$A:$A,"&lt;&gt;"&amp;"",Başvuru!$F:$F,"&lt;&gt;"&amp;"")</f>
        <v>1</v>
      </c>
      <c r="S86" s="167">
        <f>RANK(R86,$R$6:$R$324,0)+COUNTIF($R$6:R86,R86)-1</f>
        <v>179</v>
      </c>
    </row>
    <row r="87" spans="2:19" ht="15" customHeight="1" x14ac:dyDescent="0.25">
      <c r="B87" s="168">
        <v>82</v>
      </c>
      <c r="C87" s="169" t="str">
        <f>IFERROR(INDEX($Q$6:$Q$324,MATCH(82,$S$6:$S$324,0)),"")</f>
        <v>Doç. Dr. Duygu GÜLSEREN</v>
      </c>
      <c r="D87" s="170">
        <f>IF(C87="","",COUNTIFS(Başvuru!$C:$C,C87,Başvuru!$A:$A,"&lt;&gt;"&amp;"",Başvuru!$F:$F,"&lt;&gt;"&amp;""))</f>
        <v>2</v>
      </c>
      <c r="E87" s="168" t="str">
        <f>IF(C87="","-",IF(D87&gt;0,TEXT(D87/(COUNTIFS(Başvuru!$A:$A,"&lt;&gt;",Başvuru!$F:$F,"&lt;&gt;")-1)*100,"0.0")&amp;"%","-"))</f>
        <v>00%</v>
      </c>
      <c r="F87" s="171">
        <f>IF(C87="","",COUNTIFS(Başvuru!$C:$C,C87,Başvuru!$G:$G,"Bireysel Araştırma",Başvuru!$A:$A,"&lt;&gt;"&amp;"",Başvuru!$F:$F,"&lt;&gt;"&amp;""))</f>
        <v>2</v>
      </c>
      <c r="G87" s="171">
        <f>IF(C87="","",COUNTIFS(Başvuru!$C:$C,C87,Başvuru!$G:$G,"Uzmanlık Tezi",Başvuru!$A:$A,"&lt;&gt;"&amp;"",Başvuru!$F:$F,"&lt;&gt;"&amp;""))</f>
        <v>0</v>
      </c>
      <c r="H87" s="171">
        <f>IF(C87="","",COUNTIFS(Başvuru!$C:$C,C87,Başvuru!$G:$G,"Doktora Tezi",Başvuru!$A:$A,"&lt;&gt;"&amp;"",Başvuru!$F:$F,"&lt;&gt;"&amp;""))</f>
        <v>0</v>
      </c>
      <c r="I87" s="171">
        <f>IF(C87="","",COUNTIFS(Başvuru!$C:$C,C87,Başvuru!$G:$G,"Yüksek Lisans Tezi",Başvuru!$A:$A,"&lt;&gt;"&amp;"",Başvuru!$F:$F,"&lt;&gt;"&amp;""))</f>
        <v>0</v>
      </c>
      <c r="J87" s="172">
        <f>IF(C87="","",COUNTIFS(Başvuru!$C:$C,C87,Başvuru!$L:$L,"ONAY",Başvuru!$A:$A,"&lt;&gt;"&amp;"",Başvuru!$F:$F,"&lt;&gt;"&amp;""))</f>
        <v>2</v>
      </c>
      <c r="K87" s="173">
        <f>IF(C87="","",COUNTIFS(Başvuru!$C:$C,C87,Başvuru!$L:$L,"DÜZELTME",Başvuru!$A:$A,"&lt;&gt;"&amp;"",Başvuru!$F:$F,"&lt;&gt;"&amp;""))</f>
        <v>0</v>
      </c>
      <c r="L87" s="174">
        <f>IF(C87="","",COUNTIFS(Başvuru!$C:$C,C87,Başvuru!$L:$L,"KAEK",Başvuru!$A:$A,"&lt;&gt;"&amp;"",Başvuru!$F:$F,"&lt;&gt;"&amp;""))</f>
        <v>0</v>
      </c>
      <c r="M87" s="175">
        <f>IF(C87="","",COUNTIFS(Başvuru!$C:$C,C87,Başvuru!$L:$L,"GÖRÜŞ",Başvuru!$A:$A,"&lt;&gt;"&amp;"",Başvuru!$F:$F,"&lt;&gt;"&amp;""))</f>
        <v>0</v>
      </c>
      <c r="N87" s="176">
        <f>IF(C87="","",COUNTIFS(Başvuru!$C:$C,C87,Başvuru!$L:$L,"RET",Başvuru!$A:$A,"&lt;&gt;"&amp;"",Başvuru!$F:$F,"&lt;&gt;"&amp;""))</f>
        <v>0</v>
      </c>
      <c r="O87" s="177">
        <f>IF(C87="","",COUNTIFS(Başvuru!$C:$C,C87,Başvuru!$L:$L,"KAPSAM DIŞI",Başvuru!$A:$A,"&lt;&gt;"&amp;"",Başvuru!$F:$F,"&lt;&gt;"&amp;""))</f>
        <v>0</v>
      </c>
      <c r="P87" s="178">
        <f>IF(C87="","",COUNTIFS(Başvuru!$C:$C,C87,Başvuru!$L:$L,"GERİ ÇEKİLDİ",Başvuru!$A:$A,"&lt;&gt;"&amp;"",Başvuru!$F:$F,"&lt;&gt;"&amp;""))</f>
        <v>0</v>
      </c>
      <c r="Q87" s="166" t="s">
        <v>1146</v>
      </c>
      <c r="R87" s="167">
        <f>COUNTIFS(Başvuru!$C:$C,Q87,Başvuru!$A:$A,"&lt;&gt;"&amp;"",Başvuru!$F:$F,"&lt;&gt;"&amp;"")</f>
        <v>2</v>
      </c>
      <c r="S87" s="167">
        <f>RANK(R87,$R$6:$R$324,0)+COUNTIF($R$6:R87,R87)-1</f>
        <v>94</v>
      </c>
    </row>
    <row r="88" spans="2:19" ht="15" customHeight="1" x14ac:dyDescent="0.25">
      <c r="B88" s="155">
        <v>83</v>
      </c>
      <c r="C88" s="156" t="str">
        <f>IFERROR(INDEX($Q$6:$Q$324,MATCH(83,$S$6:$S$324,0)),"")</f>
        <v>Doç. Dr. Eda Ezgi ASLANTAŞ</v>
      </c>
      <c r="D88" s="157">
        <f>IF(C88="","",COUNTIFS(Başvuru!$C:$C,C88,Başvuru!$A:$A,"&lt;&gt;"&amp;"",Başvuru!$F:$F,"&lt;&gt;"&amp;""))</f>
        <v>2</v>
      </c>
      <c r="E88" s="155" t="str">
        <f>IF(C88="","-",IF(D88&gt;0,TEXT(D88/(COUNTIFS(Başvuru!$A:$A,"&lt;&gt;",Başvuru!$F:$F,"&lt;&gt;")-1)*100,"0.0")&amp;"%","-"))</f>
        <v>00%</v>
      </c>
      <c r="F88" s="158">
        <f>IF(C88="","",COUNTIFS(Başvuru!$C:$C,C88,Başvuru!$G:$G,"Bireysel Araştırma",Başvuru!$A:$A,"&lt;&gt;"&amp;"",Başvuru!$F:$F,"&lt;&gt;"&amp;""))</f>
        <v>2</v>
      </c>
      <c r="G88" s="158">
        <f>IF(C88="","",COUNTIFS(Başvuru!$C:$C,C88,Başvuru!$G:$G,"Uzmanlık Tezi",Başvuru!$A:$A,"&lt;&gt;"&amp;"",Başvuru!$F:$F,"&lt;&gt;"&amp;""))</f>
        <v>0</v>
      </c>
      <c r="H88" s="158">
        <f>IF(C88="","",COUNTIFS(Başvuru!$C:$C,C88,Başvuru!$G:$G,"Doktora Tezi",Başvuru!$A:$A,"&lt;&gt;"&amp;"",Başvuru!$F:$F,"&lt;&gt;"&amp;""))</f>
        <v>0</v>
      </c>
      <c r="I88" s="158">
        <f>IF(C88="","",COUNTIFS(Başvuru!$C:$C,C88,Başvuru!$G:$G,"Yüksek Lisans Tezi",Başvuru!$A:$A,"&lt;&gt;"&amp;"",Başvuru!$F:$F,"&lt;&gt;"&amp;""))</f>
        <v>0</v>
      </c>
      <c r="J88" s="159">
        <f>IF(C88="","",COUNTIFS(Başvuru!$C:$C,C88,Başvuru!$L:$L,"ONAY",Başvuru!$A:$A,"&lt;&gt;"&amp;"",Başvuru!$F:$F,"&lt;&gt;"&amp;""))</f>
        <v>2</v>
      </c>
      <c r="K88" s="160">
        <f>IF(C88="","",COUNTIFS(Başvuru!$C:$C,C88,Başvuru!$L:$L,"DÜZELTME",Başvuru!$A:$A,"&lt;&gt;"&amp;"",Başvuru!$F:$F,"&lt;&gt;"&amp;""))</f>
        <v>0</v>
      </c>
      <c r="L88" s="161">
        <f>IF(C88="","",COUNTIFS(Başvuru!$C:$C,C88,Başvuru!$L:$L,"KAEK",Başvuru!$A:$A,"&lt;&gt;"&amp;"",Başvuru!$F:$F,"&lt;&gt;"&amp;""))</f>
        <v>0</v>
      </c>
      <c r="M88" s="162">
        <f>IF(C88="","",COUNTIFS(Başvuru!$C:$C,C88,Başvuru!$L:$L,"GÖRÜŞ",Başvuru!$A:$A,"&lt;&gt;"&amp;"",Başvuru!$F:$F,"&lt;&gt;"&amp;""))</f>
        <v>0</v>
      </c>
      <c r="N88" s="163">
        <f>IF(C88="","",COUNTIFS(Başvuru!$C:$C,C88,Başvuru!$L:$L,"RET",Başvuru!$A:$A,"&lt;&gt;"&amp;"",Başvuru!$F:$F,"&lt;&gt;"&amp;""))</f>
        <v>0</v>
      </c>
      <c r="O88" s="164">
        <f>IF(C88="","",COUNTIFS(Başvuru!$C:$C,C88,Başvuru!$L:$L,"KAPSAM DIŞI",Başvuru!$A:$A,"&lt;&gt;"&amp;"",Başvuru!$F:$F,"&lt;&gt;"&amp;""))</f>
        <v>0</v>
      </c>
      <c r="P88" s="165">
        <f>IF(C88="","",COUNTIFS(Başvuru!$C:$C,C88,Başvuru!$L:$L,"GERİ ÇEKİLDİ",Başvuru!$A:$A,"&lt;&gt;"&amp;"",Başvuru!$F:$F,"&lt;&gt;"&amp;""))</f>
        <v>0</v>
      </c>
      <c r="Q88" s="166" t="s">
        <v>499</v>
      </c>
      <c r="R88" s="167">
        <f>COUNTIFS(Başvuru!$C:$C,Q88,Başvuru!$A:$A,"&lt;&gt;"&amp;"",Başvuru!$F:$F,"&lt;&gt;"&amp;"")</f>
        <v>1</v>
      </c>
      <c r="S88" s="167">
        <f>RANK(R88,$R$6:$R$324,0)+COUNTIF($R$6:R88,R88)-1</f>
        <v>180</v>
      </c>
    </row>
    <row r="89" spans="2:19" ht="15" customHeight="1" x14ac:dyDescent="0.25">
      <c r="B89" s="168">
        <v>84</v>
      </c>
      <c r="C89" s="169" t="str">
        <f>IFERROR(INDEX($Q$6:$Q$324,MATCH(84,$S$6:$S$324,0)),"")</f>
        <v>Doç. Dr. Erdal SAĞ</v>
      </c>
      <c r="D89" s="170">
        <f>IF(C89="","",COUNTIFS(Başvuru!$C:$C,C89,Başvuru!$A:$A,"&lt;&gt;"&amp;"",Başvuru!$F:$F,"&lt;&gt;"&amp;""))</f>
        <v>2</v>
      </c>
      <c r="E89" s="168" t="str">
        <f>IF(C89="","-",IF(D89&gt;0,TEXT(D89/(COUNTIFS(Başvuru!$A:$A,"&lt;&gt;",Başvuru!$F:$F,"&lt;&gt;")-1)*100,"0.0")&amp;"%","-"))</f>
        <v>00%</v>
      </c>
      <c r="F89" s="171">
        <f>IF(C89="","",COUNTIFS(Başvuru!$C:$C,C89,Başvuru!$G:$G,"Bireysel Araştırma",Başvuru!$A:$A,"&lt;&gt;"&amp;"",Başvuru!$F:$F,"&lt;&gt;"&amp;""))</f>
        <v>1</v>
      </c>
      <c r="G89" s="171">
        <f>IF(C89="","",COUNTIFS(Başvuru!$C:$C,C89,Başvuru!$G:$G,"Uzmanlık Tezi",Başvuru!$A:$A,"&lt;&gt;"&amp;"",Başvuru!$F:$F,"&lt;&gt;"&amp;""))</f>
        <v>1</v>
      </c>
      <c r="H89" s="171">
        <f>IF(C89="","",COUNTIFS(Başvuru!$C:$C,C89,Başvuru!$G:$G,"Doktora Tezi",Başvuru!$A:$A,"&lt;&gt;"&amp;"",Başvuru!$F:$F,"&lt;&gt;"&amp;""))</f>
        <v>0</v>
      </c>
      <c r="I89" s="171">
        <f>IF(C89="","",COUNTIFS(Başvuru!$C:$C,C89,Başvuru!$G:$G,"Yüksek Lisans Tezi",Başvuru!$A:$A,"&lt;&gt;"&amp;"",Başvuru!$F:$F,"&lt;&gt;"&amp;""))</f>
        <v>0</v>
      </c>
      <c r="J89" s="172">
        <f>IF(C89="","",COUNTIFS(Başvuru!$C:$C,C89,Başvuru!$L:$L,"ONAY",Başvuru!$A:$A,"&lt;&gt;"&amp;"",Başvuru!$F:$F,"&lt;&gt;"&amp;""))</f>
        <v>0</v>
      </c>
      <c r="K89" s="173">
        <f>IF(C89="","",COUNTIFS(Başvuru!$C:$C,C89,Başvuru!$L:$L,"DÜZELTME",Başvuru!$A:$A,"&lt;&gt;"&amp;"",Başvuru!$F:$F,"&lt;&gt;"&amp;""))</f>
        <v>2</v>
      </c>
      <c r="L89" s="174">
        <f>IF(C89="","",COUNTIFS(Başvuru!$C:$C,C89,Başvuru!$L:$L,"KAEK",Başvuru!$A:$A,"&lt;&gt;"&amp;"",Başvuru!$F:$F,"&lt;&gt;"&amp;""))</f>
        <v>0</v>
      </c>
      <c r="M89" s="175">
        <f>IF(C89="","",COUNTIFS(Başvuru!$C:$C,C89,Başvuru!$L:$L,"GÖRÜŞ",Başvuru!$A:$A,"&lt;&gt;"&amp;"",Başvuru!$F:$F,"&lt;&gt;"&amp;""))</f>
        <v>0</v>
      </c>
      <c r="N89" s="176">
        <f>IF(C89="","",COUNTIFS(Başvuru!$C:$C,C89,Başvuru!$L:$L,"RET",Başvuru!$A:$A,"&lt;&gt;"&amp;"",Başvuru!$F:$F,"&lt;&gt;"&amp;""))</f>
        <v>0</v>
      </c>
      <c r="O89" s="177">
        <f>IF(C89="","",COUNTIFS(Başvuru!$C:$C,C89,Başvuru!$L:$L,"KAPSAM DIŞI",Başvuru!$A:$A,"&lt;&gt;"&amp;"",Başvuru!$F:$F,"&lt;&gt;"&amp;""))</f>
        <v>0</v>
      </c>
      <c r="P89" s="178">
        <f>IF(C89="","",COUNTIFS(Başvuru!$C:$C,C89,Başvuru!$L:$L,"GERİ ÇEKİLDİ",Başvuru!$A:$A,"&lt;&gt;"&amp;"",Başvuru!$F:$F,"&lt;&gt;"&amp;""))</f>
        <v>0</v>
      </c>
      <c r="Q89" s="166" t="s">
        <v>579</v>
      </c>
      <c r="R89" s="167">
        <f>COUNTIFS(Başvuru!$C:$C,Q89,Başvuru!$A:$A,"&lt;&gt;"&amp;"",Başvuru!$F:$F,"&lt;&gt;"&amp;"")</f>
        <v>5</v>
      </c>
      <c r="S89" s="167">
        <f>RANK(R89,$R$6:$R$324,0)+COUNTIF($R$6:R89,R89)-1</f>
        <v>22</v>
      </c>
    </row>
    <row r="90" spans="2:19" ht="15" customHeight="1" x14ac:dyDescent="0.25">
      <c r="B90" s="155">
        <v>85</v>
      </c>
      <c r="C90" s="156" t="str">
        <f>IFERROR(INDEX($Q$6:$Q$324,MATCH(85,$S$6:$S$324,0)),"")</f>
        <v>Doç. Dr. Galip Gencay ÜSTÜN</v>
      </c>
      <c r="D90" s="157">
        <f>IF(C90="","",COUNTIFS(Başvuru!$C:$C,C90,Başvuru!$A:$A,"&lt;&gt;"&amp;"",Başvuru!$F:$F,"&lt;&gt;"&amp;""))</f>
        <v>2</v>
      </c>
      <c r="E90" s="155" t="str">
        <f>IF(C90="","-",IF(D90&gt;0,TEXT(D90/(COUNTIFS(Başvuru!$A:$A,"&lt;&gt;",Başvuru!$F:$F,"&lt;&gt;")-1)*100,"0.0")&amp;"%","-"))</f>
        <v>00%</v>
      </c>
      <c r="F90" s="158">
        <f>IF(C90="","",COUNTIFS(Başvuru!$C:$C,C90,Başvuru!$G:$G,"Bireysel Araştırma",Başvuru!$A:$A,"&lt;&gt;"&amp;"",Başvuru!$F:$F,"&lt;&gt;"&amp;""))</f>
        <v>2</v>
      </c>
      <c r="G90" s="158">
        <f>IF(C90="","",COUNTIFS(Başvuru!$C:$C,C90,Başvuru!$G:$G,"Uzmanlık Tezi",Başvuru!$A:$A,"&lt;&gt;"&amp;"",Başvuru!$F:$F,"&lt;&gt;"&amp;""))</f>
        <v>0</v>
      </c>
      <c r="H90" s="158">
        <f>IF(C90="","",COUNTIFS(Başvuru!$C:$C,C90,Başvuru!$G:$G,"Doktora Tezi",Başvuru!$A:$A,"&lt;&gt;"&amp;"",Başvuru!$F:$F,"&lt;&gt;"&amp;""))</f>
        <v>0</v>
      </c>
      <c r="I90" s="158">
        <f>IF(C90="","",COUNTIFS(Başvuru!$C:$C,C90,Başvuru!$G:$G,"Yüksek Lisans Tezi",Başvuru!$A:$A,"&lt;&gt;"&amp;"",Başvuru!$F:$F,"&lt;&gt;"&amp;""))</f>
        <v>0</v>
      </c>
      <c r="J90" s="159">
        <f>IF(C90="","",COUNTIFS(Başvuru!$C:$C,C90,Başvuru!$L:$L,"ONAY",Başvuru!$A:$A,"&lt;&gt;"&amp;"",Başvuru!$F:$F,"&lt;&gt;"&amp;""))</f>
        <v>1</v>
      </c>
      <c r="K90" s="160">
        <f>IF(C90="","",COUNTIFS(Başvuru!$C:$C,C90,Başvuru!$L:$L,"DÜZELTME",Başvuru!$A:$A,"&lt;&gt;"&amp;"",Başvuru!$F:$F,"&lt;&gt;"&amp;""))</f>
        <v>0</v>
      </c>
      <c r="L90" s="161">
        <f>IF(C90="","",COUNTIFS(Başvuru!$C:$C,C90,Başvuru!$L:$L,"KAEK",Başvuru!$A:$A,"&lt;&gt;"&amp;"",Başvuru!$F:$F,"&lt;&gt;"&amp;""))</f>
        <v>1</v>
      </c>
      <c r="M90" s="162">
        <f>IF(C90="","",COUNTIFS(Başvuru!$C:$C,C90,Başvuru!$L:$L,"GÖRÜŞ",Başvuru!$A:$A,"&lt;&gt;"&amp;"",Başvuru!$F:$F,"&lt;&gt;"&amp;""))</f>
        <v>0</v>
      </c>
      <c r="N90" s="163">
        <f>IF(C90="","",COUNTIFS(Başvuru!$C:$C,C90,Başvuru!$L:$L,"RET",Başvuru!$A:$A,"&lt;&gt;"&amp;"",Başvuru!$F:$F,"&lt;&gt;"&amp;""))</f>
        <v>0</v>
      </c>
      <c r="O90" s="164">
        <f>IF(C90="","",COUNTIFS(Başvuru!$C:$C,C90,Başvuru!$L:$L,"KAPSAM DIŞI",Başvuru!$A:$A,"&lt;&gt;"&amp;"",Başvuru!$F:$F,"&lt;&gt;"&amp;""))</f>
        <v>0</v>
      </c>
      <c r="P90" s="165">
        <f>IF(C90="","",COUNTIFS(Başvuru!$C:$C,C90,Başvuru!$L:$L,"GERİ ÇEKİLDİ",Başvuru!$A:$A,"&lt;&gt;"&amp;"",Başvuru!$F:$F,"&lt;&gt;"&amp;""))</f>
        <v>0</v>
      </c>
      <c r="Q90" s="166" t="s">
        <v>996</v>
      </c>
      <c r="R90" s="167">
        <f>COUNTIFS(Başvuru!$C:$C,Q90,Başvuru!$A:$A,"&lt;&gt;"&amp;"",Başvuru!$F:$F,"&lt;&gt;"&amp;"")</f>
        <v>2</v>
      </c>
      <c r="S90" s="167">
        <f>RANK(R90,$R$6:$R$324,0)+COUNTIF($R$6:R90,R90)-1</f>
        <v>95</v>
      </c>
    </row>
    <row r="91" spans="2:19" ht="15" customHeight="1" x14ac:dyDescent="0.25">
      <c r="B91" s="168">
        <v>86</v>
      </c>
      <c r="C91" s="169" t="str">
        <f>IFERROR(INDEX($Q$6:$Q$324,MATCH(86,$S$6:$S$324,0)),"")</f>
        <v>Doç. Dr. Gülçin TELLİ DİZMAN</v>
      </c>
      <c r="D91" s="170">
        <f>IF(C91="","",COUNTIFS(Başvuru!$C:$C,C91,Başvuru!$A:$A,"&lt;&gt;"&amp;"",Başvuru!$F:$F,"&lt;&gt;"&amp;""))</f>
        <v>2</v>
      </c>
      <c r="E91" s="168" t="str">
        <f>IF(C91="","-",IF(D91&gt;0,TEXT(D91/(COUNTIFS(Başvuru!$A:$A,"&lt;&gt;",Başvuru!$F:$F,"&lt;&gt;")-1)*100,"0.0")&amp;"%","-"))</f>
        <v>00%</v>
      </c>
      <c r="F91" s="171">
        <f>IF(C91="","",COUNTIFS(Başvuru!$C:$C,C91,Başvuru!$G:$G,"Bireysel Araştırma",Başvuru!$A:$A,"&lt;&gt;"&amp;"",Başvuru!$F:$F,"&lt;&gt;"&amp;""))</f>
        <v>1</v>
      </c>
      <c r="G91" s="171">
        <f>IF(C91="","",COUNTIFS(Başvuru!$C:$C,C91,Başvuru!$G:$G,"Uzmanlık Tezi",Başvuru!$A:$A,"&lt;&gt;"&amp;"",Başvuru!$F:$F,"&lt;&gt;"&amp;""))</f>
        <v>1</v>
      </c>
      <c r="H91" s="171">
        <f>IF(C91="","",COUNTIFS(Başvuru!$C:$C,C91,Başvuru!$G:$G,"Doktora Tezi",Başvuru!$A:$A,"&lt;&gt;"&amp;"",Başvuru!$F:$F,"&lt;&gt;"&amp;""))</f>
        <v>0</v>
      </c>
      <c r="I91" s="171">
        <f>IF(C91="","",COUNTIFS(Başvuru!$C:$C,C91,Başvuru!$G:$G,"Yüksek Lisans Tezi",Başvuru!$A:$A,"&lt;&gt;"&amp;"",Başvuru!$F:$F,"&lt;&gt;"&amp;""))</f>
        <v>0</v>
      </c>
      <c r="J91" s="172">
        <f>IF(C91="","",COUNTIFS(Başvuru!$C:$C,C91,Başvuru!$L:$L,"ONAY",Başvuru!$A:$A,"&lt;&gt;"&amp;"",Başvuru!$F:$F,"&lt;&gt;"&amp;""))</f>
        <v>2</v>
      </c>
      <c r="K91" s="173">
        <f>IF(C91="","",COUNTIFS(Başvuru!$C:$C,C91,Başvuru!$L:$L,"DÜZELTME",Başvuru!$A:$A,"&lt;&gt;"&amp;"",Başvuru!$F:$F,"&lt;&gt;"&amp;""))</f>
        <v>0</v>
      </c>
      <c r="L91" s="174">
        <f>IF(C91="","",COUNTIFS(Başvuru!$C:$C,C91,Başvuru!$L:$L,"KAEK",Başvuru!$A:$A,"&lt;&gt;"&amp;"",Başvuru!$F:$F,"&lt;&gt;"&amp;""))</f>
        <v>0</v>
      </c>
      <c r="M91" s="175">
        <f>IF(C91="","",COUNTIFS(Başvuru!$C:$C,C91,Başvuru!$L:$L,"GÖRÜŞ",Başvuru!$A:$A,"&lt;&gt;"&amp;"",Başvuru!$F:$F,"&lt;&gt;"&amp;""))</f>
        <v>0</v>
      </c>
      <c r="N91" s="176">
        <f>IF(C91="","",COUNTIFS(Başvuru!$C:$C,C91,Başvuru!$L:$L,"RET",Başvuru!$A:$A,"&lt;&gt;"&amp;"",Başvuru!$F:$F,"&lt;&gt;"&amp;""))</f>
        <v>0</v>
      </c>
      <c r="O91" s="177">
        <f>IF(C91="","",COUNTIFS(Başvuru!$C:$C,C91,Başvuru!$L:$L,"KAPSAM DIŞI",Başvuru!$A:$A,"&lt;&gt;"&amp;"",Başvuru!$F:$F,"&lt;&gt;"&amp;""))</f>
        <v>0</v>
      </c>
      <c r="P91" s="178">
        <f>IF(C91="","",COUNTIFS(Başvuru!$C:$C,C91,Başvuru!$L:$L,"GERİ ÇEKİLDİ",Başvuru!$A:$A,"&lt;&gt;"&amp;"",Başvuru!$F:$F,"&lt;&gt;"&amp;""))</f>
        <v>0</v>
      </c>
      <c r="Q91" s="166" t="s">
        <v>2502</v>
      </c>
      <c r="R91" s="167">
        <f>COUNTIFS(Başvuru!$C:$C,Q91,Başvuru!$A:$A,"&lt;&gt;"&amp;"",Başvuru!$F:$F,"&lt;&gt;"&amp;"")</f>
        <v>2</v>
      </c>
      <c r="S91" s="167">
        <f>RANK(R91,$R$6:$R$324,0)+COUNTIF($R$6:R91,R91)-1</f>
        <v>96</v>
      </c>
    </row>
    <row r="92" spans="2:19" ht="15" customHeight="1" x14ac:dyDescent="0.25">
      <c r="B92" s="155">
        <v>87</v>
      </c>
      <c r="C92" s="156" t="str">
        <f>IFERROR(INDEX($Q$6:$Q$324,MATCH(87,$S$6:$S$324,0)),"")</f>
        <v>Doç. Dr. Hande GÖRÜCÜ COŞKUNER</v>
      </c>
      <c r="D92" s="157">
        <f>IF(C92="","",COUNTIFS(Başvuru!$C:$C,C92,Başvuru!$A:$A,"&lt;&gt;"&amp;"",Başvuru!$F:$F,"&lt;&gt;"&amp;""))</f>
        <v>2</v>
      </c>
      <c r="E92" s="155" t="str">
        <f>IF(C92="","-",IF(D92&gt;0,TEXT(D92/(COUNTIFS(Başvuru!$A:$A,"&lt;&gt;",Başvuru!$F:$F,"&lt;&gt;")-1)*100,"0.0")&amp;"%","-"))</f>
        <v>00%</v>
      </c>
      <c r="F92" s="158">
        <f>IF(C92="","",COUNTIFS(Başvuru!$C:$C,C92,Başvuru!$G:$G,"Bireysel Araştırma",Başvuru!$A:$A,"&lt;&gt;"&amp;"",Başvuru!$F:$F,"&lt;&gt;"&amp;""))</f>
        <v>2</v>
      </c>
      <c r="G92" s="158">
        <f>IF(C92="","",COUNTIFS(Başvuru!$C:$C,C92,Başvuru!$G:$G,"Uzmanlık Tezi",Başvuru!$A:$A,"&lt;&gt;"&amp;"",Başvuru!$F:$F,"&lt;&gt;"&amp;""))</f>
        <v>0</v>
      </c>
      <c r="H92" s="158">
        <f>IF(C92="","",COUNTIFS(Başvuru!$C:$C,C92,Başvuru!$G:$G,"Doktora Tezi",Başvuru!$A:$A,"&lt;&gt;"&amp;"",Başvuru!$F:$F,"&lt;&gt;"&amp;""))</f>
        <v>0</v>
      </c>
      <c r="I92" s="158">
        <f>IF(C92="","",COUNTIFS(Başvuru!$C:$C,C92,Başvuru!$G:$G,"Yüksek Lisans Tezi",Başvuru!$A:$A,"&lt;&gt;"&amp;"",Başvuru!$F:$F,"&lt;&gt;"&amp;""))</f>
        <v>0</v>
      </c>
      <c r="J92" s="159">
        <f>IF(C92="","",COUNTIFS(Başvuru!$C:$C,C92,Başvuru!$L:$L,"ONAY",Başvuru!$A:$A,"&lt;&gt;"&amp;"",Başvuru!$F:$F,"&lt;&gt;"&amp;""))</f>
        <v>0</v>
      </c>
      <c r="K92" s="160">
        <f>IF(C92="","",COUNTIFS(Başvuru!$C:$C,C92,Başvuru!$L:$L,"DÜZELTME",Başvuru!$A:$A,"&lt;&gt;"&amp;"",Başvuru!$F:$F,"&lt;&gt;"&amp;""))</f>
        <v>0</v>
      </c>
      <c r="L92" s="161">
        <f>IF(C92="","",COUNTIFS(Başvuru!$C:$C,C92,Başvuru!$L:$L,"KAEK",Başvuru!$A:$A,"&lt;&gt;"&amp;"",Başvuru!$F:$F,"&lt;&gt;"&amp;""))</f>
        <v>1</v>
      </c>
      <c r="M92" s="162">
        <f>IF(C92="","",COUNTIFS(Başvuru!$C:$C,C92,Başvuru!$L:$L,"GÖRÜŞ",Başvuru!$A:$A,"&lt;&gt;"&amp;"",Başvuru!$F:$F,"&lt;&gt;"&amp;""))</f>
        <v>0</v>
      </c>
      <c r="N92" s="163">
        <f>IF(C92="","",COUNTIFS(Başvuru!$C:$C,C92,Başvuru!$L:$L,"RET",Başvuru!$A:$A,"&lt;&gt;"&amp;"",Başvuru!$F:$F,"&lt;&gt;"&amp;""))</f>
        <v>1</v>
      </c>
      <c r="O92" s="164">
        <f>IF(C92="","",COUNTIFS(Başvuru!$C:$C,C92,Başvuru!$L:$L,"KAPSAM DIŞI",Başvuru!$A:$A,"&lt;&gt;"&amp;"",Başvuru!$F:$F,"&lt;&gt;"&amp;""))</f>
        <v>0</v>
      </c>
      <c r="P92" s="165">
        <f>IF(C92="","",COUNTIFS(Başvuru!$C:$C,C92,Başvuru!$L:$L,"GERİ ÇEKİLDİ",Başvuru!$A:$A,"&lt;&gt;"&amp;"",Başvuru!$F:$F,"&lt;&gt;"&amp;""))</f>
        <v>0</v>
      </c>
      <c r="Q92" s="166" t="s">
        <v>2006</v>
      </c>
      <c r="R92" s="167">
        <f>COUNTIFS(Başvuru!$C:$C,Q92,Başvuru!$A:$A,"&lt;&gt;"&amp;"",Başvuru!$F:$F,"&lt;&gt;"&amp;"")</f>
        <v>1</v>
      </c>
      <c r="S92" s="167">
        <f>RANK(R92,$R$6:$R$324,0)+COUNTIF($R$6:R92,R92)-1</f>
        <v>181</v>
      </c>
    </row>
    <row r="93" spans="2:19" ht="15" customHeight="1" x14ac:dyDescent="0.25">
      <c r="B93" s="168">
        <v>88</v>
      </c>
      <c r="C93" s="169" t="str">
        <f>IFERROR(INDEX($Q$6:$Q$324,MATCH(88,$S$6:$S$324,0)),"")</f>
        <v>Doç. Dr. Leman AKCAN YILDIZ</v>
      </c>
      <c r="D93" s="170">
        <f>IF(C93="","",COUNTIFS(Başvuru!$C:$C,C93,Başvuru!$A:$A,"&lt;&gt;"&amp;"",Başvuru!$F:$F,"&lt;&gt;"&amp;""))</f>
        <v>2</v>
      </c>
      <c r="E93" s="168" t="str">
        <f>IF(C93="","-",IF(D93&gt;0,TEXT(D93/(COUNTIFS(Başvuru!$A:$A,"&lt;&gt;",Başvuru!$F:$F,"&lt;&gt;")-1)*100,"0.0")&amp;"%","-"))</f>
        <v>00%</v>
      </c>
      <c r="F93" s="171">
        <f>IF(C93="","",COUNTIFS(Başvuru!$C:$C,C93,Başvuru!$G:$G,"Bireysel Araştırma",Başvuru!$A:$A,"&lt;&gt;"&amp;"",Başvuru!$F:$F,"&lt;&gt;"&amp;""))</f>
        <v>2</v>
      </c>
      <c r="G93" s="171">
        <f>IF(C93="","",COUNTIFS(Başvuru!$C:$C,C93,Başvuru!$G:$G,"Uzmanlık Tezi",Başvuru!$A:$A,"&lt;&gt;"&amp;"",Başvuru!$F:$F,"&lt;&gt;"&amp;""))</f>
        <v>0</v>
      </c>
      <c r="H93" s="171">
        <f>IF(C93="","",COUNTIFS(Başvuru!$C:$C,C93,Başvuru!$G:$G,"Doktora Tezi",Başvuru!$A:$A,"&lt;&gt;"&amp;"",Başvuru!$F:$F,"&lt;&gt;"&amp;""))</f>
        <v>0</v>
      </c>
      <c r="I93" s="171">
        <f>IF(C93="","",COUNTIFS(Başvuru!$C:$C,C93,Başvuru!$G:$G,"Yüksek Lisans Tezi",Başvuru!$A:$A,"&lt;&gt;"&amp;"",Başvuru!$F:$F,"&lt;&gt;"&amp;""))</f>
        <v>0</v>
      </c>
      <c r="J93" s="172">
        <f>IF(C93="","",COUNTIFS(Başvuru!$C:$C,C93,Başvuru!$L:$L,"ONAY",Başvuru!$A:$A,"&lt;&gt;"&amp;"",Başvuru!$F:$F,"&lt;&gt;"&amp;""))</f>
        <v>2</v>
      </c>
      <c r="K93" s="173">
        <f>IF(C93="","",COUNTIFS(Başvuru!$C:$C,C93,Başvuru!$L:$L,"DÜZELTME",Başvuru!$A:$A,"&lt;&gt;"&amp;"",Başvuru!$F:$F,"&lt;&gt;"&amp;""))</f>
        <v>0</v>
      </c>
      <c r="L93" s="174">
        <f>IF(C93="","",COUNTIFS(Başvuru!$C:$C,C93,Başvuru!$L:$L,"KAEK",Başvuru!$A:$A,"&lt;&gt;"&amp;"",Başvuru!$F:$F,"&lt;&gt;"&amp;""))</f>
        <v>0</v>
      </c>
      <c r="M93" s="175">
        <f>IF(C93="","",COUNTIFS(Başvuru!$C:$C,C93,Başvuru!$L:$L,"GÖRÜŞ",Başvuru!$A:$A,"&lt;&gt;"&amp;"",Başvuru!$F:$F,"&lt;&gt;"&amp;""))</f>
        <v>0</v>
      </c>
      <c r="N93" s="176">
        <f>IF(C93="","",COUNTIFS(Başvuru!$C:$C,C93,Başvuru!$L:$L,"RET",Başvuru!$A:$A,"&lt;&gt;"&amp;"",Başvuru!$F:$F,"&lt;&gt;"&amp;""))</f>
        <v>0</v>
      </c>
      <c r="O93" s="177">
        <f>IF(C93="","",COUNTIFS(Başvuru!$C:$C,C93,Başvuru!$L:$L,"KAPSAM DIŞI",Başvuru!$A:$A,"&lt;&gt;"&amp;"",Başvuru!$F:$F,"&lt;&gt;"&amp;""))</f>
        <v>0</v>
      </c>
      <c r="P93" s="178">
        <f>IF(C93="","",COUNTIFS(Başvuru!$C:$C,C93,Başvuru!$L:$L,"GERİ ÇEKİLDİ",Başvuru!$A:$A,"&lt;&gt;"&amp;"",Başvuru!$F:$F,"&lt;&gt;"&amp;""))</f>
        <v>0</v>
      </c>
      <c r="Q93" s="166" t="s">
        <v>1040</v>
      </c>
      <c r="R93" s="167">
        <f>COUNTIFS(Başvuru!$C:$C,Q93,Başvuru!$A:$A,"&lt;&gt;"&amp;"",Başvuru!$F:$F,"&lt;&gt;"&amp;"")</f>
        <v>1</v>
      </c>
      <c r="S93" s="167">
        <f>RANK(R93,$R$6:$R$324,0)+COUNTIF($R$6:R93,R93)-1</f>
        <v>182</v>
      </c>
    </row>
    <row r="94" spans="2:19" ht="15" customHeight="1" x14ac:dyDescent="0.25">
      <c r="B94" s="155">
        <v>89</v>
      </c>
      <c r="C94" s="156" t="str">
        <f>IFERROR(INDEX($Q$6:$Q$324,MATCH(89,$S$6:$S$324,0)),"")</f>
        <v>Doç. Dr. Melis PEHLİVANTÜRK KIZILKAN</v>
      </c>
      <c r="D94" s="157">
        <f>IF(C94="","",COUNTIFS(Başvuru!$C:$C,C94,Başvuru!$A:$A,"&lt;&gt;"&amp;"",Başvuru!$F:$F,"&lt;&gt;"&amp;""))</f>
        <v>2</v>
      </c>
      <c r="E94" s="155" t="str">
        <f>IF(C94="","-",IF(D94&gt;0,TEXT(D94/(COUNTIFS(Başvuru!$A:$A,"&lt;&gt;",Başvuru!$F:$F,"&lt;&gt;")-1)*100,"0.0")&amp;"%","-"))</f>
        <v>00%</v>
      </c>
      <c r="F94" s="158">
        <f>IF(C94="","",COUNTIFS(Başvuru!$C:$C,C94,Başvuru!$G:$G,"Bireysel Araştırma",Başvuru!$A:$A,"&lt;&gt;"&amp;"",Başvuru!$F:$F,"&lt;&gt;"&amp;""))</f>
        <v>1</v>
      </c>
      <c r="G94" s="158">
        <f>IF(C94="","",COUNTIFS(Başvuru!$C:$C,C94,Başvuru!$G:$G,"Uzmanlık Tezi",Başvuru!$A:$A,"&lt;&gt;"&amp;"",Başvuru!$F:$F,"&lt;&gt;"&amp;""))</f>
        <v>0</v>
      </c>
      <c r="H94" s="158">
        <f>IF(C94="","",COUNTIFS(Başvuru!$C:$C,C94,Başvuru!$G:$G,"Doktora Tezi",Başvuru!$A:$A,"&lt;&gt;"&amp;"",Başvuru!$F:$F,"&lt;&gt;"&amp;""))</f>
        <v>1</v>
      </c>
      <c r="I94" s="158">
        <f>IF(C94="","",COUNTIFS(Başvuru!$C:$C,C94,Başvuru!$G:$G,"Yüksek Lisans Tezi",Başvuru!$A:$A,"&lt;&gt;"&amp;"",Başvuru!$F:$F,"&lt;&gt;"&amp;""))</f>
        <v>0</v>
      </c>
      <c r="J94" s="159">
        <f>IF(C94="","",COUNTIFS(Başvuru!$C:$C,C94,Başvuru!$L:$L,"ONAY",Başvuru!$A:$A,"&lt;&gt;"&amp;"",Başvuru!$F:$F,"&lt;&gt;"&amp;""))</f>
        <v>0</v>
      </c>
      <c r="K94" s="160">
        <f>IF(C94="","",COUNTIFS(Başvuru!$C:$C,C94,Başvuru!$L:$L,"DÜZELTME",Başvuru!$A:$A,"&lt;&gt;"&amp;"",Başvuru!$F:$F,"&lt;&gt;"&amp;""))</f>
        <v>2</v>
      </c>
      <c r="L94" s="161">
        <f>IF(C94="","",COUNTIFS(Başvuru!$C:$C,C94,Başvuru!$L:$L,"KAEK",Başvuru!$A:$A,"&lt;&gt;"&amp;"",Başvuru!$F:$F,"&lt;&gt;"&amp;""))</f>
        <v>0</v>
      </c>
      <c r="M94" s="162">
        <f>IF(C94="","",COUNTIFS(Başvuru!$C:$C,C94,Başvuru!$L:$L,"GÖRÜŞ",Başvuru!$A:$A,"&lt;&gt;"&amp;"",Başvuru!$F:$F,"&lt;&gt;"&amp;""))</f>
        <v>0</v>
      </c>
      <c r="N94" s="163">
        <f>IF(C94="","",COUNTIFS(Başvuru!$C:$C,C94,Başvuru!$L:$L,"RET",Başvuru!$A:$A,"&lt;&gt;"&amp;"",Başvuru!$F:$F,"&lt;&gt;"&amp;""))</f>
        <v>0</v>
      </c>
      <c r="O94" s="164">
        <f>IF(C94="","",COUNTIFS(Başvuru!$C:$C,C94,Başvuru!$L:$L,"KAPSAM DIŞI",Başvuru!$A:$A,"&lt;&gt;"&amp;"",Başvuru!$F:$F,"&lt;&gt;"&amp;""))</f>
        <v>0</v>
      </c>
      <c r="P94" s="165">
        <f>IF(C94="","",COUNTIFS(Başvuru!$C:$C,C94,Başvuru!$L:$L,"GERİ ÇEKİLDİ",Başvuru!$A:$A,"&lt;&gt;"&amp;"",Başvuru!$F:$F,"&lt;&gt;"&amp;""))</f>
        <v>0</v>
      </c>
      <c r="Q94" s="166" t="s">
        <v>493</v>
      </c>
      <c r="R94" s="167">
        <f>COUNTIFS(Başvuru!$C:$C,Q94,Başvuru!$A:$A,"&lt;&gt;"&amp;"",Başvuru!$F:$F,"&lt;&gt;"&amp;"")</f>
        <v>1</v>
      </c>
      <c r="S94" s="167">
        <f>RANK(R94,$R$6:$R$324,0)+COUNTIF($R$6:R94,R94)-1</f>
        <v>183</v>
      </c>
    </row>
    <row r="95" spans="2:19" ht="15" customHeight="1" x14ac:dyDescent="0.25">
      <c r="B95" s="168">
        <v>90</v>
      </c>
      <c r="C95" s="169" t="str">
        <f>IFERROR(INDEX($Q$6:$Q$324,MATCH(90,$S$6:$S$324,0)),"")</f>
        <v>Doç. Dr. Nursel ÇALIK BAŞARAN</v>
      </c>
      <c r="D95" s="170">
        <f>IF(C95="","",COUNTIFS(Başvuru!$C:$C,C95,Başvuru!$A:$A,"&lt;&gt;"&amp;"",Başvuru!$F:$F,"&lt;&gt;"&amp;""))</f>
        <v>2</v>
      </c>
      <c r="E95" s="168" t="str">
        <f>IF(C95="","-",IF(D95&gt;0,TEXT(D95/(COUNTIFS(Başvuru!$A:$A,"&lt;&gt;",Başvuru!$F:$F,"&lt;&gt;")-1)*100,"0.0")&amp;"%","-"))</f>
        <v>00%</v>
      </c>
      <c r="F95" s="171">
        <f>IF(C95="","",COUNTIFS(Başvuru!$C:$C,C95,Başvuru!$G:$G,"Bireysel Araştırma",Başvuru!$A:$A,"&lt;&gt;"&amp;"",Başvuru!$F:$F,"&lt;&gt;"&amp;""))</f>
        <v>1</v>
      </c>
      <c r="G95" s="171">
        <f>IF(C95="","",COUNTIFS(Başvuru!$C:$C,C95,Başvuru!$G:$G,"Uzmanlık Tezi",Başvuru!$A:$A,"&lt;&gt;"&amp;"",Başvuru!$F:$F,"&lt;&gt;"&amp;""))</f>
        <v>1</v>
      </c>
      <c r="H95" s="171">
        <f>IF(C95="","",COUNTIFS(Başvuru!$C:$C,C95,Başvuru!$G:$G,"Doktora Tezi",Başvuru!$A:$A,"&lt;&gt;"&amp;"",Başvuru!$F:$F,"&lt;&gt;"&amp;""))</f>
        <v>0</v>
      </c>
      <c r="I95" s="171">
        <f>IF(C95="","",COUNTIFS(Başvuru!$C:$C,C95,Başvuru!$G:$G,"Yüksek Lisans Tezi",Başvuru!$A:$A,"&lt;&gt;"&amp;"",Başvuru!$F:$F,"&lt;&gt;"&amp;""))</f>
        <v>0</v>
      </c>
      <c r="J95" s="172">
        <f>IF(C95="","",COUNTIFS(Başvuru!$C:$C,C95,Başvuru!$L:$L,"ONAY",Başvuru!$A:$A,"&lt;&gt;"&amp;"",Başvuru!$F:$F,"&lt;&gt;"&amp;""))</f>
        <v>2</v>
      </c>
      <c r="K95" s="173">
        <f>IF(C95="","",COUNTIFS(Başvuru!$C:$C,C95,Başvuru!$L:$L,"DÜZELTME",Başvuru!$A:$A,"&lt;&gt;"&amp;"",Başvuru!$F:$F,"&lt;&gt;"&amp;""))</f>
        <v>0</v>
      </c>
      <c r="L95" s="174">
        <f>IF(C95="","",COUNTIFS(Başvuru!$C:$C,C95,Başvuru!$L:$L,"KAEK",Başvuru!$A:$A,"&lt;&gt;"&amp;"",Başvuru!$F:$F,"&lt;&gt;"&amp;""))</f>
        <v>0</v>
      </c>
      <c r="M95" s="175">
        <f>IF(C95="","",COUNTIFS(Başvuru!$C:$C,C95,Başvuru!$L:$L,"GÖRÜŞ",Başvuru!$A:$A,"&lt;&gt;"&amp;"",Başvuru!$F:$F,"&lt;&gt;"&amp;""))</f>
        <v>0</v>
      </c>
      <c r="N95" s="176">
        <f>IF(C95="","",COUNTIFS(Başvuru!$C:$C,C95,Başvuru!$L:$L,"RET",Başvuru!$A:$A,"&lt;&gt;"&amp;"",Başvuru!$F:$F,"&lt;&gt;"&amp;""))</f>
        <v>0</v>
      </c>
      <c r="O95" s="177">
        <f>IF(C95="","",COUNTIFS(Başvuru!$C:$C,C95,Başvuru!$L:$L,"KAPSAM DIŞI",Başvuru!$A:$A,"&lt;&gt;"&amp;"",Başvuru!$F:$F,"&lt;&gt;"&amp;""))</f>
        <v>0</v>
      </c>
      <c r="P95" s="178">
        <f>IF(C95="","",COUNTIFS(Başvuru!$C:$C,C95,Başvuru!$L:$L,"GERİ ÇEKİLDİ",Başvuru!$A:$A,"&lt;&gt;"&amp;"",Başvuru!$F:$F,"&lt;&gt;"&amp;""))</f>
        <v>0</v>
      </c>
      <c r="Q95" s="166" t="s">
        <v>63</v>
      </c>
      <c r="R95" s="167">
        <f>COUNTIFS(Başvuru!$C:$C,Q95,Başvuru!$A:$A,"&lt;&gt;"&amp;"",Başvuru!$F:$F,"&lt;&gt;"&amp;"")</f>
        <v>1</v>
      </c>
      <c r="S95" s="167">
        <f>RANK(R95,$R$6:$R$324,0)+COUNTIF($R$6:R95,R95)-1</f>
        <v>184</v>
      </c>
    </row>
    <row r="96" spans="2:19" ht="15" customHeight="1" x14ac:dyDescent="0.25">
      <c r="B96" s="155">
        <v>91</v>
      </c>
      <c r="C96" s="156" t="str">
        <f>IFERROR(INDEX($Q$6:$Q$324,MATCH(91,$S$6:$S$324,0)),"")</f>
        <v>Doç. Dr. Oytun PORTAKAL AKÇİN</v>
      </c>
      <c r="D96" s="157">
        <f>IF(C96="","",COUNTIFS(Başvuru!$C:$C,C96,Başvuru!$A:$A,"&lt;&gt;"&amp;"",Başvuru!$F:$F,"&lt;&gt;"&amp;""))</f>
        <v>2</v>
      </c>
      <c r="E96" s="155" t="str">
        <f>IF(C96="","-",IF(D96&gt;0,TEXT(D96/(COUNTIFS(Başvuru!$A:$A,"&lt;&gt;",Başvuru!$F:$F,"&lt;&gt;")-1)*100,"0.0")&amp;"%","-"))</f>
        <v>00%</v>
      </c>
      <c r="F96" s="158">
        <f>IF(C96="","",COUNTIFS(Başvuru!$C:$C,C96,Başvuru!$G:$G,"Bireysel Araştırma",Başvuru!$A:$A,"&lt;&gt;"&amp;"",Başvuru!$F:$F,"&lt;&gt;"&amp;""))</f>
        <v>1</v>
      </c>
      <c r="G96" s="158">
        <f>IF(C96="","",COUNTIFS(Başvuru!$C:$C,C96,Başvuru!$G:$G,"Uzmanlık Tezi",Başvuru!$A:$A,"&lt;&gt;"&amp;"",Başvuru!$F:$F,"&lt;&gt;"&amp;""))</f>
        <v>1</v>
      </c>
      <c r="H96" s="158">
        <f>IF(C96="","",COUNTIFS(Başvuru!$C:$C,C96,Başvuru!$G:$G,"Doktora Tezi",Başvuru!$A:$A,"&lt;&gt;"&amp;"",Başvuru!$F:$F,"&lt;&gt;"&amp;""))</f>
        <v>0</v>
      </c>
      <c r="I96" s="158">
        <f>IF(C96="","",COUNTIFS(Başvuru!$C:$C,C96,Başvuru!$G:$G,"Yüksek Lisans Tezi",Başvuru!$A:$A,"&lt;&gt;"&amp;"",Başvuru!$F:$F,"&lt;&gt;"&amp;""))</f>
        <v>0</v>
      </c>
      <c r="J96" s="159">
        <f>IF(C96="","",COUNTIFS(Başvuru!$C:$C,C96,Başvuru!$L:$L,"ONAY",Başvuru!$A:$A,"&lt;&gt;"&amp;"",Başvuru!$F:$F,"&lt;&gt;"&amp;""))</f>
        <v>0</v>
      </c>
      <c r="K96" s="160">
        <f>IF(C96="","",COUNTIFS(Başvuru!$C:$C,C96,Başvuru!$L:$L,"DÜZELTME",Başvuru!$A:$A,"&lt;&gt;"&amp;"",Başvuru!$F:$F,"&lt;&gt;"&amp;""))</f>
        <v>1</v>
      </c>
      <c r="L96" s="161">
        <f>IF(C96="","",COUNTIFS(Başvuru!$C:$C,C96,Başvuru!$L:$L,"KAEK",Başvuru!$A:$A,"&lt;&gt;"&amp;"",Başvuru!$F:$F,"&lt;&gt;"&amp;""))</f>
        <v>0</v>
      </c>
      <c r="M96" s="162">
        <f>IF(C96="","",COUNTIFS(Başvuru!$C:$C,C96,Başvuru!$L:$L,"GÖRÜŞ",Başvuru!$A:$A,"&lt;&gt;"&amp;"",Başvuru!$F:$F,"&lt;&gt;"&amp;""))</f>
        <v>0</v>
      </c>
      <c r="N96" s="163">
        <f>IF(C96="","",COUNTIFS(Başvuru!$C:$C,C96,Başvuru!$L:$L,"RET",Başvuru!$A:$A,"&lt;&gt;"&amp;"",Başvuru!$F:$F,"&lt;&gt;"&amp;""))</f>
        <v>1</v>
      </c>
      <c r="O96" s="164">
        <f>IF(C96="","",COUNTIFS(Başvuru!$C:$C,C96,Başvuru!$L:$L,"KAPSAM DIŞI",Başvuru!$A:$A,"&lt;&gt;"&amp;"",Başvuru!$F:$F,"&lt;&gt;"&amp;""))</f>
        <v>0</v>
      </c>
      <c r="P96" s="165">
        <f>IF(C96="","",COUNTIFS(Başvuru!$C:$C,C96,Başvuru!$L:$L,"GERİ ÇEKİLDİ",Başvuru!$A:$A,"&lt;&gt;"&amp;"",Başvuru!$F:$F,"&lt;&gt;"&amp;""))</f>
        <v>0</v>
      </c>
      <c r="Q96" s="166" t="s">
        <v>1875</v>
      </c>
      <c r="R96" s="167">
        <f>COUNTIFS(Başvuru!$C:$C,Q96,Başvuru!$A:$A,"&lt;&gt;"&amp;"",Başvuru!$F:$F,"&lt;&gt;"&amp;"")</f>
        <v>1</v>
      </c>
      <c r="S96" s="167">
        <f>RANK(R96,$R$6:$R$324,0)+COUNTIF($R$6:R96,R96)-1</f>
        <v>185</v>
      </c>
    </row>
    <row r="97" spans="2:19" ht="15" customHeight="1" x14ac:dyDescent="0.25">
      <c r="B97" s="168">
        <v>92</v>
      </c>
      <c r="C97" s="169" t="str">
        <f>IFERROR(INDEX($Q$6:$Q$324,MATCH(92,$S$6:$S$324,0)),"")</f>
        <v>Doç. Dr. Oğuz Abdullah UYAROĞLU</v>
      </c>
      <c r="D97" s="170">
        <f>IF(C97="","",COUNTIFS(Başvuru!$C:$C,C97,Başvuru!$A:$A,"&lt;&gt;"&amp;"",Başvuru!$F:$F,"&lt;&gt;"&amp;""))</f>
        <v>2</v>
      </c>
      <c r="E97" s="168" t="str">
        <f>IF(C97="","-",IF(D97&gt;0,TEXT(D97/(COUNTIFS(Başvuru!$A:$A,"&lt;&gt;",Başvuru!$F:$F,"&lt;&gt;")-1)*100,"0.0")&amp;"%","-"))</f>
        <v>00%</v>
      </c>
      <c r="F97" s="171">
        <f>IF(C97="","",COUNTIFS(Başvuru!$C:$C,C97,Başvuru!$G:$G,"Bireysel Araştırma",Başvuru!$A:$A,"&lt;&gt;"&amp;"",Başvuru!$F:$F,"&lt;&gt;"&amp;""))</f>
        <v>2</v>
      </c>
      <c r="G97" s="171">
        <f>IF(C97="","",COUNTIFS(Başvuru!$C:$C,C97,Başvuru!$G:$G,"Uzmanlık Tezi",Başvuru!$A:$A,"&lt;&gt;"&amp;"",Başvuru!$F:$F,"&lt;&gt;"&amp;""))</f>
        <v>0</v>
      </c>
      <c r="H97" s="171">
        <f>IF(C97="","",COUNTIFS(Başvuru!$C:$C,C97,Başvuru!$G:$G,"Doktora Tezi",Başvuru!$A:$A,"&lt;&gt;"&amp;"",Başvuru!$F:$F,"&lt;&gt;"&amp;""))</f>
        <v>0</v>
      </c>
      <c r="I97" s="171">
        <f>IF(C97="","",COUNTIFS(Başvuru!$C:$C,C97,Başvuru!$G:$G,"Yüksek Lisans Tezi",Başvuru!$A:$A,"&lt;&gt;"&amp;"",Başvuru!$F:$F,"&lt;&gt;"&amp;""))</f>
        <v>0</v>
      </c>
      <c r="J97" s="172">
        <f>IF(C97="","",COUNTIFS(Başvuru!$C:$C,C97,Başvuru!$L:$L,"ONAY",Başvuru!$A:$A,"&lt;&gt;"&amp;"",Başvuru!$F:$F,"&lt;&gt;"&amp;""))</f>
        <v>0</v>
      </c>
      <c r="K97" s="173">
        <f>IF(C97="","",COUNTIFS(Başvuru!$C:$C,C97,Başvuru!$L:$L,"DÜZELTME",Başvuru!$A:$A,"&lt;&gt;"&amp;"",Başvuru!$F:$F,"&lt;&gt;"&amp;""))</f>
        <v>1</v>
      </c>
      <c r="L97" s="174">
        <f>IF(C97="","",COUNTIFS(Başvuru!$C:$C,C97,Başvuru!$L:$L,"KAEK",Başvuru!$A:$A,"&lt;&gt;"&amp;"",Başvuru!$F:$F,"&lt;&gt;"&amp;""))</f>
        <v>0</v>
      </c>
      <c r="M97" s="175">
        <f>IF(C97="","",COUNTIFS(Başvuru!$C:$C,C97,Başvuru!$L:$L,"GÖRÜŞ",Başvuru!$A:$A,"&lt;&gt;"&amp;"",Başvuru!$F:$F,"&lt;&gt;"&amp;""))</f>
        <v>0</v>
      </c>
      <c r="N97" s="176">
        <f>IF(C97="","",COUNTIFS(Başvuru!$C:$C,C97,Başvuru!$L:$L,"RET",Başvuru!$A:$A,"&lt;&gt;"&amp;"",Başvuru!$F:$F,"&lt;&gt;"&amp;""))</f>
        <v>0</v>
      </c>
      <c r="O97" s="177">
        <f>IF(C97="","",COUNTIFS(Başvuru!$C:$C,C97,Başvuru!$L:$L,"KAPSAM DIŞI",Başvuru!$A:$A,"&lt;&gt;"&amp;"",Başvuru!$F:$F,"&lt;&gt;"&amp;""))</f>
        <v>0</v>
      </c>
      <c r="P97" s="178">
        <f>IF(C97="","",COUNTIFS(Başvuru!$C:$C,C97,Başvuru!$L:$L,"GERİ ÇEKİLDİ",Başvuru!$A:$A,"&lt;&gt;"&amp;"",Başvuru!$F:$F,"&lt;&gt;"&amp;""))</f>
        <v>0</v>
      </c>
      <c r="Q97" s="166" t="s">
        <v>2582</v>
      </c>
      <c r="R97" s="167">
        <f>COUNTIFS(Başvuru!$C:$C,Q97,Başvuru!$A:$A,"&lt;&gt;"&amp;"",Başvuru!$F:$F,"&lt;&gt;"&amp;"")</f>
        <v>1</v>
      </c>
      <c r="S97" s="167">
        <f>RANK(R97,$R$6:$R$324,0)+COUNTIF($R$6:R97,R97)-1</f>
        <v>186</v>
      </c>
    </row>
    <row r="98" spans="2:19" ht="15" customHeight="1" x14ac:dyDescent="0.25">
      <c r="B98" s="155">
        <v>93</v>
      </c>
      <c r="C98" s="156" t="str">
        <f>IFERROR(INDEX($Q$6:$Q$324,MATCH(93,$S$6:$S$324,0)),"")</f>
        <v>Doç. Dr. Saliha ESENBOĞA</v>
      </c>
      <c r="D98" s="157">
        <f>IF(C98="","",COUNTIFS(Başvuru!$C:$C,C98,Başvuru!$A:$A,"&lt;&gt;"&amp;"",Başvuru!$F:$F,"&lt;&gt;"&amp;""))</f>
        <v>2</v>
      </c>
      <c r="E98" s="155" t="str">
        <f>IF(C98="","-",IF(D98&gt;0,TEXT(D98/(COUNTIFS(Başvuru!$A:$A,"&lt;&gt;",Başvuru!$F:$F,"&lt;&gt;")-1)*100,"0.0")&amp;"%","-"))</f>
        <v>00%</v>
      </c>
      <c r="F98" s="158">
        <f>IF(C98="","",COUNTIFS(Başvuru!$C:$C,C98,Başvuru!$G:$G,"Bireysel Araştırma",Başvuru!$A:$A,"&lt;&gt;"&amp;"",Başvuru!$F:$F,"&lt;&gt;"&amp;""))</f>
        <v>2</v>
      </c>
      <c r="G98" s="158">
        <f>IF(C98="","",COUNTIFS(Başvuru!$C:$C,C98,Başvuru!$G:$G,"Uzmanlık Tezi",Başvuru!$A:$A,"&lt;&gt;"&amp;"",Başvuru!$F:$F,"&lt;&gt;"&amp;""))</f>
        <v>0</v>
      </c>
      <c r="H98" s="158">
        <f>IF(C98="","",COUNTIFS(Başvuru!$C:$C,C98,Başvuru!$G:$G,"Doktora Tezi",Başvuru!$A:$A,"&lt;&gt;"&amp;"",Başvuru!$F:$F,"&lt;&gt;"&amp;""))</f>
        <v>0</v>
      </c>
      <c r="I98" s="158">
        <f>IF(C98="","",COUNTIFS(Başvuru!$C:$C,C98,Başvuru!$G:$G,"Yüksek Lisans Tezi",Başvuru!$A:$A,"&lt;&gt;"&amp;"",Başvuru!$F:$F,"&lt;&gt;"&amp;""))</f>
        <v>0</v>
      </c>
      <c r="J98" s="159">
        <f>IF(C98="","",COUNTIFS(Başvuru!$C:$C,C98,Başvuru!$L:$L,"ONAY",Başvuru!$A:$A,"&lt;&gt;"&amp;"",Başvuru!$F:$F,"&lt;&gt;"&amp;""))</f>
        <v>1</v>
      </c>
      <c r="K98" s="160">
        <f>IF(C98="","",COUNTIFS(Başvuru!$C:$C,C98,Başvuru!$L:$L,"DÜZELTME",Başvuru!$A:$A,"&lt;&gt;"&amp;"",Başvuru!$F:$F,"&lt;&gt;"&amp;""))</f>
        <v>1</v>
      </c>
      <c r="L98" s="161">
        <f>IF(C98="","",COUNTIFS(Başvuru!$C:$C,C98,Başvuru!$L:$L,"KAEK",Başvuru!$A:$A,"&lt;&gt;"&amp;"",Başvuru!$F:$F,"&lt;&gt;"&amp;""))</f>
        <v>0</v>
      </c>
      <c r="M98" s="162">
        <f>IF(C98="","",COUNTIFS(Başvuru!$C:$C,C98,Başvuru!$L:$L,"GÖRÜŞ",Başvuru!$A:$A,"&lt;&gt;"&amp;"",Başvuru!$F:$F,"&lt;&gt;"&amp;""))</f>
        <v>0</v>
      </c>
      <c r="N98" s="163">
        <f>IF(C98="","",COUNTIFS(Başvuru!$C:$C,C98,Başvuru!$L:$L,"RET",Başvuru!$A:$A,"&lt;&gt;"&amp;"",Başvuru!$F:$F,"&lt;&gt;"&amp;""))</f>
        <v>0</v>
      </c>
      <c r="O98" s="164">
        <f>IF(C98="","",COUNTIFS(Başvuru!$C:$C,C98,Başvuru!$L:$L,"KAPSAM DIŞI",Başvuru!$A:$A,"&lt;&gt;"&amp;"",Başvuru!$F:$F,"&lt;&gt;"&amp;""))</f>
        <v>0</v>
      </c>
      <c r="P98" s="165">
        <f>IF(C98="","",COUNTIFS(Başvuru!$C:$C,C98,Başvuru!$L:$L,"GERİ ÇEKİLDİ",Başvuru!$A:$A,"&lt;&gt;"&amp;"",Başvuru!$F:$F,"&lt;&gt;"&amp;""))</f>
        <v>0</v>
      </c>
      <c r="Q98" s="166" t="s">
        <v>1952</v>
      </c>
      <c r="R98" s="167">
        <f>COUNTIFS(Başvuru!$C:$C,Q98,Başvuru!$A:$A,"&lt;&gt;"&amp;"",Başvuru!$F:$F,"&lt;&gt;"&amp;"")</f>
        <v>1</v>
      </c>
      <c r="S98" s="167">
        <f>RANK(R98,$R$6:$R$324,0)+COUNTIF($R$6:R98,R98)-1</f>
        <v>187</v>
      </c>
    </row>
    <row r="99" spans="2:19" ht="15" customHeight="1" x14ac:dyDescent="0.25">
      <c r="B99" s="168">
        <v>94</v>
      </c>
      <c r="C99" s="169" t="str">
        <f>IFERROR(INDEX($Q$6:$Q$324,MATCH(94,$S$6:$S$324,0)),"")</f>
        <v>Doç. Dr. İdil Rana USER KILIÇ</v>
      </c>
      <c r="D99" s="170">
        <f>IF(C99="","",COUNTIFS(Başvuru!$C:$C,C99,Başvuru!$A:$A,"&lt;&gt;"&amp;"",Başvuru!$F:$F,"&lt;&gt;"&amp;""))</f>
        <v>2</v>
      </c>
      <c r="E99" s="168" t="str">
        <f>IF(C99="","-",IF(D99&gt;0,TEXT(D99/(COUNTIFS(Başvuru!$A:$A,"&lt;&gt;",Başvuru!$F:$F,"&lt;&gt;")-1)*100,"0.0")&amp;"%","-"))</f>
        <v>00%</v>
      </c>
      <c r="F99" s="171">
        <f>IF(C99="","",COUNTIFS(Başvuru!$C:$C,C99,Başvuru!$G:$G,"Bireysel Araştırma",Başvuru!$A:$A,"&lt;&gt;"&amp;"",Başvuru!$F:$F,"&lt;&gt;"&amp;""))</f>
        <v>2</v>
      </c>
      <c r="G99" s="171">
        <f>IF(C99="","",COUNTIFS(Başvuru!$C:$C,C99,Başvuru!$G:$G,"Uzmanlık Tezi",Başvuru!$A:$A,"&lt;&gt;"&amp;"",Başvuru!$F:$F,"&lt;&gt;"&amp;""))</f>
        <v>0</v>
      </c>
      <c r="H99" s="171">
        <f>IF(C99="","",COUNTIFS(Başvuru!$C:$C,C99,Başvuru!$G:$G,"Doktora Tezi",Başvuru!$A:$A,"&lt;&gt;"&amp;"",Başvuru!$F:$F,"&lt;&gt;"&amp;""))</f>
        <v>0</v>
      </c>
      <c r="I99" s="171">
        <f>IF(C99="","",COUNTIFS(Başvuru!$C:$C,C99,Başvuru!$G:$G,"Yüksek Lisans Tezi",Başvuru!$A:$A,"&lt;&gt;"&amp;"",Başvuru!$F:$F,"&lt;&gt;"&amp;""))</f>
        <v>0</v>
      </c>
      <c r="J99" s="172">
        <f>IF(C99="","",COUNTIFS(Başvuru!$C:$C,C99,Başvuru!$L:$L,"ONAY",Başvuru!$A:$A,"&lt;&gt;"&amp;"",Başvuru!$F:$F,"&lt;&gt;"&amp;""))</f>
        <v>2</v>
      </c>
      <c r="K99" s="173">
        <f>IF(C99="","",COUNTIFS(Başvuru!$C:$C,C99,Başvuru!$L:$L,"DÜZELTME",Başvuru!$A:$A,"&lt;&gt;"&amp;"",Başvuru!$F:$F,"&lt;&gt;"&amp;""))</f>
        <v>0</v>
      </c>
      <c r="L99" s="174">
        <f>IF(C99="","",COUNTIFS(Başvuru!$C:$C,C99,Başvuru!$L:$L,"KAEK",Başvuru!$A:$A,"&lt;&gt;"&amp;"",Başvuru!$F:$F,"&lt;&gt;"&amp;""))</f>
        <v>0</v>
      </c>
      <c r="M99" s="175">
        <f>IF(C99="","",COUNTIFS(Başvuru!$C:$C,C99,Başvuru!$L:$L,"GÖRÜŞ",Başvuru!$A:$A,"&lt;&gt;"&amp;"",Başvuru!$F:$F,"&lt;&gt;"&amp;""))</f>
        <v>0</v>
      </c>
      <c r="N99" s="176">
        <f>IF(C99="","",COUNTIFS(Başvuru!$C:$C,C99,Başvuru!$L:$L,"RET",Başvuru!$A:$A,"&lt;&gt;"&amp;"",Başvuru!$F:$F,"&lt;&gt;"&amp;""))</f>
        <v>0</v>
      </c>
      <c r="O99" s="177">
        <f>IF(C99="","",COUNTIFS(Başvuru!$C:$C,C99,Başvuru!$L:$L,"KAPSAM DIŞI",Başvuru!$A:$A,"&lt;&gt;"&amp;"",Başvuru!$F:$F,"&lt;&gt;"&amp;""))</f>
        <v>0</v>
      </c>
      <c r="P99" s="178">
        <f>IF(C99="","",COUNTIFS(Başvuru!$C:$C,C99,Başvuru!$L:$L,"GERİ ÇEKİLDİ",Başvuru!$A:$A,"&lt;&gt;"&amp;"",Başvuru!$F:$F,"&lt;&gt;"&amp;""))</f>
        <v>0</v>
      </c>
      <c r="Q99" s="166" t="s">
        <v>338</v>
      </c>
      <c r="R99" s="167">
        <f>COUNTIFS(Başvuru!$C:$C,Q99,Başvuru!$A:$A,"&lt;&gt;"&amp;"",Başvuru!$F:$F,"&lt;&gt;"&amp;"")</f>
        <v>3</v>
      </c>
      <c r="S99" s="167">
        <f>RANK(R99,$R$6:$R$324,0)+COUNTIF($R$6:R99,R99)-1</f>
        <v>51</v>
      </c>
    </row>
    <row r="100" spans="2:19" ht="15" customHeight="1" x14ac:dyDescent="0.25">
      <c r="B100" s="155">
        <v>95</v>
      </c>
      <c r="C100" s="156" t="str">
        <f>IFERROR(INDEX($Q$6:$Q$324,MATCH(95,$S$6:$S$324,0)),"")</f>
        <v>Doç. Dr. İzzet FİDANCI</v>
      </c>
      <c r="D100" s="157">
        <f>IF(C100="","",COUNTIFS(Başvuru!$C:$C,C100,Başvuru!$A:$A,"&lt;&gt;"&amp;"",Başvuru!$F:$F,"&lt;&gt;"&amp;""))</f>
        <v>2</v>
      </c>
      <c r="E100" s="155" t="str">
        <f>IF(C100="","-",IF(D100&gt;0,TEXT(D100/(COUNTIFS(Başvuru!$A:$A,"&lt;&gt;",Başvuru!$F:$F,"&lt;&gt;")-1)*100,"0.0")&amp;"%","-"))</f>
        <v>00%</v>
      </c>
      <c r="F100" s="158">
        <f>IF(C100="","",COUNTIFS(Başvuru!$C:$C,C100,Başvuru!$G:$G,"Bireysel Araştırma",Başvuru!$A:$A,"&lt;&gt;"&amp;"",Başvuru!$F:$F,"&lt;&gt;"&amp;""))</f>
        <v>2</v>
      </c>
      <c r="G100" s="158">
        <f>IF(C100="","",COUNTIFS(Başvuru!$C:$C,C100,Başvuru!$G:$G,"Uzmanlık Tezi",Başvuru!$A:$A,"&lt;&gt;"&amp;"",Başvuru!$F:$F,"&lt;&gt;"&amp;""))</f>
        <v>0</v>
      </c>
      <c r="H100" s="158">
        <f>IF(C100="","",COUNTIFS(Başvuru!$C:$C,C100,Başvuru!$G:$G,"Doktora Tezi",Başvuru!$A:$A,"&lt;&gt;"&amp;"",Başvuru!$F:$F,"&lt;&gt;"&amp;""))</f>
        <v>0</v>
      </c>
      <c r="I100" s="158">
        <f>IF(C100="","",COUNTIFS(Başvuru!$C:$C,C100,Başvuru!$G:$G,"Yüksek Lisans Tezi",Başvuru!$A:$A,"&lt;&gt;"&amp;"",Başvuru!$F:$F,"&lt;&gt;"&amp;""))</f>
        <v>0</v>
      </c>
      <c r="J100" s="159">
        <f>IF(C100="","",COUNTIFS(Başvuru!$C:$C,C100,Başvuru!$L:$L,"ONAY",Başvuru!$A:$A,"&lt;&gt;"&amp;"",Başvuru!$F:$F,"&lt;&gt;"&amp;""))</f>
        <v>0</v>
      </c>
      <c r="K100" s="160">
        <f>IF(C100="","",COUNTIFS(Başvuru!$C:$C,C100,Başvuru!$L:$L,"DÜZELTME",Başvuru!$A:$A,"&lt;&gt;"&amp;"",Başvuru!$F:$F,"&lt;&gt;"&amp;""))</f>
        <v>2</v>
      </c>
      <c r="L100" s="161">
        <f>IF(C100="","",COUNTIFS(Başvuru!$C:$C,C100,Başvuru!$L:$L,"KAEK",Başvuru!$A:$A,"&lt;&gt;"&amp;"",Başvuru!$F:$F,"&lt;&gt;"&amp;""))</f>
        <v>0</v>
      </c>
      <c r="M100" s="162">
        <f>IF(C100="","",COUNTIFS(Başvuru!$C:$C,C100,Başvuru!$L:$L,"GÖRÜŞ",Başvuru!$A:$A,"&lt;&gt;"&amp;"",Başvuru!$F:$F,"&lt;&gt;"&amp;""))</f>
        <v>0</v>
      </c>
      <c r="N100" s="163">
        <f>IF(C100="","",COUNTIFS(Başvuru!$C:$C,C100,Başvuru!$L:$L,"RET",Başvuru!$A:$A,"&lt;&gt;"&amp;"",Başvuru!$F:$F,"&lt;&gt;"&amp;""))</f>
        <v>0</v>
      </c>
      <c r="O100" s="164">
        <f>IF(C100="","",COUNTIFS(Başvuru!$C:$C,C100,Başvuru!$L:$L,"KAPSAM DIŞI",Başvuru!$A:$A,"&lt;&gt;"&amp;"",Başvuru!$F:$F,"&lt;&gt;"&amp;""))</f>
        <v>0</v>
      </c>
      <c r="P100" s="165">
        <f>IF(C100="","",COUNTIFS(Başvuru!$C:$C,C100,Başvuru!$L:$L,"GERİ ÇEKİLDİ",Başvuru!$A:$A,"&lt;&gt;"&amp;"",Başvuru!$F:$F,"&lt;&gt;"&amp;""))</f>
        <v>0</v>
      </c>
      <c r="Q100" s="166" t="s">
        <v>801</v>
      </c>
      <c r="R100" s="167">
        <f>COUNTIFS(Başvuru!$C:$C,Q100,Başvuru!$A:$A,"&lt;&gt;"&amp;"",Başvuru!$F:$F,"&lt;&gt;"&amp;"")</f>
        <v>2</v>
      </c>
      <c r="S100" s="167">
        <f>RANK(R100,$R$6:$R$324,0)+COUNTIF($R$6:R100,R100)-1</f>
        <v>97</v>
      </c>
    </row>
    <row r="101" spans="2:19" ht="15" customHeight="1" x14ac:dyDescent="0.25">
      <c r="B101" s="168">
        <v>96</v>
      </c>
      <c r="C101" s="169" t="str">
        <f>IFERROR(INDEX($Q$6:$Q$324,MATCH(96,$S$6:$S$324,0)),"")</f>
        <v>Doç. Dr. Şahin HANALİOĞLU</v>
      </c>
      <c r="D101" s="170">
        <f>IF(C101="","",COUNTIFS(Başvuru!$C:$C,C101,Başvuru!$A:$A,"&lt;&gt;"&amp;"",Başvuru!$F:$F,"&lt;&gt;"&amp;""))</f>
        <v>2</v>
      </c>
      <c r="E101" s="168" t="str">
        <f>IF(C101="","-",IF(D101&gt;0,TEXT(D101/(COUNTIFS(Başvuru!$A:$A,"&lt;&gt;",Başvuru!$F:$F,"&lt;&gt;")-1)*100,"0.0")&amp;"%","-"))</f>
        <v>00%</v>
      </c>
      <c r="F101" s="171">
        <f>IF(C101="","",COUNTIFS(Başvuru!$C:$C,C101,Başvuru!$G:$G,"Bireysel Araştırma",Başvuru!$A:$A,"&lt;&gt;"&amp;"",Başvuru!$F:$F,"&lt;&gt;"&amp;""))</f>
        <v>1</v>
      </c>
      <c r="G101" s="171">
        <f>IF(C101="","",COUNTIFS(Başvuru!$C:$C,C101,Başvuru!$G:$G,"Uzmanlık Tezi",Başvuru!$A:$A,"&lt;&gt;"&amp;"",Başvuru!$F:$F,"&lt;&gt;"&amp;""))</f>
        <v>1</v>
      </c>
      <c r="H101" s="171">
        <f>IF(C101="","",COUNTIFS(Başvuru!$C:$C,C101,Başvuru!$G:$G,"Doktora Tezi",Başvuru!$A:$A,"&lt;&gt;"&amp;"",Başvuru!$F:$F,"&lt;&gt;"&amp;""))</f>
        <v>0</v>
      </c>
      <c r="I101" s="171">
        <f>IF(C101="","",COUNTIFS(Başvuru!$C:$C,C101,Başvuru!$G:$G,"Yüksek Lisans Tezi",Başvuru!$A:$A,"&lt;&gt;"&amp;"",Başvuru!$F:$F,"&lt;&gt;"&amp;""))</f>
        <v>0</v>
      </c>
      <c r="J101" s="172">
        <f>IF(C101="","",COUNTIFS(Başvuru!$C:$C,C101,Başvuru!$L:$L,"ONAY",Başvuru!$A:$A,"&lt;&gt;"&amp;"",Başvuru!$F:$F,"&lt;&gt;"&amp;""))</f>
        <v>0</v>
      </c>
      <c r="K101" s="173">
        <f>IF(C101="","",COUNTIFS(Başvuru!$C:$C,C101,Başvuru!$L:$L,"DÜZELTME",Başvuru!$A:$A,"&lt;&gt;"&amp;"",Başvuru!$F:$F,"&lt;&gt;"&amp;""))</f>
        <v>1</v>
      </c>
      <c r="L101" s="174">
        <f>IF(C101="","",COUNTIFS(Başvuru!$C:$C,C101,Başvuru!$L:$L,"KAEK",Başvuru!$A:$A,"&lt;&gt;"&amp;"",Başvuru!$F:$F,"&lt;&gt;"&amp;""))</f>
        <v>0</v>
      </c>
      <c r="M101" s="175">
        <f>IF(C101="","",COUNTIFS(Başvuru!$C:$C,C101,Başvuru!$L:$L,"GÖRÜŞ",Başvuru!$A:$A,"&lt;&gt;"&amp;"",Başvuru!$F:$F,"&lt;&gt;"&amp;""))</f>
        <v>0</v>
      </c>
      <c r="N101" s="176">
        <f>IF(C101="","",COUNTIFS(Başvuru!$C:$C,C101,Başvuru!$L:$L,"RET",Başvuru!$A:$A,"&lt;&gt;"&amp;"",Başvuru!$F:$F,"&lt;&gt;"&amp;""))</f>
        <v>0</v>
      </c>
      <c r="O101" s="177">
        <f>IF(C101="","",COUNTIFS(Başvuru!$C:$C,C101,Başvuru!$L:$L,"KAPSAM DIŞI",Başvuru!$A:$A,"&lt;&gt;"&amp;"",Başvuru!$F:$F,"&lt;&gt;"&amp;""))</f>
        <v>0</v>
      </c>
      <c r="P101" s="178">
        <f>IF(C101="","",COUNTIFS(Başvuru!$C:$C,C101,Başvuru!$L:$L,"GERİ ÇEKİLDİ",Başvuru!$A:$A,"&lt;&gt;"&amp;"",Başvuru!$F:$F,"&lt;&gt;"&amp;""))</f>
        <v>0</v>
      </c>
      <c r="Q101" s="166" t="s">
        <v>2341</v>
      </c>
      <c r="R101" s="167">
        <f>COUNTIFS(Başvuru!$C:$C,Q101,Başvuru!$A:$A,"&lt;&gt;"&amp;"",Başvuru!$F:$F,"&lt;&gt;"&amp;"")</f>
        <v>1</v>
      </c>
      <c r="S101" s="167">
        <f>RANK(R101,$R$6:$R$324,0)+COUNTIF($R$6:R101,R101)-1</f>
        <v>188</v>
      </c>
    </row>
    <row r="102" spans="2:19" ht="15" customHeight="1" x14ac:dyDescent="0.25">
      <c r="B102" s="155">
        <v>97</v>
      </c>
      <c r="C102" s="156" t="str">
        <f>IFERROR(INDEX($Q$6:$Q$324,MATCH(97,$S$6:$S$324,0)),"")</f>
        <v>Dr. Öğr. Üyesi Arda ÇETİNKAYA</v>
      </c>
      <c r="D102" s="157">
        <f>IF(C102="","",COUNTIFS(Başvuru!$C:$C,C102,Başvuru!$A:$A,"&lt;&gt;"&amp;"",Başvuru!$F:$F,"&lt;&gt;"&amp;""))</f>
        <v>2</v>
      </c>
      <c r="E102" s="155" t="str">
        <f>IF(C102="","-",IF(D102&gt;0,TEXT(D102/(COUNTIFS(Başvuru!$A:$A,"&lt;&gt;",Başvuru!$F:$F,"&lt;&gt;")-1)*100,"0.0")&amp;"%","-"))</f>
        <v>00%</v>
      </c>
      <c r="F102" s="158">
        <f>IF(C102="","",COUNTIFS(Başvuru!$C:$C,C102,Başvuru!$G:$G,"Bireysel Araştırma",Başvuru!$A:$A,"&lt;&gt;"&amp;"",Başvuru!$F:$F,"&lt;&gt;"&amp;""))</f>
        <v>0</v>
      </c>
      <c r="G102" s="158">
        <f>IF(C102="","",COUNTIFS(Başvuru!$C:$C,C102,Başvuru!$G:$G,"Uzmanlık Tezi",Başvuru!$A:$A,"&lt;&gt;"&amp;"",Başvuru!$F:$F,"&lt;&gt;"&amp;""))</f>
        <v>1</v>
      </c>
      <c r="H102" s="158">
        <f>IF(C102="","",COUNTIFS(Başvuru!$C:$C,C102,Başvuru!$G:$G,"Doktora Tezi",Başvuru!$A:$A,"&lt;&gt;"&amp;"",Başvuru!$F:$F,"&lt;&gt;"&amp;""))</f>
        <v>0</v>
      </c>
      <c r="I102" s="158">
        <f>IF(C102="","",COUNTIFS(Başvuru!$C:$C,C102,Başvuru!$G:$G,"Yüksek Lisans Tezi",Başvuru!$A:$A,"&lt;&gt;"&amp;"",Başvuru!$F:$F,"&lt;&gt;"&amp;""))</f>
        <v>1</v>
      </c>
      <c r="J102" s="159">
        <f>IF(C102="","",COUNTIFS(Başvuru!$C:$C,C102,Başvuru!$L:$L,"ONAY",Başvuru!$A:$A,"&lt;&gt;"&amp;"",Başvuru!$F:$F,"&lt;&gt;"&amp;""))</f>
        <v>2</v>
      </c>
      <c r="K102" s="160">
        <f>IF(C102="","",COUNTIFS(Başvuru!$C:$C,C102,Başvuru!$L:$L,"DÜZELTME",Başvuru!$A:$A,"&lt;&gt;"&amp;"",Başvuru!$F:$F,"&lt;&gt;"&amp;""))</f>
        <v>0</v>
      </c>
      <c r="L102" s="161">
        <f>IF(C102="","",COUNTIFS(Başvuru!$C:$C,C102,Başvuru!$L:$L,"KAEK",Başvuru!$A:$A,"&lt;&gt;"&amp;"",Başvuru!$F:$F,"&lt;&gt;"&amp;""))</f>
        <v>0</v>
      </c>
      <c r="M102" s="162">
        <f>IF(C102="","",COUNTIFS(Başvuru!$C:$C,C102,Başvuru!$L:$L,"GÖRÜŞ",Başvuru!$A:$A,"&lt;&gt;"&amp;"",Başvuru!$F:$F,"&lt;&gt;"&amp;""))</f>
        <v>0</v>
      </c>
      <c r="N102" s="163">
        <f>IF(C102="","",COUNTIFS(Başvuru!$C:$C,C102,Başvuru!$L:$L,"RET",Başvuru!$A:$A,"&lt;&gt;"&amp;"",Başvuru!$F:$F,"&lt;&gt;"&amp;""))</f>
        <v>0</v>
      </c>
      <c r="O102" s="164">
        <f>IF(C102="","",COUNTIFS(Başvuru!$C:$C,C102,Başvuru!$L:$L,"KAPSAM DIŞI",Başvuru!$A:$A,"&lt;&gt;"&amp;"",Başvuru!$F:$F,"&lt;&gt;"&amp;""))</f>
        <v>0</v>
      </c>
      <c r="P102" s="165">
        <f>IF(C102="","",COUNTIFS(Başvuru!$C:$C,C102,Başvuru!$L:$L,"GERİ ÇEKİLDİ",Başvuru!$A:$A,"&lt;&gt;"&amp;"",Başvuru!$F:$F,"&lt;&gt;"&amp;""))</f>
        <v>0</v>
      </c>
      <c r="Q102" s="166" t="s">
        <v>1021</v>
      </c>
      <c r="R102" s="167">
        <f>COUNTIFS(Başvuru!$C:$C,Q102,Başvuru!$A:$A,"&lt;&gt;"&amp;"",Başvuru!$F:$F,"&lt;&gt;"&amp;"")</f>
        <v>1</v>
      </c>
      <c r="S102" s="167">
        <f>RANK(R102,$R$6:$R$324,0)+COUNTIF($R$6:R102,R102)-1</f>
        <v>189</v>
      </c>
    </row>
    <row r="103" spans="2:19" ht="15" customHeight="1" x14ac:dyDescent="0.25">
      <c r="B103" s="168">
        <v>98</v>
      </c>
      <c r="C103" s="169" t="str">
        <f>IFERROR(INDEX($Q$6:$Q$324,MATCH(98,$S$6:$S$324,0)),"")</f>
        <v>Dr. Öğr. Üyesi Ayşe METE YEŞİL</v>
      </c>
      <c r="D103" s="170">
        <f>IF(C103="","",COUNTIFS(Başvuru!$C:$C,C103,Başvuru!$A:$A,"&lt;&gt;"&amp;"",Başvuru!$F:$F,"&lt;&gt;"&amp;""))</f>
        <v>2</v>
      </c>
      <c r="E103" s="168" t="str">
        <f>IF(C103="","-",IF(D103&gt;0,TEXT(D103/(COUNTIFS(Başvuru!$A:$A,"&lt;&gt;",Başvuru!$F:$F,"&lt;&gt;")-1)*100,"0.0")&amp;"%","-"))</f>
        <v>00%</v>
      </c>
      <c r="F103" s="171">
        <f>IF(C103="","",COUNTIFS(Başvuru!$C:$C,C103,Başvuru!$G:$G,"Bireysel Araştırma",Başvuru!$A:$A,"&lt;&gt;"&amp;"",Başvuru!$F:$F,"&lt;&gt;"&amp;""))</f>
        <v>1</v>
      </c>
      <c r="G103" s="171">
        <f>IF(C103="","",COUNTIFS(Başvuru!$C:$C,C103,Başvuru!$G:$G,"Uzmanlık Tezi",Başvuru!$A:$A,"&lt;&gt;"&amp;"",Başvuru!$F:$F,"&lt;&gt;"&amp;""))</f>
        <v>1</v>
      </c>
      <c r="H103" s="171">
        <f>IF(C103="","",COUNTIFS(Başvuru!$C:$C,C103,Başvuru!$G:$G,"Doktora Tezi",Başvuru!$A:$A,"&lt;&gt;"&amp;"",Başvuru!$F:$F,"&lt;&gt;"&amp;""))</f>
        <v>0</v>
      </c>
      <c r="I103" s="171">
        <f>IF(C103="","",COUNTIFS(Başvuru!$C:$C,C103,Başvuru!$G:$G,"Yüksek Lisans Tezi",Başvuru!$A:$A,"&lt;&gt;"&amp;"",Başvuru!$F:$F,"&lt;&gt;"&amp;""))</f>
        <v>0</v>
      </c>
      <c r="J103" s="172">
        <f>IF(C103="","",COUNTIFS(Başvuru!$C:$C,C103,Başvuru!$L:$L,"ONAY",Başvuru!$A:$A,"&lt;&gt;"&amp;"",Başvuru!$F:$F,"&lt;&gt;"&amp;""))</f>
        <v>0</v>
      </c>
      <c r="K103" s="173">
        <f>IF(C103="","",COUNTIFS(Başvuru!$C:$C,C103,Başvuru!$L:$L,"DÜZELTME",Başvuru!$A:$A,"&lt;&gt;"&amp;"",Başvuru!$F:$F,"&lt;&gt;"&amp;""))</f>
        <v>2</v>
      </c>
      <c r="L103" s="174">
        <f>IF(C103="","",COUNTIFS(Başvuru!$C:$C,C103,Başvuru!$L:$L,"KAEK",Başvuru!$A:$A,"&lt;&gt;"&amp;"",Başvuru!$F:$F,"&lt;&gt;"&amp;""))</f>
        <v>0</v>
      </c>
      <c r="M103" s="175">
        <f>IF(C103="","",COUNTIFS(Başvuru!$C:$C,C103,Başvuru!$L:$L,"GÖRÜŞ",Başvuru!$A:$A,"&lt;&gt;"&amp;"",Başvuru!$F:$F,"&lt;&gt;"&amp;""))</f>
        <v>0</v>
      </c>
      <c r="N103" s="176">
        <f>IF(C103="","",COUNTIFS(Başvuru!$C:$C,C103,Başvuru!$L:$L,"RET",Başvuru!$A:$A,"&lt;&gt;"&amp;"",Başvuru!$F:$F,"&lt;&gt;"&amp;""))</f>
        <v>0</v>
      </c>
      <c r="O103" s="177">
        <f>IF(C103="","",COUNTIFS(Başvuru!$C:$C,C103,Başvuru!$L:$L,"KAPSAM DIŞI",Başvuru!$A:$A,"&lt;&gt;"&amp;"",Başvuru!$F:$F,"&lt;&gt;"&amp;""))</f>
        <v>0</v>
      </c>
      <c r="P103" s="178">
        <f>IF(C103="","",COUNTIFS(Başvuru!$C:$C,C103,Başvuru!$L:$L,"GERİ ÇEKİLDİ",Başvuru!$A:$A,"&lt;&gt;"&amp;"",Başvuru!$F:$F,"&lt;&gt;"&amp;""))</f>
        <v>0</v>
      </c>
      <c r="Q103" s="166" t="s">
        <v>1074</v>
      </c>
      <c r="R103" s="167">
        <f>COUNTIFS(Başvuru!$C:$C,Q103,Başvuru!$A:$A,"&lt;&gt;"&amp;"",Başvuru!$F:$F,"&lt;&gt;"&amp;"")</f>
        <v>4</v>
      </c>
      <c r="S103" s="167">
        <f>RANK(R103,$R$6:$R$324,0)+COUNTIF($R$6:R103,R103)-1</f>
        <v>34</v>
      </c>
    </row>
    <row r="104" spans="2:19" ht="15" customHeight="1" x14ac:dyDescent="0.25">
      <c r="B104" s="155">
        <v>99</v>
      </c>
      <c r="C104" s="156" t="str">
        <f>IFERROR(INDEX($Q$6:$Q$324,MATCH(99,$S$6:$S$324,0)),"")</f>
        <v>Dr. Öğr. Üyesi Barış KAFA</v>
      </c>
      <c r="D104" s="157">
        <f>IF(C104="","",COUNTIFS(Başvuru!$C:$C,C104,Başvuru!$A:$A,"&lt;&gt;"&amp;"",Başvuru!$F:$F,"&lt;&gt;"&amp;""))</f>
        <v>2</v>
      </c>
      <c r="E104" s="155" t="str">
        <f>IF(C104="","-",IF(D104&gt;0,TEXT(D104/(COUNTIFS(Başvuru!$A:$A,"&lt;&gt;",Başvuru!$F:$F,"&lt;&gt;")-1)*100,"0.0")&amp;"%","-"))</f>
        <v>00%</v>
      </c>
      <c r="F104" s="158">
        <f>IF(C104="","",COUNTIFS(Başvuru!$C:$C,C104,Başvuru!$G:$G,"Bireysel Araştırma",Başvuru!$A:$A,"&lt;&gt;"&amp;"",Başvuru!$F:$F,"&lt;&gt;"&amp;""))</f>
        <v>2</v>
      </c>
      <c r="G104" s="158">
        <f>IF(C104="","",COUNTIFS(Başvuru!$C:$C,C104,Başvuru!$G:$G,"Uzmanlık Tezi",Başvuru!$A:$A,"&lt;&gt;"&amp;"",Başvuru!$F:$F,"&lt;&gt;"&amp;""))</f>
        <v>0</v>
      </c>
      <c r="H104" s="158">
        <f>IF(C104="","",COUNTIFS(Başvuru!$C:$C,C104,Başvuru!$G:$G,"Doktora Tezi",Başvuru!$A:$A,"&lt;&gt;"&amp;"",Başvuru!$F:$F,"&lt;&gt;"&amp;""))</f>
        <v>0</v>
      </c>
      <c r="I104" s="158">
        <f>IF(C104="","",COUNTIFS(Başvuru!$C:$C,C104,Başvuru!$G:$G,"Yüksek Lisans Tezi",Başvuru!$A:$A,"&lt;&gt;"&amp;"",Başvuru!$F:$F,"&lt;&gt;"&amp;""))</f>
        <v>0</v>
      </c>
      <c r="J104" s="159">
        <f>IF(C104="","",COUNTIFS(Başvuru!$C:$C,C104,Başvuru!$L:$L,"ONAY",Başvuru!$A:$A,"&lt;&gt;"&amp;"",Başvuru!$F:$F,"&lt;&gt;"&amp;""))</f>
        <v>1</v>
      </c>
      <c r="K104" s="160">
        <f>IF(C104="","",COUNTIFS(Başvuru!$C:$C,C104,Başvuru!$L:$L,"DÜZELTME",Başvuru!$A:$A,"&lt;&gt;"&amp;"",Başvuru!$F:$F,"&lt;&gt;"&amp;""))</f>
        <v>1</v>
      </c>
      <c r="L104" s="161">
        <f>IF(C104="","",COUNTIFS(Başvuru!$C:$C,C104,Başvuru!$L:$L,"KAEK",Başvuru!$A:$A,"&lt;&gt;"&amp;"",Başvuru!$F:$F,"&lt;&gt;"&amp;""))</f>
        <v>0</v>
      </c>
      <c r="M104" s="162">
        <f>IF(C104="","",COUNTIFS(Başvuru!$C:$C,C104,Başvuru!$L:$L,"GÖRÜŞ",Başvuru!$A:$A,"&lt;&gt;"&amp;"",Başvuru!$F:$F,"&lt;&gt;"&amp;""))</f>
        <v>0</v>
      </c>
      <c r="N104" s="163">
        <f>IF(C104="","",COUNTIFS(Başvuru!$C:$C,C104,Başvuru!$L:$L,"RET",Başvuru!$A:$A,"&lt;&gt;"&amp;"",Başvuru!$F:$F,"&lt;&gt;"&amp;""))</f>
        <v>0</v>
      </c>
      <c r="O104" s="164">
        <f>IF(C104="","",COUNTIFS(Başvuru!$C:$C,C104,Başvuru!$L:$L,"KAPSAM DIŞI",Başvuru!$A:$A,"&lt;&gt;"&amp;"",Başvuru!$F:$F,"&lt;&gt;"&amp;""))</f>
        <v>0</v>
      </c>
      <c r="P104" s="165">
        <f>IF(C104="","",COUNTIFS(Başvuru!$C:$C,C104,Başvuru!$L:$L,"GERİ ÇEKİLDİ",Başvuru!$A:$A,"&lt;&gt;"&amp;"",Başvuru!$F:$F,"&lt;&gt;"&amp;""))</f>
        <v>0</v>
      </c>
      <c r="Q104" s="166" t="s">
        <v>765</v>
      </c>
      <c r="R104" s="167">
        <f>COUNTIFS(Başvuru!$C:$C,Q104,Başvuru!$A:$A,"&lt;&gt;"&amp;"",Başvuru!$F:$F,"&lt;&gt;"&amp;"")</f>
        <v>2</v>
      </c>
      <c r="S104" s="167">
        <f>RANK(R104,$R$6:$R$324,0)+COUNTIF($R$6:R104,R104)-1</f>
        <v>98</v>
      </c>
    </row>
    <row r="105" spans="2:19" ht="15" customHeight="1" x14ac:dyDescent="0.25">
      <c r="B105" s="168">
        <v>100</v>
      </c>
      <c r="C105" s="169" t="str">
        <f>IFERROR(INDEX($Q$6:$Q$324,MATCH(100,$S$6:$S$324,0)),"")</f>
        <v>Dr. Öğr. Üyesi Ergin EROĞLU</v>
      </c>
      <c r="D105" s="170">
        <f>IF(C105="","",COUNTIFS(Başvuru!$C:$C,C105,Başvuru!$A:$A,"&lt;&gt;"&amp;"",Başvuru!$F:$F,"&lt;&gt;"&amp;""))</f>
        <v>2</v>
      </c>
      <c r="E105" s="168" t="str">
        <f>IF(C105="","-",IF(D105&gt;0,TEXT(D105/(COUNTIFS(Başvuru!$A:$A,"&lt;&gt;",Başvuru!$F:$F,"&lt;&gt;")-1)*100,"0.0")&amp;"%","-"))</f>
        <v>00%</v>
      </c>
      <c r="F105" s="171">
        <f>IF(C105="","",COUNTIFS(Başvuru!$C:$C,C105,Başvuru!$G:$G,"Bireysel Araştırma",Başvuru!$A:$A,"&lt;&gt;"&amp;"",Başvuru!$F:$F,"&lt;&gt;"&amp;""))</f>
        <v>2</v>
      </c>
      <c r="G105" s="171">
        <f>IF(C105="","",COUNTIFS(Başvuru!$C:$C,C105,Başvuru!$G:$G,"Uzmanlık Tezi",Başvuru!$A:$A,"&lt;&gt;"&amp;"",Başvuru!$F:$F,"&lt;&gt;"&amp;""))</f>
        <v>0</v>
      </c>
      <c r="H105" s="171">
        <f>IF(C105="","",COUNTIFS(Başvuru!$C:$C,C105,Başvuru!$G:$G,"Doktora Tezi",Başvuru!$A:$A,"&lt;&gt;"&amp;"",Başvuru!$F:$F,"&lt;&gt;"&amp;""))</f>
        <v>0</v>
      </c>
      <c r="I105" s="171">
        <f>IF(C105="","",COUNTIFS(Başvuru!$C:$C,C105,Başvuru!$G:$G,"Yüksek Lisans Tezi",Başvuru!$A:$A,"&lt;&gt;"&amp;"",Başvuru!$F:$F,"&lt;&gt;"&amp;""))</f>
        <v>0</v>
      </c>
      <c r="J105" s="172">
        <f>IF(C105="","",COUNTIFS(Başvuru!$C:$C,C105,Başvuru!$L:$L,"ONAY",Başvuru!$A:$A,"&lt;&gt;"&amp;"",Başvuru!$F:$F,"&lt;&gt;"&amp;""))</f>
        <v>1</v>
      </c>
      <c r="K105" s="173">
        <f>IF(C105="","",COUNTIFS(Başvuru!$C:$C,C105,Başvuru!$L:$L,"DÜZELTME",Başvuru!$A:$A,"&lt;&gt;"&amp;"",Başvuru!$F:$F,"&lt;&gt;"&amp;""))</f>
        <v>1</v>
      </c>
      <c r="L105" s="174">
        <f>IF(C105="","",COUNTIFS(Başvuru!$C:$C,C105,Başvuru!$L:$L,"KAEK",Başvuru!$A:$A,"&lt;&gt;"&amp;"",Başvuru!$F:$F,"&lt;&gt;"&amp;""))</f>
        <v>0</v>
      </c>
      <c r="M105" s="175">
        <f>IF(C105="","",COUNTIFS(Başvuru!$C:$C,C105,Başvuru!$L:$L,"GÖRÜŞ",Başvuru!$A:$A,"&lt;&gt;"&amp;"",Başvuru!$F:$F,"&lt;&gt;"&amp;""))</f>
        <v>0</v>
      </c>
      <c r="N105" s="176">
        <f>IF(C105="","",COUNTIFS(Başvuru!$C:$C,C105,Başvuru!$L:$L,"RET",Başvuru!$A:$A,"&lt;&gt;"&amp;"",Başvuru!$F:$F,"&lt;&gt;"&amp;""))</f>
        <v>0</v>
      </c>
      <c r="O105" s="177">
        <f>IF(C105="","",COUNTIFS(Başvuru!$C:$C,C105,Başvuru!$L:$L,"KAPSAM DIŞI",Başvuru!$A:$A,"&lt;&gt;"&amp;"",Başvuru!$F:$F,"&lt;&gt;"&amp;""))</f>
        <v>0</v>
      </c>
      <c r="P105" s="178">
        <f>IF(C105="","",COUNTIFS(Başvuru!$C:$C,C105,Başvuru!$L:$L,"GERİ ÇEKİLDİ",Başvuru!$A:$A,"&lt;&gt;"&amp;"",Başvuru!$F:$F,"&lt;&gt;"&amp;""))</f>
        <v>0</v>
      </c>
      <c r="Q105" s="166" t="s">
        <v>879</v>
      </c>
      <c r="R105" s="167">
        <f>COUNTIFS(Başvuru!$C:$C,Q105,Başvuru!$A:$A,"&lt;&gt;"&amp;"",Başvuru!$F:$F,"&lt;&gt;"&amp;"")</f>
        <v>2</v>
      </c>
      <c r="S105" s="167">
        <f>RANK(R105,$R$6:$R$324,0)+COUNTIF($R$6:R105,R105)-1</f>
        <v>99</v>
      </c>
    </row>
    <row r="106" spans="2:19" ht="15" customHeight="1" x14ac:dyDescent="0.25">
      <c r="B106" s="155">
        <v>101</v>
      </c>
      <c r="C106" s="156" t="str">
        <f>IFERROR(INDEX($Q$6:$Q$324,MATCH(101,$S$6:$S$324,0)),"")</f>
        <v>Dr. Öğr. Üyesi Gökhan AYIK</v>
      </c>
      <c r="D106" s="157">
        <f>IF(C106="","",COUNTIFS(Başvuru!$C:$C,C106,Başvuru!$A:$A,"&lt;&gt;"&amp;"",Başvuru!$F:$F,"&lt;&gt;"&amp;""))</f>
        <v>2</v>
      </c>
      <c r="E106" s="155" t="str">
        <f>IF(C106="","-",IF(D106&gt;0,TEXT(D106/(COUNTIFS(Başvuru!$A:$A,"&lt;&gt;",Başvuru!$F:$F,"&lt;&gt;")-1)*100,"0.0")&amp;"%","-"))</f>
        <v>00%</v>
      </c>
      <c r="F106" s="158">
        <f>IF(C106="","",COUNTIFS(Başvuru!$C:$C,C106,Başvuru!$G:$G,"Bireysel Araştırma",Başvuru!$A:$A,"&lt;&gt;"&amp;"",Başvuru!$F:$F,"&lt;&gt;"&amp;""))</f>
        <v>2</v>
      </c>
      <c r="G106" s="158">
        <f>IF(C106="","",COUNTIFS(Başvuru!$C:$C,C106,Başvuru!$G:$G,"Uzmanlık Tezi",Başvuru!$A:$A,"&lt;&gt;"&amp;"",Başvuru!$F:$F,"&lt;&gt;"&amp;""))</f>
        <v>0</v>
      </c>
      <c r="H106" s="158">
        <f>IF(C106="","",COUNTIFS(Başvuru!$C:$C,C106,Başvuru!$G:$G,"Doktora Tezi",Başvuru!$A:$A,"&lt;&gt;"&amp;"",Başvuru!$F:$F,"&lt;&gt;"&amp;""))</f>
        <v>0</v>
      </c>
      <c r="I106" s="158">
        <f>IF(C106="","",COUNTIFS(Başvuru!$C:$C,C106,Başvuru!$G:$G,"Yüksek Lisans Tezi",Başvuru!$A:$A,"&lt;&gt;"&amp;"",Başvuru!$F:$F,"&lt;&gt;"&amp;""))</f>
        <v>0</v>
      </c>
      <c r="J106" s="159">
        <f>IF(C106="","",COUNTIFS(Başvuru!$C:$C,C106,Başvuru!$L:$L,"ONAY",Başvuru!$A:$A,"&lt;&gt;"&amp;"",Başvuru!$F:$F,"&lt;&gt;"&amp;""))</f>
        <v>1</v>
      </c>
      <c r="K106" s="160">
        <f>IF(C106="","",COUNTIFS(Başvuru!$C:$C,C106,Başvuru!$L:$L,"DÜZELTME",Başvuru!$A:$A,"&lt;&gt;"&amp;"",Başvuru!$F:$F,"&lt;&gt;"&amp;""))</f>
        <v>0</v>
      </c>
      <c r="L106" s="161">
        <f>IF(C106="","",COUNTIFS(Başvuru!$C:$C,C106,Başvuru!$L:$L,"KAEK",Başvuru!$A:$A,"&lt;&gt;"&amp;"",Başvuru!$F:$F,"&lt;&gt;"&amp;""))</f>
        <v>1</v>
      </c>
      <c r="M106" s="162">
        <f>IF(C106="","",COUNTIFS(Başvuru!$C:$C,C106,Başvuru!$L:$L,"GÖRÜŞ",Başvuru!$A:$A,"&lt;&gt;"&amp;"",Başvuru!$F:$F,"&lt;&gt;"&amp;""))</f>
        <v>0</v>
      </c>
      <c r="N106" s="163">
        <f>IF(C106="","",COUNTIFS(Başvuru!$C:$C,C106,Başvuru!$L:$L,"RET",Başvuru!$A:$A,"&lt;&gt;"&amp;"",Başvuru!$F:$F,"&lt;&gt;"&amp;""))</f>
        <v>0</v>
      </c>
      <c r="O106" s="164">
        <f>IF(C106="","",COUNTIFS(Başvuru!$C:$C,C106,Başvuru!$L:$L,"KAPSAM DIŞI",Başvuru!$A:$A,"&lt;&gt;"&amp;"",Başvuru!$F:$F,"&lt;&gt;"&amp;""))</f>
        <v>0</v>
      </c>
      <c r="P106" s="165">
        <f>IF(C106="","",COUNTIFS(Başvuru!$C:$C,C106,Başvuru!$L:$L,"GERİ ÇEKİLDİ",Başvuru!$A:$A,"&lt;&gt;"&amp;"",Başvuru!$F:$F,"&lt;&gt;"&amp;""))</f>
        <v>0</v>
      </c>
      <c r="Q106" s="166" t="s">
        <v>2493</v>
      </c>
      <c r="R106" s="167">
        <f>COUNTIFS(Başvuru!$C:$C,Q106,Başvuru!$A:$A,"&lt;&gt;"&amp;"",Başvuru!$F:$F,"&lt;&gt;"&amp;"")</f>
        <v>1</v>
      </c>
      <c r="S106" s="167">
        <f>RANK(R106,$R$6:$R$324,0)+COUNTIF($R$6:R106,R106)-1</f>
        <v>190</v>
      </c>
    </row>
    <row r="107" spans="2:19" ht="15" customHeight="1" x14ac:dyDescent="0.25">
      <c r="B107" s="168">
        <v>102</v>
      </c>
      <c r="C107" s="169" t="str">
        <f>IFERROR(INDEX($Q$6:$Q$324,MATCH(102,$S$6:$S$324,0)),"")</f>
        <v>Dr. Öğr. Üyesi Hatice BOYACIOĞLU ERDEN</v>
      </c>
      <c r="D107" s="170">
        <f>IF(C107="","",COUNTIFS(Başvuru!$C:$C,C107,Başvuru!$A:$A,"&lt;&gt;"&amp;"",Başvuru!$F:$F,"&lt;&gt;"&amp;""))</f>
        <v>2</v>
      </c>
      <c r="E107" s="168" t="str">
        <f>IF(C107="","-",IF(D107&gt;0,TEXT(D107/(COUNTIFS(Başvuru!$A:$A,"&lt;&gt;",Başvuru!$F:$F,"&lt;&gt;")-1)*100,"0.0")&amp;"%","-"))</f>
        <v>00%</v>
      </c>
      <c r="F107" s="171">
        <f>IF(C107="","",COUNTIFS(Başvuru!$C:$C,C107,Başvuru!$G:$G,"Bireysel Araştırma",Başvuru!$A:$A,"&lt;&gt;"&amp;"",Başvuru!$F:$F,"&lt;&gt;"&amp;""))</f>
        <v>1</v>
      </c>
      <c r="G107" s="171">
        <f>IF(C107="","",COUNTIFS(Başvuru!$C:$C,C107,Başvuru!$G:$G,"Uzmanlık Tezi",Başvuru!$A:$A,"&lt;&gt;"&amp;"",Başvuru!$F:$F,"&lt;&gt;"&amp;""))</f>
        <v>1</v>
      </c>
      <c r="H107" s="171">
        <f>IF(C107="","",COUNTIFS(Başvuru!$C:$C,C107,Başvuru!$G:$G,"Doktora Tezi",Başvuru!$A:$A,"&lt;&gt;"&amp;"",Başvuru!$F:$F,"&lt;&gt;"&amp;""))</f>
        <v>0</v>
      </c>
      <c r="I107" s="171">
        <f>IF(C107="","",COUNTIFS(Başvuru!$C:$C,C107,Başvuru!$G:$G,"Yüksek Lisans Tezi",Başvuru!$A:$A,"&lt;&gt;"&amp;"",Başvuru!$F:$F,"&lt;&gt;"&amp;""))</f>
        <v>0</v>
      </c>
      <c r="J107" s="172">
        <f>IF(C107="","",COUNTIFS(Başvuru!$C:$C,C107,Başvuru!$L:$L,"ONAY",Başvuru!$A:$A,"&lt;&gt;"&amp;"",Başvuru!$F:$F,"&lt;&gt;"&amp;""))</f>
        <v>1</v>
      </c>
      <c r="K107" s="173">
        <f>IF(C107="","",COUNTIFS(Başvuru!$C:$C,C107,Başvuru!$L:$L,"DÜZELTME",Başvuru!$A:$A,"&lt;&gt;"&amp;"",Başvuru!$F:$F,"&lt;&gt;"&amp;""))</f>
        <v>0</v>
      </c>
      <c r="L107" s="174">
        <f>IF(C107="","",COUNTIFS(Başvuru!$C:$C,C107,Başvuru!$L:$L,"KAEK",Başvuru!$A:$A,"&lt;&gt;"&amp;"",Başvuru!$F:$F,"&lt;&gt;"&amp;""))</f>
        <v>0</v>
      </c>
      <c r="M107" s="175">
        <f>IF(C107="","",COUNTIFS(Başvuru!$C:$C,C107,Başvuru!$L:$L,"GÖRÜŞ",Başvuru!$A:$A,"&lt;&gt;"&amp;"",Başvuru!$F:$F,"&lt;&gt;"&amp;""))</f>
        <v>0</v>
      </c>
      <c r="N107" s="176">
        <f>IF(C107="","",COUNTIFS(Başvuru!$C:$C,C107,Başvuru!$L:$L,"RET",Başvuru!$A:$A,"&lt;&gt;"&amp;"",Başvuru!$F:$F,"&lt;&gt;"&amp;""))</f>
        <v>0</v>
      </c>
      <c r="O107" s="177">
        <f>IF(C107="","",COUNTIFS(Başvuru!$C:$C,C107,Başvuru!$L:$L,"KAPSAM DIŞI",Başvuru!$A:$A,"&lt;&gt;"&amp;"",Başvuru!$F:$F,"&lt;&gt;"&amp;""))</f>
        <v>0</v>
      </c>
      <c r="P107" s="178">
        <f>IF(C107="","",COUNTIFS(Başvuru!$C:$C,C107,Başvuru!$L:$L,"GERİ ÇEKİLDİ",Başvuru!$A:$A,"&lt;&gt;"&amp;"",Başvuru!$F:$F,"&lt;&gt;"&amp;""))</f>
        <v>0</v>
      </c>
      <c r="Q107" s="166" t="s">
        <v>450</v>
      </c>
      <c r="R107" s="167">
        <f>COUNTIFS(Başvuru!$C:$C,Q107,Başvuru!$A:$A,"&lt;&gt;"&amp;"",Başvuru!$F:$F,"&lt;&gt;"&amp;"")</f>
        <v>5</v>
      </c>
      <c r="S107" s="167">
        <f>RANK(R107,$R$6:$R$324,0)+COUNTIF($R$6:R107,R107)-1</f>
        <v>23</v>
      </c>
    </row>
    <row r="108" spans="2:19" ht="15" customHeight="1" x14ac:dyDescent="0.25">
      <c r="B108" s="155">
        <v>103</v>
      </c>
      <c r="C108" s="156" t="str">
        <f>IFERROR(INDEX($Q$6:$Q$324,MATCH(103,$S$6:$S$324,0)),"")</f>
        <v>Dr. Öğr. Üyesi Hayri Can ÖZDEN</v>
      </c>
      <c r="D108" s="157">
        <f>IF(C108="","",COUNTIFS(Başvuru!$C:$C,C108,Başvuru!$A:$A,"&lt;&gt;"&amp;"",Başvuru!$F:$F,"&lt;&gt;"&amp;""))</f>
        <v>2</v>
      </c>
      <c r="E108" s="155" t="str">
        <f>IF(C108="","-",IF(D108&gt;0,TEXT(D108/(COUNTIFS(Başvuru!$A:$A,"&lt;&gt;",Başvuru!$F:$F,"&lt;&gt;")-1)*100,"0.0")&amp;"%","-"))</f>
        <v>00%</v>
      </c>
      <c r="F108" s="158">
        <f>IF(C108="","",COUNTIFS(Başvuru!$C:$C,C108,Başvuru!$G:$G,"Bireysel Araştırma",Başvuru!$A:$A,"&lt;&gt;"&amp;"",Başvuru!$F:$F,"&lt;&gt;"&amp;""))</f>
        <v>2</v>
      </c>
      <c r="G108" s="158">
        <f>IF(C108="","",COUNTIFS(Başvuru!$C:$C,C108,Başvuru!$G:$G,"Uzmanlık Tezi",Başvuru!$A:$A,"&lt;&gt;"&amp;"",Başvuru!$F:$F,"&lt;&gt;"&amp;""))</f>
        <v>0</v>
      </c>
      <c r="H108" s="158">
        <f>IF(C108="","",COUNTIFS(Başvuru!$C:$C,C108,Başvuru!$G:$G,"Doktora Tezi",Başvuru!$A:$A,"&lt;&gt;"&amp;"",Başvuru!$F:$F,"&lt;&gt;"&amp;""))</f>
        <v>0</v>
      </c>
      <c r="I108" s="158">
        <f>IF(C108="","",COUNTIFS(Başvuru!$C:$C,C108,Başvuru!$G:$G,"Yüksek Lisans Tezi",Başvuru!$A:$A,"&lt;&gt;"&amp;"",Başvuru!$F:$F,"&lt;&gt;"&amp;""))</f>
        <v>0</v>
      </c>
      <c r="J108" s="159">
        <f>IF(C108="","",COUNTIFS(Başvuru!$C:$C,C108,Başvuru!$L:$L,"ONAY",Başvuru!$A:$A,"&lt;&gt;"&amp;"",Başvuru!$F:$F,"&lt;&gt;"&amp;""))</f>
        <v>0</v>
      </c>
      <c r="K108" s="160">
        <f>IF(C108="","",COUNTIFS(Başvuru!$C:$C,C108,Başvuru!$L:$L,"DÜZELTME",Başvuru!$A:$A,"&lt;&gt;"&amp;"",Başvuru!$F:$F,"&lt;&gt;"&amp;""))</f>
        <v>2</v>
      </c>
      <c r="L108" s="161">
        <f>IF(C108="","",COUNTIFS(Başvuru!$C:$C,C108,Başvuru!$L:$L,"KAEK",Başvuru!$A:$A,"&lt;&gt;"&amp;"",Başvuru!$F:$F,"&lt;&gt;"&amp;""))</f>
        <v>0</v>
      </c>
      <c r="M108" s="162">
        <f>IF(C108="","",COUNTIFS(Başvuru!$C:$C,C108,Başvuru!$L:$L,"GÖRÜŞ",Başvuru!$A:$A,"&lt;&gt;"&amp;"",Başvuru!$F:$F,"&lt;&gt;"&amp;""))</f>
        <v>0</v>
      </c>
      <c r="N108" s="163">
        <f>IF(C108="","",COUNTIFS(Başvuru!$C:$C,C108,Başvuru!$L:$L,"RET",Başvuru!$A:$A,"&lt;&gt;"&amp;"",Başvuru!$F:$F,"&lt;&gt;"&amp;""))</f>
        <v>0</v>
      </c>
      <c r="O108" s="164">
        <f>IF(C108="","",COUNTIFS(Başvuru!$C:$C,C108,Başvuru!$L:$L,"KAPSAM DIŞI",Başvuru!$A:$A,"&lt;&gt;"&amp;"",Başvuru!$F:$F,"&lt;&gt;"&amp;""))</f>
        <v>0</v>
      </c>
      <c r="P108" s="165">
        <f>IF(C108="","",COUNTIFS(Başvuru!$C:$C,C108,Başvuru!$L:$L,"GERİ ÇEKİLDİ",Başvuru!$A:$A,"&lt;&gt;"&amp;"",Başvuru!$F:$F,"&lt;&gt;"&amp;""))</f>
        <v>0</v>
      </c>
      <c r="Q108" s="166" t="s">
        <v>640</v>
      </c>
      <c r="R108" s="167">
        <f>COUNTIFS(Başvuru!$C:$C,Q108,Başvuru!$A:$A,"&lt;&gt;"&amp;"",Başvuru!$F:$F,"&lt;&gt;"&amp;"")</f>
        <v>1</v>
      </c>
      <c r="S108" s="167">
        <f>RANK(R108,$R$6:$R$324,0)+COUNTIF($R$6:R108,R108)-1</f>
        <v>191</v>
      </c>
    </row>
    <row r="109" spans="2:19" ht="15" customHeight="1" x14ac:dyDescent="0.25">
      <c r="B109" s="168">
        <v>104</v>
      </c>
      <c r="C109" s="169" t="str">
        <f>IFERROR(INDEX($Q$6:$Q$324,MATCH(104,$S$6:$S$324,0)),"")</f>
        <v>Dr. Öğr. Üyesi Muhammed Çağrı KÜLEKCİ</v>
      </c>
      <c r="D109" s="170">
        <f>IF(C109="","",COUNTIFS(Başvuru!$C:$C,C109,Başvuru!$A:$A,"&lt;&gt;"&amp;"",Başvuru!$F:$F,"&lt;&gt;"&amp;""))</f>
        <v>2</v>
      </c>
      <c r="E109" s="168" t="str">
        <f>IF(C109="","-",IF(D109&gt;0,TEXT(D109/(COUNTIFS(Başvuru!$A:$A,"&lt;&gt;",Başvuru!$F:$F,"&lt;&gt;")-1)*100,"0.0")&amp;"%","-"))</f>
        <v>00%</v>
      </c>
      <c r="F109" s="171">
        <f>IF(C109="","",COUNTIFS(Başvuru!$C:$C,C109,Başvuru!$G:$G,"Bireysel Araştırma",Başvuru!$A:$A,"&lt;&gt;"&amp;"",Başvuru!$F:$F,"&lt;&gt;"&amp;""))</f>
        <v>2</v>
      </c>
      <c r="G109" s="171">
        <f>IF(C109="","",COUNTIFS(Başvuru!$C:$C,C109,Başvuru!$G:$G,"Uzmanlık Tezi",Başvuru!$A:$A,"&lt;&gt;"&amp;"",Başvuru!$F:$F,"&lt;&gt;"&amp;""))</f>
        <v>0</v>
      </c>
      <c r="H109" s="171">
        <f>IF(C109="","",COUNTIFS(Başvuru!$C:$C,C109,Başvuru!$G:$G,"Doktora Tezi",Başvuru!$A:$A,"&lt;&gt;"&amp;"",Başvuru!$F:$F,"&lt;&gt;"&amp;""))</f>
        <v>0</v>
      </c>
      <c r="I109" s="171">
        <f>IF(C109="","",COUNTIFS(Başvuru!$C:$C,C109,Başvuru!$G:$G,"Yüksek Lisans Tezi",Başvuru!$A:$A,"&lt;&gt;"&amp;"",Başvuru!$F:$F,"&lt;&gt;"&amp;""))</f>
        <v>0</v>
      </c>
      <c r="J109" s="172">
        <f>IF(C109="","",COUNTIFS(Başvuru!$C:$C,C109,Başvuru!$L:$L,"ONAY",Başvuru!$A:$A,"&lt;&gt;"&amp;"",Başvuru!$F:$F,"&lt;&gt;"&amp;""))</f>
        <v>0</v>
      </c>
      <c r="K109" s="173">
        <f>IF(C109="","",COUNTIFS(Başvuru!$C:$C,C109,Başvuru!$L:$L,"DÜZELTME",Başvuru!$A:$A,"&lt;&gt;"&amp;"",Başvuru!$F:$F,"&lt;&gt;"&amp;""))</f>
        <v>1</v>
      </c>
      <c r="L109" s="174">
        <f>IF(C109="","",COUNTIFS(Başvuru!$C:$C,C109,Başvuru!$L:$L,"KAEK",Başvuru!$A:$A,"&lt;&gt;"&amp;"",Başvuru!$F:$F,"&lt;&gt;"&amp;""))</f>
        <v>0</v>
      </c>
      <c r="M109" s="175">
        <f>IF(C109="","",COUNTIFS(Başvuru!$C:$C,C109,Başvuru!$L:$L,"GÖRÜŞ",Başvuru!$A:$A,"&lt;&gt;"&amp;"",Başvuru!$F:$F,"&lt;&gt;"&amp;""))</f>
        <v>0</v>
      </c>
      <c r="N109" s="176">
        <f>IF(C109="","",COUNTIFS(Başvuru!$C:$C,C109,Başvuru!$L:$L,"RET",Başvuru!$A:$A,"&lt;&gt;"&amp;"",Başvuru!$F:$F,"&lt;&gt;"&amp;""))</f>
        <v>1</v>
      </c>
      <c r="O109" s="177">
        <f>IF(C109="","",COUNTIFS(Başvuru!$C:$C,C109,Başvuru!$L:$L,"KAPSAM DIŞI",Başvuru!$A:$A,"&lt;&gt;"&amp;"",Başvuru!$F:$F,"&lt;&gt;"&amp;""))</f>
        <v>0</v>
      </c>
      <c r="P109" s="178">
        <f>IF(C109="","",COUNTIFS(Başvuru!$C:$C,C109,Başvuru!$L:$L,"GERİ ÇEKİLDİ",Başvuru!$A:$A,"&lt;&gt;"&amp;"",Başvuru!$F:$F,"&lt;&gt;"&amp;""))</f>
        <v>0</v>
      </c>
      <c r="Q109" s="166" t="s">
        <v>1599</v>
      </c>
      <c r="R109" s="167">
        <f>COUNTIFS(Başvuru!$C:$C,Q109,Başvuru!$A:$A,"&lt;&gt;"&amp;"",Başvuru!$F:$F,"&lt;&gt;"&amp;"")</f>
        <v>1</v>
      </c>
      <c r="S109" s="167">
        <f>RANK(R109,$R$6:$R$324,0)+COUNTIF($R$6:R109,R109)-1</f>
        <v>192</v>
      </c>
    </row>
    <row r="110" spans="2:19" ht="15" customHeight="1" x14ac:dyDescent="0.25">
      <c r="B110" s="155">
        <v>105</v>
      </c>
      <c r="C110" s="156" t="str">
        <f>IFERROR(INDEX($Q$6:$Q$324,MATCH(105,$S$6:$S$324,0)),"")</f>
        <v>Dr. Öğr. Üyesi Sehend DEBBAĞ</v>
      </c>
      <c r="D110" s="157">
        <f>IF(C110="","",COUNTIFS(Başvuru!$C:$C,C110,Başvuru!$A:$A,"&lt;&gt;"&amp;"",Başvuru!$F:$F,"&lt;&gt;"&amp;""))</f>
        <v>2</v>
      </c>
      <c r="E110" s="155" t="str">
        <f>IF(C110="","-",IF(D110&gt;0,TEXT(D110/(COUNTIFS(Başvuru!$A:$A,"&lt;&gt;",Başvuru!$F:$F,"&lt;&gt;")-1)*100,"0.0")&amp;"%","-"))</f>
        <v>00%</v>
      </c>
      <c r="F110" s="158">
        <f>IF(C110="","",COUNTIFS(Başvuru!$C:$C,C110,Başvuru!$G:$G,"Bireysel Araştırma",Başvuru!$A:$A,"&lt;&gt;"&amp;"",Başvuru!$F:$F,"&lt;&gt;"&amp;""))</f>
        <v>2</v>
      </c>
      <c r="G110" s="158">
        <f>IF(C110="","",COUNTIFS(Başvuru!$C:$C,C110,Başvuru!$G:$G,"Uzmanlık Tezi",Başvuru!$A:$A,"&lt;&gt;"&amp;"",Başvuru!$F:$F,"&lt;&gt;"&amp;""))</f>
        <v>0</v>
      </c>
      <c r="H110" s="158">
        <f>IF(C110="","",COUNTIFS(Başvuru!$C:$C,C110,Başvuru!$G:$G,"Doktora Tezi",Başvuru!$A:$A,"&lt;&gt;"&amp;"",Başvuru!$F:$F,"&lt;&gt;"&amp;""))</f>
        <v>0</v>
      </c>
      <c r="I110" s="158">
        <f>IF(C110="","",COUNTIFS(Başvuru!$C:$C,C110,Başvuru!$G:$G,"Yüksek Lisans Tezi",Başvuru!$A:$A,"&lt;&gt;"&amp;"",Başvuru!$F:$F,"&lt;&gt;"&amp;""))</f>
        <v>0</v>
      </c>
      <c r="J110" s="159">
        <f>IF(C110="","",COUNTIFS(Başvuru!$C:$C,C110,Başvuru!$L:$L,"ONAY",Başvuru!$A:$A,"&lt;&gt;"&amp;"",Başvuru!$F:$F,"&lt;&gt;"&amp;""))</f>
        <v>0</v>
      </c>
      <c r="K110" s="160">
        <f>IF(C110="","",COUNTIFS(Başvuru!$C:$C,C110,Başvuru!$L:$L,"DÜZELTME",Başvuru!$A:$A,"&lt;&gt;"&amp;"",Başvuru!$F:$F,"&lt;&gt;"&amp;""))</f>
        <v>2</v>
      </c>
      <c r="L110" s="161">
        <f>IF(C110="","",COUNTIFS(Başvuru!$C:$C,C110,Başvuru!$L:$L,"KAEK",Başvuru!$A:$A,"&lt;&gt;"&amp;"",Başvuru!$F:$F,"&lt;&gt;"&amp;""))</f>
        <v>0</v>
      </c>
      <c r="M110" s="162">
        <f>IF(C110="","",COUNTIFS(Başvuru!$C:$C,C110,Başvuru!$L:$L,"GÖRÜŞ",Başvuru!$A:$A,"&lt;&gt;"&amp;"",Başvuru!$F:$F,"&lt;&gt;"&amp;""))</f>
        <v>0</v>
      </c>
      <c r="N110" s="163">
        <f>IF(C110="","",COUNTIFS(Başvuru!$C:$C,C110,Başvuru!$L:$L,"RET",Başvuru!$A:$A,"&lt;&gt;"&amp;"",Başvuru!$F:$F,"&lt;&gt;"&amp;""))</f>
        <v>0</v>
      </c>
      <c r="O110" s="164">
        <f>IF(C110="","",COUNTIFS(Başvuru!$C:$C,C110,Başvuru!$L:$L,"KAPSAM DIŞI",Başvuru!$A:$A,"&lt;&gt;"&amp;"",Başvuru!$F:$F,"&lt;&gt;"&amp;""))</f>
        <v>0</v>
      </c>
      <c r="P110" s="165">
        <f>IF(C110="","",COUNTIFS(Başvuru!$C:$C,C110,Başvuru!$L:$L,"GERİ ÇEKİLDİ",Başvuru!$A:$A,"&lt;&gt;"&amp;"",Başvuru!$F:$F,"&lt;&gt;"&amp;""))</f>
        <v>0</v>
      </c>
      <c r="Q110" s="166" t="s">
        <v>2473</v>
      </c>
      <c r="R110" s="167">
        <f>COUNTIFS(Başvuru!$C:$C,Q110,Başvuru!$A:$A,"&lt;&gt;"&amp;"",Başvuru!$F:$F,"&lt;&gt;"&amp;"")</f>
        <v>1</v>
      </c>
      <c r="S110" s="167">
        <f>RANK(R110,$R$6:$R$324,0)+COUNTIF($R$6:R110,R110)-1</f>
        <v>193</v>
      </c>
    </row>
    <row r="111" spans="2:19" ht="15" customHeight="1" x14ac:dyDescent="0.25">
      <c r="B111" s="168">
        <v>106</v>
      </c>
      <c r="C111" s="169" t="str">
        <f>IFERROR(INDEX($Q$6:$Q$324,MATCH(106,$S$6:$S$324,0)),"")</f>
        <v>Prof. Dr. Ali Rıza TÜMER</v>
      </c>
      <c r="D111" s="170">
        <f>IF(C111="","",COUNTIFS(Başvuru!$C:$C,C111,Başvuru!$A:$A,"&lt;&gt;"&amp;"",Başvuru!$F:$F,"&lt;&gt;"&amp;""))</f>
        <v>2</v>
      </c>
      <c r="E111" s="168" t="str">
        <f>IF(C111="","-",IF(D111&gt;0,TEXT(D111/(COUNTIFS(Başvuru!$A:$A,"&lt;&gt;",Başvuru!$F:$F,"&lt;&gt;")-1)*100,"0.0")&amp;"%","-"))</f>
        <v>00%</v>
      </c>
      <c r="F111" s="171">
        <f>IF(C111="","",COUNTIFS(Başvuru!$C:$C,C111,Başvuru!$G:$G,"Bireysel Araştırma",Başvuru!$A:$A,"&lt;&gt;"&amp;"",Başvuru!$F:$F,"&lt;&gt;"&amp;""))</f>
        <v>1</v>
      </c>
      <c r="G111" s="171">
        <f>IF(C111="","",COUNTIFS(Başvuru!$C:$C,C111,Başvuru!$G:$G,"Uzmanlık Tezi",Başvuru!$A:$A,"&lt;&gt;"&amp;"",Başvuru!$F:$F,"&lt;&gt;"&amp;""))</f>
        <v>1</v>
      </c>
      <c r="H111" s="171">
        <f>IF(C111="","",COUNTIFS(Başvuru!$C:$C,C111,Başvuru!$G:$G,"Doktora Tezi",Başvuru!$A:$A,"&lt;&gt;"&amp;"",Başvuru!$F:$F,"&lt;&gt;"&amp;""))</f>
        <v>0</v>
      </c>
      <c r="I111" s="171">
        <f>IF(C111="","",COUNTIFS(Başvuru!$C:$C,C111,Başvuru!$G:$G,"Yüksek Lisans Tezi",Başvuru!$A:$A,"&lt;&gt;"&amp;"",Başvuru!$F:$F,"&lt;&gt;"&amp;""))</f>
        <v>0</v>
      </c>
      <c r="J111" s="172">
        <f>IF(C111="","",COUNTIFS(Başvuru!$C:$C,C111,Başvuru!$L:$L,"ONAY",Başvuru!$A:$A,"&lt;&gt;"&amp;"",Başvuru!$F:$F,"&lt;&gt;"&amp;""))</f>
        <v>2</v>
      </c>
      <c r="K111" s="173">
        <f>IF(C111="","",COUNTIFS(Başvuru!$C:$C,C111,Başvuru!$L:$L,"DÜZELTME",Başvuru!$A:$A,"&lt;&gt;"&amp;"",Başvuru!$F:$F,"&lt;&gt;"&amp;""))</f>
        <v>0</v>
      </c>
      <c r="L111" s="174">
        <f>IF(C111="","",COUNTIFS(Başvuru!$C:$C,C111,Başvuru!$L:$L,"KAEK",Başvuru!$A:$A,"&lt;&gt;"&amp;"",Başvuru!$F:$F,"&lt;&gt;"&amp;""))</f>
        <v>0</v>
      </c>
      <c r="M111" s="175">
        <f>IF(C111="","",COUNTIFS(Başvuru!$C:$C,C111,Başvuru!$L:$L,"GÖRÜŞ",Başvuru!$A:$A,"&lt;&gt;"&amp;"",Başvuru!$F:$F,"&lt;&gt;"&amp;""))</f>
        <v>0</v>
      </c>
      <c r="N111" s="176">
        <f>IF(C111="","",COUNTIFS(Başvuru!$C:$C,C111,Başvuru!$L:$L,"RET",Başvuru!$A:$A,"&lt;&gt;"&amp;"",Başvuru!$F:$F,"&lt;&gt;"&amp;""))</f>
        <v>0</v>
      </c>
      <c r="O111" s="177">
        <f>IF(C111="","",COUNTIFS(Başvuru!$C:$C,C111,Başvuru!$L:$L,"KAPSAM DIŞI",Başvuru!$A:$A,"&lt;&gt;"&amp;"",Başvuru!$F:$F,"&lt;&gt;"&amp;""))</f>
        <v>0</v>
      </c>
      <c r="P111" s="178">
        <f>IF(C111="","",COUNTIFS(Başvuru!$C:$C,C111,Başvuru!$L:$L,"GERİ ÇEKİLDİ",Başvuru!$A:$A,"&lt;&gt;"&amp;"",Başvuru!$F:$F,"&lt;&gt;"&amp;""))</f>
        <v>0</v>
      </c>
      <c r="Q111" s="166" t="s">
        <v>1724</v>
      </c>
      <c r="R111" s="167">
        <f>COUNTIFS(Başvuru!$C:$C,Q111,Başvuru!$A:$A,"&lt;&gt;"&amp;"",Başvuru!$F:$F,"&lt;&gt;"&amp;"")</f>
        <v>4</v>
      </c>
      <c r="S111" s="167">
        <f>RANK(R111,$R$6:$R$324,0)+COUNTIF($R$6:R111,R111)-1</f>
        <v>35</v>
      </c>
    </row>
    <row r="112" spans="2:19" ht="15" customHeight="1" x14ac:dyDescent="0.25">
      <c r="B112" s="155">
        <v>107</v>
      </c>
      <c r="C112" s="156" t="str">
        <f>IFERROR(INDEX($Q$6:$Q$324,MATCH(107,$S$6:$S$324,0)),"")</f>
        <v>Prof. Dr. Aygin EKİNCİOĞLU</v>
      </c>
      <c r="D112" s="157">
        <f>IF(C112="","",COUNTIFS(Başvuru!$C:$C,C112,Başvuru!$A:$A,"&lt;&gt;"&amp;"",Başvuru!$F:$F,"&lt;&gt;"&amp;""))</f>
        <v>2</v>
      </c>
      <c r="E112" s="155" t="str">
        <f>IF(C112="","-",IF(D112&gt;0,TEXT(D112/(COUNTIFS(Başvuru!$A:$A,"&lt;&gt;",Başvuru!$F:$F,"&lt;&gt;")-1)*100,"0.0")&amp;"%","-"))</f>
        <v>00%</v>
      </c>
      <c r="F112" s="158">
        <f>IF(C112="","",COUNTIFS(Başvuru!$C:$C,C112,Başvuru!$G:$G,"Bireysel Araştırma",Başvuru!$A:$A,"&lt;&gt;"&amp;"",Başvuru!$F:$F,"&lt;&gt;"&amp;""))</f>
        <v>1</v>
      </c>
      <c r="G112" s="158">
        <f>IF(C112="","",COUNTIFS(Başvuru!$C:$C,C112,Başvuru!$G:$G,"Uzmanlık Tezi",Başvuru!$A:$A,"&lt;&gt;"&amp;"",Başvuru!$F:$F,"&lt;&gt;"&amp;""))</f>
        <v>1</v>
      </c>
      <c r="H112" s="158">
        <f>IF(C112="","",COUNTIFS(Başvuru!$C:$C,C112,Başvuru!$G:$G,"Doktora Tezi",Başvuru!$A:$A,"&lt;&gt;"&amp;"",Başvuru!$F:$F,"&lt;&gt;"&amp;""))</f>
        <v>0</v>
      </c>
      <c r="I112" s="158">
        <f>IF(C112="","",COUNTIFS(Başvuru!$C:$C,C112,Başvuru!$G:$G,"Yüksek Lisans Tezi",Başvuru!$A:$A,"&lt;&gt;"&amp;"",Başvuru!$F:$F,"&lt;&gt;"&amp;""))</f>
        <v>0</v>
      </c>
      <c r="J112" s="159">
        <f>IF(C112="","",COUNTIFS(Başvuru!$C:$C,C112,Başvuru!$L:$L,"ONAY",Başvuru!$A:$A,"&lt;&gt;"&amp;"",Başvuru!$F:$F,"&lt;&gt;"&amp;""))</f>
        <v>0</v>
      </c>
      <c r="K112" s="160">
        <f>IF(C112="","",COUNTIFS(Başvuru!$C:$C,C112,Başvuru!$L:$L,"DÜZELTME",Başvuru!$A:$A,"&lt;&gt;"&amp;"",Başvuru!$F:$F,"&lt;&gt;"&amp;""))</f>
        <v>2</v>
      </c>
      <c r="L112" s="161">
        <f>IF(C112="","",COUNTIFS(Başvuru!$C:$C,C112,Başvuru!$L:$L,"KAEK",Başvuru!$A:$A,"&lt;&gt;"&amp;"",Başvuru!$F:$F,"&lt;&gt;"&amp;""))</f>
        <v>0</v>
      </c>
      <c r="M112" s="162">
        <f>IF(C112="","",COUNTIFS(Başvuru!$C:$C,C112,Başvuru!$L:$L,"GÖRÜŞ",Başvuru!$A:$A,"&lt;&gt;"&amp;"",Başvuru!$F:$F,"&lt;&gt;"&amp;""))</f>
        <v>0</v>
      </c>
      <c r="N112" s="163">
        <f>IF(C112="","",COUNTIFS(Başvuru!$C:$C,C112,Başvuru!$L:$L,"RET",Başvuru!$A:$A,"&lt;&gt;"&amp;"",Başvuru!$F:$F,"&lt;&gt;"&amp;""))</f>
        <v>0</v>
      </c>
      <c r="O112" s="164">
        <f>IF(C112="","",COUNTIFS(Başvuru!$C:$C,C112,Başvuru!$L:$L,"KAPSAM DIŞI",Başvuru!$A:$A,"&lt;&gt;"&amp;"",Başvuru!$F:$F,"&lt;&gt;"&amp;""))</f>
        <v>0</v>
      </c>
      <c r="P112" s="165">
        <f>IF(C112="","",COUNTIFS(Başvuru!$C:$C,C112,Başvuru!$L:$L,"GERİ ÇEKİLDİ",Başvuru!$A:$A,"&lt;&gt;"&amp;"",Başvuru!$F:$F,"&lt;&gt;"&amp;""))</f>
        <v>0</v>
      </c>
      <c r="Q112" s="166" t="s">
        <v>831</v>
      </c>
      <c r="R112" s="167">
        <f>COUNTIFS(Başvuru!$C:$C,Q112,Başvuru!$A:$A,"&lt;&gt;"&amp;"",Başvuru!$F:$F,"&lt;&gt;"&amp;"")</f>
        <v>3</v>
      </c>
      <c r="S112" s="167">
        <f>RANK(R112,$R$6:$R$324,0)+COUNTIF($R$6:R112,R112)-1</f>
        <v>52</v>
      </c>
    </row>
    <row r="113" spans="2:19" ht="15" customHeight="1" x14ac:dyDescent="0.25">
      <c r="B113" s="168">
        <v>108</v>
      </c>
      <c r="C113" s="169" t="str">
        <f>IFERROR(INDEX($Q$6:$Q$324,MATCH(108,$S$6:$S$324,0)),"")</f>
        <v>Prof. Dr. Bayram ŞAHİN</v>
      </c>
      <c r="D113" s="170">
        <f>IF(C113="","",COUNTIFS(Başvuru!$C:$C,C113,Başvuru!$A:$A,"&lt;&gt;"&amp;"",Başvuru!$F:$F,"&lt;&gt;"&amp;""))</f>
        <v>2</v>
      </c>
      <c r="E113" s="168" t="str">
        <f>IF(C113="","-",IF(D113&gt;0,TEXT(D113/(COUNTIFS(Başvuru!$A:$A,"&lt;&gt;",Başvuru!$F:$F,"&lt;&gt;")-1)*100,"0.0")&amp;"%","-"))</f>
        <v>00%</v>
      </c>
      <c r="F113" s="171">
        <f>IF(C113="","",COUNTIFS(Başvuru!$C:$C,C113,Başvuru!$G:$G,"Bireysel Araştırma",Başvuru!$A:$A,"&lt;&gt;"&amp;"",Başvuru!$F:$F,"&lt;&gt;"&amp;""))</f>
        <v>0</v>
      </c>
      <c r="G113" s="171">
        <f>IF(C113="","",COUNTIFS(Başvuru!$C:$C,C113,Başvuru!$G:$G,"Uzmanlık Tezi",Başvuru!$A:$A,"&lt;&gt;"&amp;"",Başvuru!$F:$F,"&lt;&gt;"&amp;""))</f>
        <v>0</v>
      </c>
      <c r="H113" s="171">
        <f>IF(C113="","",COUNTIFS(Başvuru!$C:$C,C113,Başvuru!$G:$G,"Doktora Tezi",Başvuru!$A:$A,"&lt;&gt;"&amp;"",Başvuru!$F:$F,"&lt;&gt;"&amp;""))</f>
        <v>1</v>
      </c>
      <c r="I113" s="171">
        <f>IF(C113="","",COUNTIFS(Başvuru!$C:$C,C113,Başvuru!$G:$G,"Yüksek Lisans Tezi",Başvuru!$A:$A,"&lt;&gt;"&amp;"",Başvuru!$F:$F,"&lt;&gt;"&amp;""))</f>
        <v>1</v>
      </c>
      <c r="J113" s="172">
        <f>IF(C113="","",COUNTIFS(Başvuru!$C:$C,C113,Başvuru!$L:$L,"ONAY",Başvuru!$A:$A,"&lt;&gt;"&amp;"",Başvuru!$F:$F,"&lt;&gt;"&amp;""))</f>
        <v>0</v>
      </c>
      <c r="K113" s="173">
        <f>IF(C113="","",COUNTIFS(Başvuru!$C:$C,C113,Başvuru!$L:$L,"DÜZELTME",Başvuru!$A:$A,"&lt;&gt;"&amp;"",Başvuru!$F:$F,"&lt;&gt;"&amp;""))</f>
        <v>1</v>
      </c>
      <c r="L113" s="174">
        <f>IF(C113="","",COUNTIFS(Başvuru!$C:$C,C113,Başvuru!$L:$L,"KAEK",Başvuru!$A:$A,"&lt;&gt;"&amp;"",Başvuru!$F:$F,"&lt;&gt;"&amp;""))</f>
        <v>0</v>
      </c>
      <c r="M113" s="175">
        <f>IF(C113="","",COUNTIFS(Başvuru!$C:$C,C113,Başvuru!$L:$L,"GÖRÜŞ",Başvuru!$A:$A,"&lt;&gt;"&amp;"",Başvuru!$F:$F,"&lt;&gt;"&amp;""))</f>
        <v>0</v>
      </c>
      <c r="N113" s="176">
        <f>IF(C113="","",COUNTIFS(Başvuru!$C:$C,C113,Başvuru!$L:$L,"RET",Başvuru!$A:$A,"&lt;&gt;"&amp;"",Başvuru!$F:$F,"&lt;&gt;"&amp;""))</f>
        <v>1</v>
      </c>
      <c r="O113" s="177">
        <f>IF(C113="","",COUNTIFS(Başvuru!$C:$C,C113,Başvuru!$L:$L,"KAPSAM DIŞI",Başvuru!$A:$A,"&lt;&gt;"&amp;"",Başvuru!$F:$F,"&lt;&gt;"&amp;""))</f>
        <v>0</v>
      </c>
      <c r="P113" s="178">
        <f>IF(C113="","",COUNTIFS(Başvuru!$C:$C,C113,Başvuru!$L:$L,"GERİ ÇEKİLDİ",Başvuru!$A:$A,"&lt;&gt;"&amp;"",Başvuru!$F:$F,"&lt;&gt;"&amp;""))</f>
        <v>0</v>
      </c>
      <c r="Q113" s="166" t="s">
        <v>2253</v>
      </c>
      <c r="R113" s="167">
        <f>COUNTIFS(Başvuru!$C:$C,Q113,Başvuru!$A:$A,"&lt;&gt;"&amp;"",Başvuru!$F:$F,"&lt;&gt;"&amp;"")</f>
        <v>1</v>
      </c>
      <c r="S113" s="167">
        <f>RANK(R113,$R$6:$R$324,0)+COUNTIF($R$6:R113,R113)-1</f>
        <v>194</v>
      </c>
    </row>
    <row r="114" spans="2:19" ht="15" customHeight="1" x14ac:dyDescent="0.25">
      <c r="B114" s="155">
        <v>109</v>
      </c>
      <c r="C114" s="156" t="str">
        <f>IFERROR(INDEX($Q$6:$Q$324,MATCH(109,$S$6:$S$324,0)),"")</f>
        <v>Prof. Dr. Betül ÇELEBİ SALTIK</v>
      </c>
      <c r="D114" s="157">
        <f>IF(C114="","",COUNTIFS(Başvuru!$C:$C,C114,Başvuru!$A:$A,"&lt;&gt;"&amp;"",Başvuru!$F:$F,"&lt;&gt;"&amp;""))</f>
        <v>2</v>
      </c>
      <c r="E114" s="155" t="str">
        <f>IF(C114="","-",IF(D114&gt;0,TEXT(D114/(COUNTIFS(Başvuru!$A:$A,"&lt;&gt;",Başvuru!$F:$F,"&lt;&gt;")-1)*100,"0.0")&amp;"%","-"))</f>
        <v>00%</v>
      </c>
      <c r="F114" s="158">
        <f>IF(C114="","",COUNTIFS(Başvuru!$C:$C,C114,Başvuru!$G:$G,"Bireysel Araştırma",Başvuru!$A:$A,"&lt;&gt;"&amp;"",Başvuru!$F:$F,"&lt;&gt;"&amp;""))</f>
        <v>2</v>
      </c>
      <c r="G114" s="158">
        <f>IF(C114="","",COUNTIFS(Başvuru!$C:$C,C114,Başvuru!$G:$G,"Uzmanlık Tezi",Başvuru!$A:$A,"&lt;&gt;"&amp;"",Başvuru!$F:$F,"&lt;&gt;"&amp;""))</f>
        <v>0</v>
      </c>
      <c r="H114" s="158">
        <f>IF(C114="","",COUNTIFS(Başvuru!$C:$C,C114,Başvuru!$G:$G,"Doktora Tezi",Başvuru!$A:$A,"&lt;&gt;"&amp;"",Başvuru!$F:$F,"&lt;&gt;"&amp;""))</f>
        <v>0</v>
      </c>
      <c r="I114" s="158">
        <f>IF(C114="","",COUNTIFS(Başvuru!$C:$C,C114,Başvuru!$G:$G,"Yüksek Lisans Tezi",Başvuru!$A:$A,"&lt;&gt;"&amp;"",Başvuru!$F:$F,"&lt;&gt;"&amp;""))</f>
        <v>0</v>
      </c>
      <c r="J114" s="159">
        <f>IF(C114="","",COUNTIFS(Başvuru!$C:$C,C114,Başvuru!$L:$L,"ONAY",Başvuru!$A:$A,"&lt;&gt;"&amp;"",Başvuru!$F:$F,"&lt;&gt;"&amp;""))</f>
        <v>2</v>
      </c>
      <c r="K114" s="160">
        <f>IF(C114="","",COUNTIFS(Başvuru!$C:$C,C114,Başvuru!$L:$L,"DÜZELTME",Başvuru!$A:$A,"&lt;&gt;"&amp;"",Başvuru!$F:$F,"&lt;&gt;"&amp;""))</f>
        <v>0</v>
      </c>
      <c r="L114" s="161">
        <f>IF(C114="","",COUNTIFS(Başvuru!$C:$C,C114,Başvuru!$L:$L,"KAEK",Başvuru!$A:$A,"&lt;&gt;"&amp;"",Başvuru!$F:$F,"&lt;&gt;"&amp;""))</f>
        <v>0</v>
      </c>
      <c r="M114" s="162">
        <f>IF(C114="","",COUNTIFS(Başvuru!$C:$C,C114,Başvuru!$L:$L,"GÖRÜŞ",Başvuru!$A:$A,"&lt;&gt;"&amp;"",Başvuru!$F:$F,"&lt;&gt;"&amp;""))</f>
        <v>0</v>
      </c>
      <c r="N114" s="163">
        <f>IF(C114="","",COUNTIFS(Başvuru!$C:$C,C114,Başvuru!$L:$L,"RET",Başvuru!$A:$A,"&lt;&gt;"&amp;"",Başvuru!$F:$F,"&lt;&gt;"&amp;""))</f>
        <v>0</v>
      </c>
      <c r="O114" s="164">
        <f>IF(C114="","",COUNTIFS(Başvuru!$C:$C,C114,Başvuru!$L:$L,"KAPSAM DIŞI",Başvuru!$A:$A,"&lt;&gt;"&amp;"",Başvuru!$F:$F,"&lt;&gt;"&amp;""))</f>
        <v>0</v>
      </c>
      <c r="P114" s="165">
        <f>IF(C114="","",COUNTIFS(Başvuru!$C:$C,C114,Başvuru!$L:$L,"GERİ ÇEKİLDİ",Başvuru!$A:$A,"&lt;&gt;"&amp;"",Başvuru!$F:$F,"&lt;&gt;"&amp;""))</f>
        <v>0</v>
      </c>
      <c r="Q114" s="166" t="s">
        <v>807</v>
      </c>
      <c r="R114" s="167">
        <f>COUNTIFS(Başvuru!$C:$C,Q114,Başvuru!$A:$A,"&lt;&gt;"&amp;"",Başvuru!$F:$F,"&lt;&gt;"&amp;"")</f>
        <v>2</v>
      </c>
      <c r="S114" s="167">
        <f>RANK(R114,$R$6:$R$324,0)+COUNTIF($R$6:R114,R114)-1</f>
        <v>100</v>
      </c>
    </row>
    <row r="115" spans="2:19" ht="15" customHeight="1" x14ac:dyDescent="0.25">
      <c r="B115" s="168">
        <v>110</v>
      </c>
      <c r="C115" s="169" t="str">
        <f>IFERROR(INDEX($Q$6:$Q$324,MATCH(110,$S$6:$S$324,0)),"")</f>
        <v>Prof. Dr. Bilge VOLKAN SALANCI</v>
      </c>
      <c r="D115" s="170">
        <f>IF(C115="","",COUNTIFS(Başvuru!$C:$C,C115,Başvuru!$A:$A,"&lt;&gt;"&amp;"",Başvuru!$F:$F,"&lt;&gt;"&amp;""))</f>
        <v>2</v>
      </c>
      <c r="E115" s="168" t="str">
        <f>IF(C115="","-",IF(D115&gt;0,TEXT(D115/(COUNTIFS(Başvuru!$A:$A,"&lt;&gt;",Başvuru!$F:$F,"&lt;&gt;")-1)*100,"0.0")&amp;"%","-"))</f>
        <v>00%</v>
      </c>
      <c r="F115" s="171">
        <f>IF(C115="","",COUNTIFS(Başvuru!$C:$C,C115,Başvuru!$G:$G,"Bireysel Araştırma",Başvuru!$A:$A,"&lt;&gt;"&amp;"",Başvuru!$F:$F,"&lt;&gt;"&amp;""))</f>
        <v>1</v>
      </c>
      <c r="G115" s="171">
        <f>IF(C115="","",COUNTIFS(Başvuru!$C:$C,C115,Başvuru!$G:$G,"Uzmanlık Tezi",Başvuru!$A:$A,"&lt;&gt;"&amp;"",Başvuru!$F:$F,"&lt;&gt;"&amp;""))</f>
        <v>1</v>
      </c>
      <c r="H115" s="171">
        <f>IF(C115="","",COUNTIFS(Başvuru!$C:$C,C115,Başvuru!$G:$G,"Doktora Tezi",Başvuru!$A:$A,"&lt;&gt;"&amp;"",Başvuru!$F:$F,"&lt;&gt;"&amp;""))</f>
        <v>0</v>
      </c>
      <c r="I115" s="171">
        <f>IF(C115="","",COUNTIFS(Başvuru!$C:$C,C115,Başvuru!$G:$G,"Yüksek Lisans Tezi",Başvuru!$A:$A,"&lt;&gt;"&amp;"",Başvuru!$F:$F,"&lt;&gt;"&amp;""))</f>
        <v>0</v>
      </c>
      <c r="J115" s="172">
        <f>IF(C115="","",COUNTIFS(Başvuru!$C:$C,C115,Başvuru!$L:$L,"ONAY",Başvuru!$A:$A,"&lt;&gt;"&amp;"",Başvuru!$F:$F,"&lt;&gt;"&amp;""))</f>
        <v>2</v>
      </c>
      <c r="K115" s="173">
        <f>IF(C115="","",COUNTIFS(Başvuru!$C:$C,C115,Başvuru!$L:$L,"DÜZELTME",Başvuru!$A:$A,"&lt;&gt;"&amp;"",Başvuru!$F:$F,"&lt;&gt;"&amp;""))</f>
        <v>0</v>
      </c>
      <c r="L115" s="174">
        <f>IF(C115="","",COUNTIFS(Başvuru!$C:$C,C115,Başvuru!$L:$L,"KAEK",Başvuru!$A:$A,"&lt;&gt;"&amp;"",Başvuru!$F:$F,"&lt;&gt;"&amp;""))</f>
        <v>0</v>
      </c>
      <c r="M115" s="175">
        <f>IF(C115="","",COUNTIFS(Başvuru!$C:$C,C115,Başvuru!$L:$L,"GÖRÜŞ",Başvuru!$A:$A,"&lt;&gt;"&amp;"",Başvuru!$F:$F,"&lt;&gt;"&amp;""))</f>
        <v>0</v>
      </c>
      <c r="N115" s="176">
        <f>IF(C115="","",COUNTIFS(Başvuru!$C:$C,C115,Başvuru!$L:$L,"RET",Başvuru!$A:$A,"&lt;&gt;"&amp;"",Başvuru!$F:$F,"&lt;&gt;"&amp;""))</f>
        <v>0</v>
      </c>
      <c r="O115" s="177">
        <f>IF(C115="","",COUNTIFS(Başvuru!$C:$C,C115,Başvuru!$L:$L,"KAPSAM DIŞI",Başvuru!$A:$A,"&lt;&gt;"&amp;"",Başvuru!$F:$F,"&lt;&gt;"&amp;""))</f>
        <v>0</v>
      </c>
      <c r="P115" s="178">
        <f>IF(C115="","",COUNTIFS(Başvuru!$C:$C,C115,Başvuru!$L:$L,"GERİ ÇEKİLDİ",Başvuru!$A:$A,"&lt;&gt;"&amp;"",Başvuru!$F:$F,"&lt;&gt;"&amp;""))</f>
        <v>0</v>
      </c>
      <c r="Q115" s="166" t="s">
        <v>1734</v>
      </c>
      <c r="R115" s="167">
        <f>COUNTIFS(Başvuru!$C:$C,Q115,Başvuru!$A:$A,"&lt;&gt;"&amp;"",Başvuru!$F:$F,"&lt;&gt;"&amp;"")</f>
        <v>1</v>
      </c>
      <c r="S115" s="167">
        <f>RANK(R115,$R$6:$R$324,0)+COUNTIF($R$6:R115,R115)-1</f>
        <v>195</v>
      </c>
    </row>
    <row r="116" spans="2:19" ht="15" customHeight="1" x14ac:dyDescent="0.25">
      <c r="B116" s="155">
        <v>111</v>
      </c>
      <c r="C116" s="156" t="str">
        <f>IFERROR(INDEX($Q$6:$Q$324,MATCH(111,$S$6:$S$324,0)),"")</f>
        <v>Prof. Dr. Bülent Enis ŞEKEREL</v>
      </c>
      <c r="D116" s="157">
        <f>IF(C116="","",COUNTIFS(Başvuru!$C:$C,C116,Başvuru!$A:$A,"&lt;&gt;"&amp;"",Başvuru!$F:$F,"&lt;&gt;"&amp;""))</f>
        <v>2</v>
      </c>
      <c r="E116" s="155" t="str">
        <f>IF(C116="","-",IF(D116&gt;0,TEXT(D116/(COUNTIFS(Başvuru!$A:$A,"&lt;&gt;",Başvuru!$F:$F,"&lt;&gt;")-1)*100,"0.0")&amp;"%","-"))</f>
        <v>00%</v>
      </c>
      <c r="F116" s="158">
        <f>IF(C116="","",COUNTIFS(Başvuru!$C:$C,C116,Başvuru!$G:$G,"Bireysel Araştırma",Başvuru!$A:$A,"&lt;&gt;"&amp;"",Başvuru!$F:$F,"&lt;&gt;"&amp;""))</f>
        <v>2</v>
      </c>
      <c r="G116" s="158">
        <f>IF(C116="","",COUNTIFS(Başvuru!$C:$C,C116,Başvuru!$G:$G,"Uzmanlık Tezi",Başvuru!$A:$A,"&lt;&gt;"&amp;"",Başvuru!$F:$F,"&lt;&gt;"&amp;""))</f>
        <v>0</v>
      </c>
      <c r="H116" s="158">
        <f>IF(C116="","",COUNTIFS(Başvuru!$C:$C,C116,Başvuru!$G:$G,"Doktora Tezi",Başvuru!$A:$A,"&lt;&gt;"&amp;"",Başvuru!$F:$F,"&lt;&gt;"&amp;""))</f>
        <v>0</v>
      </c>
      <c r="I116" s="158">
        <f>IF(C116="","",COUNTIFS(Başvuru!$C:$C,C116,Başvuru!$G:$G,"Yüksek Lisans Tezi",Başvuru!$A:$A,"&lt;&gt;"&amp;"",Başvuru!$F:$F,"&lt;&gt;"&amp;""))</f>
        <v>0</v>
      </c>
      <c r="J116" s="159">
        <f>IF(C116="","",COUNTIFS(Başvuru!$C:$C,C116,Başvuru!$L:$L,"ONAY",Başvuru!$A:$A,"&lt;&gt;"&amp;"",Başvuru!$F:$F,"&lt;&gt;"&amp;""))</f>
        <v>2</v>
      </c>
      <c r="K116" s="160">
        <f>IF(C116="","",COUNTIFS(Başvuru!$C:$C,C116,Başvuru!$L:$L,"DÜZELTME",Başvuru!$A:$A,"&lt;&gt;"&amp;"",Başvuru!$F:$F,"&lt;&gt;"&amp;""))</f>
        <v>0</v>
      </c>
      <c r="L116" s="161">
        <f>IF(C116="","",COUNTIFS(Başvuru!$C:$C,C116,Başvuru!$L:$L,"KAEK",Başvuru!$A:$A,"&lt;&gt;"&amp;"",Başvuru!$F:$F,"&lt;&gt;"&amp;""))</f>
        <v>0</v>
      </c>
      <c r="M116" s="162">
        <f>IF(C116="","",COUNTIFS(Başvuru!$C:$C,C116,Başvuru!$L:$L,"GÖRÜŞ",Başvuru!$A:$A,"&lt;&gt;"&amp;"",Başvuru!$F:$F,"&lt;&gt;"&amp;""))</f>
        <v>0</v>
      </c>
      <c r="N116" s="163">
        <f>IF(C116="","",COUNTIFS(Başvuru!$C:$C,C116,Başvuru!$L:$L,"RET",Başvuru!$A:$A,"&lt;&gt;"&amp;"",Başvuru!$F:$F,"&lt;&gt;"&amp;""))</f>
        <v>0</v>
      </c>
      <c r="O116" s="164">
        <f>IF(C116="","",COUNTIFS(Başvuru!$C:$C,C116,Başvuru!$L:$L,"KAPSAM DIŞI",Başvuru!$A:$A,"&lt;&gt;"&amp;"",Başvuru!$F:$F,"&lt;&gt;"&amp;""))</f>
        <v>0</v>
      </c>
      <c r="P116" s="165">
        <f>IF(C116="","",COUNTIFS(Başvuru!$C:$C,C116,Başvuru!$L:$L,"GERİ ÇEKİLDİ",Başvuru!$A:$A,"&lt;&gt;"&amp;"",Başvuru!$F:$F,"&lt;&gt;"&amp;""))</f>
        <v>0</v>
      </c>
      <c r="Q116" s="166" t="s">
        <v>1103</v>
      </c>
      <c r="R116" s="167">
        <f>COUNTIFS(Başvuru!$C:$C,Q116,Başvuru!$A:$A,"&lt;&gt;"&amp;"",Başvuru!$F:$F,"&lt;&gt;"&amp;"")</f>
        <v>1</v>
      </c>
      <c r="S116" s="167">
        <f>RANK(R116,$R$6:$R$324,0)+COUNTIF($R$6:R116,R116)-1</f>
        <v>196</v>
      </c>
    </row>
    <row r="117" spans="2:19" ht="15" customHeight="1" x14ac:dyDescent="0.25">
      <c r="B117" s="168">
        <v>112</v>
      </c>
      <c r="C117" s="169" t="str">
        <f>IFERROR(INDEX($Q$6:$Q$324,MATCH(112,$S$6:$S$324,0)),"")</f>
        <v>Prof. Dr. Cengiz KILIÇ</v>
      </c>
      <c r="D117" s="170">
        <f>IF(C117="","",COUNTIFS(Başvuru!$C:$C,C117,Başvuru!$A:$A,"&lt;&gt;"&amp;"",Başvuru!$F:$F,"&lt;&gt;"&amp;""))</f>
        <v>2</v>
      </c>
      <c r="E117" s="168" t="str">
        <f>IF(C117="","-",IF(D117&gt;0,TEXT(D117/(COUNTIFS(Başvuru!$A:$A,"&lt;&gt;",Başvuru!$F:$F,"&lt;&gt;")-1)*100,"0.0")&amp;"%","-"))</f>
        <v>00%</v>
      </c>
      <c r="F117" s="171">
        <f>IF(C117="","",COUNTIFS(Başvuru!$C:$C,C117,Başvuru!$G:$G,"Bireysel Araştırma",Başvuru!$A:$A,"&lt;&gt;"&amp;"",Başvuru!$F:$F,"&lt;&gt;"&amp;""))</f>
        <v>0</v>
      </c>
      <c r="G117" s="171">
        <f>IF(C117="","",COUNTIFS(Başvuru!$C:$C,C117,Başvuru!$G:$G,"Uzmanlık Tezi",Başvuru!$A:$A,"&lt;&gt;"&amp;"",Başvuru!$F:$F,"&lt;&gt;"&amp;""))</f>
        <v>2</v>
      </c>
      <c r="H117" s="171">
        <f>IF(C117="","",COUNTIFS(Başvuru!$C:$C,C117,Başvuru!$G:$G,"Doktora Tezi",Başvuru!$A:$A,"&lt;&gt;"&amp;"",Başvuru!$F:$F,"&lt;&gt;"&amp;""))</f>
        <v>0</v>
      </c>
      <c r="I117" s="171">
        <f>IF(C117="","",COUNTIFS(Başvuru!$C:$C,C117,Başvuru!$G:$G,"Yüksek Lisans Tezi",Başvuru!$A:$A,"&lt;&gt;"&amp;"",Başvuru!$F:$F,"&lt;&gt;"&amp;""))</f>
        <v>0</v>
      </c>
      <c r="J117" s="172">
        <f>IF(C117="","",COUNTIFS(Başvuru!$C:$C,C117,Başvuru!$L:$L,"ONAY",Başvuru!$A:$A,"&lt;&gt;"&amp;"",Başvuru!$F:$F,"&lt;&gt;"&amp;""))</f>
        <v>0</v>
      </c>
      <c r="K117" s="173">
        <f>IF(C117="","",COUNTIFS(Başvuru!$C:$C,C117,Başvuru!$L:$L,"DÜZELTME",Başvuru!$A:$A,"&lt;&gt;"&amp;"",Başvuru!$F:$F,"&lt;&gt;"&amp;""))</f>
        <v>2</v>
      </c>
      <c r="L117" s="174">
        <f>IF(C117="","",COUNTIFS(Başvuru!$C:$C,C117,Başvuru!$L:$L,"KAEK",Başvuru!$A:$A,"&lt;&gt;"&amp;"",Başvuru!$F:$F,"&lt;&gt;"&amp;""))</f>
        <v>0</v>
      </c>
      <c r="M117" s="175">
        <f>IF(C117="","",COUNTIFS(Başvuru!$C:$C,C117,Başvuru!$L:$L,"GÖRÜŞ",Başvuru!$A:$A,"&lt;&gt;"&amp;"",Başvuru!$F:$F,"&lt;&gt;"&amp;""))</f>
        <v>0</v>
      </c>
      <c r="N117" s="176">
        <f>IF(C117="","",COUNTIFS(Başvuru!$C:$C,C117,Başvuru!$L:$L,"RET",Başvuru!$A:$A,"&lt;&gt;"&amp;"",Başvuru!$F:$F,"&lt;&gt;"&amp;""))</f>
        <v>0</v>
      </c>
      <c r="O117" s="177">
        <f>IF(C117="","",COUNTIFS(Başvuru!$C:$C,C117,Başvuru!$L:$L,"KAPSAM DIŞI",Başvuru!$A:$A,"&lt;&gt;"&amp;"",Başvuru!$F:$F,"&lt;&gt;"&amp;""))</f>
        <v>0</v>
      </c>
      <c r="P117" s="178">
        <f>IF(C117="","",COUNTIFS(Başvuru!$C:$C,C117,Başvuru!$L:$L,"GERİ ÇEKİLDİ",Başvuru!$A:$A,"&lt;&gt;"&amp;"",Başvuru!$F:$F,"&lt;&gt;"&amp;""))</f>
        <v>0</v>
      </c>
      <c r="Q117" s="166" t="s">
        <v>202</v>
      </c>
      <c r="R117" s="167">
        <f>COUNTIFS(Başvuru!$C:$C,Q117,Başvuru!$A:$A,"&lt;&gt;"&amp;"",Başvuru!$F:$F,"&lt;&gt;"&amp;"")</f>
        <v>8</v>
      </c>
      <c r="S117" s="167">
        <f>RANK(R117,$R$6:$R$324,0)+COUNTIF($R$6:R117,R117)-1</f>
        <v>6</v>
      </c>
    </row>
    <row r="118" spans="2:19" ht="15" customHeight="1" x14ac:dyDescent="0.25">
      <c r="B118" s="155">
        <v>113</v>
      </c>
      <c r="C118" s="156" t="str">
        <f>IFERROR(INDEX($Q$6:$Q$324,MATCH(113,$S$6:$S$324,0)),"")</f>
        <v>Prof. Dr. Filiz ÜZÜMCÜGİL</v>
      </c>
      <c r="D118" s="157">
        <f>IF(C118="","",COUNTIFS(Başvuru!$C:$C,C118,Başvuru!$A:$A,"&lt;&gt;"&amp;"",Başvuru!$F:$F,"&lt;&gt;"&amp;""))</f>
        <v>2</v>
      </c>
      <c r="E118" s="155" t="str">
        <f>IF(C118="","-",IF(D118&gt;0,TEXT(D118/(COUNTIFS(Başvuru!$A:$A,"&lt;&gt;",Başvuru!$F:$F,"&lt;&gt;")-1)*100,"0.0")&amp;"%","-"))</f>
        <v>00%</v>
      </c>
      <c r="F118" s="158">
        <f>IF(C118="","",COUNTIFS(Başvuru!$C:$C,C118,Başvuru!$G:$G,"Bireysel Araştırma",Başvuru!$A:$A,"&lt;&gt;"&amp;"",Başvuru!$F:$F,"&lt;&gt;"&amp;""))</f>
        <v>0</v>
      </c>
      <c r="G118" s="158">
        <f>IF(C118="","",COUNTIFS(Başvuru!$C:$C,C118,Başvuru!$G:$G,"Uzmanlık Tezi",Başvuru!$A:$A,"&lt;&gt;"&amp;"",Başvuru!$F:$F,"&lt;&gt;"&amp;""))</f>
        <v>2</v>
      </c>
      <c r="H118" s="158">
        <f>IF(C118="","",COUNTIFS(Başvuru!$C:$C,C118,Başvuru!$G:$G,"Doktora Tezi",Başvuru!$A:$A,"&lt;&gt;"&amp;"",Başvuru!$F:$F,"&lt;&gt;"&amp;""))</f>
        <v>0</v>
      </c>
      <c r="I118" s="158">
        <f>IF(C118="","",COUNTIFS(Başvuru!$C:$C,C118,Başvuru!$G:$G,"Yüksek Lisans Tezi",Başvuru!$A:$A,"&lt;&gt;"&amp;"",Başvuru!$F:$F,"&lt;&gt;"&amp;""))</f>
        <v>0</v>
      </c>
      <c r="J118" s="159">
        <f>IF(C118="","",COUNTIFS(Başvuru!$C:$C,C118,Başvuru!$L:$L,"ONAY",Başvuru!$A:$A,"&lt;&gt;"&amp;"",Başvuru!$F:$F,"&lt;&gt;"&amp;""))</f>
        <v>2</v>
      </c>
      <c r="K118" s="160">
        <f>IF(C118="","",COUNTIFS(Başvuru!$C:$C,C118,Başvuru!$L:$L,"DÜZELTME",Başvuru!$A:$A,"&lt;&gt;"&amp;"",Başvuru!$F:$F,"&lt;&gt;"&amp;""))</f>
        <v>0</v>
      </c>
      <c r="L118" s="161">
        <f>IF(C118="","",COUNTIFS(Başvuru!$C:$C,C118,Başvuru!$L:$L,"KAEK",Başvuru!$A:$A,"&lt;&gt;"&amp;"",Başvuru!$F:$F,"&lt;&gt;"&amp;""))</f>
        <v>0</v>
      </c>
      <c r="M118" s="162">
        <f>IF(C118="","",COUNTIFS(Başvuru!$C:$C,C118,Başvuru!$L:$L,"GÖRÜŞ",Başvuru!$A:$A,"&lt;&gt;"&amp;"",Başvuru!$F:$F,"&lt;&gt;"&amp;""))</f>
        <v>0</v>
      </c>
      <c r="N118" s="163">
        <f>IF(C118="","",COUNTIFS(Başvuru!$C:$C,C118,Başvuru!$L:$L,"RET",Başvuru!$A:$A,"&lt;&gt;"&amp;"",Başvuru!$F:$F,"&lt;&gt;"&amp;""))</f>
        <v>0</v>
      </c>
      <c r="O118" s="164">
        <f>IF(C118="","",COUNTIFS(Başvuru!$C:$C,C118,Başvuru!$L:$L,"KAPSAM DIŞI",Başvuru!$A:$A,"&lt;&gt;"&amp;"",Başvuru!$F:$F,"&lt;&gt;"&amp;""))</f>
        <v>0</v>
      </c>
      <c r="P118" s="165">
        <f>IF(C118="","",COUNTIFS(Başvuru!$C:$C,C118,Başvuru!$L:$L,"GERİ ÇEKİLDİ",Başvuru!$A:$A,"&lt;&gt;"&amp;"",Başvuru!$F:$F,"&lt;&gt;"&amp;""))</f>
        <v>0</v>
      </c>
      <c r="Q118" s="166" t="s">
        <v>1410</v>
      </c>
      <c r="R118" s="167">
        <f>COUNTIFS(Başvuru!$C:$C,Q118,Başvuru!$A:$A,"&lt;&gt;"&amp;"",Başvuru!$F:$F,"&lt;&gt;"&amp;"")</f>
        <v>3</v>
      </c>
      <c r="S118" s="167">
        <f>RANK(R118,$R$6:$R$324,0)+COUNTIF($R$6:R118,R118)-1</f>
        <v>53</v>
      </c>
    </row>
    <row r="119" spans="2:19" ht="15" customHeight="1" x14ac:dyDescent="0.25">
      <c r="B119" s="168">
        <v>114</v>
      </c>
      <c r="C119" s="169" t="str">
        <f>IFERROR(INDEX($Q$6:$Q$324,MATCH(114,$S$6:$S$324,0)),"")</f>
        <v>Prof. Dr. Güliz AKTAŞ</v>
      </c>
      <c r="D119" s="170">
        <f>IF(C119="","",COUNTIFS(Başvuru!$C:$C,C119,Başvuru!$A:$A,"&lt;&gt;"&amp;"",Başvuru!$F:$F,"&lt;&gt;"&amp;""))</f>
        <v>2</v>
      </c>
      <c r="E119" s="168" t="str">
        <f>IF(C119="","-",IF(D119&gt;0,TEXT(D119/(COUNTIFS(Başvuru!$A:$A,"&lt;&gt;",Başvuru!$F:$F,"&lt;&gt;")-1)*100,"0.0")&amp;"%","-"))</f>
        <v>00%</v>
      </c>
      <c r="F119" s="171">
        <f>IF(C119="","",COUNTIFS(Başvuru!$C:$C,C119,Başvuru!$G:$G,"Bireysel Araştırma",Başvuru!$A:$A,"&lt;&gt;"&amp;"",Başvuru!$F:$F,"&lt;&gt;"&amp;""))</f>
        <v>0</v>
      </c>
      <c r="G119" s="171">
        <f>IF(C119="","",COUNTIFS(Başvuru!$C:$C,C119,Başvuru!$G:$G,"Uzmanlık Tezi",Başvuru!$A:$A,"&lt;&gt;"&amp;"",Başvuru!$F:$F,"&lt;&gt;"&amp;""))</f>
        <v>2</v>
      </c>
      <c r="H119" s="171">
        <f>IF(C119="","",COUNTIFS(Başvuru!$C:$C,C119,Başvuru!$G:$G,"Doktora Tezi",Başvuru!$A:$A,"&lt;&gt;"&amp;"",Başvuru!$F:$F,"&lt;&gt;"&amp;""))</f>
        <v>0</v>
      </c>
      <c r="I119" s="171">
        <f>IF(C119="","",COUNTIFS(Başvuru!$C:$C,C119,Başvuru!$G:$G,"Yüksek Lisans Tezi",Başvuru!$A:$A,"&lt;&gt;"&amp;"",Başvuru!$F:$F,"&lt;&gt;"&amp;""))</f>
        <v>0</v>
      </c>
      <c r="J119" s="172">
        <f>IF(C119="","",COUNTIFS(Başvuru!$C:$C,C119,Başvuru!$L:$L,"ONAY",Başvuru!$A:$A,"&lt;&gt;"&amp;"",Başvuru!$F:$F,"&lt;&gt;"&amp;""))</f>
        <v>2</v>
      </c>
      <c r="K119" s="173">
        <f>IF(C119="","",COUNTIFS(Başvuru!$C:$C,C119,Başvuru!$L:$L,"DÜZELTME",Başvuru!$A:$A,"&lt;&gt;"&amp;"",Başvuru!$F:$F,"&lt;&gt;"&amp;""))</f>
        <v>0</v>
      </c>
      <c r="L119" s="174">
        <f>IF(C119="","",COUNTIFS(Başvuru!$C:$C,C119,Başvuru!$L:$L,"KAEK",Başvuru!$A:$A,"&lt;&gt;"&amp;"",Başvuru!$F:$F,"&lt;&gt;"&amp;""))</f>
        <v>0</v>
      </c>
      <c r="M119" s="175">
        <f>IF(C119="","",COUNTIFS(Başvuru!$C:$C,C119,Başvuru!$L:$L,"GÖRÜŞ",Başvuru!$A:$A,"&lt;&gt;"&amp;"",Başvuru!$F:$F,"&lt;&gt;"&amp;""))</f>
        <v>0</v>
      </c>
      <c r="N119" s="176">
        <f>IF(C119="","",COUNTIFS(Başvuru!$C:$C,C119,Başvuru!$L:$L,"RET",Başvuru!$A:$A,"&lt;&gt;"&amp;"",Başvuru!$F:$F,"&lt;&gt;"&amp;""))</f>
        <v>0</v>
      </c>
      <c r="O119" s="177">
        <f>IF(C119="","",COUNTIFS(Başvuru!$C:$C,C119,Başvuru!$L:$L,"KAPSAM DIŞI",Başvuru!$A:$A,"&lt;&gt;"&amp;"",Başvuru!$F:$F,"&lt;&gt;"&amp;""))</f>
        <v>0</v>
      </c>
      <c r="P119" s="178">
        <f>IF(C119="","",COUNTIFS(Başvuru!$C:$C,C119,Başvuru!$L:$L,"GERİ ÇEKİLDİ",Başvuru!$A:$A,"&lt;&gt;"&amp;"",Başvuru!$F:$F,"&lt;&gt;"&amp;""))</f>
        <v>0</v>
      </c>
      <c r="Q119" s="166" t="s">
        <v>243</v>
      </c>
      <c r="R119" s="167">
        <f>COUNTIFS(Başvuru!$C:$C,Q119,Başvuru!$A:$A,"&lt;&gt;"&amp;"",Başvuru!$F:$F,"&lt;&gt;"&amp;"")</f>
        <v>8</v>
      </c>
      <c r="S119" s="167">
        <f>RANK(R119,$R$6:$R$324,0)+COUNTIF($R$6:R119,R119)-1</f>
        <v>7</v>
      </c>
    </row>
    <row r="120" spans="2:19" ht="15" customHeight="1" x14ac:dyDescent="0.25">
      <c r="B120" s="155">
        <v>115</v>
      </c>
      <c r="C120" s="156" t="str">
        <f>IFERROR(INDEX($Q$6:$Q$324,MATCH(115,$S$6:$S$324,0)),"")</f>
        <v>Prof. Dr. Hakan Hıfzı TÜZ</v>
      </c>
      <c r="D120" s="157">
        <f>IF(C120="","",COUNTIFS(Başvuru!$C:$C,C120,Başvuru!$A:$A,"&lt;&gt;"&amp;"",Başvuru!$F:$F,"&lt;&gt;"&amp;""))</f>
        <v>2</v>
      </c>
      <c r="E120" s="155" t="str">
        <f>IF(C120="","-",IF(D120&gt;0,TEXT(D120/(COUNTIFS(Başvuru!$A:$A,"&lt;&gt;",Başvuru!$F:$F,"&lt;&gt;")-1)*100,"0.0")&amp;"%","-"))</f>
        <v>00%</v>
      </c>
      <c r="F120" s="158">
        <f>IF(C120="","",COUNTIFS(Başvuru!$C:$C,C120,Başvuru!$G:$G,"Bireysel Araştırma",Başvuru!$A:$A,"&lt;&gt;"&amp;"",Başvuru!$F:$F,"&lt;&gt;"&amp;""))</f>
        <v>1</v>
      </c>
      <c r="G120" s="158">
        <f>IF(C120="","",COUNTIFS(Başvuru!$C:$C,C120,Başvuru!$G:$G,"Uzmanlık Tezi",Başvuru!$A:$A,"&lt;&gt;"&amp;"",Başvuru!$F:$F,"&lt;&gt;"&amp;""))</f>
        <v>1</v>
      </c>
      <c r="H120" s="158">
        <f>IF(C120="","",COUNTIFS(Başvuru!$C:$C,C120,Başvuru!$G:$G,"Doktora Tezi",Başvuru!$A:$A,"&lt;&gt;"&amp;"",Başvuru!$F:$F,"&lt;&gt;"&amp;""))</f>
        <v>0</v>
      </c>
      <c r="I120" s="158">
        <f>IF(C120="","",COUNTIFS(Başvuru!$C:$C,C120,Başvuru!$G:$G,"Yüksek Lisans Tezi",Başvuru!$A:$A,"&lt;&gt;"&amp;"",Başvuru!$F:$F,"&lt;&gt;"&amp;""))</f>
        <v>0</v>
      </c>
      <c r="J120" s="159">
        <f>IF(C120="","",COUNTIFS(Başvuru!$C:$C,C120,Başvuru!$L:$L,"ONAY",Başvuru!$A:$A,"&lt;&gt;"&amp;"",Başvuru!$F:$F,"&lt;&gt;"&amp;""))</f>
        <v>2</v>
      </c>
      <c r="K120" s="160">
        <f>IF(C120="","",COUNTIFS(Başvuru!$C:$C,C120,Başvuru!$L:$L,"DÜZELTME",Başvuru!$A:$A,"&lt;&gt;"&amp;"",Başvuru!$F:$F,"&lt;&gt;"&amp;""))</f>
        <v>0</v>
      </c>
      <c r="L120" s="161">
        <f>IF(C120="","",COUNTIFS(Başvuru!$C:$C,C120,Başvuru!$L:$L,"KAEK",Başvuru!$A:$A,"&lt;&gt;"&amp;"",Başvuru!$F:$F,"&lt;&gt;"&amp;""))</f>
        <v>0</v>
      </c>
      <c r="M120" s="162">
        <f>IF(C120="","",COUNTIFS(Başvuru!$C:$C,C120,Başvuru!$L:$L,"GÖRÜŞ",Başvuru!$A:$A,"&lt;&gt;"&amp;"",Başvuru!$F:$F,"&lt;&gt;"&amp;""))</f>
        <v>0</v>
      </c>
      <c r="N120" s="163">
        <f>IF(C120="","",COUNTIFS(Başvuru!$C:$C,C120,Başvuru!$L:$L,"RET",Başvuru!$A:$A,"&lt;&gt;"&amp;"",Başvuru!$F:$F,"&lt;&gt;"&amp;""))</f>
        <v>0</v>
      </c>
      <c r="O120" s="164">
        <f>IF(C120="","",COUNTIFS(Başvuru!$C:$C,C120,Başvuru!$L:$L,"KAPSAM DIŞI",Başvuru!$A:$A,"&lt;&gt;"&amp;"",Başvuru!$F:$F,"&lt;&gt;"&amp;""))</f>
        <v>0</v>
      </c>
      <c r="P120" s="165">
        <f>IF(C120="","",COUNTIFS(Başvuru!$C:$C,C120,Başvuru!$L:$L,"GERİ ÇEKİLDİ",Başvuru!$A:$A,"&lt;&gt;"&amp;"",Başvuru!$F:$F,"&lt;&gt;"&amp;""))</f>
        <v>0</v>
      </c>
      <c r="Q120" s="166" t="s">
        <v>1259</v>
      </c>
      <c r="R120" s="167">
        <f>COUNTIFS(Başvuru!$C:$C,Q120,Başvuru!$A:$A,"&lt;&gt;"&amp;"",Başvuru!$F:$F,"&lt;&gt;"&amp;"")</f>
        <v>2</v>
      </c>
      <c r="S120" s="167">
        <f>RANK(R120,$R$6:$R$324,0)+COUNTIF($R$6:R120,R120)-1</f>
        <v>101</v>
      </c>
    </row>
    <row r="121" spans="2:19" ht="15" customHeight="1" x14ac:dyDescent="0.25">
      <c r="B121" s="168">
        <v>116</v>
      </c>
      <c r="C121" s="169" t="str">
        <f>IFERROR(INDEX($Q$6:$Q$324,MATCH(116,$S$6:$S$324,0)),"")</f>
        <v>Prof. Dr. Hakan UZUN</v>
      </c>
      <c r="D121" s="170">
        <f>IF(C121="","",COUNTIFS(Başvuru!$C:$C,C121,Başvuru!$A:$A,"&lt;&gt;"&amp;"",Başvuru!$F:$F,"&lt;&gt;"&amp;""))</f>
        <v>2</v>
      </c>
      <c r="E121" s="168" t="str">
        <f>IF(C121="","-",IF(D121&gt;0,TEXT(D121/(COUNTIFS(Başvuru!$A:$A,"&lt;&gt;",Başvuru!$F:$F,"&lt;&gt;")-1)*100,"0.0")&amp;"%","-"))</f>
        <v>00%</v>
      </c>
      <c r="F121" s="171">
        <f>IF(C121="","",COUNTIFS(Başvuru!$C:$C,C121,Başvuru!$G:$G,"Bireysel Araştırma",Başvuru!$A:$A,"&lt;&gt;"&amp;"",Başvuru!$F:$F,"&lt;&gt;"&amp;""))</f>
        <v>2</v>
      </c>
      <c r="G121" s="171">
        <f>IF(C121="","",COUNTIFS(Başvuru!$C:$C,C121,Başvuru!$G:$G,"Uzmanlık Tezi",Başvuru!$A:$A,"&lt;&gt;"&amp;"",Başvuru!$F:$F,"&lt;&gt;"&amp;""))</f>
        <v>0</v>
      </c>
      <c r="H121" s="171">
        <f>IF(C121="","",COUNTIFS(Başvuru!$C:$C,C121,Başvuru!$G:$G,"Doktora Tezi",Başvuru!$A:$A,"&lt;&gt;"&amp;"",Başvuru!$F:$F,"&lt;&gt;"&amp;""))</f>
        <v>0</v>
      </c>
      <c r="I121" s="171">
        <f>IF(C121="","",COUNTIFS(Başvuru!$C:$C,C121,Başvuru!$G:$G,"Yüksek Lisans Tezi",Başvuru!$A:$A,"&lt;&gt;"&amp;"",Başvuru!$F:$F,"&lt;&gt;"&amp;""))</f>
        <v>0</v>
      </c>
      <c r="J121" s="172">
        <f>IF(C121="","",COUNTIFS(Başvuru!$C:$C,C121,Başvuru!$L:$L,"ONAY",Başvuru!$A:$A,"&lt;&gt;"&amp;"",Başvuru!$F:$F,"&lt;&gt;"&amp;""))</f>
        <v>1</v>
      </c>
      <c r="K121" s="173">
        <f>IF(C121="","",COUNTIFS(Başvuru!$C:$C,C121,Başvuru!$L:$L,"DÜZELTME",Başvuru!$A:$A,"&lt;&gt;"&amp;"",Başvuru!$F:$F,"&lt;&gt;"&amp;""))</f>
        <v>1</v>
      </c>
      <c r="L121" s="174">
        <f>IF(C121="","",COUNTIFS(Başvuru!$C:$C,C121,Başvuru!$L:$L,"KAEK",Başvuru!$A:$A,"&lt;&gt;"&amp;"",Başvuru!$F:$F,"&lt;&gt;"&amp;""))</f>
        <v>0</v>
      </c>
      <c r="M121" s="175">
        <f>IF(C121="","",COUNTIFS(Başvuru!$C:$C,C121,Başvuru!$L:$L,"GÖRÜŞ",Başvuru!$A:$A,"&lt;&gt;"&amp;"",Başvuru!$F:$F,"&lt;&gt;"&amp;""))</f>
        <v>0</v>
      </c>
      <c r="N121" s="176">
        <f>IF(C121="","",COUNTIFS(Başvuru!$C:$C,C121,Başvuru!$L:$L,"RET",Başvuru!$A:$A,"&lt;&gt;"&amp;"",Başvuru!$F:$F,"&lt;&gt;"&amp;""))</f>
        <v>0</v>
      </c>
      <c r="O121" s="177">
        <f>IF(C121="","",COUNTIFS(Başvuru!$C:$C,C121,Başvuru!$L:$L,"KAPSAM DIŞI",Başvuru!$A:$A,"&lt;&gt;"&amp;"",Başvuru!$F:$F,"&lt;&gt;"&amp;""))</f>
        <v>0</v>
      </c>
      <c r="P121" s="178">
        <f>IF(C121="","",COUNTIFS(Başvuru!$C:$C,C121,Başvuru!$L:$L,"GERİ ÇEKİLDİ",Başvuru!$A:$A,"&lt;&gt;"&amp;"",Başvuru!$F:$F,"&lt;&gt;"&amp;""))</f>
        <v>0</v>
      </c>
      <c r="Q121" s="166" t="s">
        <v>514</v>
      </c>
      <c r="R121" s="167">
        <f>COUNTIFS(Başvuru!$C:$C,Q121,Başvuru!$A:$A,"&lt;&gt;"&amp;"",Başvuru!$F:$F,"&lt;&gt;"&amp;"")</f>
        <v>1</v>
      </c>
      <c r="S121" s="167">
        <f>RANK(R121,$R$6:$R$324,0)+COUNTIF($R$6:R121,R121)-1</f>
        <v>197</v>
      </c>
    </row>
    <row r="122" spans="2:19" ht="15" customHeight="1" x14ac:dyDescent="0.25">
      <c r="B122" s="155">
        <v>117</v>
      </c>
      <c r="C122" s="156" t="str">
        <f>IFERROR(INDEX($Q$6:$Q$324,MATCH(117,$S$6:$S$324,0)),"")</f>
        <v>Prof. Dr. Hasan Serkan DOĞAN</v>
      </c>
      <c r="D122" s="157">
        <f>IF(C122="","",COUNTIFS(Başvuru!$C:$C,C122,Başvuru!$A:$A,"&lt;&gt;"&amp;"",Başvuru!$F:$F,"&lt;&gt;"&amp;""))</f>
        <v>2</v>
      </c>
      <c r="E122" s="155" t="str">
        <f>IF(C122="","-",IF(D122&gt;0,TEXT(D122/(COUNTIFS(Başvuru!$A:$A,"&lt;&gt;",Başvuru!$F:$F,"&lt;&gt;")-1)*100,"0.0")&amp;"%","-"))</f>
        <v>00%</v>
      </c>
      <c r="F122" s="158">
        <f>IF(C122="","",COUNTIFS(Başvuru!$C:$C,C122,Başvuru!$G:$G,"Bireysel Araştırma",Başvuru!$A:$A,"&lt;&gt;"&amp;"",Başvuru!$F:$F,"&lt;&gt;"&amp;""))</f>
        <v>2</v>
      </c>
      <c r="G122" s="158">
        <f>IF(C122="","",COUNTIFS(Başvuru!$C:$C,C122,Başvuru!$G:$G,"Uzmanlık Tezi",Başvuru!$A:$A,"&lt;&gt;"&amp;"",Başvuru!$F:$F,"&lt;&gt;"&amp;""))</f>
        <v>0</v>
      </c>
      <c r="H122" s="158">
        <f>IF(C122="","",COUNTIFS(Başvuru!$C:$C,C122,Başvuru!$G:$G,"Doktora Tezi",Başvuru!$A:$A,"&lt;&gt;"&amp;"",Başvuru!$F:$F,"&lt;&gt;"&amp;""))</f>
        <v>0</v>
      </c>
      <c r="I122" s="158">
        <f>IF(C122="","",COUNTIFS(Başvuru!$C:$C,C122,Başvuru!$G:$G,"Yüksek Lisans Tezi",Başvuru!$A:$A,"&lt;&gt;"&amp;"",Başvuru!$F:$F,"&lt;&gt;"&amp;""))</f>
        <v>0</v>
      </c>
      <c r="J122" s="159">
        <f>IF(C122="","",COUNTIFS(Başvuru!$C:$C,C122,Başvuru!$L:$L,"ONAY",Başvuru!$A:$A,"&lt;&gt;"&amp;"",Başvuru!$F:$F,"&lt;&gt;"&amp;""))</f>
        <v>1</v>
      </c>
      <c r="K122" s="160">
        <f>IF(C122="","",COUNTIFS(Başvuru!$C:$C,C122,Başvuru!$L:$L,"DÜZELTME",Başvuru!$A:$A,"&lt;&gt;"&amp;"",Başvuru!$F:$F,"&lt;&gt;"&amp;""))</f>
        <v>1</v>
      </c>
      <c r="L122" s="161">
        <f>IF(C122="","",COUNTIFS(Başvuru!$C:$C,C122,Başvuru!$L:$L,"KAEK",Başvuru!$A:$A,"&lt;&gt;"&amp;"",Başvuru!$F:$F,"&lt;&gt;"&amp;""))</f>
        <v>0</v>
      </c>
      <c r="M122" s="162">
        <f>IF(C122="","",COUNTIFS(Başvuru!$C:$C,C122,Başvuru!$L:$L,"GÖRÜŞ",Başvuru!$A:$A,"&lt;&gt;"&amp;"",Başvuru!$F:$F,"&lt;&gt;"&amp;""))</f>
        <v>0</v>
      </c>
      <c r="N122" s="163">
        <f>IF(C122="","",COUNTIFS(Başvuru!$C:$C,C122,Başvuru!$L:$L,"RET",Başvuru!$A:$A,"&lt;&gt;"&amp;"",Başvuru!$F:$F,"&lt;&gt;"&amp;""))</f>
        <v>0</v>
      </c>
      <c r="O122" s="164">
        <f>IF(C122="","",COUNTIFS(Başvuru!$C:$C,C122,Başvuru!$L:$L,"KAPSAM DIŞI",Başvuru!$A:$A,"&lt;&gt;"&amp;"",Başvuru!$F:$F,"&lt;&gt;"&amp;""))</f>
        <v>0</v>
      </c>
      <c r="P122" s="165">
        <f>IF(C122="","",COUNTIFS(Başvuru!$C:$C,C122,Başvuru!$L:$L,"GERİ ÇEKİLDİ",Başvuru!$A:$A,"&lt;&gt;"&amp;"",Başvuru!$F:$F,"&lt;&gt;"&amp;""))</f>
        <v>0</v>
      </c>
      <c r="Q122" s="166" t="s">
        <v>1187</v>
      </c>
      <c r="R122" s="167">
        <f>COUNTIFS(Başvuru!$C:$C,Q122,Başvuru!$A:$A,"&lt;&gt;"&amp;"",Başvuru!$F:$F,"&lt;&gt;"&amp;"")</f>
        <v>1</v>
      </c>
      <c r="S122" s="167">
        <f>RANK(R122,$R$6:$R$324,0)+COUNTIF($R$6:R122,R122)-1</f>
        <v>198</v>
      </c>
    </row>
    <row r="123" spans="2:19" ht="15" customHeight="1" x14ac:dyDescent="0.25">
      <c r="B123" s="168">
        <v>118</v>
      </c>
      <c r="C123" s="169" t="str">
        <f>IFERROR(INDEX($Q$6:$Q$324,MATCH(118,$S$6:$S$324,0)),"")</f>
        <v>Prof. Dr. Hikmet YORGUN</v>
      </c>
      <c r="D123" s="170">
        <f>IF(C123="","",COUNTIFS(Başvuru!$C:$C,C123,Başvuru!$A:$A,"&lt;&gt;"&amp;"",Başvuru!$F:$F,"&lt;&gt;"&amp;""))</f>
        <v>2</v>
      </c>
      <c r="E123" s="168" t="str">
        <f>IF(C123="","-",IF(D123&gt;0,TEXT(D123/(COUNTIFS(Başvuru!$A:$A,"&lt;&gt;",Başvuru!$F:$F,"&lt;&gt;")-1)*100,"0.0")&amp;"%","-"))</f>
        <v>00%</v>
      </c>
      <c r="F123" s="171">
        <f>IF(C123="","",COUNTIFS(Başvuru!$C:$C,C123,Başvuru!$G:$G,"Bireysel Araştırma",Başvuru!$A:$A,"&lt;&gt;"&amp;"",Başvuru!$F:$F,"&lt;&gt;"&amp;""))</f>
        <v>1</v>
      </c>
      <c r="G123" s="171">
        <f>IF(C123="","",COUNTIFS(Başvuru!$C:$C,C123,Başvuru!$G:$G,"Uzmanlık Tezi",Başvuru!$A:$A,"&lt;&gt;"&amp;"",Başvuru!$F:$F,"&lt;&gt;"&amp;""))</f>
        <v>1</v>
      </c>
      <c r="H123" s="171">
        <f>IF(C123="","",COUNTIFS(Başvuru!$C:$C,C123,Başvuru!$G:$G,"Doktora Tezi",Başvuru!$A:$A,"&lt;&gt;"&amp;"",Başvuru!$F:$F,"&lt;&gt;"&amp;""))</f>
        <v>0</v>
      </c>
      <c r="I123" s="171">
        <f>IF(C123="","",COUNTIFS(Başvuru!$C:$C,C123,Başvuru!$G:$G,"Yüksek Lisans Tezi",Başvuru!$A:$A,"&lt;&gt;"&amp;"",Başvuru!$F:$F,"&lt;&gt;"&amp;""))</f>
        <v>0</v>
      </c>
      <c r="J123" s="172">
        <f>IF(C123="","",COUNTIFS(Başvuru!$C:$C,C123,Başvuru!$L:$L,"ONAY",Başvuru!$A:$A,"&lt;&gt;"&amp;"",Başvuru!$F:$F,"&lt;&gt;"&amp;""))</f>
        <v>2</v>
      </c>
      <c r="K123" s="173">
        <f>IF(C123="","",COUNTIFS(Başvuru!$C:$C,C123,Başvuru!$L:$L,"DÜZELTME",Başvuru!$A:$A,"&lt;&gt;"&amp;"",Başvuru!$F:$F,"&lt;&gt;"&amp;""))</f>
        <v>0</v>
      </c>
      <c r="L123" s="174">
        <f>IF(C123="","",COUNTIFS(Başvuru!$C:$C,C123,Başvuru!$L:$L,"KAEK",Başvuru!$A:$A,"&lt;&gt;"&amp;"",Başvuru!$F:$F,"&lt;&gt;"&amp;""))</f>
        <v>0</v>
      </c>
      <c r="M123" s="175">
        <f>IF(C123="","",COUNTIFS(Başvuru!$C:$C,C123,Başvuru!$L:$L,"GÖRÜŞ",Başvuru!$A:$A,"&lt;&gt;"&amp;"",Başvuru!$F:$F,"&lt;&gt;"&amp;""))</f>
        <v>0</v>
      </c>
      <c r="N123" s="176">
        <f>IF(C123="","",COUNTIFS(Başvuru!$C:$C,C123,Başvuru!$L:$L,"RET",Başvuru!$A:$A,"&lt;&gt;"&amp;"",Başvuru!$F:$F,"&lt;&gt;"&amp;""))</f>
        <v>0</v>
      </c>
      <c r="O123" s="177">
        <f>IF(C123="","",COUNTIFS(Başvuru!$C:$C,C123,Başvuru!$L:$L,"KAPSAM DIŞI",Başvuru!$A:$A,"&lt;&gt;"&amp;"",Başvuru!$F:$F,"&lt;&gt;"&amp;""))</f>
        <v>0</v>
      </c>
      <c r="P123" s="178">
        <f>IF(C123="","",COUNTIFS(Başvuru!$C:$C,C123,Başvuru!$L:$L,"GERİ ÇEKİLDİ",Başvuru!$A:$A,"&lt;&gt;"&amp;"",Başvuru!$F:$F,"&lt;&gt;"&amp;""))</f>
        <v>0</v>
      </c>
      <c r="Q123" s="166" t="s">
        <v>889</v>
      </c>
      <c r="R123" s="167">
        <f>COUNTIFS(Başvuru!$C:$C,Q123,Başvuru!$A:$A,"&lt;&gt;"&amp;"",Başvuru!$F:$F,"&lt;&gt;"&amp;"")</f>
        <v>1</v>
      </c>
      <c r="S123" s="167">
        <f>RANK(R123,$R$6:$R$324,0)+COUNTIF($R$6:R123,R123)-1</f>
        <v>199</v>
      </c>
    </row>
    <row r="124" spans="2:19" ht="15" customHeight="1" x14ac:dyDescent="0.25">
      <c r="B124" s="155">
        <v>119</v>
      </c>
      <c r="C124" s="156" t="str">
        <f>IFERROR(INDEX($Q$6:$Q$324,MATCH(119,$S$6:$S$324,0)),"")</f>
        <v>Prof. Dr. Hüseyin Gencay KEÇELİ</v>
      </c>
      <c r="D124" s="157">
        <f>IF(C124="","",COUNTIFS(Başvuru!$C:$C,C124,Başvuru!$A:$A,"&lt;&gt;"&amp;"",Başvuru!$F:$F,"&lt;&gt;"&amp;""))</f>
        <v>2</v>
      </c>
      <c r="E124" s="155" t="str">
        <f>IF(C124="","-",IF(D124&gt;0,TEXT(D124/(COUNTIFS(Başvuru!$A:$A,"&lt;&gt;",Başvuru!$F:$F,"&lt;&gt;")-1)*100,"0.0")&amp;"%","-"))</f>
        <v>00%</v>
      </c>
      <c r="F124" s="158">
        <f>IF(C124="","",COUNTIFS(Başvuru!$C:$C,C124,Başvuru!$G:$G,"Bireysel Araştırma",Başvuru!$A:$A,"&lt;&gt;"&amp;"",Başvuru!$F:$F,"&lt;&gt;"&amp;""))</f>
        <v>1</v>
      </c>
      <c r="G124" s="158">
        <f>IF(C124="","",COUNTIFS(Başvuru!$C:$C,C124,Başvuru!$G:$G,"Uzmanlık Tezi",Başvuru!$A:$A,"&lt;&gt;"&amp;"",Başvuru!$F:$F,"&lt;&gt;"&amp;""))</f>
        <v>1</v>
      </c>
      <c r="H124" s="158">
        <f>IF(C124="","",COUNTIFS(Başvuru!$C:$C,C124,Başvuru!$G:$G,"Doktora Tezi",Başvuru!$A:$A,"&lt;&gt;"&amp;"",Başvuru!$F:$F,"&lt;&gt;"&amp;""))</f>
        <v>0</v>
      </c>
      <c r="I124" s="158">
        <f>IF(C124="","",COUNTIFS(Başvuru!$C:$C,C124,Başvuru!$G:$G,"Yüksek Lisans Tezi",Başvuru!$A:$A,"&lt;&gt;"&amp;"",Başvuru!$F:$F,"&lt;&gt;"&amp;""))</f>
        <v>0</v>
      </c>
      <c r="J124" s="159">
        <f>IF(C124="","",COUNTIFS(Başvuru!$C:$C,C124,Başvuru!$L:$L,"ONAY",Başvuru!$A:$A,"&lt;&gt;"&amp;"",Başvuru!$F:$F,"&lt;&gt;"&amp;""))</f>
        <v>1</v>
      </c>
      <c r="K124" s="160">
        <f>IF(C124="","",COUNTIFS(Başvuru!$C:$C,C124,Başvuru!$L:$L,"DÜZELTME",Başvuru!$A:$A,"&lt;&gt;"&amp;"",Başvuru!$F:$F,"&lt;&gt;"&amp;""))</f>
        <v>1</v>
      </c>
      <c r="L124" s="161">
        <f>IF(C124="","",COUNTIFS(Başvuru!$C:$C,C124,Başvuru!$L:$L,"KAEK",Başvuru!$A:$A,"&lt;&gt;"&amp;"",Başvuru!$F:$F,"&lt;&gt;"&amp;""))</f>
        <v>0</v>
      </c>
      <c r="M124" s="162">
        <f>IF(C124="","",COUNTIFS(Başvuru!$C:$C,C124,Başvuru!$L:$L,"GÖRÜŞ",Başvuru!$A:$A,"&lt;&gt;"&amp;"",Başvuru!$F:$F,"&lt;&gt;"&amp;""))</f>
        <v>0</v>
      </c>
      <c r="N124" s="163">
        <f>IF(C124="","",COUNTIFS(Başvuru!$C:$C,C124,Başvuru!$L:$L,"RET",Başvuru!$A:$A,"&lt;&gt;"&amp;"",Başvuru!$F:$F,"&lt;&gt;"&amp;""))</f>
        <v>0</v>
      </c>
      <c r="O124" s="164">
        <f>IF(C124="","",COUNTIFS(Başvuru!$C:$C,C124,Başvuru!$L:$L,"KAPSAM DIŞI",Başvuru!$A:$A,"&lt;&gt;"&amp;"",Başvuru!$F:$F,"&lt;&gt;"&amp;""))</f>
        <v>0</v>
      </c>
      <c r="P124" s="165">
        <f>IF(C124="","",COUNTIFS(Başvuru!$C:$C,C124,Başvuru!$L:$L,"GERİ ÇEKİLDİ",Başvuru!$A:$A,"&lt;&gt;"&amp;"",Başvuru!$F:$F,"&lt;&gt;"&amp;""))</f>
        <v>0</v>
      </c>
      <c r="Q124" s="166" t="s">
        <v>1094</v>
      </c>
      <c r="R124" s="167">
        <f>COUNTIFS(Başvuru!$C:$C,Q124,Başvuru!$A:$A,"&lt;&gt;"&amp;"",Başvuru!$F:$F,"&lt;&gt;"&amp;"")</f>
        <v>2</v>
      </c>
      <c r="S124" s="167">
        <f>RANK(R124,$R$6:$R$324,0)+COUNTIF($R$6:R124,R124)-1</f>
        <v>102</v>
      </c>
    </row>
    <row r="125" spans="2:19" ht="15" customHeight="1" x14ac:dyDescent="0.25">
      <c r="B125" s="168">
        <v>120</v>
      </c>
      <c r="C125" s="169" t="str">
        <f>IFERROR(INDEX($Q$6:$Q$324,MATCH(120,$S$6:$S$324,0)),"")</f>
        <v>Prof. Dr. Kıvanç AKÇA</v>
      </c>
      <c r="D125" s="170">
        <f>IF(C125="","",COUNTIFS(Başvuru!$C:$C,C125,Başvuru!$A:$A,"&lt;&gt;"&amp;"",Başvuru!$F:$F,"&lt;&gt;"&amp;""))</f>
        <v>2</v>
      </c>
      <c r="E125" s="168" t="str">
        <f>IF(C125="","-",IF(D125&gt;0,TEXT(D125/(COUNTIFS(Başvuru!$A:$A,"&lt;&gt;",Başvuru!$F:$F,"&lt;&gt;")-1)*100,"0.0")&amp;"%","-"))</f>
        <v>00%</v>
      </c>
      <c r="F125" s="171">
        <f>IF(C125="","",COUNTIFS(Başvuru!$C:$C,C125,Başvuru!$G:$G,"Bireysel Araştırma",Başvuru!$A:$A,"&lt;&gt;"&amp;"",Başvuru!$F:$F,"&lt;&gt;"&amp;""))</f>
        <v>2</v>
      </c>
      <c r="G125" s="171">
        <f>IF(C125="","",COUNTIFS(Başvuru!$C:$C,C125,Başvuru!$G:$G,"Uzmanlık Tezi",Başvuru!$A:$A,"&lt;&gt;"&amp;"",Başvuru!$F:$F,"&lt;&gt;"&amp;""))</f>
        <v>0</v>
      </c>
      <c r="H125" s="171">
        <f>IF(C125="","",COUNTIFS(Başvuru!$C:$C,C125,Başvuru!$G:$G,"Doktora Tezi",Başvuru!$A:$A,"&lt;&gt;"&amp;"",Başvuru!$F:$F,"&lt;&gt;"&amp;""))</f>
        <v>0</v>
      </c>
      <c r="I125" s="171">
        <f>IF(C125="","",COUNTIFS(Başvuru!$C:$C,C125,Başvuru!$G:$G,"Yüksek Lisans Tezi",Başvuru!$A:$A,"&lt;&gt;"&amp;"",Başvuru!$F:$F,"&lt;&gt;"&amp;""))</f>
        <v>0</v>
      </c>
      <c r="J125" s="172">
        <f>IF(C125="","",COUNTIFS(Başvuru!$C:$C,C125,Başvuru!$L:$L,"ONAY",Başvuru!$A:$A,"&lt;&gt;"&amp;"",Başvuru!$F:$F,"&lt;&gt;"&amp;""))</f>
        <v>1</v>
      </c>
      <c r="K125" s="173">
        <f>IF(C125="","",COUNTIFS(Başvuru!$C:$C,C125,Başvuru!$L:$L,"DÜZELTME",Başvuru!$A:$A,"&lt;&gt;"&amp;"",Başvuru!$F:$F,"&lt;&gt;"&amp;""))</f>
        <v>0</v>
      </c>
      <c r="L125" s="174">
        <f>IF(C125="","",COUNTIFS(Başvuru!$C:$C,C125,Başvuru!$L:$L,"KAEK",Başvuru!$A:$A,"&lt;&gt;"&amp;"",Başvuru!$F:$F,"&lt;&gt;"&amp;""))</f>
        <v>0</v>
      </c>
      <c r="M125" s="175">
        <f>IF(C125="","",COUNTIFS(Başvuru!$C:$C,C125,Başvuru!$L:$L,"GÖRÜŞ",Başvuru!$A:$A,"&lt;&gt;"&amp;"",Başvuru!$F:$F,"&lt;&gt;"&amp;""))</f>
        <v>1</v>
      </c>
      <c r="N125" s="176">
        <f>IF(C125="","",COUNTIFS(Başvuru!$C:$C,C125,Başvuru!$L:$L,"RET",Başvuru!$A:$A,"&lt;&gt;"&amp;"",Başvuru!$F:$F,"&lt;&gt;"&amp;""))</f>
        <v>0</v>
      </c>
      <c r="O125" s="177">
        <f>IF(C125="","",COUNTIFS(Başvuru!$C:$C,C125,Başvuru!$L:$L,"KAPSAM DIŞI",Başvuru!$A:$A,"&lt;&gt;"&amp;"",Başvuru!$F:$F,"&lt;&gt;"&amp;""))</f>
        <v>0</v>
      </c>
      <c r="P125" s="178">
        <f>IF(C125="","",COUNTIFS(Başvuru!$C:$C,C125,Başvuru!$L:$L,"GERİ ÇEKİLDİ",Başvuru!$A:$A,"&lt;&gt;"&amp;"",Başvuru!$F:$F,"&lt;&gt;"&amp;""))</f>
        <v>0</v>
      </c>
      <c r="Q125" s="166" t="s">
        <v>1715</v>
      </c>
      <c r="R125" s="167">
        <f>COUNTIFS(Başvuru!$C:$C,Q125,Başvuru!$A:$A,"&lt;&gt;"&amp;"",Başvuru!$F:$F,"&lt;&gt;"&amp;"")</f>
        <v>2</v>
      </c>
      <c r="S125" s="167">
        <f>RANK(R125,$R$6:$R$324,0)+COUNTIF($R$6:R125,R125)-1</f>
        <v>103</v>
      </c>
    </row>
    <row r="126" spans="2:19" ht="15" customHeight="1" x14ac:dyDescent="0.25">
      <c r="B126" s="155">
        <v>121</v>
      </c>
      <c r="C126" s="156" t="str">
        <f>IFERROR(INDEX($Q$6:$Q$324,MATCH(121,$S$6:$S$324,0)),"")</f>
        <v>Prof. Dr. Levent SENNAROĞLU</v>
      </c>
      <c r="D126" s="157">
        <f>IF(C126="","",COUNTIFS(Başvuru!$C:$C,C126,Başvuru!$A:$A,"&lt;&gt;"&amp;"",Başvuru!$F:$F,"&lt;&gt;"&amp;""))</f>
        <v>2</v>
      </c>
      <c r="E126" s="155" t="str">
        <f>IF(C126="","-",IF(D126&gt;0,TEXT(D126/(COUNTIFS(Başvuru!$A:$A,"&lt;&gt;",Başvuru!$F:$F,"&lt;&gt;")-1)*100,"0.0")&amp;"%","-"))</f>
        <v>00%</v>
      </c>
      <c r="F126" s="158">
        <f>IF(C126="","",COUNTIFS(Başvuru!$C:$C,C126,Başvuru!$G:$G,"Bireysel Araştırma",Başvuru!$A:$A,"&lt;&gt;"&amp;"",Başvuru!$F:$F,"&lt;&gt;"&amp;""))</f>
        <v>2</v>
      </c>
      <c r="G126" s="158">
        <f>IF(C126="","",COUNTIFS(Başvuru!$C:$C,C126,Başvuru!$G:$G,"Uzmanlık Tezi",Başvuru!$A:$A,"&lt;&gt;"&amp;"",Başvuru!$F:$F,"&lt;&gt;"&amp;""))</f>
        <v>0</v>
      </c>
      <c r="H126" s="158">
        <f>IF(C126="","",COUNTIFS(Başvuru!$C:$C,C126,Başvuru!$G:$G,"Doktora Tezi",Başvuru!$A:$A,"&lt;&gt;"&amp;"",Başvuru!$F:$F,"&lt;&gt;"&amp;""))</f>
        <v>0</v>
      </c>
      <c r="I126" s="158">
        <f>IF(C126="","",COUNTIFS(Başvuru!$C:$C,C126,Başvuru!$G:$G,"Yüksek Lisans Tezi",Başvuru!$A:$A,"&lt;&gt;"&amp;"",Başvuru!$F:$F,"&lt;&gt;"&amp;""))</f>
        <v>0</v>
      </c>
      <c r="J126" s="159">
        <f>IF(C126="","",COUNTIFS(Başvuru!$C:$C,C126,Başvuru!$L:$L,"ONAY",Başvuru!$A:$A,"&lt;&gt;"&amp;"",Başvuru!$F:$F,"&lt;&gt;"&amp;""))</f>
        <v>1</v>
      </c>
      <c r="K126" s="160">
        <f>IF(C126="","",COUNTIFS(Başvuru!$C:$C,C126,Başvuru!$L:$L,"DÜZELTME",Başvuru!$A:$A,"&lt;&gt;"&amp;"",Başvuru!$F:$F,"&lt;&gt;"&amp;""))</f>
        <v>0</v>
      </c>
      <c r="L126" s="161">
        <f>IF(C126="","",COUNTIFS(Başvuru!$C:$C,C126,Başvuru!$L:$L,"KAEK",Başvuru!$A:$A,"&lt;&gt;"&amp;"",Başvuru!$F:$F,"&lt;&gt;"&amp;""))</f>
        <v>0</v>
      </c>
      <c r="M126" s="162">
        <f>IF(C126="","",COUNTIFS(Başvuru!$C:$C,C126,Başvuru!$L:$L,"GÖRÜŞ",Başvuru!$A:$A,"&lt;&gt;"&amp;"",Başvuru!$F:$F,"&lt;&gt;"&amp;""))</f>
        <v>0</v>
      </c>
      <c r="N126" s="163">
        <f>IF(C126="","",COUNTIFS(Başvuru!$C:$C,C126,Başvuru!$L:$L,"RET",Başvuru!$A:$A,"&lt;&gt;"&amp;"",Başvuru!$F:$F,"&lt;&gt;"&amp;""))</f>
        <v>0</v>
      </c>
      <c r="O126" s="164">
        <f>IF(C126="","",COUNTIFS(Başvuru!$C:$C,C126,Başvuru!$L:$L,"KAPSAM DIŞI",Başvuru!$A:$A,"&lt;&gt;"&amp;"",Başvuru!$F:$F,"&lt;&gt;"&amp;""))</f>
        <v>0</v>
      </c>
      <c r="P126" s="165">
        <f>IF(C126="","",COUNTIFS(Başvuru!$C:$C,C126,Başvuru!$L:$L,"GERİ ÇEKİLDİ",Başvuru!$A:$A,"&lt;&gt;"&amp;"",Başvuru!$F:$F,"&lt;&gt;"&amp;""))</f>
        <v>0</v>
      </c>
      <c r="Q126" s="166" t="s">
        <v>723</v>
      </c>
      <c r="R126" s="167">
        <f>COUNTIFS(Başvuru!$C:$C,Q126,Başvuru!$A:$A,"&lt;&gt;"&amp;"",Başvuru!$F:$F,"&lt;&gt;"&amp;"")</f>
        <v>1</v>
      </c>
      <c r="S126" s="167">
        <f>RANK(R126,$R$6:$R$324,0)+COUNTIF($R$6:R126,R126)-1</f>
        <v>200</v>
      </c>
    </row>
    <row r="127" spans="2:19" ht="15" customHeight="1" x14ac:dyDescent="0.25">
      <c r="B127" s="168">
        <v>122</v>
      </c>
      <c r="C127" s="169" t="str">
        <f>IFERROR(INDEX($Q$6:$Q$324,MATCH(122,$S$6:$S$324,0)),"")</f>
        <v>Prof. Dr. Murat TUNCEL</v>
      </c>
      <c r="D127" s="170">
        <f>IF(C127="","",COUNTIFS(Başvuru!$C:$C,C127,Başvuru!$A:$A,"&lt;&gt;"&amp;"",Başvuru!$F:$F,"&lt;&gt;"&amp;""))</f>
        <v>2</v>
      </c>
      <c r="E127" s="168" t="str">
        <f>IF(C127="","-",IF(D127&gt;0,TEXT(D127/(COUNTIFS(Başvuru!$A:$A,"&lt;&gt;",Başvuru!$F:$F,"&lt;&gt;")-1)*100,"0.0")&amp;"%","-"))</f>
        <v>00%</v>
      </c>
      <c r="F127" s="171">
        <f>IF(C127="","",COUNTIFS(Başvuru!$C:$C,C127,Başvuru!$G:$G,"Bireysel Araştırma",Başvuru!$A:$A,"&lt;&gt;"&amp;"",Başvuru!$F:$F,"&lt;&gt;"&amp;""))</f>
        <v>1</v>
      </c>
      <c r="G127" s="171">
        <f>IF(C127="","",COUNTIFS(Başvuru!$C:$C,C127,Başvuru!$G:$G,"Uzmanlık Tezi",Başvuru!$A:$A,"&lt;&gt;"&amp;"",Başvuru!$F:$F,"&lt;&gt;"&amp;""))</f>
        <v>1</v>
      </c>
      <c r="H127" s="171">
        <f>IF(C127="","",COUNTIFS(Başvuru!$C:$C,C127,Başvuru!$G:$G,"Doktora Tezi",Başvuru!$A:$A,"&lt;&gt;"&amp;"",Başvuru!$F:$F,"&lt;&gt;"&amp;""))</f>
        <v>0</v>
      </c>
      <c r="I127" s="171">
        <f>IF(C127="","",COUNTIFS(Başvuru!$C:$C,C127,Başvuru!$G:$G,"Yüksek Lisans Tezi",Başvuru!$A:$A,"&lt;&gt;"&amp;"",Başvuru!$F:$F,"&lt;&gt;"&amp;""))</f>
        <v>0</v>
      </c>
      <c r="J127" s="172">
        <f>IF(C127="","",COUNTIFS(Başvuru!$C:$C,C127,Başvuru!$L:$L,"ONAY",Başvuru!$A:$A,"&lt;&gt;"&amp;"",Başvuru!$F:$F,"&lt;&gt;"&amp;""))</f>
        <v>1</v>
      </c>
      <c r="K127" s="173">
        <f>IF(C127="","",COUNTIFS(Başvuru!$C:$C,C127,Başvuru!$L:$L,"DÜZELTME",Başvuru!$A:$A,"&lt;&gt;"&amp;"",Başvuru!$F:$F,"&lt;&gt;"&amp;""))</f>
        <v>0</v>
      </c>
      <c r="L127" s="174">
        <f>IF(C127="","",COUNTIFS(Başvuru!$C:$C,C127,Başvuru!$L:$L,"KAEK",Başvuru!$A:$A,"&lt;&gt;"&amp;"",Başvuru!$F:$F,"&lt;&gt;"&amp;""))</f>
        <v>0</v>
      </c>
      <c r="M127" s="175">
        <f>IF(C127="","",COUNTIFS(Başvuru!$C:$C,C127,Başvuru!$L:$L,"GÖRÜŞ",Başvuru!$A:$A,"&lt;&gt;"&amp;"",Başvuru!$F:$F,"&lt;&gt;"&amp;""))</f>
        <v>0</v>
      </c>
      <c r="N127" s="176">
        <f>IF(C127="","",COUNTIFS(Başvuru!$C:$C,C127,Başvuru!$L:$L,"RET",Başvuru!$A:$A,"&lt;&gt;"&amp;"",Başvuru!$F:$F,"&lt;&gt;"&amp;""))</f>
        <v>1</v>
      </c>
      <c r="O127" s="177">
        <f>IF(C127="","",COUNTIFS(Başvuru!$C:$C,C127,Başvuru!$L:$L,"KAPSAM DIŞI",Başvuru!$A:$A,"&lt;&gt;"&amp;"",Başvuru!$F:$F,"&lt;&gt;"&amp;""))</f>
        <v>0</v>
      </c>
      <c r="P127" s="178">
        <f>IF(C127="","",COUNTIFS(Başvuru!$C:$C,C127,Başvuru!$L:$L,"GERİ ÇEKİLDİ",Başvuru!$A:$A,"&lt;&gt;"&amp;"",Başvuru!$F:$F,"&lt;&gt;"&amp;""))</f>
        <v>0</v>
      </c>
      <c r="Q127" s="166" t="s">
        <v>688</v>
      </c>
      <c r="R127" s="167">
        <f>COUNTIFS(Başvuru!$C:$C,Q127,Başvuru!$A:$A,"&lt;&gt;"&amp;"",Başvuru!$F:$F,"&lt;&gt;"&amp;"")</f>
        <v>1</v>
      </c>
      <c r="S127" s="167">
        <f>RANK(R127,$R$6:$R$324,0)+COUNTIF($R$6:R127,R127)-1</f>
        <v>201</v>
      </c>
    </row>
    <row r="128" spans="2:19" ht="15" customHeight="1" x14ac:dyDescent="0.25">
      <c r="B128" s="155">
        <v>123</v>
      </c>
      <c r="C128" s="156" t="str">
        <f>IFERROR(INDEX($Q$6:$Q$324,MATCH(123,$S$6:$S$324,0)),"")</f>
        <v>Prof. Dr. Nagehan EMİRALİOĞLU ORDUKAYA</v>
      </c>
      <c r="D128" s="157">
        <f>IF(C128="","",COUNTIFS(Başvuru!$C:$C,C128,Başvuru!$A:$A,"&lt;&gt;"&amp;"",Başvuru!$F:$F,"&lt;&gt;"&amp;""))</f>
        <v>2</v>
      </c>
      <c r="E128" s="155" t="str">
        <f>IF(C128="","-",IF(D128&gt;0,TEXT(D128/(COUNTIFS(Başvuru!$A:$A,"&lt;&gt;",Başvuru!$F:$F,"&lt;&gt;")-1)*100,"0.0")&amp;"%","-"))</f>
        <v>00%</v>
      </c>
      <c r="F128" s="158">
        <f>IF(C128="","",COUNTIFS(Başvuru!$C:$C,C128,Başvuru!$G:$G,"Bireysel Araştırma",Başvuru!$A:$A,"&lt;&gt;"&amp;"",Başvuru!$F:$F,"&lt;&gt;"&amp;""))</f>
        <v>1</v>
      </c>
      <c r="G128" s="158">
        <f>IF(C128="","",COUNTIFS(Başvuru!$C:$C,C128,Başvuru!$G:$G,"Uzmanlık Tezi",Başvuru!$A:$A,"&lt;&gt;"&amp;"",Başvuru!$F:$F,"&lt;&gt;"&amp;""))</f>
        <v>1</v>
      </c>
      <c r="H128" s="158">
        <f>IF(C128="","",COUNTIFS(Başvuru!$C:$C,C128,Başvuru!$G:$G,"Doktora Tezi",Başvuru!$A:$A,"&lt;&gt;"&amp;"",Başvuru!$F:$F,"&lt;&gt;"&amp;""))</f>
        <v>0</v>
      </c>
      <c r="I128" s="158">
        <f>IF(C128="","",COUNTIFS(Başvuru!$C:$C,C128,Başvuru!$G:$G,"Yüksek Lisans Tezi",Başvuru!$A:$A,"&lt;&gt;"&amp;"",Başvuru!$F:$F,"&lt;&gt;"&amp;""))</f>
        <v>0</v>
      </c>
      <c r="J128" s="159">
        <f>IF(C128="","",COUNTIFS(Başvuru!$C:$C,C128,Başvuru!$L:$L,"ONAY",Başvuru!$A:$A,"&lt;&gt;"&amp;"",Başvuru!$F:$F,"&lt;&gt;"&amp;""))</f>
        <v>1</v>
      </c>
      <c r="K128" s="160">
        <f>IF(C128="","",COUNTIFS(Başvuru!$C:$C,C128,Başvuru!$L:$L,"DÜZELTME",Başvuru!$A:$A,"&lt;&gt;"&amp;"",Başvuru!$F:$F,"&lt;&gt;"&amp;""))</f>
        <v>1</v>
      </c>
      <c r="L128" s="161">
        <f>IF(C128="","",COUNTIFS(Başvuru!$C:$C,C128,Başvuru!$L:$L,"KAEK",Başvuru!$A:$A,"&lt;&gt;"&amp;"",Başvuru!$F:$F,"&lt;&gt;"&amp;""))</f>
        <v>0</v>
      </c>
      <c r="M128" s="162">
        <f>IF(C128="","",COUNTIFS(Başvuru!$C:$C,C128,Başvuru!$L:$L,"GÖRÜŞ",Başvuru!$A:$A,"&lt;&gt;"&amp;"",Başvuru!$F:$F,"&lt;&gt;"&amp;""))</f>
        <v>0</v>
      </c>
      <c r="N128" s="163">
        <f>IF(C128="","",COUNTIFS(Başvuru!$C:$C,C128,Başvuru!$L:$L,"RET",Başvuru!$A:$A,"&lt;&gt;"&amp;"",Başvuru!$F:$F,"&lt;&gt;"&amp;""))</f>
        <v>0</v>
      </c>
      <c r="O128" s="164">
        <f>IF(C128="","",COUNTIFS(Başvuru!$C:$C,C128,Başvuru!$L:$L,"KAPSAM DIŞI",Başvuru!$A:$A,"&lt;&gt;"&amp;"",Başvuru!$F:$F,"&lt;&gt;"&amp;""))</f>
        <v>0</v>
      </c>
      <c r="P128" s="165">
        <f>IF(C128="","",COUNTIFS(Başvuru!$C:$C,C128,Başvuru!$L:$L,"GERİ ÇEKİLDİ",Başvuru!$A:$A,"&lt;&gt;"&amp;"",Başvuru!$F:$F,"&lt;&gt;"&amp;""))</f>
        <v>0</v>
      </c>
      <c r="Q128" s="166" t="s">
        <v>2127</v>
      </c>
      <c r="R128" s="167">
        <f>COUNTIFS(Başvuru!$C:$C,Q128,Başvuru!$A:$A,"&lt;&gt;"&amp;"",Başvuru!$F:$F,"&lt;&gt;"&amp;"")</f>
        <v>1</v>
      </c>
      <c r="S128" s="167">
        <f>RANK(R128,$R$6:$R$324,0)+COUNTIF($R$6:R128,R128)-1</f>
        <v>202</v>
      </c>
    </row>
    <row r="129" spans="2:19" ht="15" customHeight="1" x14ac:dyDescent="0.25">
      <c r="B129" s="168">
        <v>124</v>
      </c>
      <c r="C129" s="169" t="str">
        <f>IFERROR(INDEX($Q$6:$Q$324,MATCH(124,$S$6:$S$324,0)),"")</f>
        <v>Prof. Dr. Okan Bülent YILDIZ</v>
      </c>
      <c r="D129" s="170">
        <f>IF(C129="","",COUNTIFS(Başvuru!$C:$C,C129,Başvuru!$A:$A,"&lt;&gt;"&amp;"",Başvuru!$F:$F,"&lt;&gt;"&amp;""))</f>
        <v>2</v>
      </c>
      <c r="E129" s="168" t="str">
        <f>IF(C129="","-",IF(D129&gt;0,TEXT(D129/(COUNTIFS(Başvuru!$A:$A,"&lt;&gt;",Başvuru!$F:$F,"&lt;&gt;")-1)*100,"0.0")&amp;"%","-"))</f>
        <v>00%</v>
      </c>
      <c r="F129" s="171">
        <f>IF(C129="","",COUNTIFS(Başvuru!$C:$C,C129,Başvuru!$G:$G,"Bireysel Araştırma",Başvuru!$A:$A,"&lt;&gt;"&amp;"",Başvuru!$F:$F,"&lt;&gt;"&amp;""))</f>
        <v>2</v>
      </c>
      <c r="G129" s="171">
        <f>IF(C129="","",COUNTIFS(Başvuru!$C:$C,C129,Başvuru!$G:$G,"Uzmanlık Tezi",Başvuru!$A:$A,"&lt;&gt;"&amp;"",Başvuru!$F:$F,"&lt;&gt;"&amp;""))</f>
        <v>0</v>
      </c>
      <c r="H129" s="171">
        <f>IF(C129="","",COUNTIFS(Başvuru!$C:$C,C129,Başvuru!$G:$G,"Doktora Tezi",Başvuru!$A:$A,"&lt;&gt;"&amp;"",Başvuru!$F:$F,"&lt;&gt;"&amp;""))</f>
        <v>0</v>
      </c>
      <c r="I129" s="171">
        <f>IF(C129="","",COUNTIFS(Başvuru!$C:$C,C129,Başvuru!$G:$G,"Yüksek Lisans Tezi",Başvuru!$A:$A,"&lt;&gt;"&amp;"",Başvuru!$F:$F,"&lt;&gt;"&amp;""))</f>
        <v>0</v>
      </c>
      <c r="J129" s="172">
        <f>IF(C129="","",COUNTIFS(Başvuru!$C:$C,C129,Başvuru!$L:$L,"ONAY",Başvuru!$A:$A,"&lt;&gt;"&amp;"",Başvuru!$F:$F,"&lt;&gt;"&amp;""))</f>
        <v>0</v>
      </c>
      <c r="K129" s="173">
        <f>IF(C129="","",COUNTIFS(Başvuru!$C:$C,C129,Başvuru!$L:$L,"DÜZELTME",Başvuru!$A:$A,"&lt;&gt;"&amp;"",Başvuru!$F:$F,"&lt;&gt;"&amp;""))</f>
        <v>2</v>
      </c>
      <c r="L129" s="174">
        <f>IF(C129="","",COUNTIFS(Başvuru!$C:$C,C129,Başvuru!$L:$L,"KAEK",Başvuru!$A:$A,"&lt;&gt;"&amp;"",Başvuru!$F:$F,"&lt;&gt;"&amp;""))</f>
        <v>0</v>
      </c>
      <c r="M129" s="175">
        <f>IF(C129="","",COUNTIFS(Başvuru!$C:$C,C129,Başvuru!$L:$L,"GÖRÜŞ",Başvuru!$A:$A,"&lt;&gt;"&amp;"",Başvuru!$F:$F,"&lt;&gt;"&amp;""))</f>
        <v>0</v>
      </c>
      <c r="N129" s="176">
        <f>IF(C129="","",COUNTIFS(Başvuru!$C:$C,C129,Başvuru!$L:$L,"RET",Başvuru!$A:$A,"&lt;&gt;"&amp;"",Başvuru!$F:$F,"&lt;&gt;"&amp;""))</f>
        <v>0</v>
      </c>
      <c r="O129" s="177">
        <f>IF(C129="","",COUNTIFS(Başvuru!$C:$C,C129,Başvuru!$L:$L,"KAPSAM DIŞI",Başvuru!$A:$A,"&lt;&gt;"&amp;"",Başvuru!$F:$F,"&lt;&gt;"&amp;""))</f>
        <v>0</v>
      </c>
      <c r="P129" s="178">
        <f>IF(C129="","",COUNTIFS(Başvuru!$C:$C,C129,Başvuru!$L:$L,"GERİ ÇEKİLDİ",Başvuru!$A:$A,"&lt;&gt;"&amp;"",Başvuru!$F:$F,"&lt;&gt;"&amp;""))</f>
        <v>0</v>
      </c>
      <c r="Q129" s="166" t="s">
        <v>1011</v>
      </c>
      <c r="R129" s="167">
        <f>COUNTIFS(Başvuru!$C:$C,Q129,Başvuru!$A:$A,"&lt;&gt;"&amp;"",Başvuru!$F:$F,"&lt;&gt;"&amp;"")</f>
        <v>1</v>
      </c>
      <c r="S129" s="167">
        <f>RANK(R129,$R$6:$R$324,0)+COUNTIF($R$6:R129,R129)-1</f>
        <v>203</v>
      </c>
    </row>
    <row r="130" spans="2:19" ht="15" customHeight="1" x14ac:dyDescent="0.25">
      <c r="B130" s="155">
        <v>125</v>
      </c>
      <c r="C130" s="156" t="str">
        <f>IFERROR(INDEX($Q$6:$Q$324,MATCH(125,$S$6:$S$324,0)),"")</f>
        <v>Prof. Dr. Rıza Köksal ÖZGÜL</v>
      </c>
      <c r="D130" s="157">
        <f>IF(C130="","",COUNTIFS(Başvuru!$C:$C,C130,Başvuru!$A:$A,"&lt;&gt;"&amp;"",Başvuru!$F:$F,"&lt;&gt;"&amp;""))</f>
        <v>2</v>
      </c>
      <c r="E130" s="155" t="str">
        <f>IF(C130="","-",IF(D130&gt;0,TEXT(D130/(COUNTIFS(Başvuru!$A:$A,"&lt;&gt;",Başvuru!$F:$F,"&lt;&gt;")-1)*100,"0.0")&amp;"%","-"))</f>
        <v>00%</v>
      </c>
      <c r="F130" s="158">
        <f>IF(C130="","",COUNTIFS(Başvuru!$C:$C,C130,Başvuru!$G:$G,"Bireysel Araştırma",Başvuru!$A:$A,"&lt;&gt;"&amp;"",Başvuru!$F:$F,"&lt;&gt;"&amp;""))</f>
        <v>1</v>
      </c>
      <c r="G130" s="158">
        <f>IF(C130="","",COUNTIFS(Başvuru!$C:$C,C130,Başvuru!$G:$G,"Uzmanlık Tezi",Başvuru!$A:$A,"&lt;&gt;"&amp;"",Başvuru!$F:$F,"&lt;&gt;"&amp;""))</f>
        <v>0</v>
      </c>
      <c r="H130" s="158">
        <f>IF(C130="","",COUNTIFS(Başvuru!$C:$C,C130,Başvuru!$G:$G,"Doktora Tezi",Başvuru!$A:$A,"&lt;&gt;"&amp;"",Başvuru!$F:$F,"&lt;&gt;"&amp;""))</f>
        <v>0</v>
      </c>
      <c r="I130" s="158">
        <f>IF(C130="","",COUNTIFS(Başvuru!$C:$C,C130,Başvuru!$G:$G,"Yüksek Lisans Tezi",Başvuru!$A:$A,"&lt;&gt;"&amp;"",Başvuru!$F:$F,"&lt;&gt;"&amp;""))</f>
        <v>1</v>
      </c>
      <c r="J130" s="159">
        <f>IF(C130="","",COUNTIFS(Başvuru!$C:$C,C130,Başvuru!$L:$L,"ONAY",Başvuru!$A:$A,"&lt;&gt;"&amp;"",Başvuru!$F:$F,"&lt;&gt;"&amp;""))</f>
        <v>0</v>
      </c>
      <c r="K130" s="160">
        <f>IF(C130="","",COUNTIFS(Başvuru!$C:$C,C130,Başvuru!$L:$L,"DÜZELTME",Başvuru!$A:$A,"&lt;&gt;"&amp;"",Başvuru!$F:$F,"&lt;&gt;"&amp;""))</f>
        <v>2</v>
      </c>
      <c r="L130" s="161">
        <f>IF(C130="","",COUNTIFS(Başvuru!$C:$C,C130,Başvuru!$L:$L,"KAEK",Başvuru!$A:$A,"&lt;&gt;"&amp;"",Başvuru!$F:$F,"&lt;&gt;"&amp;""))</f>
        <v>0</v>
      </c>
      <c r="M130" s="162">
        <f>IF(C130="","",COUNTIFS(Başvuru!$C:$C,C130,Başvuru!$L:$L,"GÖRÜŞ",Başvuru!$A:$A,"&lt;&gt;"&amp;"",Başvuru!$F:$F,"&lt;&gt;"&amp;""))</f>
        <v>0</v>
      </c>
      <c r="N130" s="163">
        <f>IF(C130="","",COUNTIFS(Başvuru!$C:$C,C130,Başvuru!$L:$L,"RET",Başvuru!$A:$A,"&lt;&gt;"&amp;"",Başvuru!$F:$F,"&lt;&gt;"&amp;""))</f>
        <v>0</v>
      </c>
      <c r="O130" s="164">
        <f>IF(C130="","",COUNTIFS(Başvuru!$C:$C,C130,Başvuru!$L:$L,"KAPSAM DIŞI",Başvuru!$A:$A,"&lt;&gt;"&amp;"",Başvuru!$F:$F,"&lt;&gt;"&amp;""))</f>
        <v>0</v>
      </c>
      <c r="P130" s="165">
        <f>IF(C130="","",COUNTIFS(Başvuru!$C:$C,C130,Başvuru!$L:$L,"GERİ ÇEKİLDİ",Başvuru!$A:$A,"&lt;&gt;"&amp;"",Başvuru!$F:$F,"&lt;&gt;"&amp;""))</f>
        <v>0</v>
      </c>
      <c r="Q130" s="166" t="s">
        <v>1035</v>
      </c>
      <c r="R130" s="167">
        <f>COUNTIFS(Başvuru!$C:$C,Q130,Başvuru!$A:$A,"&lt;&gt;"&amp;"",Başvuru!$F:$F,"&lt;&gt;"&amp;"")</f>
        <v>2</v>
      </c>
      <c r="S130" s="167">
        <f>RANK(R130,$R$6:$R$324,0)+COUNTIF($R$6:R130,R130)-1</f>
        <v>104</v>
      </c>
    </row>
    <row r="131" spans="2:19" ht="15" customHeight="1" x14ac:dyDescent="0.25">
      <c r="B131" s="168">
        <v>126</v>
      </c>
      <c r="C131" s="169" t="str">
        <f>IFERROR(INDEX($Q$6:$Q$324,MATCH(126,$S$6:$S$324,0)),"")</f>
        <v>Prof. Dr. Salih AKSU</v>
      </c>
      <c r="D131" s="170">
        <f>IF(C131="","",COUNTIFS(Başvuru!$C:$C,C131,Başvuru!$A:$A,"&lt;&gt;"&amp;"",Başvuru!$F:$F,"&lt;&gt;"&amp;""))</f>
        <v>2</v>
      </c>
      <c r="E131" s="168" t="str">
        <f>IF(C131="","-",IF(D131&gt;0,TEXT(D131/(COUNTIFS(Başvuru!$A:$A,"&lt;&gt;",Başvuru!$F:$F,"&lt;&gt;")-1)*100,"0.0")&amp;"%","-"))</f>
        <v>00%</v>
      </c>
      <c r="F131" s="171">
        <f>IF(C131="","",COUNTIFS(Başvuru!$C:$C,C131,Başvuru!$G:$G,"Bireysel Araştırma",Başvuru!$A:$A,"&lt;&gt;"&amp;"",Başvuru!$F:$F,"&lt;&gt;"&amp;""))</f>
        <v>2</v>
      </c>
      <c r="G131" s="171">
        <f>IF(C131="","",COUNTIFS(Başvuru!$C:$C,C131,Başvuru!$G:$G,"Uzmanlık Tezi",Başvuru!$A:$A,"&lt;&gt;"&amp;"",Başvuru!$F:$F,"&lt;&gt;"&amp;""))</f>
        <v>0</v>
      </c>
      <c r="H131" s="171">
        <f>IF(C131="","",COUNTIFS(Başvuru!$C:$C,C131,Başvuru!$G:$G,"Doktora Tezi",Başvuru!$A:$A,"&lt;&gt;"&amp;"",Başvuru!$F:$F,"&lt;&gt;"&amp;""))</f>
        <v>0</v>
      </c>
      <c r="I131" s="171">
        <f>IF(C131="","",COUNTIFS(Başvuru!$C:$C,C131,Başvuru!$G:$G,"Yüksek Lisans Tezi",Başvuru!$A:$A,"&lt;&gt;"&amp;"",Başvuru!$F:$F,"&lt;&gt;"&amp;""))</f>
        <v>0</v>
      </c>
      <c r="J131" s="172">
        <f>IF(C131="","",COUNTIFS(Başvuru!$C:$C,C131,Başvuru!$L:$L,"ONAY",Başvuru!$A:$A,"&lt;&gt;"&amp;"",Başvuru!$F:$F,"&lt;&gt;"&amp;""))</f>
        <v>2</v>
      </c>
      <c r="K131" s="173">
        <f>IF(C131="","",COUNTIFS(Başvuru!$C:$C,C131,Başvuru!$L:$L,"DÜZELTME",Başvuru!$A:$A,"&lt;&gt;"&amp;"",Başvuru!$F:$F,"&lt;&gt;"&amp;""))</f>
        <v>0</v>
      </c>
      <c r="L131" s="174">
        <f>IF(C131="","",COUNTIFS(Başvuru!$C:$C,C131,Başvuru!$L:$L,"KAEK",Başvuru!$A:$A,"&lt;&gt;"&amp;"",Başvuru!$F:$F,"&lt;&gt;"&amp;""))</f>
        <v>0</v>
      </c>
      <c r="M131" s="175">
        <f>IF(C131="","",COUNTIFS(Başvuru!$C:$C,C131,Başvuru!$L:$L,"GÖRÜŞ",Başvuru!$A:$A,"&lt;&gt;"&amp;"",Başvuru!$F:$F,"&lt;&gt;"&amp;""))</f>
        <v>0</v>
      </c>
      <c r="N131" s="176">
        <f>IF(C131="","",COUNTIFS(Başvuru!$C:$C,C131,Başvuru!$L:$L,"RET",Başvuru!$A:$A,"&lt;&gt;"&amp;"",Başvuru!$F:$F,"&lt;&gt;"&amp;""))</f>
        <v>0</v>
      </c>
      <c r="O131" s="177">
        <f>IF(C131="","",COUNTIFS(Başvuru!$C:$C,C131,Başvuru!$L:$L,"KAPSAM DIŞI",Başvuru!$A:$A,"&lt;&gt;"&amp;"",Başvuru!$F:$F,"&lt;&gt;"&amp;""))</f>
        <v>0</v>
      </c>
      <c r="P131" s="178">
        <f>IF(C131="","",COUNTIFS(Başvuru!$C:$C,C131,Başvuru!$L:$L,"GERİ ÇEKİLDİ",Başvuru!$A:$A,"&lt;&gt;"&amp;"",Başvuru!$F:$F,"&lt;&gt;"&amp;""))</f>
        <v>0</v>
      </c>
      <c r="Q131" s="166" t="s">
        <v>659</v>
      </c>
      <c r="R131" s="167">
        <f>COUNTIFS(Başvuru!$C:$C,Q131,Başvuru!$A:$A,"&lt;&gt;"&amp;"",Başvuru!$F:$F,"&lt;&gt;"&amp;"")</f>
        <v>3</v>
      </c>
      <c r="S131" s="167">
        <f>RANK(R131,$R$6:$R$324,0)+COUNTIF($R$6:R131,R131)-1</f>
        <v>54</v>
      </c>
    </row>
    <row r="132" spans="2:19" ht="15" customHeight="1" x14ac:dyDescent="0.25">
      <c r="B132" s="155">
        <v>127</v>
      </c>
      <c r="C132" s="156" t="str">
        <f>IFERROR(INDEX($Q$6:$Q$324,MATCH(127,$S$6:$S$324,0)),"")</f>
        <v>Prof. Dr. Saniye EKİNCİ</v>
      </c>
      <c r="D132" s="157">
        <f>IF(C132="","",COUNTIFS(Başvuru!$C:$C,C132,Başvuru!$A:$A,"&lt;&gt;"&amp;"",Başvuru!$F:$F,"&lt;&gt;"&amp;""))</f>
        <v>2</v>
      </c>
      <c r="E132" s="155" t="str">
        <f>IF(C132="","-",IF(D132&gt;0,TEXT(D132/(COUNTIFS(Başvuru!$A:$A,"&lt;&gt;",Başvuru!$F:$F,"&lt;&gt;")-1)*100,"0.0")&amp;"%","-"))</f>
        <v>00%</v>
      </c>
      <c r="F132" s="158">
        <f>IF(C132="","",COUNTIFS(Başvuru!$C:$C,C132,Başvuru!$G:$G,"Bireysel Araştırma",Başvuru!$A:$A,"&lt;&gt;"&amp;"",Başvuru!$F:$F,"&lt;&gt;"&amp;""))</f>
        <v>2</v>
      </c>
      <c r="G132" s="158">
        <f>IF(C132="","",COUNTIFS(Başvuru!$C:$C,C132,Başvuru!$G:$G,"Uzmanlık Tezi",Başvuru!$A:$A,"&lt;&gt;"&amp;"",Başvuru!$F:$F,"&lt;&gt;"&amp;""))</f>
        <v>0</v>
      </c>
      <c r="H132" s="158">
        <f>IF(C132="","",COUNTIFS(Başvuru!$C:$C,C132,Başvuru!$G:$G,"Doktora Tezi",Başvuru!$A:$A,"&lt;&gt;"&amp;"",Başvuru!$F:$F,"&lt;&gt;"&amp;""))</f>
        <v>0</v>
      </c>
      <c r="I132" s="158">
        <f>IF(C132="","",COUNTIFS(Başvuru!$C:$C,C132,Başvuru!$G:$G,"Yüksek Lisans Tezi",Başvuru!$A:$A,"&lt;&gt;"&amp;"",Başvuru!$F:$F,"&lt;&gt;"&amp;""))</f>
        <v>0</v>
      </c>
      <c r="J132" s="159">
        <f>IF(C132="","",COUNTIFS(Başvuru!$C:$C,C132,Başvuru!$L:$L,"ONAY",Başvuru!$A:$A,"&lt;&gt;"&amp;"",Başvuru!$F:$F,"&lt;&gt;"&amp;""))</f>
        <v>1</v>
      </c>
      <c r="K132" s="160">
        <f>IF(C132="","",COUNTIFS(Başvuru!$C:$C,C132,Başvuru!$L:$L,"DÜZELTME",Başvuru!$A:$A,"&lt;&gt;"&amp;"",Başvuru!$F:$F,"&lt;&gt;"&amp;""))</f>
        <v>1</v>
      </c>
      <c r="L132" s="161">
        <f>IF(C132="","",COUNTIFS(Başvuru!$C:$C,C132,Başvuru!$L:$L,"KAEK",Başvuru!$A:$A,"&lt;&gt;"&amp;"",Başvuru!$F:$F,"&lt;&gt;"&amp;""))</f>
        <v>0</v>
      </c>
      <c r="M132" s="162">
        <f>IF(C132="","",COUNTIFS(Başvuru!$C:$C,C132,Başvuru!$L:$L,"GÖRÜŞ",Başvuru!$A:$A,"&lt;&gt;"&amp;"",Başvuru!$F:$F,"&lt;&gt;"&amp;""))</f>
        <v>0</v>
      </c>
      <c r="N132" s="163">
        <f>IF(C132="","",COUNTIFS(Başvuru!$C:$C,C132,Başvuru!$L:$L,"RET",Başvuru!$A:$A,"&lt;&gt;"&amp;"",Başvuru!$F:$F,"&lt;&gt;"&amp;""))</f>
        <v>0</v>
      </c>
      <c r="O132" s="164">
        <f>IF(C132="","",COUNTIFS(Başvuru!$C:$C,C132,Başvuru!$L:$L,"KAPSAM DIŞI",Başvuru!$A:$A,"&lt;&gt;"&amp;"",Başvuru!$F:$F,"&lt;&gt;"&amp;""))</f>
        <v>0</v>
      </c>
      <c r="P132" s="165">
        <f>IF(C132="","",COUNTIFS(Başvuru!$C:$C,C132,Başvuru!$L:$L,"GERİ ÇEKİLDİ",Başvuru!$A:$A,"&lt;&gt;"&amp;"",Başvuru!$F:$F,"&lt;&gt;"&amp;""))</f>
        <v>0</v>
      </c>
      <c r="Q132" s="166" t="s">
        <v>2268</v>
      </c>
      <c r="R132" s="167">
        <f>COUNTIFS(Başvuru!$C:$C,Q132,Başvuru!$A:$A,"&lt;&gt;"&amp;"",Başvuru!$F:$F,"&lt;&gt;"&amp;"")</f>
        <v>1</v>
      </c>
      <c r="S132" s="167">
        <f>RANK(R132,$R$6:$R$324,0)+COUNTIF($R$6:R132,R132)-1</f>
        <v>204</v>
      </c>
    </row>
    <row r="133" spans="2:19" ht="15" customHeight="1" x14ac:dyDescent="0.25">
      <c r="B133" s="168">
        <v>128</v>
      </c>
      <c r="C133" s="169" t="str">
        <f>IFERROR(INDEX($Q$6:$Q$324,MATCH(128,$S$6:$S$324,0)),"")</f>
        <v>Prof. Dr. Seda Banu AKINCI</v>
      </c>
      <c r="D133" s="170">
        <f>IF(C133="","",COUNTIFS(Başvuru!$C:$C,C133,Başvuru!$A:$A,"&lt;&gt;"&amp;"",Başvuru!$F:$F,"&lt;&gt;"&amp;""))</f>
        <v>2</v>
      </c>
      <c r="E133" s="168" t="str">
        <f>IF(C133="","-",IF(D133&gt;0,TEXT(D133/(COUNTIFS(Başvuru!$A:$A,"&lt;&gt;",Başvuru!$F:$F,"&lt;&gt;")-1)*100,"0.0")&amp;"%","-"))</f>
        <v>00%</v>
      </c>
      <c r="F133" s="171">
        <f>IF(C133="","",COUNTIFS(Başvuru!$C:$C,C133,Başvuru!$G:$G,"Bireysel Araştırma",Başvuru!$A:$A,"&lt;&gt;"&amp;"",Başvuru!$F:$F,"&lt;&gt;"&amp;""))</f>
        <v>2</v>
      </c>
      <c r="G133" s="171">
        <f>IF(C133="","",COUNTIFS(Başvuru!$C:$C,C133,Başvuru!$G:$G,"Uzmanlık Tezi",Başvuru!$A:$A,"&lt;&gt;"&amp;"",Başvuru!$F:$F,"&lt;&gt;"&amp;""))</f>
        <v>0</v>
      </c>
      <c r="H133" s="171">
        <f>IF(C133="","",COUNTIFS(Başvuru!$C:$C,C133,Başvuru!$G:$G,"Doktora Tezi",Başvuru!$A:$A,"&lt;&gt;"&amp;"",Başvuru!$F:$F,"&lt;&gt;"&amp;""))</f>
        <v>0</v>
      </c>
      <c r="I133" s="171">
        <f>IF(C133="","",COUNTIFS(Başvuru!$C:$C,C133,Başvuru!$G:$G,"Yüksek Lisans Tezi",Başvuru!$A:$A,"&lt;&gt;"&amp;"",Başvuru!$F:$F,"&lt;&gt;"&amp;""))</f>
        <v>0</v>
      </c>
      <c r="J133" s="172">
        <f>IF(C133="","",COUNTIFS(Başvuru!$C:$C,C133,Başvuru!$L:$L,"ONAY",Başvuru!$A:$A,"&lt;&gt;"&amp;"",Başvuru!$F:$F,"&lt;&gt;"&amp;""))</f>
        <v>2</v>
      </c>
      <c r="K133" s="173">
        <f>IF(C133="","",COUNTIFS(Başvuru!$C:$C,C133,Başvuru!$L:$L,"DÜZELTME",Başvuru!$A:$A,"&lt;&gt;"&amp;"",Başvuru!$F:$F,"&lt;&gt;"&amp;""))</f>
        <v>0</v>
      </c>
      <c r="L133" s="174">
        <f>IF(C133="","",COUNTIFS(Başvuru!$C:$C,C133,Başvuru!$L:$L,"KAEK",Başvuru!$A:$A,"&lt;&gt;"&amp;"",Başvuru!$F:$F,"&lt;&gt;"&amp;""))</f>
        <v>0</v>
      </c>
      <c r="M133" s="175">
        <f>IF(C133="","",COUNTIFS(Başvuru!$C:$C,C133,Başvuru!$L:$L,"GÖRÜŞ",Başvuru!$A:$A,"&lt;&gt;"&amp;"",Başvuru!$F:$F,"&lt;&gt;"&amp;""))</f>
        <v>0</v>
      </c>
      <c r="N133" s="176">
        <f>IF(C133="","",COUNTIFS(Başvuru!$C:$C,C133,Başvuru!$L:$L,"RET",Başvuru!$A:$A,"&lt;&gt;"&amp;"",Başvuru!$F:$F,"&lt;&gt;"&amp;""))</f>
        <v>0</v>
      </c>
      <c r="O133" s="177">
        <f>IF(C133="","",COUNTIFS(Başvuru!$C:$C,C133,Başvuru!$L:$L,"KAPSAM DIŞI",Başvuru!$A:$A,"&lt;&gt;"&amp;"",Başvuru!$F:$F,"&lt;&gt;"&amp;""))</f>
        <v>0</v>
      </c>
      <c r="P133" s="178">
        <f>IF(C133="","",COUNTIFS(Başvuru!$C:$C,C133,Başvuru!$L:$L,"GERİ ÇEKİLDİ",Başvuru!$A:$A,"&lt;&gt;"&amp;"",Başvuru!$F:$F,"&lt;&gt;"&amp;""))</f>
        <v>0</v>
      </c>
      <c r="Q133" s="166" t="s">
        <v>2328</v>
      </c>
      <c r="R133" s="167">
        <f>COUNTIFS(Başvuru!$C:$C,Q133,Başvuru!$A:$A,"&lt;&gt;"&amp;"",Başvuru!$F:$F,"&lt;&gt;"&amp;"")</f>
        <v>1</v>
      </c>
      <c r="S133" s="167">
        <f>RANK(R133,$R$6:$R$324,0)+COUNTIF($R$6:R133,R133)-1</f>
        <v>205</v>
      </c>
    </row>
    <row r="134" spans="2:19" ht="15" customHeight="1" x14ac:dyDescent="0.25">
      <c r="B134" s="155">
        <v>129</v>
      </c>
      <c r="C134" s="156" t="str">
        <f>IFERROR(INDEX($Q$6:$Q$324,MATCH(129,$S$6:$S$324,0)),"")</f>
        <v>Prof. Dr. Serdar TEKGÜL</v>
      </c>
      <c r="D134" s="157">
        <f>IF(C134="","",COUNTIFS(Başvuru!$C:$C,C134,Başvuru!$A:$A,"&lt;&gt;"&amp;"",Başvuru!$F:$F,"&lt;&gt;"&amp;""))</f>
        <v>2</v>
      </c>
      <c r="E134" s="155" t="str">
        <f>IF(C134="","-",IF(D134&gt;0,TEXT(D134/(COUNTIFS(Başvuru!$A:$A,"&lt;&gt;",Başvuru!$F:$F,"&lt;&gt;")-1)*100,"0.0")&amp;"%","-"))</f>
        <v>00%</v>
      </c>
      <c r="F134" s="158">
        <f>IF(C134="","",COUNTIFS(Başvuru!$C:$C,C134,Başvuru!$G:$G,"Bireysel Araştırma",Başvuru!$A:$A,"&lt;&gt;"&amp;"",Başvuru!$F:$F,"&lt;&gt;"&amp;""))</f>
        <v>2</v>
      </c>
      <c r="G134" s="158">
        <f>IF(C134="","",COUNTIFS(Başvuru!$C:$C,C134,Başvuru!$G:$G,"Uzmanlık Tezi",Başvuru!$A:$A,"&lt;&gt;"&amp;"",Başvuru!$F:$F,"&lt;&gt;"&amp;""))</f>
        <v>0</v>
      </c>
      <c r="H134" s="158">
        <f>IF(C134="","",COUNTIFS(Başvuru!$C:$C,C134,Başvuru!$G:$G,"Doktora Tezi",Başvuru!$A:$A,"&lt;&gt;"&amp;"",Başvuru!$F:$F,"&lt;&gt;"&amp;""))</f>
        <v>0</v>
      </c>
      <c r="I134" s="158">
        <f>IF(C134="","",COUNTIFS(Başvuru!$C:$C,C134,Başvuru!$G:$G,"Yüksek Lisans Tezi",Başvuru!$A:$A,"&lt;&gt;"&amp;"",Başvuru!$F:$F,"&lt;&gt;"&amp;""))</f>
        <v>0</v>
      </c>
      <c r="J134" s="159">
        <f>IF(C134="","",COUNTIFS(Başvuru!$C:$C,C134,Başvuru!$L:$L,"ONAY",Başvuru!$A:$A,"&lt;&gt;"&amp;"",Başvuru!$F:$F,"&lt;&gt;"&amp;""))</f>
        <v>1</v>
      </c>
      <c r="K134" s="160">
        <f>IF(C134="","",COUNTIFS(Başvuru!$C:$C,C134,Başvuru!$L:$L,"DÜZELTME",Başvuru!$A:$A,"&lt;&gt;"&amp;"",Başvuru!$F:$F,"&lt;&gt;"&amp;""))</f>
        <v>1</v>
      </c>
      <c r="L134" s="161">
        <f>IF(C134="","",COUNTIFS(Başvuru!$C:$C,C134,Başvuru!$L:$L,"KAEK",Başvuru!$A:$A,"&lt;&gt;"&amp;"",Başvuru!$F:$F,"&lt;&gt;"&amp;""))</f>
        <v>0</v>
      </c>
      <c r="M134" s="162">
        <f>IF(C134="","",COUNTIFS(Başvuru!$C:$C,C134,Başvuru!$L:$L,"GÖRÜŞ",Başvuru!$A:$A,"&lt;&gt;"&amp;"",Başvuru!$F:$F,"&lt;&gt;"&amp;""))</f>
        <v>0</v>
      </c>
      <c r="N134" s="163">
        <f>IF(C134="","",COUNTIFS(Başvuru!$C:$C,C134,Başvuru!$L:$L,"RET",Başvuru!$A:$A,"&lt;&gt;"&amp;"",Başvuru!$F:$F,"&lt;&gt;"&amp;""))</f>
        <v>0</v>
      </c>
      <c r="O134" s="164">
        <f>IF(C134="","",COUNTIFS(Başvuru!$C:$C,C134,Başvuru!$L:$L,"KAPSAM DIŞI",Başvuru!$A:$A,"&lt;&gt;"&amp;"",Başvuru!$F:$F,"&lt;&gt;"&amp;""))</f>
        <v>0</v>
      </c>
      <c r="P134" s="165">
        <f>IF(C134="","",COUNTIFS(Başvuru!$C:$C,C134,Başvuru!$L:$L,"GERİ ÇEKİLDİ",Başvuru!$A:$A,"&lt;&gt;"&amp;"",Başvuru!$F:$F,"&lt;&gt;"&amp;""))</f>
        <v>0</v>
      </c>
      <c r="Q134" s="166" t="s">
        <v>1518</v>
      </c>
      <c r="R134" s="167">
        <f>COUNTIFS(Başvuru!$C:$C,Q134,Başvuru!$A:$A,"&lt;&gt;"&amp;"",Başvuru!$F:$F,"&lt;&gt;"&amp;"")</f>
        <v>1</v>
      </c>
      <c r="S134" s="167">
        <f>RANK(R134,$R$6:$R$324,0)+COUNTIF($R$6:R134,R134)-1</f>
        <v>206</v>
      </c>
    </row>
    <row r="135" spans="2:19" ht="15" customHeight="1" x14ac:dyDescent="0.25">
      <c r="B135" s="168">
        <v>130</v>
      </c>
      <c r="C135" s="169" t="str">
        <f>IFERROR(INDEX($Q$6:$Q$324,MATCH(130,$S$6:$S$324,0)),"")</f>
        <v>Prof. Dr. Serdar ÖZER</v>
      </c>
      <c r="D135" s="170">
        <f>IF(C135="","",COUNTIFS(Başvuru!$C:$C,C135,Başvuru!$A:$A,"&lt;&gt;"&amp;"",Başvuru!$F:$F,"&lt;&gt;"&amp;""))</f>
        <v>2</v>
      </c>
      <c r="E135" s="168" t="str">
        <f>IF(C135="","-",IF(D135&gt;0,TEXT(D135/(COUNTIFS(Başvuru!$A:$A,"&lt;&gt;",Başvuru!$F:$F,"&lt;&gt;")-1)*100,"0.0")&amp;"%","-"))</f>
        <v>00%</v>
      </c>
      <c r="F135" s="171">
        <f>IF(C135="","",COUNTIFS(Başvuru!$C:$C,C135,Başvuru!$G:$G,"Bireysel Araştırma",Başvuru!$A:$A,"&lt;&gt;"&amp;"",Başvuru!$F:$F,"&lt;&gt;"&amp;""))</f>
        <v>1</v>
      </c>
      <c r="G135" s="171">
        <f>IF(C135="","",COUNTIFS(Başvuru!$C:$C,C135,Başvuru!$G:$G,"Uzmanlık Tezi",Başvuru!$A:$A,"&lt;&gt;"&amp;"",Başvuru!$F:$F,"&lt;&gt;"&amp;""))</f>
        <v>1</v>
      </c>
      <c r="H135" s="171">
        <f>IF(C135="","",COUNTIFS(Başvuru!$C:$C,C135,Başvuru!$G:$G,"Doktora Tezi",Başvuru!$A:$A,"&lt;&gt;"&amp;"",Başvuru!$F:$F,"&lt;&gt;"&amp;""))</f>
        <v>0</v>
      </c>
      <c r="I135" s="171">
        <f>IF(C135="","",COUNTIFS(Başvuru!$C:$C,C135,Başvuru!$G:$G,"Yüksek Lisans Tezi",Başvuru!$A:$A,"&lt;&gt;"&amp;"",Başvuru!$F:$F,"&lt;&gt;"&amp;""))</f>
        <v>0</v>
      </c>
      <c r="J135" s="172">
        <f>IF(C135="","",COUNTIFS(Başvuru!$C:$C,C135,Başvuru!$L:$L,"ONAY",Başvuru!$A:$A,"&lt;&gt;"&amp;"",Başvuru!$F:$F,"&lt;&gt;"&amp;""))</f>
        <v>1</v>
      </c>
      <c r="K135" s="173">
        <f>IF(C135="","",COUNTIFS(Başvuru!$C:$C,C135,Başvuru!$L:$L,"DÜZELTME",Başvuru!$A:$A,"&lt;&gt;"&amp;"",Başvuru!$F:$F,"&lt;&gt;"&amp;""))</f>
        <v>0</v>
      </c>
      <c r="L135" s="174">
        <f>IF(C135="","",COUNTIFS(Başvuru!$C:$C,C135,Başvuru!$L:$L,"KAEK",Başvuru!$A:$A,"&lt;&gt;"&amp;"",Başvuru!$F:$F,"&lt;&gt;"&amp;""))</f>
        <v>0</v>
      </c>
      <c r="M135" s="175">
        <f>IF(C135="","",COUNTIFS(Başvuru!$C:$C,C135,Başvuru!$L:$L,"GÖRÜŞ",Başvuru!$A:$A,"&lt;&gt;"&amp;"",Başvuru!$F:$F,"&lt;&gt;"&amp;""))</f>
        <v>0</v>
      </c>
      <c r="N135" s="176">
        <f>IF(C135="","",COUNTIFS(Başvuru!$C:$C,C135,Başvuru!$L:$L,"RET",Başvuru!$A:$A,"&lt;&gt;"&amp;"",Başvuru!$F:$F,"&lt;&gt;"&amp;""))</f>
        <v>1</v>
      </c>
      <c r="O135" s="177">
        <f>IF(C135="","",COUNTIFS(Başvuru!$C:$C,C135,Başvuru!$L:$L,"KAPSAM DIŞI",Başvuru!$A:$A,"&lt;&gt;"&amp;"",Başvuru!$F:$F,"&lt;&gt;"&amp;""))</f>
        <v>0</v>
      </c>
      <c r="P135" s="178">
        <f>IF(C135="","",COUNTIFS(Başvuru!$C:$C,C135,Başvuru!$L:$L,"GERİ ÇEKİLDİ",Başvuru!$A:$A,"&lt;&gt;"&amp;"",Başvuru!$F:$F,"&lt;&gt;"&amp;""))</f>
        <v>0</v>
      </c>
      <c r="Q135" s="166" t="s">
        <v>2222</v>
      </c>
      <c r="R135" s="167">
        <f>COUNTIFS(Başvuru!$C:$C,Q135,Başvuru!$A:$A,"&lt;&gt;"&amp;"",Başvuru!$F:$F,"&lt;&gt;"&amp;"")</f>
        <v>1</v>
      </c>
      <c r="S135" s="167">
        <f>RANK(R135,$R$6:$R$324,0)+COUNTIF($R$6:R135,R135)-1</f>
        <v>207</v>
      </c>
    </row>
    <row r="136" spans="2:19" ht="15" customHeight="1" x14ac:dyDescent="0.25">
      <c r="B136" s="155">
        <v>131</v>
      </c>
      <c r="C136" s="156" t="str">
        <f>IFERROR(INDEX($Q$6:$Q$324,MATCH(131,$S$6:$S$324,0)),"")</f>
        <v>Prof. Dr. Taner YILMAZ</v>
      </c>
      <c r="D136" s="157">
        <f>IF(C136="","",COUNTIFS(Başvuru!$C:$C,C136,Başvuru!$A:$A,"&lt;&gt;"&amp;"",Başvuru!$F:$F,"&lt;&gt;"&amp;""))</f>
        <v>2</v>
      </c>
      <c r="E136" s="155" t="str">
        <f>IF(C136="","-",IF(D136&gt;0,TEXT(D136/(COUNTIFS(Başvuru!$A:$A,"&lt;&gt;",Başvuru!$F:$F,"&lt;&gt;")-1)*100,"0.0")&amp;"%","-"))</f>
        <v>00%</v>
      </c>
      <c r="F136" s="158">
        <f>IF(C136="","",COUNTIFS(Başvuru!$C:$C,C136,Başvuru!$G:$G,"Bireysel Araştırma",Başvuru!$A:$A,"&lt;&gt;"&amp;"",Başvuru!$F:$F,"&lt;&gt;"&amp;""))</f>
        <v>2</v>
      </c>
      <c r="G136" s="158">
        <f>IF(C136="","",COUNTIFS(Başvuru!$C:$C,C136,Başvuru!$G:$G,"Uzmanlık Tezi",Başvuru!$A:$A,"&lt;&gt;"&amp;"",Başvuru!$F:$F,"&lt;&gt;"&amp;""))</f>
        <v>0</v>
      </c>
      <c r="H136" s="158">
        <f>IF(C136="","",COUNTIFS(Başvuru!$C:$C,C136,Başvuru!$G:$G,"Doktora Tezi",Başvuru!$A:$A,"&lt;&gt;"&amp;"",Başvuru!$F:$F,"&lt;&gt;"&amp;""))</f>
        <v>0</v>
      </c>
      <c r="I136" s="158">
        <f>IF(C136="","",COUNTIFS(Başvuru!$C:$C,C136,Başvuru!$G:$G,"Yüksek Lisans Tezi",Başvuru!$A:$A,"&lt;&gt;"&amp;"",Başvuru!$F:$F,"&lt;&gt;"&amp;""))</f>
        <v>0</v>
      </c>
      <c r="J136" s="159">
        <f>IF(C136="","",COUNTIFS(Başvuru!$C:$C,C136,Başvuru!$L:$L,"ONAY",Başvuru!$A:$A,"&lt;&gt;"&amp;"",Başvuru!$F:$F,"&lt;&gt;"&amp;""))</f>
        <v>2</v>
      </c>
      <c r="K136" s="160">
        <f>IF(C136="","",COUNTIFS(Başvuru!$C:$C,C136,Başvuru!$L:$L,"DÜZELTME",Başvuru!$A:$A,"&lt;&gt;"&amp;"",Başvuru!$F:$F,"&lt;&gt;"&amp;""))</f>
        <v>0</v>
      </c>
      <c r="L136" s="161">
        <f>IF(C136="","",COUNTIFS(Başvuru!$C:$C,C136,Başvuru!$L:$L,"KAEK",Başvuru!$A:$A,"&lt;&gt;"&amp;"",Başvuru!$F:$F,"&lt;&gt;"&amp;""))</f>
        <v>0</v>
      </c>
      <c r="M136" s="162">
        <f>IF(C136="","",COUNTIFS(Başvuru!$C:$C,C136,Başvuru!$L:$L,"GÖRÜŞ",Başvuru!$A:$A,"&lt;&gt;"&amp;"",Başvuru!$F:$F,"&lt;&gt;"&amp;""))</f>
        <v>0</v>
      </c>
      <c r="N136" s="163">
        <f>IF(C136="","",COUNTIFS(Başvuru!$C:$C,C136,Başvuru!$L:$L,"RET",Başvuru!$A:$A,"&lt;&gt;"&amp;"",Başvuru!$F:$F,"&lt;&gt;"&amp;""))</f>
        <v>0</v>
      </c>
      <c r="O136" s="164">
        <f>IF(C136="","",COUNTIFS(Başvuru!$C:$C,C136,Başvuru!$L:$L,"KAPSAM DIŞI",Başvuru!$A:$A,"&lt;&gt;"&amp;"",Başvuru!$F:$F,"&lt;&gt;"&amp;""))</f>
        <v>0</v>
      </c>
      <c r="P136" s="165">
        <f>IF(C136="","",COUNTIFS(Başvuru!$C:$C,C136,Başvuru!$L:$L,"GERİ ÇEKİLDİ",Başvuru!$A:$A,"&lt;&gt;"&amp;"",Başvuru!$F:$F,"&lt;&gt;"&amp;""))</f>
        <v>0</v>
      </c>
      <c r="Q136" s="166" t="s">
        <v>1109</v>
      </c>
      <c r="R136" s="167">
        <f>COUNTIFS(Başvuru!$C:$C,Q136,Başvuru!$A:$A,"&lt;&gt;"&amp;"",Başvuru!$F:$F,"&lt;&gt;"&amp;"")</f>
        <v>1</v>
      </c>
      <c r="S136" s="167">
        <f>RANK(R136,$R$6:$R$324,0)+COUNTIF($R$6:R136,R136)-1</f>
        <v>208</v>
      </c>
    </row>
    <row r="137" spans="2:19" ht="15" customHeight="1" x14ac:dyDescent="0.25">
      <c r="B137" s="168">
        <v>132</v>
      </c>
      <c r="C137" s="169" t="str">
        <f>IFERROR(INDEX($Q$6:$Q$324,MATCH(132,$S$6:$S$324,0)),"")</f>
        <v>Prof. Dr. Uğur ÜNLÜTÜRK</v>
      </c>
      <c r="D137" s="170">
        <f>IF(C137="","",COUNTIFS(Başvuru!$C:$C,C137,Başvuru!$A:$A,"&lt;&gt;"&amp;"",Başvuru!$F:$F,"&lt;&gt;"&amp;""))</f>
        <v>2</v>
      </c>
      <c r="E137" s="168" t="str">
        <f>IF(C137="","-",IF(D137&gt;0,TEXT(D137/(COUNTIFS(Başvuru!$A:$A,"&lt;&gt;",Başvuru!$F:$F,"&lt;&gt;")-1)*100,"0.0")&amp;"%","-"))</f>
        <v>00%</v>
      </c>
      <c r="F137" s="171">
        <f>IF(C137="","",COUNTIFS(Başvuru!$C:$C,C137,Başvuru!$G:$G,"Bireysel Araştırma",Başvuru!$A:$A,"&lt;&gt;"&amp;"",Başvuru!$F:$F,"&lt;&gt;"&amp;""))</f>
        <v>2</v>
      </c>
      <c r="G137" s="171">
        <f>IF(C137="","",COUNTIFS(Başvuru!$C:$C,C137,Başvuru!$G:$G,"Uzmanlık Tezi",Başvuru!$A:$A,"&lt;&gt;"&amp;"",Başvuru!$F:$F,"&lt;&gt;"&amp;""))</f>
        <v>0</v>
      </c>
      <c r="H137" s="171">
        <f>IF(C137="","",COUNTIFS(Başvuru!$C:$C,C137,Başvuru!$G:$G,"Doktora Tezi",Başvuru!$A:$A,"&lt;&gt;"&amp;"",Başvuru!$F:$F,"&lt;&gt;"&amp;""))</f>
        <v>0</v>
      </c>
      <c r="I137" s="171">
        <f>IF(C137="","",COUNTIFS(Başvuru!$C:$C,C137,Başvuru!$G:$G,"Yüksek Lisans Tezi",Başvuru!$A:$A,"&lt;&gt;"&amp;"",Başvuru!$F:$F,"&lt;&gt;"&amp;""))</f>
        <v>0</v>
      </c>
      <c r="J137" s="172">
        <f>IF(C137="","",COUNTIFS(Başvuru!$C:$C,C137,Başvuru!$L:$L,"ONAY",Başvuru!$A:$A,"&lt;&gt;"&amp;"",Başvuru!$F:$F,"&lt;&gt;"&amp;""))</f>
        <v>1</v>
      </c>
      <c r="K137" s="173">
        <f>IF(C137="","",COUNTIFS(Başvuru!$C:$C,C137,Başvuru!$L:$L,"DÜZELTME",Başvuru!$A:$A,"&lt;&gt;"&amp;"",Başvuru!$F:$F,"&lt;&gt;"&amp;""))</f>
        <v>1</v>
      </c>
      <c r="L137" s="174">
        <f>IF(C137="","",COUNTIFS(Başvuru!$C:$C,C137,Başvuru!$L:$L,"KAEK",Başvuru!$A:$A,"&lt;&gt;"&amp;"",Başvuru!$F:$F,"&lt;&gt;"&amp;""))</f>
        <v>0</v>
      </c>
      <c r="M137" s="175">
        <f>IF(C137="","",COUNTIFS(Başvuru!$C:$C,C137,Başvuru!$L:$L,"GÖRÜŞ",Başvuru!$A:$A,"&lt;&gt;"&amp;"",Başvuru!$F:$F,"&lt;&gt;"&amp;""))</f>
        <v>0</v>
      </c>
      <c r="N137" s="176">
        <f>IF(C137="","",COUNTIFS(Başvuru!$C:$C,C137,Başvuru!$L:$L,"RET",Başvuru!$A:$A,"&lt;&gt;"&amp;"",Başvuru!$F:$F,"&lt;&gt;"&amp;""))</f>
        <v>0</v>
      </c>
      <c r="O137" s="177">
        <f>IF(C137="","",COUNTIFS(Başvuru!$C:$C,C137,Başvuru!$L:$L,"KAPSAM DIŞI",Başvuru!$A:$A,"&lt;&gt;"&amp;"",Başvuru!$F:$F,"&lt;&gt;"&amp;""))</f>
        <v>0</v>
      </c>
      <c r="P137" s="178">
        <f>IF(C137="","",COUNTIFS(Başvuru!$C:$C,C137,Başvuru!$L:$L,"GERİ ÇEKİLDİ",Başvuru!$A:$A,"&lt;&gt;"&amp;"",Başvuru!$F:$F,"&lt;&gt;"&amp;""))</f>
        <v>0</v>
      </c>
      <c r="Q137" s="166" t="s">
        <v>1435</v>
      </c>
      <c r="R137" s="167">
        <f>COUNTIFS(Başvuru!$C:$C,Q137,Başvuru!$A:$A,"&lt;&gt;"&amp;"",Başvuru!$F:$F,"&lt;&gt;"&amp;"")</f>
        <v>1</v>
      </c>
      <c r="S137" s="167">
        <f>RANK(R137,$R$6:$R$324,0)+COUNTIF($R$6:R137,R137)-1</f>
        <v>209</v>
      </c>
    </row>
    <row r="138" spans="2:19" ht="15" customHeight="1" x14ac:dyDescent="0.25">
      <c r="B138" s="155">
        <v>133</v>
      </c>
      <c r="C138" s="156" t="str">
        <f>IFERROR(INDEX($Q$6:$Q$324,MATCH(133,$S$6:$S$324,0)),"")</f>
        <v>Prof. Dr. Yahya BÜYÜKAŞIK</v>
      </c>
      <c r="D138" s="157">
        <f>IF(C138="","",COUNTIFS(Başvuru!$C:$C,C138,Başvuru!$A:$A,"&lt;&gt;"&amp;"",Başvuru!$F:$F,"&lt;&gt;"&amp;""))</f>
        <v>2</v>
      </c>
      <c r="E138" s="155" t="str">
        <f>IF(C138="","-",IF(D138&gt;0,TEXT(D138/(COUNTIFS(Başvuru!$A:$A,"&lt;&gt;",Başvuru!$F:$F,"&lt;&gt;")-1)*100,"0.0")&amp;"%","-"))</f>
        <v>00%</v>
      </c>
      <c r="F138" s="158">
        <f>IF(C138="","",COUNTIFS(Başvuru!$C:$C,C138,Başvuru!$G:$G,"Bireysel Araştırma",Başvuru!$A:$A,"&lt;&gt;"&amp;"",Başvuru!$F:$F,"&lt;&gt;"&amp;""))</f>
        <v>1</v>
      </c>
      <c r="G138" s="158">
        <f>IF(C138="","",COUNTIFS(Başvuru!$C:$C,C138,Başvuru!$G:$G,"Uzmanlık Tezi",Başvuru!$A:$A,"&lt;&gt;"&amp;"",Başvuru!$F:$F,"&lt;&gt;"&amp;""))</f>
        <v>1</v>
      </c>
      <c r="H138" s="158">
        <f>IF(C138="","",COUNTIFS(Başvuru!$C:$C,C138,Başvuru!$G:$G,"Doktora Tezi",Başvuru!$A:$A,"&lt;&gt;"&amp;"",Başvuru!$F:$F,"&lt;&gt;"&amp;""))</f>
        <v>0</v>
      </c>
      <c r="I138" s="158">
        <f>IF(C138="","",COUNTIFS(Başvuru!$C:$C,C138,Başvuru!$G:$G,"Yüksek Lisans Tezi",Başvuru!$A:$A,"&lt;&gt;"&amp;"",Başvuru!$F:$F,"&lt;&gt;"&amp;""))</f>
        <v>0</v>
      </c>
      <c r="J138" s="159">
        <f>IF(C138="","",COUNTIFS(Başvuru!$C:$C,C138,Başvuru!$L:$L,"ONAY",Başvuru!$A:$A,"&lt;&gt;"&amp;"",Başvuru!$F:$F,"&lt;&gt;"&amp;""))</f>
        <v>2</v>
      </c>
      <c r="K138" s="160">
        <f>IF(C138="","",COUNTIFS(Başvuru!$C:$C,C138,Başvuru!$L:$L,"DÜZELTME",Başvuru!$A:$A,"&lt;&gt;"&amp;"",Başvuru!$F:$F,"&lt;&gt;"&amp;""))</f>
        <v>0</v>
      </c>
      <c r="L138" s="161">
        <f>IF(C138="","",COUNTIFS(Başvuru!$C:$C,C138,Başvuru!$L:$L,"KAEK",Başvuru!$A:$A,"&lt;&gt;"&amp;"",Başvuru!$F:$F,"&lt;&gt;"&amp;""))</f>
        <v>0</v>
      </c>
      <c r="M138" s="162">
        <f>IF(C138="","",COUNTIFS(Başvuru!$C:$C,C138,Başvuru!$L:$L,"GÖRÜŞ",Başvuru!$A:$A,"&lt;&gt;"&amp;"",Başvuru!$F:$F,"&lt;&gt;"&amp;""))</f>
        <v>0</v>
      </c>
      <c r="N138" s="163">
        <f>IF(C138="","",COUNTIFS(Başvuru!$C:$C,C138,Başvuru!$L:$L,"RET",Başvuru!$A:$A,"&lt;&gt;"&amp;"",Başvuru!$F:$F,"&lt;&gt;"&amp;""))</f>
        <v>0</v>
      </c>
      <c r="O138" s="164">
        <f>IF(C138="","",COUNTIFS(Başvuru!$C:$C,C138,Başvuru!$L:$L,"KAPSAM DIŞI",Başvuru!$A:$A,"&lt;&gt;"&amp;"",Başvuru!$F:$F,"&lt;&gt;"&amp;""))</f>
        <v>0</v>
      </c>
      <c r="P138" s="165">
        <f>IF(C138="","",COUNTIFS(Başvuru!$C:$C,C138,Başvuru!$L:$L,"GERİ ÇEKİLDİ",Başvuru!$A:$A,"&lt;&gt;"&amp;"",Başvuru!$F:$F,"&lt;&gt;"&amp;""))</f>
        <v>0</v>
      </c>
      <c r="Q138" s="166" t="s">
        <v>2306</v>
      </c>
      <c r="R138" s="167">
        <f>COUNTIFS(Başvuru!$C:$C,Q138,Başvuru!$A:$A,"&lt;&gt;"&amp;"",Başvuru!$F:$F,"&lt;&gt;"&amp;"")</f>
        <v>2</v>
      </c>
      <c r="S138" s="167">
        <f>RANK(R138,$R$6:$R$324,0)+COUNTIF($R$6:R138,R138)-1</f>
        <v>105</v>
      </c>
    </row>
    <row r="139" spans="2:19" ht="15" customHeight="1" x14ac:dyDescent="0.25">
      <c r="B139" s="168">
        <v>134</v>
      </c>
      <c r="C139" s="169" t="str">
        <f>IFERROR(INDEX($Q$6:$Q$324,MATCH(134,$S$6:$S$324,0)),"")</f>
        <v>Prof. Dr. İnci Nur SALTIK</v>
      </c>
      <c r="D139" s="170">
        <f>IF(C139="","",COUNTIFS(Başvuru!$C:$C,C139,Başvuru!$A:$A,"&lt;&gt;"&amp;"",Başvuru!$F:$F,"&lt;&gt;"&amp;""))</f>
        <v>2</v>
      </c>
      <c r="E139" s="168" t="str">
        <f>IF(C139="","-",IF(D139&gt;0,TEXT(D139/(COUNTIFS(Başvuru!$A:$A,"&lt;&gt;",Başvuru!$F:$F,"&lt;&gt;")-1)*100,"0.0")&amp;"%","-"))</f>
        <v>00%</v>
      </c>
      <c r="F139" s="171">
        <f>IF(C139="","",COUNTIFS(Başvuru!$C:$C,C139,Başvuru!$G:$G,"Bireysel Araştırma",Başvuru!$A:$A,"&lt;&gt;"&amp;"",Başvuru!$F:$F,"&lt;&gt;"&amp;""))</f>
        <v>2</v>
      </c>
      <c r="G139" s="171">
        <f>IF(C139="","",COUNTIFS(Başvuru!$C:$C,C139,Başvuru!$G:$G,"Uzmanlık Tezi",Başvuru!$A:$A,"&lt;&gt;"&amp;"",Başvuru!$F:$F,"&lt;&gt;"&amp;""))</f>
        <v>0</v>
      </c>
      <c r="H139" s="171">
        <f>IF(C139="","",COUNTIFS(Başvuru!$C:$C,C139,Başvuru!$G:$G,"Doktora Tezi",Başvuru!$A:$A,"&lt;&gt;"&amp;"",Başvuru!$F:$F,"&lt;&gt;"&amp;""))</f>
        <v>0</v>
      </c>
      <c r="I139" s="171">
        <f>IF(C139="","",COUNTIFS(Başvuru!$C:$C,C139,Başvuru!$G:$G,"Yüksek Lisans Tezi",Başvuru!$A:$A,"&lt;&gt;"&amp;"",Başvuru!$F:$F,"&lt;&gt;"&amp;""))</f>
        <v>0</v>
      </c>
      <c r="J139" s="172">
        <f>IF(C139="","",COUNTIFS(Başvuru!$C:$C,C139,Başvuru!$L:$L,"ONAY",Başvuru!$A:$A,"&lt;&gt;"&amp;"",Başvuru!$F:$F,"&lt;&gt;"&amp;""))</f>
        <v>1</v>
      </c>
      <c r="K139" s="173">
        <f>IF(C139="","",COUNTIFS(Başvuru!$C:$C,C139,Başvuru!$L:$L,"DÜZELTME",Başvuru!$A:$A,"&lt;&gt;"&amp;"",Başvuru!$F:$F,"&lt;&gt;"&amp;""))</f>
        <v>1</v>
      </c>
      <c r="L139" s="174">
        <f>IF(C139="","",COUNTIFS(Başvuru!$C:$C,C139,Başvuru!$L:$L,"KAEK",Başvuru!$A:$A,"&lt;&gt;"&amp;"",Başvuru!$F:$F,"&lt;&gt;"&amp;""))</f>
        <v>0</v>
      </c>
      <c r="M139" s="175">
        <f>IF(C139="","",COUNTIFS(Başvuru!$C:$C,C139,Başvuru!$L:$L,"GÖRÜŞ",Başvuru!$A:$A,"&lt;&gt;"&amp;"",Başvuru!$F:$F,"&lt;&gt;"&amp;""))</f>
        <v>0</v>
      </c>
      <c r="N139" s="176">
        <f>IF(C139="","",COUNTIFS(Başvuru!$C:$C,C139,Başvuru!$L:$L,"RET",Başvuru!$A:$A,"&lt;&gt;"&amp;"",Başvuru!$F:$F,"&lt;&gt;"&amp;""))</f>
        <v>0</v>
      </c>
      <c r="O139" s="177">
        <f>IF(C139="","",COUNTIFS(Başvuru!$C:$C,C139,Başvuru!$L:$L,"KAPSAM DIŞI",Başvuru!$A:$A,"&lt;&gt;"&amp;"",Başvuru!$F:$F,"&lt;&gt;"&amp;""))</f>
        <v>0</v>
      </c>
      <c r="P139" s="178">
        <f>IF(C139="","",COUNTIFS(Başvuru!$C:$C,C139,Başvuru!$L:$L,"GERİ ÇEKİLDİ",Başvuru!$A:$A,"&lt;&gt;"&amp;"",Başvuru!$F:$F,"&lt;&gt;"&amp;""))</f>
        <v>0</v>
      </c>
      <c r="Q139" s="166" t="s">
        <v>1352</v>
      </c>
      <c r="R139" s="167">
        <f>COUNTIFS(Başvuru!$C:$C,Q139,Başvuru!$A:$A,"&lt;&gt;"&amp;"",Başvuru!$F:$F,"&lt;&gt;"&amp;"")</f>
        <v>4</v>
      </c>
      <c r="S139" s="167">
        <f>RANK(R139,$R$6:$R$324,0)+COUNTIF($R$6:R139,R139)-1</f>
        <v>36</v>
      </c>
    </row>
    <row r="140" spans="2:19" ht="15" customHeight="1" x14ac:dyDescent="0.25">
      <c r="B140" s="155">
        <v>135</v>
      </c>
      <c r="C140" s="156" t="str">
        <f>IFERROR(INDEX($Q$6:$Q$324,MATCH(135,$S$6:$S$324,0)),"")</f>
        <v>Prof. Dr. Şevket Murat ÖZBEK</v>
      </c>
      <c r="D140" s="157">
        <f>IF(C140="","",COUNTIFS(Başvuru!$C:$C,C140,Başvuru!$A:$A,"&lt;&gt;"&amp;"",Başvuru!$F:$F,"&lt;&gt;"&amp;""))</f>
        <v>2</v>
      </c>
      <c r="E140" s="155" t="str">
        <f>IF(C140="","-",IF(D140&gt;0,TEXT(D140/(COUNTIFS(Başvuru!$A:$A,"&lt;&gt;",Başvuru!$F:$F,"&lt;&gt;")-1)*100,"0.0")&amp;"%","-"))</f>
        <v>00%</v>
      </c>
      <c r="F140" s="158">
        <f>IF(C140="","",COUNTIFS(Başvuru!$C:$C,C140,Başvuru!$G:$G,"Bireysel Araştırma",Başvuru!$A:$A,"&lt;&gt;"&amp;"",Başvuru!$F:$F,"&lt;&gt;"&amp;""))</f>
        <v>1</v>
      </c>
      <c r="G140" s="158">
        <f>IF(C140="","",COUNTIFS(Başvuru!$C:$C,C140,Başvuru!$G:$G,"Uzmanlık Tezi",Başvuru!$A:$A,"&lt;&gt;"&amp;"",Başvuru!$F:$F,"&lt;&gt;"&amp;""))</f>
        <v>1</v>
      </c>
      <c r="H140" s="158">
        <f>IF(C140="","",COUNTIFS(Başvuru!$C:$C,C140,Başvuru!$G:$G,"Doktora Tezi",Başvuru!$A:$A,"&lt;&gt;"&amp;"",Başvuru!$F:$F,"&lt;&gt;"&amp;""))</f>
        <v>0</v>
      </c>
      <c r="I140" s="158">
        <f>IF(C140="","",COUNTIFS(Başvuru!$C:$C,C140,Başvuru!$G:$G,"Yüksek Lisans Tezi",Başvuru!$A:$A,"&lt;&gt;"&amp;"",Başvuru!$F:$F,"&lt;&gt;"&amp;""))</f>
        <v>0</v>
      </c>
      <c r="J140" s="159">
        <f>IF(C140="","",COUNTIFS(Başvuru!$C:$C,C140,Başvuru!$L:$L,"ONAY",Başvuru!$A:$A,"&lt;&gt;"&amp;"",Başvuru!$F:$F,"&lt;&gt;"&amp;""))</f>
        <v>0</v>
      </c>
      <c r="K140" s="160">
        <f>IF(C140="","",COUNTIFS(Başvuru!$C:$C,C140,Başvuru!$L:$L,"DÜZELTME",Başvuru!$A:$A,"&lt;&gt;"&amp;"",Başvuru!$F:$F,"&lt;&gt;"&amp;""))</f>
        <v>1</v>
      </c>
      <c r="L140" s="161">
        <f>IF(C140="","",COUNTIFS(Başvuru!$C:$C,C140,Başvuru!$L:$L,"KAEK",Başvuru!$A:$A,"&lt;&gt;"&amp;"",Başvuru!$F:$F,"&lt;&gt;"&amp;""))</f>
        <v>0</v>
      </c>
      <c r="M140" s="162">
        <f>IF(C140="","",COUNTIFS(Başvuru!$C:$C,C140,Başvuru!$L:$L,"GÖRÜŞ",Başvuru!$A:$A,"&lt;&gt;"&amp;"",Başvuru!$F:$F,"&lt;&gt;"&amp;""))</f>
        <v>0</v>
      </c>
      <c r="N140" s="163">
        <f>IF(C140="","",COUNTIFS(Başvuru!$C:$C,C140,Başvuru!$L:$L,"RET",Başvuru!$A:$A,"&lt;&gt;"&amp;"",Başvuru!$F:$F,"&lt;&gt;"&amp;""))</f>
        <v>0</v>
      </c>
      <c r="O140" s="164">
        <f>IF(C140="","",COUNTIFS(Başvuru!$C:$C,C140,Başvuru!$L:$L,"KAPSAM DIŞI",Başvuru!$A:$A,"&lt;&gt;"&amp;"",Başvuru!$F:$F,"&lt;&gt;"&amp;""))</f>
        <v>0</v>
      </c>
      <c r="P140" s="165">
        <f>IF(C140="","",COUNTIFS(Başvuru!$C:$C,C140,Başvuru!$L:$L,"GERİ ÇEKİLDİ",Başvuru!$A:$A,"&lt;&gt;"&amp;"",Başvuru!$F:$F,"&lt;&gt;"&amp;""))</f>
        <v>0</v>
      </c>
      <c r="Q140" s="166" t="s">
        <v>1669</v>
      </c>
      <c r="R140" s="167">
        <f>COUNTIFS(Başvuru!$C:$C,Q140,Başvuru!$A:$A,"&lt;&gt;"&amp;"",Başvuru!$F:$F,"&lt;&gt;"&amp;"")</f>
        <v>1</v>
      </c>
      <c r="S140" s="167">
        <f>RANK(R140,$R$6:$R$324,0)+COUNTIF($R$6:R140,R140)-1</f>
        <v>210</v>
      </c>
    </row>
    <row r="141" spans="2:19" ht="15" customHeight="1" x14ac:dyDescent="0.25">
      <c r="B141" s="168">
        <v>136</v>
      </c>
      <c r="C141" s="169" t="str">
        <f>IFERROR(INDEX($Q$6:$Q$324,MATCH(136,$S$6:$S$324,0)),"")</f>
        <v>Öğr. Gör. Dr. Aytekin İDİKUT</v>
      </c>
      <c r="D141" s="170">
        <f>IF(C141="","",COUNTIFS(Başvuru!$C:$C,C141,Başvuru!$A:$A,"&lt;&gt;"&amp;"",Başvuru!$F:$F,"&lt;&gt;"&amp;""))</f>
        <v>2</v>
      </c>
      <c r="E141" s="168" t="str">
        <f>IF(C141="","-",IF(D141&gt;0,TEXT(D141/(COUNTIFS(Başvuru!$A:$A,"&lt;&gt;",Başvuru!$F:$F,"&lt;&gt;")-1)*100,"0.0")&amp;"%","-"))</f>
        <v>00%</v>
      </c>
      <c r="F141" s="171">
        <f>IF(C141="","",COUNTIFS(Başvuru!$C:$C,C141,Başvuru!$G:$G,"Bireysel Araştırma",Başvuru!$A:$A,"&lt;&gt;"&amp;"",Başvuru!$F:$F,"&lt;&gt;"&amp;""))</f>
        <v>2</v>
      </c>
      <c r="G141" s="171">
        <f>IF(C141="","",COUNTIFS(Başvuru!$C:$C,C141,Başvuru!$G:$G,"Uzmanlık Tezi",Başvuru!$A:$A,"&lt;&gt;"&amp;"",Başvuru!$F:$F,"&lt;&gt;"&amp;""))</f>
        <v>0</v>
      </c>
      <c r="H141" s="171">
        <f>IF(C141="","",COUNTIFS(Başvuru!$C:$C,C141,Başvuru!$G:$G,"Doktora Tezi",Başvuru!$A:$A,"&lt;&gt;"&amp;"",Başvuru!$F:$F,"&lt;&gt;"&amp;""))</f>
        <v>0</v>
      </c>
      <c r="I141" s="171">
        <f>IF(C141="","",COUNTIFS(Başvuru!$C:$C,C141,Başvuru!$G:$G,"Yüksek Lisans Tezi",Başvuru!$A:$A,"&lt;&gt;"&amp;"",Başvuru!$F:$F,"&lt;&gt;"&amp;""))</f>
        <v>0</v>
      </c>
      <c r="J141" s="172">
        <f>IF(C141="","",COUNTIFS(Başvuru!$C:$C,C141,Başvuru!$L:$L,"ONAY",Başvuru!$A:$A,"&lt;&gt;"&amp;"",Başvuru!$F:$F,"&lt;&gt;"&amp;""))</f>
        <v>1</v>
      </c>
      <c r="K141" s="173">
        <f>IF(C141="","",COUNTIFS(Başvuru!$C:$C,C141,Başvuru!$L:$L,"DÜZELTME",Başvuru!$A:$A,"&lt;&gt;"&amp;"",Başvuru!$F:$F,"&lt;&gt;"&amp;""))</f>
        <v>1</v>
      </c>
      <c r="L141" s="174">
        <f>IF(C141="","",COUNTIFS(Başvuru!$C:$C,C141,Başvuru!$L:$L,"KAEK",Başvuru!$A:$A,"&lt;&gt;"&amp;"",Başvuru!$F:$F,"&lt;&gt;"&amp;""))</f>
        <v>0</v>
      </c>
      <c r="M141" s="175">
        <f>IF(C141="","",COUNTIFS(Başvuru!$C:$C,C141,Başvuru!$L:$L,"GÖRÜŞ",Başvuru!$A:$A,"&lt;&gt;"&amp;"",Başvuru!$F:$F,"&lt;&gt;"&amp;""))</f>
        <v>0</v>
      </c>
      <c r="N141" s="176">
        <f>IF(C141="","",COUNTIFS(Başvuru!$C:$C,C141,Başvuru!$L:$L,"RET",Başvuru!$A:$A,"&lt;&gt;"&amp;"",Başvuru!$F:$F,"&lt;&gt;"&amp;""))</f>
        <v>0</v>
      </c>
      <c r="O141" s="177">
        <f>IF(C141="","",COUNTIFS(Başvuru!$C:$C,C141,Başvuru!$L:$L,"KAPSAM DIŞI",Başvuru!$A:$A,"&lt;&gt;"&amp;"",Başvuru!$F:$F,"&lt;&gt;"&amp;""))</f>
        <v>0</v>
      </c>
      <c r="P141" s="178">
        <f>IF(C141="","",COUNTIFS(Başvuru!$C:$C,C141,Başvuru!$L:$L,"GERİ ÇEKİLDİ",Başvuru!$A:$A,"&lt;&gt;"&amp;"",Başvuru!$F:$F,"&lt;&gt;"&amp;""))</f>
        <v>0</v>
      </c>
      <c r="Q141" s="166" t="s">
        <v>470</v>
      </c>
      <c r="R141" s="167">
        <f>COUNTIFS(Başvuru!$C:$C,Q141,Başvuru!$A:$A,"&lt;&gt;"&amp;"",Başvuru!$F:$F,"&lt;&gt;"&amp;"")</f>
        <v>4</v>
      </c>
      <c r="S141" s="167">
        <f>RANK(R141,$R$6:$R$324,0)+COUNTIF($R$6:R141,R141)-1</f>
        <v>37</v>
      </c>
    </row>
    <row r="142" spans="2:19" ht="15" customHeight="1" x14ac:dyDescent="0.25">
      <c r="B142" s="155">
        <v>137</v>
      </c>
      <c r="C142" s="156" t="str">
        <f>IFERROR(INDEX($Q$6:$Q$324,MATCH(137,$S$6:$S$324,0)),"")</f>
        <v>Öğr. Gör. Dr. Bahattin PASLI</v>
      </c>
      <c r="D142" s="157">
        <f>IF(C142="","",COUNTIFS(Başvuru!$C:$C,C142,Başvuru!$A:$A,"&lt;&gt;"&amp;"",Başvuru!$F:$F,"&lt;&gt;"&amp;""))</f>
        <v>2</v>
      </c>
      <c r="E142" s="155" t="str">
        <f>IF(C142="","-",IF(D142&gt;0,TEXT(D142/(COUNTIFS(Başvuru!$A:$A,"&lt;&gt;",Başvuru!$F:$F,"&lt;&gt;")-1)*100,"0.0")&amp;"%","-"))</f>
        <v>00%</v>
      </c>
      <c r="F142" s="158">
        <f>IF(C142="","",COUNTIFS(Başvuru!$C:$C,C142,Başvuru!$G:$G,"Bireysel Araştırma",Başvuru!$A:$A,"&lt;&gt;"&amp;"",Başvuru!$F:$F,"&lt;&gt;"&amp;""))</f>
        <v>2</v>
      </c>
      <c r="G142" s="158">
        <f>IF(C142="","",COUNTIFS(Başvuru!$C:$C,C142,Başvuru!$G:$G,"Uzmanlık Tezi",Başvuru!$A:$A,"&lt;&gt;"&amp;"",Başvuru!$F:$F,"&lt;&gt;"&amp;""))</f>
        <v>0</v>
      </c>
      <c r="H142" s="158">
        <f>IF(C142="","",COUNTIFS(Başvuru!$C:$C,C142,Başvuru!$G:$G,"Doktora Tezi",Başvuru!$A:$A,"&lt;&gt;"&amp;"",Başvuru!$F:$F,"&lt;&gt;"&amp;""))</f>
        <v>0</v>
      </c>
      <c r="I142" s="158">
        <f>IF(C142="","",COUNTIFS(Başvuru!$C:$C,C142,Başvuru!$G:$G,"Yüksek Lisans Tezi",Başvuru!$A:$A,"&lt;&gt;"&amp;"",Başvuru!$F:$F,"&lt;&gt;"&amp;""))</f>
        <v>0</v>
      </c>
      <c r="J142" s="159">
        <f>IF(C142="","",COUNTIFS(Başvuru!$C:$C,C142,Başvuru!$L:$L,"ONAY",Başvuru!$A:$A,"&lt;&gt;"&amp;"",Başvuru!$F:$F,"&lt;&gt;"&amp;""))</f>
        <v>2</v>
      </c>
      <c r="K142" s="160">
        <f>IF(C142="","",COUNTIFS(Başvuru!$C:$C,C142,Başvuru!$L:$L,"DÜZELTME",Başvuru!$A:$A,"&lt;&gt;"&amp;"",Başvuru!$F:$F,"&lt;&gt;"&amp;""))</f>
        <v>0</v>
      </c>
      <c r="L142" s="161">
        <f>IF(C142="","",COUNTIFS(Başvuru!$C:$C,C142,Başvuru!$L:$L,"KAEK",Başvuru!$A:$A,"&lt;&gt;"&amp;"",Başvuru!$F:$F,"&lt;&gt;"&amp;""))</f>
        <v>0</v>
      </c>
      <c r="M142" s="162">
        <f>IF(C142="","",COUNTIFS(Başvuru!$C:$C,C142,Başvuru!$L:$L,"GÖRÜŞ",Başvuru!$A:$A,"&lt;&gt;"&amp;"",Başvuru!$F:$F,"&lt;&gt;"&amp;""))</f>
        <v>0</v>
      </c>
      <c r="N142" s="163">
        <f>IF(C142="","",COUNTIFS(Başvuru!$C:$C,C142,Başvuru!$L:$L,"RET",Başvuru!$A:$A,"&lt;&gt;"&amp;"",Başvuru!$F:$F,"&lt;&gt;"&amp;""))</f>
        <v>0</v>
      </c>
      <c r="O142" s="164">
        <f>IF(C142="","",COUNTIFS(Başvuru!$C:$C,C142,Başvuru!$L:$L,"KAPSAM DIŞI",Başvuru!$A:$A,"&lt;&gt;"&amp;"",Başvuru!$F:$F,"&lt;&gt;"&amp;""))</f>
        <v>0</v>
      </c>
      <c r="P142" s="165">
        <f>IF(C142="","",COUNTIFS(Başvuru!$C:$C,C142,Başvuru!$L:$L,"GERİ ÇEKİLDİ",Başvuru!$A:$A,"&lt;&gt;"&amp;"",Başvuru!$F:$F,"&lt;&gt;"&amp;""))</f>
        <v>0</v>
      </c>
      <c r="Q142" s="166" t="s">
        <v>1926</v>
      </c>
      <c r="R142" s="167">
        <f>COUNTIFS(Başvuru!$C:$C,Q142,Başvuru!$A:$A,"&lt;&gt;"&amp;"",Başvuru!$F:$F,"&lt;&gt;"&amp;"")</f>
        <v>1</v>
      </c>
      <c r="S142" s="167">
        <f>RANK(R142,$R$6:$R$324,0)+COUNTIF($R$6:R142,R142)-1</f>
        <v>211</v>
      </c>
    </row>
    <row r="143" spans="2:19" ht="15" customHeight="1" x14ac:dyDescent="0.25">
      <c r="B143" s="168">
        <v>138</v>
      </c>
      <c r="C143" s="169" t="str">
        <f>IFERROR(INDEX($Q$6:$Q$324,MATCH(138,$S$6:$S$324,0)),"")</f>
        <v>Öğr. Gör. Dr. Buket KILIÇ</v>
      </c>
      <c r="D143" s="170">
        <f>IF(C143="","",COUNTIFS(Başvuru!$C:$C,C143,Başvuru!$A:$A,"&lt;&gt;"&amp;"",Başvuru!$F:$F,"&lt;&gt;"&amp;""))</f>
        <v>2</v>
      </c>
      <c r="E143" s="168" t="str">
        <f>IF(C143="","-",IF(D143&gt;0,TEXT(D143/(COUNTIFS(Başvuru!$A:$A,"&lt;&gt;",Başvuru!$F:$F,"&lt;&gt;")-1)*100,"0.0")&amp;"%","-"))</f>
        <v>00%</v>
      </c>
      <c r="F143" s="171">
        <f>IF(C143="","",COUNTIFS(Başvuru!$C:$C,C143,Başvuru!$G:$G,"Bireysel Araştırma",Başvuru!$A:$A,"&lt;&gt;"&amp;"",Başvuru!$F:$F,"&lt;&gt;"&amp;""))</f>
        <v>2</v>
      </c>
      <c r="G143" s="171">
        <f>IF(C143="","",COUNTIFS(Başvuru!$C:$C,C143,Başvuru!$G:$G,"Uzmanlık Tezi",Başvuru!$A:$A,"&lt;&gt;"&amp;"",Başvuru!$F:$F,"&lt;&gt;"&amp;""))</f>
        <v>0</v>
      </c>
      <c r="H143" s="171">
        <f>IF(C143="","",COUNTIFS(Başvuru!$C:$C,C143,Başvuru!$G:$G,"Doktora Tezi",Başvuru!$A:$A,"&lt;&gt;"&amp;"",Başvuru!$F:$F,"&lt;&gt;"&amp;""))</f>
        <v>0</v>
      </c>
      <c r="I143" s="171">
        <f>IF(C143="","",COUNTIFS(Başvuru!$C:$C,C143,Başvuru!$G:$G,"Yüksek Lisans Tezi",Başvuru!$A:$A,"&lt;&gt;"&amp;"",Başvuru!$F:$F,"&lt;&gt;"&amp;""))</f>
        <v>0</v>
      </c>
      <c r="J143" s="172">
        <f>IF(C143="","",COUNTIFS(Başvuru!$C:$C,C143,Başvuru!$L:$L,"ONAY",Başvuru!$A:$A,"&lt;&gt;"&amp;"",Başvuru!$F:$F,"&lt;&gt;"&amp;""))</f>
        <v>2</v>
      </c>
      <c r="K143" s="173">
        <f>IF(C143="","",COUNTIFS(Başvuru!$C:$C,C143,Başvuru!$L:$L,"DÜZELTME",Başvuru!$A:$A,"&lt;&gt;"&amp;"",Başvuru!$F:$F,"&lt;&gt;"&amp;""))</f>
        <v>0</v>
      </c>
      <c r="L143" s="174">
        <f>IF(C143="","",COUNTIFS(Başvuru!$C:$C,C143,Başvuru!$L:$L,"KAEK",Başvuru!$A:$A,"&lt;&gt;"&amp;"",Başvuru!$F:$F,"&lt;&gt;"&amp;""))</f>
        <v>0</v>
      </c>
      <c r="M143" s="175">
        <f>IF(C143="","",COUNTIFS(Başvuru!$C:$C,C143,Başvuru!$L:$L,"GÖRÜŞ",Başvuru!$A:$A,"&lt;&gt;"&amp;"",Başvuru!$F:$F,"&lt;&gt;"&amp;""))</f>
        <v>0</v>
      </c>
      <c r="N143" s="176">
        <f>IF(C143="","",COUNTIFS(Başvuru!$C:$C,C143,Başvuru!$L:$L,"RET",Başvuru!$A:$A,"&lt;&gt;"&amp;"",Başvuru!$F:$F,"&lt;&gt;"&amp;""))</f>
        <v>0</v>
      </c>
      <c r="O143" s="177">
        <f>IF(C143="","",COUNTIFS(Başvuru!$C:$C,C143,Başvuru!$L:$L,"KAPSAM DIŞI",Başvuru!$A:$A,"&lt;&gt;"&amp;"",Başvuru!$F:$F,"&lt;&gt;"&amp;""))</f>
        <v>0</v>
      </c>
      <c r="P143" s="178">
        <f>IF(C143="","",COUNTIFS(Başvuru!$C:$C,C143,Başvuru!$L:$L,"GERİ ÇEKİLDİ",Başvuru!$A:$A,"&lt;&gt;"&amp;"",Başvuru!$F:$F,"&lt;&gt;"&amp;""))</f>
        <v>0</v>
      </c>
      <c r="Q143" s="166" t="s">
        <v>2311</v>
      </c>
      <c r="R143" s="167">
        <f>COUNTIFS(Başvuru!$C:$C,Q143,Başvuru!$A:$A,"&lt;&gt;"&amp;"",Başvuru!$F:$F,"&lt;&gt;"&amp;"")</f>
        <v>1</v>
      </c>
      <c r="S143" s="167">
        <f>RANK(R143,$R$6:$R$324,0)+COUNTIF($R$6:R143,R143)-1</f>
        <v>212</v>
      </c>
    </row>
    <row r="144" spans="2:19" ht="15" customHeight="1" x14ac:dyDescent="0.25">
      <c r="B144" s="155">
        <v>139</v>
      </c>
      <c r="C144" s="156" t="str">
        <f>IFERROR(INDEX($Q$6:$Q$324,MATCH(139,$S$6:$S$324,0)),"")</f>
        <v>Doç. Dr. Fatima AERTS KAYA</v>
      </c>
      <c r="D144" s="157">
        <f>IF(C144="","",COUNTIFS(Başvuru!$C:$C,C144,Başvuru!$A:$A,"&lt;&gt;"&amp;"",Başvuru!$F:$F,"&lt;&gt;"&amp;""))</f>
        <v>2</v>
      </c>
      <c r="E144" s="155" t="str">
        <f>IF(C144="","-",IF(D144&gt;0,TEXT(D144/(COUNTIFS(Başvuru!$A:$A,"&lt;&gt;",Başvuru!$F:$F,"&lt;&gt;")-1)*100,"0.0")&amp;"%","-"))</f>
        <v>00%</v>
      </c>
      <c r="F144" s="158">
        <f>IF(C144="","",COUNTIFS(Başvuru!$C:$C,C144,Başvuru!$G:$G,"Bireysel Araştırma",Başvuru!$A:$A,"&lt;&gt;"&amp;"",Başvuru!$F:$F,"&lt;&gt;"&amp;""))</f>
        <v>0</v>
      </c>
      <c r="G144" s="158">
        <f>IF(C144="","",COUNTIFS(Başvuru!$C:$C,C144,Başvuru!$G:$G,"Uzmanlık Tezi",Başvuru!$A:$A,"&lt;&gt;"&amp;"",Başvuru!$F:$F,"&lt;&gt;"&amp;""))</f>
        <v>0</v>
      </c>
      <c r="H144" s="158">
        <f>IF(C144="","",COUNTIFS(Başvuru!$C:$C,C144,Başvuru!$G:$G,"Doktora Tezi",Başvuru!$A:$A,"&lt;&gt;"&amp;"",Başvuru!$F:$F,"&lt;&gt;"&amp;""))</f>
        <v>0</v>
      </c>
      <c r="I144" s="158">
        <f>IF(C144="","",COUNTIFS(Başvuru!$C:$C,C144,Başvuru!$G:$G,"Yüksek Lisans Tezi",Başvuru!$A:$A,"&lt;&gt;"&amp;"",Başvuru!$F:$F,"&lt;&gt;"&amp;""))</f>
        <v>2</v>
      </c>
      <c r="J144" s="159">
        <f>IF(C144="","",COUNTIFS(Başvuru!$C:$C,C144,Başvuru!$L:$L,"ONAY",Başvuru!$A:$A,"&lt;&gt;"&amp;"",Başvuru!$F:$F,"&lt;&gt;"&amp;""))</f>
        <v>2</v>
      </c>
      <c r="K144" s="160">
        <f>IF(C144="","",COUNTIFS(Başvuru!$C:$C,C144,Başvuru!$L:$L,"DÜZELTME",Başvuru!$A:$A,"&lt;&gt;"&amp;"",Başvuru!$F:$F,"&lt;&gt;"&amp;""))</f>
        <v>0</v>
      </c>
      <c r="L144" s="161">
        <f>IF(C144="","",COUNTIFS(Başvuru!$C:$C,C144,Başvuru!$L:$L,"KAEK",Başvuru!$A:$A,"&lt;&gt;"&amp;"",Başvuru!$F:$F,"&lt;&gt;"&amp;""))</f>
        <v>0</v>
      </c>
      <c r="M144" s="162">
        <f>IF(C144="","",COUNTIFS(Başvuru!$C:$C,C144,Başvuru!$L:$L,"GÖRÜŞ",Başvuru!$A:$A,"&lt;&gt;"&amp;"",Başvuru!$F:$F,"&lt;&gt;"&amp;""))</f>
        <v>0</v>
      </c>
      <c r="N144" s="163">
        <f>IF(C144="","",COUNTIFS(Başvuru!$C:$C,C144,Başvuru!$L:$L,"RET",Başvuru!$A:$A,"&lt;&gt;"&amp;"",Başvuru!$F:$F,"&lt;&gt;"&amp;""))</f>
        <v>0</v>
      </c>
      <c r="O144" s="164">
        <f>IF(C144="","",COUNTIFS(Başvuru!$C:$C,C144,Başvuru!$L:$L,"KAPSAM DIŞI",Başvuru!$A:$A,"&lt;&gt;"&amp;"",Başvuru!$F:$F,"&lt;&gt;"&amp;""))</f>
        <v>0</v>
      </c>
      <c r="P144" s="165">
        <f>IF(C144="","",COUNTIFS(Başvuru!$C:$C,C144,Başvuru!$L:$L,"GERİ ÇEKİLDİ",Başvuru!$A:$A,"&lt;&gt;"&amp;"",Başvuru!$F:$F,"&lt;&gt;"&amp;""))</f>
        <v>0</v>
      </c>
      <c r="Q144" s="166" t="s">
        <v>167</v>
      </c>
      <c r="R144" s="167">
        <f>COUNTIFS(Başvuru!$C:$C,Q144,Başvuru!$A:$A,"&lt;&gt;"&amp;"",Başvuru!$F:$F,"&lt;&gt;"&amp;"")</f>
        <v>3</v>
      </c>
      <c r="S144" s="167">
        <f>RANK(R144,$R$6:$R$324,0)+COUNTIF($R$6:R144,R144)-1</f>
        <v>55</v>
      </c>
    </row>
    <row r="145" spans="2:19" ht="15" customHeight="1" x14ac:dyDescent="0.25">
      <c r="B145" s="168">
        <v>140</v>
      </c>
      <c r="C145" s="169" t="str">
        <f>IFERROR(INDEX($Q$6:$Q$324,MATCH(140,$S$6:$S$324,0)),"")</f>
        <v>Arş. Gör. Dr. Aycan UYSAL</v>
      </c>
      <c r="D145" s="170">
        <f>IF(C145="","",COUNTIFS(Başvuru!$C:$C,C145,Başvuru!$A:$A,"&lt;&gt;"&amp;"",Başvuru!$F:$F,"&lt;&gt;"&amp;""))</f>
        <v>1</v>
      </c>
      <c r="E145" s="168" t="str">
        <f>IF(C145="","-",IF(D145&gt;0,TEXT(D145/(COUNTIFS(Başvuru!$A:$A,"&lt;&gt;",Başvuru!$F:$F,"&lt;&gt;")-1)*100,"0.0")&amp;"%","-"))</f>
        <v>00%</v>
      </c>
      <c r="F145" s="171">
        <f>IF(C145="","",COUNTIFS(Başvuru!$C:$C,C145,Başvuru!$G:$G,"Bireysel Araştırma",Başvuru!$A:$A,"&lt;&gt;"&amp;"",Başvuru!$F:$F,"&lt;&gt;"&amp;""))</f>
        <v>1</v>
      </c>
      <c r="G145" s="171">
        <f>IF(C145="","",COUNTIFS(Başvuru!$C:$C,C145,Başvuru!$G:$G,"Uzmanlık Tezi",Başvuru!$A:$A,"&lt;&gt;"&amp;"",Başvuru!$F:$F,"&lt;&gt;"&amp;""))</f>
        <v>0</v>
      </c>
      <c r="H145" s="171">
        <f>IF(C145="","",COUNTIFS(Başvuru!$C:$C,C145,Başvuru!$G:$G,"Doktora Tezi",Başvuru!$A:$A,"&lt;&gt;"&amp;"",Başvuru!$F:$F,"&lt;&gt;"&amp;""))</f>
        <v>0</v>
      </c>
      <c r="I145" s="171">
        <f>IF(C145="","",COUNTIFS(Başvuru!$C:$C,C145,Başvuru!$G:$G,"Yüksek Lisans Tezi",Başvuru!$A:$A,"&lt;&gt;"&amp;"",Başvuru!$F:$F,"&lt;&gt;"&amp;""))</f>
        <v>0</v>
      </c>
      <c r="J145" s="172">
        <f>IF(C145="","",COUNTIFS(Başvuru!$C:$C,C145,Başvuru!$L:$L,"ONAY",Başvuru!$A:$A,"&lt;&gt;"&amp;"",Başvuru!$F:$F,"&lt;&gt;"&amp;""))</f>
        <v>0</v>
      </c>
      <c r="K145" s="173">
        <f>IF(C145="","",COUNTIFS(Başvuru!$C:$C,C145,Başvuru!$L:$L,"DÜZELTME",Başvuru!$A:$A,"&lt;&gt;"&amp;"",Başvuru!$F:$F,"&lt;&gt;"&amp;""))</f>
        <v>1</v>
      </c>
      <c r="L145" s="174">
        <f>IF(C145="","",COUNTIFS(Başvuru!$C:$C,C145,Başvuru!$L:$L,"KAEK",Başvuru!$A:$A,"&lt;&gt;"&amp;"",Başvuru!$F:$F,"&lt;&gt;"&amp;""))</f>
        <v>0</v>
      </c>
      <c r="M145" s="175">
        <f>IF(C145="","",COUNTIFS(Başvuru!$C:$C,C145,Başvuru!$L:$L,"GÖRÜŞ",Başvuru!$A:$A,"&lt;&gt;"&amp;"",Başvuru!$F:$F,"&lt;&gt;"&amp;""))</f>
        <v>0</v>
      </c>
      <c r="N145" s="176">
        <f>IF(C145="","",COUNTIFS(Başvuru!$C:$C,C145,Başvuru!$L:$L,"RET",Başvuru!$A:$A,"&lt;&gt;"&amp;"",Başvuru!$F:$F,"&lt;&gt;"&amp;""))</f>
        <v>0</v>
      </c>
      <c r="O145" s="177">
        <f>IF(C145="","",COUNTIFS(Başvuru!$C:$C,C145,Başvuru!$L:$L,"KAPSAM DIŞI",Başvuru!$A:$A,"&lt;&gt;"&amp;"",Başvuru!$F:$F,"&lt;&gt;"&amp;""))</f>
        <v>0</v>
      </c>
      <c r="P145" s="178">
        <f>IF(C145="","",COUNTIFS(Başvuru!$C:$C,C145,Başvuru!$L:$L,"GERİ ÇEKİLDİ",Başvuru!$A:$A,"&lt;&gt;"&amp;"",Başvuru!$F:$F,"&lt;&gt;"&amp;""))</f>
        <v>0</v>
      </c>
      <c r="Q145" s="166" t="s">
        <v>1050</v>
      </c>
      <c r="R145" s="167">
        <f>COUNTIFS(Başvuru!$C:$C,Q145,Başvuru!$A:$A,"&lt;&gt;"&amp;"",Başvuru!$F:$F,"&lt;&gt;"&amp;"")</f>
        <v>1</v>
      </c>
      <c r="S145" s="167">
        <f>RANK(R145,$R$6:$R$324,0)+COUNTIF($R$6:R145,R145)-1</f>
        <v>213</v>
      </c>
    </row>
    <row r="146" spans="2:19" ht="15" customHeight="1" x14ac:dyDescent="0.25">
      <c r="B146" s="155">
        <v>141</v>
      </c>
      <c r="C146" s="156" t="str">
        <f>IFERROR(INDEX($Q$6:$Q$324,MATCH(141,$S$6:$S$324,0)),"")</f>
        <v>Arş. Gör. Dr. Ozan KAPLAN</v>
      </c>
      <c r="D146" s="157">
        <f>IF(C146="","",COUNTIFS(Başvuru!$C:$C,C146,Başvuru!$A:$A,"&lt;&gt;"&amp;"",Başvuru!$F:$F,"&lt;&gt;"&amp;""))</f>
        <v>1</v>
      </c>
      <c r="E146" s="155" t="str">
        <f>IF(C146="","-",IF(D146&gt;0,TEXT(D146/(COUNTIFS(Başvuru!$A:$A,"&lt;&gt;",Başvuru!$F:$F,"&lt;&gt;")-1)*100,"0.0")&amp;"%","-"))</f>
        <v>00%</v>
      </c>
      <c r="F146" s="158">
        <f>IF(C146="","",COUNTIFS(Başvuru!$C:$C,C146,Başvuru!$G:$G,"Bireysel Araştırma",Başvuru!$A:$A,"&lt;&gt;"&amp;"",Başvuru!$F:$F,"&lt;&gt;"&amp;""))</f>
        <v>1</v>
      </c>
      <c r="G146" s="158">
        <f>IF(C146="","",COUNTIFS(Başvuru!$C:$C,C146,Başvuru!$G:$G,"Uzmanlık Tezi",Başvuru!$A:$A,"&lt;&gt;"&amp;"",Başvuru!$F:$F,"&lt;&gt;"&amp;""))</f>
        <v>0</v>
      </c>
      <c r="H146" s="158">
        <f>IF(C146="","",COUNTIFS(Başvuru!$C:$C,C146,Başvuru!$G:$G,"Doktora Tezi",Başvuru!$A:$A,"&lt;&gt;"&amp;"",Başvuru!$F:$F,"&lt;&gt;"&amp;""))</f>
        <v>0</v>
      </c>
      <c r="I146" s="158">
        <f>IF(C146="","",COUNTIFS(Başvuru!$C:$C,C146,Başvuru!$G:$G,"Yüksek Lisans Tezi",Başvuru!$A:$A,"&lt;&gt;"&amp;"",Başvuru!$F:$F,"&lt;&gt;"&amp;""))</f>
        <v>0</v>
      </c>
      <c r="J146" s="159">
        <f>IF(C146="","",COUNTIFS(Başvuru!$C:$C,C146,Başvuru!$L:$L,"ONAY",Başvuru!$A:$A,"&lt;&gt;"&amp;"",Başvuru!$F:$F,"&lt;&gt;"&amp;""))</f>
        <v>0</v>
      </c>
      <c r="K146" s="160">
        <f>IF(C146="","",COUNTIFS(Başvuru!$C:$C,C146,Başvuru!$L:$L,"DÜZELTME",Başvuru!$A:$A,"&lt;&gt;"&amp;"",Başvuru!$F:$F,"&lt;&gt;"&amp;""))</f>
        <v>0</v>
      </c>
      <c r="L146" s="161">
        <f>IF(C146="","",COUNTIFS(Başvuru!$C:$C,C146,Başvuru!$L:$L,"KAEK",Başvuru!$A:$A,"&lt;&gt;"&amp;"",Başvuru!$F:$F,"&lt;&gt;"&amp;""))</f>
        <v>0</v>
      </c>
      <c r="M146" s="162">
        <f>IF(C146="","",COUNTIFS(Başvuru!$C:$C,C146,Başvuru!$L:$L,"GÖRÜŞ",Başvuru!$A:$A,"&lt;&gt;"&amp;"",Başvuru!$F:$F,"&lt;&gt;"&amp;""))</f>
        <v>1</v>
      </c>
      <c r="N146" s="163">
        <f>IF(C146="","",COUNTIFS(Başvuru!$C:$C,C146,Başvuru!$L:$L,"RET",Başvuru!$A:$A,"&lt;&gt;"&amp;"",Başvuru!$F:$F,"&lt;&gt;"&amp;""))</f>
        <v>0</v>
      </c>
      <c r="O146" s="164">
        <f>IF(C146="","",COUNTIFS(Başvuru!$C:$C,C146,Başvuru!$L:$L,"KAPSAM DIŞI",Başvuru!$A:$A,"&lt;&gt;"&amp;"",Başvuru!$F:$F,"&lt;&gt;"&amp;""))</f>
        <v>0</v>
      </c>
      <c r="P146" s="165">
        <f>IF(C146="","",COUNTIFS(Başvuru!$C:$C,C146,Başvuru!$L:$L,"GERİ ÇEKİLDİ",Başvuru!$A:$A,"&lt;&gt;"&amp;"",Başvuru!$F:$F,"&lt;&gt;"&amp;""))</f>
        <v>0</v>
      </c>
      <c r="Q146" s="166" t="s">
        <v>1974</v>
      </c>
      <c r="R146" s="167">
        <f>COUNTIFS(Başvuru!$C:$C,Q146,Başvuru!$A:$A,"&lt;&gt;"&amp;"",Başvuru!$F:$F,"&lt;&gt;"&amp;"")</f>
        <v>1</v>
      </c>
      <c r="S146" s="167">
        <f>RANK(R146,$R$6:$R$324,0)+COUNTIF($R$6:R146,R146)-1</f>
        <v>214</v>
      </c>
    </row>
    <row r="147" spans="2:19" ht="15" customHeight="1" x14ac:dyDescent="0.25">
      <c r="B147" s="168">
        <v>142</v>
      </c>
      <c r="C147" s="169" t="str">
        <f>IFERROR(INDEX($Q$6:$Q$324,MATCH(142,$S$6:$S$324,0)),"")</f>
        <v>Arş. Gör. Dr. Tuğçe TAŞKINDERE ABBASOĞLU</v>
      </c>
      <c r="D147" s="170">
        <f>IF(C147="","",COUNTIFS(Başvuru!$C:$C,C147,Başvuru!$A:$A,"&lt;&gt;"&amp;"",Başvuru!$F:$F,"&lt;&gt;"&amp;""))</f>
        <v>1</v>
      </c>
      <c r="E147" s="168" t="str">
        <f>IF(C147="","-",IF(D147&gt;0,TEXT(D147/(COUNTIFS(Başvuru!$A:$A,"&lt;&gt;",Başvuru!$F:$F,"&lt;&gt;")-1)*100,"0.0")&amp;"%","-"))</f>
        <v>00%</v>
      </c>
      <c r="F147" s="171">
        <f>IF(C147="","",COUNTIFS(Başvuru!$C:$C,C147,Başvuru!$G:$G,"Bireysel Araştırma",Başvuru!$A:$A,"&lt;&gt;"&amp;"",Başvuru!$F:$F,"&lt;&gt;"&amp;""))</f>
        <v>1</v>
      </c>
      <c r="G147" s="171">
        <f>IF(C147="","",COUNTIFS(Başvuru!$C:$C,C147,Başvuru!$G:$G,"Uzmanlık Tezi",Başvuru!$A:$A,"&lt;&gt;"&amp;"",Başvuru!$F:$F,"&lt;&gt;"&amp;""))</f>
        <v>0</v>
      </c>
      <c r="H147" s="171">
        <f>IF(C147="","",COUNTIFS(Başvuru!$C:$C,C147,Başvuru!$G:$G,"Doktora Tezi",Başvuru!$A:$A,"&lt;&gt;"&amp;"",Başvuru!$F:$F,"&lt;&gt;"&amp;""))</f>
        <v>0</v>
      </c>
      <c r="I147" s="171">
        <f>IF(C147="","",COUNTIFS(Başvuru!$C:$C,C147,Başvuru!$G:$G,"Yüksek Lisans Tezi",Başvuru!$A:$A,"&lt;&gt;"&amp;"",Başvuru!$F:$F,"&lt;&gt;"&amp;""))</f>
        <v>0</v>
      </c>
      <c r="J147" s="172">
        <f>IF(C147="","",COUNTIFS(Başvuru!$C:$C,C147,Başvuru!$L:$L,"ONAY",Başvuru!$A:$A,"&lt;&gt;"&amp;"",Başvuru!$F:$F,"&lt;&gt;"&amp;""))</f>
        <v>0</v>
      </c>
      <c r="K147" s="173">
        <f>IF(C147="","",COUNTIFS(Başvuru!$C:$C,C147,Başvuru!$L:$L,"DÜZELTME",Başvuru!$A:$A,"&lt;&gt;"&amp;"",Başvuru!$F:$F,"&lt;&gt;"&amp;""))</f>
        <v>1</v>
      </c>
      <c r="L147" s="174">
        <f>IF(C147="","",COUNTIFS(Başvuru!$C:$C,C147,Başvuru!$L:$L,"KAEK",Başvuru!$A:$A,"&lt;&gt;"&amp;"",Başvuru!$F:$F,"&lt;&gt;"&amp;""))</f>
        <v>0</v>
      </c>
      <c r="M147" s="175">
        <f>IF(C147="","",COUNTIFS(Başvuru!$C:$C,C147,Başvuru!$L:$L,"GÖRÜŞ",Başvuru!$A:$A,"&lt;&gt;"&amp;"",Başvuru!$F:$F,"&lt;&gt;"&amp;""))</f>
        <v>0</v>
      </c>
      <c r="N147" s="176">
        <f>IF(C147="","",COUNTIFS(Başvuru!$C:$C,C147,Başvuru!$L:$L,"RET",Başvuru!$A:$A,"&lt;&gt;"&amp;"",Başvuru!$F:$F,"&lt;&gt;"&amp;""))</f>
        <v>0</v>
      </c>
      <c r="O147" s="177">
        <f>IF(C147="","",COUNTIFS(Başvuru!$C:$C,C147,Başvuru!$L:$L,"KAPSAM DIŞI",Başvuru!$A:$A,"&lt;&gt;"&amp;"",Başvuru!$F:$F,"&lt;&gt;"&amp;""))</f>
        <v>0</v>
      </c>
      <c r="P147" s="178">
        <f>IF(C147="","",COUNTIFS(Başvuru!$C:$C,C147,Başvuru!$L:$L,"GERİ ÇEKİLDİ",Başvuru!$A:$A,"&lt;&gt;"&amp;"",Başvuru!$F:$F,"&lt;&gt;"&amp;""))</f>
        <v>0</v>
      </c>
      <c r="Q147" s="166" t="s">
        <v>1160</v>
      </c>
      <c r="R147" s="167">
        <f>COUNTIFS(Başvuru!$C:$C,Q147,Başvuru!$A:$A,"&lt;&gt;"&amp;"",Başvuru!$F:$F,"&lt;&gt;"&amp;"")</f>
        <v>1</v>
      </c>
      <c r="S147" s="167">
        <f>RANK(R147,$R$6:$R$324,0)+COUNTIF($R$6:R147,R147)-1</f>
        <v>215</v>
      </c>
    </row>
    <row r="148" spans="2:19" ht="15" customHeight="1" x14ac:dyDescent="0.25">
      <c r="B148" s="155">
        <v>143</v>
      </c>
      <c r="C148" s="156" t="str">
        <f>IFERROR(INDEX($Q$6:$Q$324,MATCH(143,$S$6:$S$324,0)),"")</f>
        <v>Arş. Gör. Dr. Şeyma KAHRAMAN</v>
      </c>
      <c r="D148" s="157">
        <f>IF(C148="","",COUNTIFS(Başvuru!$C:$C,C148,Başvuru!$A:$A,"&lt;&gt;"&amp;"",Başvuru!$F:$F,"&lt;&gt;"&amp;""))</f>
        <v>1</v>
      </c>
      <c r="E148" s="155" t="str">
        <f>IF(C148="","-",IF(D148&gt;0,TEXT(D148/(COUNTIFS(Başvuru!$A:$A,"&lt;&gt;",Başvuru!$F:$F,"&lt;&gt;")-1)*100,"0.0")&amp;"%","-"))</f>
        <v>00%</v>
      </c>
      <c r="F148" s="158">
        <f>IF(C148="","",COUNTIFS(Başvuru!$C:$C,C148,Başvuru!$G:$G,"Bireysel Araştırma",Başvuru!$A:$A,"&lt;&gt;"&amp;"",Başvuru!$F:$F,"&lt;&gt;"&amp;""))</f>
        <v>1</v>
      </c>
      <c r="G148" s="158">
        <f>IF(C148="","",COUNTIFS(Başvuru!$C:$C,C148,Başvuru!$G:$G,"Uzmanlık Tezi",Başvuru!$A:$A,"&lt;&gt;"&amp;"",Başvuru!$F:$F,"&lt;&gt;"&amp;""))</f>
        <v>0</v>
      </c>
      <c r="H148" s="158">
        <f>IF(C148="","",COUNTIFS(Başvuru!$C:$C,C148,Başvuru!$G:$G,"Doktora Tezi",Başvuru!$A:$A,"&lt;&gt;"&amp;"",Başvuru!$F:$F,"&lt;&gt;"&amp;""))</f>
        <v>0</v>
      </c>
      <c r="I148" s="158">
        <f>IF(C148="","",COUNTIFS(Başvuru!$C:$C,C148,Başvuru!$G:$G,"Yüksek Lisans Tezi",Başvuru!$A:$A,"&lt;&gt;"&amp;"",Başvuru!$F:$F,"&lt;&gt;"&amp;""))</f>
        <v>0</v>
      </c>
      <c r="J148" s="159">
        <f>IF(C148="","",COUNTIFS(Başvuru!$C:$C,C148,Başvuru!$L:$L,"ONAY",Başvuru!$A:$A,"&lt;&gt;"&amp;"",Başvuru!$F:$F,"&lt;&gt;"&amp;""))</f>
        <v>0</v>
      </c>
      <c r="K148" s="160">
        <f>IF(C148="","",COUNTIFS(Başvuru!$C:$C,C148,Başvuru!$L:$L,"DÜZELTME",Başvuru!$A:$A,"&lt;&gt;"&amp;"",Başvuru!$F:$F,"&lt;&gt;"&amp;""))</f>
        <v>0</v>
      </c>
      <c r="L148" s="161">
        <f>IF(C148="","",COUNTIFS(Başvuru!$C:$C,C148,Başvuru!$L:$L,"KAEK",Başvuru!$A:$A,"&lt;&gt;"&amp;"",Başvuru!$F:$F,"&lt;&gt;"&amp;""))</f>
        <v>0</v>
      </c>
      <c r="M148" s="162">
        <f>IF(C148="","",COUNTIFS(Başvuru!$C:$C,C148,Başvuru!$L:$L,"GÖRÜŞ",Başvuru!$A:$A,"&lt;&gt;"&amp;"",Başvuru!$F:$F,"&lt;&gt;"&amp;""))</f>
        <v>0</v>
      </c>
      <c r="N148" s="163">
        <f>IF(C148="","",COUNTIFS(Başvuru!$C:$C,C148,Başvuru!$L:$L,"RET",Başvuru!$A:$A,"&lt;&gt;"&amp;"",Başvuru!$F:$F,"&lt;&gt;"&amp;""))</f>
        <v>0</v>
      </c>
      <c r="O148" s="164">
        <f>IF(C148="","",COUNTIFS(Başvuru!$C:$C,C148,Başvuru!$L:$L,"KAPSAM DIŞI",Başvuru!$A:$A,"&lt;&gt;"&amp;"",Başvuru!$F:$F,"&lt;&gt;"&amp;""))</f>
        <v>1</v>
      </c>
      <c r="P148" s="165">
        <f>IF(C148="","",COUNTIFS(Başvuru!$C:$C,C148,Başvuru!$L:$L,"GERİ ÇEKİLDİ",Başvuru!$A:$A,"&lt;&gt;"&amp;"",Başvuru!$F:$F,"&lt;&gt;"&amp;""))</f>
        <v>0</v>
      </c>
      <c r="Q148" s="166" t="s">
        <v>361</v>
      </c>
      <c r="R148" s="167">
        <f>COUNTIFS(Başvuru!$C:$C,Q148,Başvuru!$A:$A,"&lt;&gt;"&amp;"",Başvuru!$F:$F,"&lt;&gt;"&amp;"")</f>
        <v>1</v>
      </c>
      <c r="S148" s="167">
        <f>RANK(R148,$R$6:$R$324,0)+COUNTIF($R$6:R148,R148)-1</f>
        <v>216</v>
      </c>
    </row>
    <row r="149" spans="2:19" ht="15" customHeight="1" x14ac:dyDescent="0.25">
      <c r="B149" s="168">
        <v>144</v>
      </c>
      <c r="C149" s="169" t="str">
        <f>IFERROR(INDEX($Q$6:$Q$324,MATCH(144,$S$6:$S$324,0)),"")</f>
        <v>Arş. Gör. Dt. Dilara KARA</v>
      </c>
      <c r="D149" s="170">
        <f>IF(C149="","",COUNTIFS(Başvuru!$C:$C,C149,Başvuru!$A:$A,"&lt;&gt;"&amp;"",Başvuru!$F:$F,"&lt;&gt;"&amp;""))</f>
        <v>1</v>
      </c>
      <c r="E149" s="168" t="str">
        <f>IF(C149="","-",IF(D149&gt;0,TEXT(D149/(COUNTIFS(Başvuru!$A:$A,"&lt;&gt;",Başvuru!$F:$F,"&lt;&gt;")-1)*100,"0.0")&amp;"%","-"))</f>
        <v>00%</v>
      </c>
      <c r="F149" s="171">
        <f>IF(C149="","",COUNTIFS(Başvuru!$C:$C,C149,Başvuru!$G:$G,"Bireysel Araştırma",Başvuru!$A:$A,"&lt;&gt;"&amp;"",Başvuru!$F:$F,"&lt;&gt;"&amp;""))</f>
        <v>1</v>
      </c>
      <c r="G149" s="171">
        <f>IF(C149="","",COUNTIFS(Başvuru!$C:$C,C149,Başvuru!$G:$G,"Uzmanlık Tezi",Başvuru!$A:$A,"&lt;&gt;"&amp;"",Başvuru!$F:$F,"&lt;&gt;"&amp;""))</f>
        <v>0</v>
      </c>
      <c r="H149" s="171">
        <f>IF(C149="","",COUNTIFS(Başvuru!$C:$C,C149,Başvuru!$G:$G,"Doktora Tezi",Başvuru!$A:$A,"&lt;&gt;"&amp;"",Başvuru!$F:$F,"&lt;&gt;"&amp;""))</f>
        <v>0</v>
      </c>
      <c r="I149" s="171">
        <f>IF(C149="","",COUNTIFS(Başvuru!$C:$C,C149,Başvuru!$G:$G,"Yüksek Lisans Tezi",Başvuru!$A:$A,"&lt;&gt;"&amp;"",Başvuru!$F:$F,"&lt;&gt;"&amp;""))</f>
        <v>0</v>
      </c>
      <c r="J149" s="172">
        <f>IF(C149="","",COUNTIFS(Başvuru!$C:$C,C149,Başvuru!$L:$L,"ONAY",Başvuru!$A:$A,"&lt;&gt;"&amp;"",Başvuru!$F:$F,"&lt;&gt;"&amp;""))</f>
        <v>1</v>
      </c>
      <c r="K149" s="173">
        <f>IF(C149="","",COUNTIFS(Başvuru!$C:$C,C149,Başvuru!$L:$L,"DÜZELTME",Başvuru!$A:$A,"&lt;&gt;"&amp;"",Başvuru!$F:$F,"&lt;&gt;"&amp;""))</f>
        <v>0</v>
      </c>
      <c r="L149" s="174">
        <f>IF(C149="","",COUNTIFS(Başvuru!$C:$C,C149,Başvuru!$L:$L,"KAEK",Başvuru!$A:$A,"&lt;&gt;"&amp;"",Başvuru!$F:$F,"&lt;&gt;"&amp;""))</f>
        <v>0</v>
      </c>
      <c r="M149" s="175">
        <f>IF(C149="","",COUNTIFS(Başvuru!$C:$C,C149,Başvuru!$L:$L,"GÖRÜŞ",Başvuru!$A:$A,"&lt;&gt;"&amp;"",Başvuru!$F:$F,"&lt;&gt;"&amp;""))</f>
        <v>0</v>
      </c>
      <c r="N149" s="176">
        <f>IF(C149="","",COUNTIFS(Başvuru!$C:$C,C149,Başvuru!$L:$L,"RET",Başvuru!$A:$A,"&lt;&gt;"&amp;"",Başvuru!$F:$F,"&lt;&gt;"&amp;""))</f>
        <v>0</v>
      </c>
      <c r="O149" s="177">
        <f>IF(C149="","",COUNTIFS(Başvuru!$C:$C,C149,Başvuru!$L:$L,"KAPSAM DIŞI",Başvuru!$A:$A,"&lt;&gt;"&amp;"",Başvuru!$F:$F,"&lt;&gt;"&amp;""))</f>
        <v>0</v>
      </c>
      <c r="P149" s="178">
        <f>IF(C149="","",COUNTIFS(Başvuru!$C:$C,C149,Başvuru!$L:$L,"GERİ ÇEKİLDİ",Başvuru!$A:$A,"&lt;&gt;"&amp;"",Başvuru!$F:$F,"&lt;&gt;"&amp;""))</f>
        <v>0</v>
      </c>
      <c r="Q149" s="166" t="s">
        <v>174</v>
      </c>
      <c r="R149" s="167">
        <f>COUNTIFS(Başvuru!$C:$C,Q149,Başvuru!$A:$A,"&lt;&gt;"&amp;"",Başvuru!$F:$F,"&lt;&gt;"&amp;"")</f>
        <v>4</v>
      </c>
      <c r="S149" s="167">
        <f>RANK(R149,$R$6:$R$324,0)+COUNTIF($R$6:R149,R149)-1</f>
        <v>38</v>
      </c>
    </row>
    <row r="150" spans="2:19" ht="15" customHeight="1" x14ac:dyDescent="0.25">
      <c r="B150" s="155">
        <v>145</v>
      </c>
      <c r="C150" s="156" t="str">
        <f>IFERROR(INDEX($Q$6:$Q$324,MATCH(145,$S$6:$S$324,0)),"")</f>
        <v>Doç. Dr. Almıla Gülsün PAMUK</v>
      </c>
      <c r="D150" s="157">
        <f>IF(C150="","",COUNTIFS(Başvuru!$C:$C,C150,Başvuru!$A:$A,"&lt;&gt;"&amp;"",Başvuru!$F:$F,"&lt;&gt;"&amp;""))</f>
        <v>1</v>
      </c>
      <c r="E150" s="155" t="str">
        <f>IF(C150="","-",IF(D150&gt;0,TEXT(D150/(COUNTIFS(Başvuru!$A:$A,"&lt;&gt;",Başvuru!$F:$F,"&lt;&gt;")-1)*100,"0.0")&amp;"%","-"))</f>
        <v>00%</v>
      </c>
      <c r="F150" s="158">
        <f>IF(C150="","",COUNTIFS(Başvuru!$C:$C,C150,Başvuru!$G:$G,"Bireysel Araştırma",Başvuru!$A:$A,"&lt;&gt;"&amp;"",Başvuru!$F:$F,"&lt;&gt;"&amp;""))</f>
        <v>0</v>
      </c>
      <c r="G150" s="158">
        <f>IF(C150="","",COUNTIFS(Başvuru!$C:$C,C150,Başvuru!$G:$G,"Uzmanlık Tezi",Başvuru!$A:$A,"&lt;&gt;"&amp;"",Başvuru!$F:$F,"&lt;&gt;"&amp;""))</f>
        <v>1</v>
      </c>
      <c r="H150" s="158">
        <f>IF(C150="","",COUNTIFS(Başvuru!$C:$C,C150,Başvuru!$G:$G,"Doktora Tezi",Başvuru!$A:$A,"&lt;&gt;"&amp;"",Başvuru!$F:$F,"&lt;&gt;"&amp;""))</f>
        <v>0</v>
      </c>
      <c r="I150" s="158">
        <f>IF(C150="","",COUNTIFS(Başvuru!$C:$C,C150,Başvuru!$G:$G,"Yüksek Lisans Tezi",Başvuru!$A:$A,"&lt;&gt;"&amp;"",Başvuru!$F:$F,"&lt;&gt;"&amp;""))</f>
        <v>0</v>
      </c>
      <c r="J150" s="159">
        <f>IF(C150="","",COUNTIFS(Başvuru!$C:$C,C150,Başvuru!$L:$L,"ONAY",Başvuru!$A:$A,"&lt;&gt;"&amp;"",Başvuru!$F:$F,"&lt;&gt;"&amp;""))</f>
        <v>0</v>
      </c>
      <c r="K150" s="160">
        <f>IF(C150="","",COUNTIFS(Başvuru!$C:$C,C150,Başvuru!$L:$L,"DÜZELTME",Başvuru!$A:$A,"&lt;&gt;"&amp;"",Başvuru!$F:$F,"&lt;&gt;"&amp;""))</f>
        <v>1</v>
      </c>
      <c r="L150" s="161">
        <f>IF(C150="","",COUNTIFS(Başvuru!$C:$C,C150,Başvuru!$L:$L,"KAEK",Başvuru!$A:$A,"&lt;&gt;"&amp;"",Başvuru!$F:$F,"&lt;&gt;"&amp;""))</f>
        <v>0</v>
      </c>
      <c r="M150" s="162">
        <f>IF(C150="","",COUNTIFS(Başvuru!$C:$C,C150,Başvuru!$L:$L,"GÖRÜŞ",Başvuru!$A:$A,"&lt;&gt;"&amp;"",Başvuru!$F:$F,"&lt;&gt;"&amp;""))</f>
        <v>0</v>
      </c>
      <c r="N150" s="163">
        <f>IF(C150="","",COUNTIFS(Başvuru!$C:$C,C150,Başvuru!$L:$L,"RET",Başvuru!$A:$A,"&lt;&gt;"&amp;"",Başvuru!$F:$F,"&lt;&gt;"&amp;""))</f>
        <v>0</v>
      </c>
      <c r="O150" s="164">
        <f>IF(C150="","",COUNTIFS(Başvuru!$C:$C,C150,Başvuru!$L:$L,"KAPSAM DIŞI",Başvuru!$A:$A,"&lt;&gt;"&amp;"",Başvuru!$F:$F,"&lt;&gt;"&amp;""))</f>
        <v>0</v>
      </c>
      <c r="P150" s="165">
        <f>IF(C150="","",COUNTIFS(Başvuru!$C:$C,C150,Başvuru!$L:$L,"GERİ ÇEKİLDİ",Başvuru!$A:$A,"&lt;&gt;"&amp;"",Başvuru!$F:$F,"&lt;&gt;"&amp;""))</f>
        <v>0</v>
      </c>
      <c r="Q150" s="166" t="s">
        <v>1374</v>
      </c>
      <c r="R150" s="167">
        <f>COUNTIFS(Başvuru!$C:$C,Q150,Başvuru!$A:$A,"&lt;&gt;"&amp;"",Başvuru!$F:$F,"&lt;&gt;"&amp;"")</f>
        <v>2</v>
      </c>
      <c r="S150" s="167">
        <f>RANK(R150,$R$6:$R$324,0)+COUNTIF($R$6:R150,R150)-1</f>
        <v>106</v>
      </c>
    </row>
    <row r="151" spans="2:19" ht="15" customHeight="1" x14ac:dyDescent="0.25">
      <c r="B151" s="168">
        <v>146</v>
      </c>
      <c r="C151" s="169" t="str">
        <f>IFERROR(INDEX($Q$6:$Q$324,MATCH(146,$S$6:$S$324,0)),"")</f>
        <v>Doç. Dr. Ayhan EYMİRLİ</v>
      </c>
      <c r="D151" s="170">
        <f>IF(C151="","",COUNTIFS(Başvuru!$C:$C,C151,Başvuru!$A:$A,"&lt;&gt;"&amp;"",Başvuru!$F:$F,"&lt;&gt;"&amp;""))</f>
        <v>1</v>
      </c>
      <c r="E151" s="168" t="str">
        <f>IF(C151="","-",IF(D151&gt;0,TEXT(D151/(COUNTIFS(Başvuru!$A:$A,"&lt;&gt;",Başvuru!$F:$F,"&lt;&gt;")-1)*100,"0.0")&amp;"%","-"))</f>
        <v>00%</v>
      </c>
      <c r="F151" s="171">
        <f>IF(C151="","",COUNTIFS(Başvuru!$C:$C,C151,Başvuru!$G:$G,"Bireysel Araştırma",Başvuru!$A:$A,"&lt;&gt;"&amp;"",Başvuru!$F:$F,"&lt;&gt;"&amp;""))</f>
        <v>0</v>
      </c>
      <c r="G151" s="171">
        <f>IF(C151="","",COUNTIFS(Başvuru!$C:$C,C151,Başvuru!$G:$G,"Uzmanlık Tezi",Başvuru!$A:$A,"&lt;&gt;"&amp;"",Başvuru!$F:$F,"&lt;&gt;"&amp;""))</f>
        <v>1</v>
      </c>
      <c r="H151" s="171">
        <f>IF(C151="","",COUNTIFS(Başvuru!$C:$C,C151,Başvuru!$G:$G,"Doktora Tezi",Başvuru!$A:$A,"&lt;&gt;"&amp;"",Başvuru!$F:$F,"&lt;&gt;"&amp;""))</f>
        <v>0</v>
      </c>
      <c r="I151" s="171">
        <f>IF(C151="","",COUNTIFS(Başvuru!$C:$C,C151,Başvuru!$G:$G,"Yüksek Lisans Tezi",Başvuru!$A:$A,"&lt;&gt;"&amp;"",Başvuru!$F:$F,"&lt;&gt;"&amp;""))</f>
        <v>0</v>
      </c>
      <c r="J151" s="172">
        <f>IF(C151="","",COUNTIFS(Başvuru!$C:$C,C151,Başvuru!$L:$L,"ONAY",Başvuru!$A:$A,"&lt;&gt;"&amp;"",Başvuru!$F:$F,"&lt;&gt;"&amp;""))</f>
        <v>1</v>
      </c>
      <c r="K151" s="173">
        <f>IF(C151="","",COUNTIFS(Başvuru!$C:$C,C151,Başvuru!$L:$L,"DÜZELTME",Başvuru!$A:$A,"&lt;&gt;"&amp;"",Başvuru!$F:$F,"&lt;&gt;"&amp;""))</f>
        <v>0</v>
      </c>
      <c r="L151" s="174">
        <f>IF(C151="","",COUNTIFS(Başvuru!$C:$C,C151,Başvuru!$L:$L,"KAEK",Başvuru!$A:$A,"&lt;&gt;"&amp;"",Başvuru!$F:$F,"&lt;&gt;"&amp;""))</f>
        <v>0</v>
      </c>
      <c r="M151" s="175">
        <f>IF(C151="","",COUNTIFS(Başvuru!$C:$C,C151,Başvuru!$L:$L,"GÖRÜŞ",Başvuru!$A:$A,"&lt;&gt;"&amp;"",Başvuru!$F:$F,"&lt;&gt;"&amp;""))</f>
        <v>0</v>
      </c>
      <c r="N151" s="176">
        <f>IF(C151="","",COUNTIFS(Başvuru!$C:$C,C151,Başvuru!$L:$L,"RET",Başvuru!$A:$A,"&lt;&gt;"&amp;"",Başvuru!$F:$F,"&lt;&gt;"&amp;""))</f>
        <v>0</v>
      </c>
      <c r="O151" s="177">
        <f>IF(C151="","",COUNTIFS(Başvuru!$C:$C,C151,Başvuru!$L:$L,"KAPSAM DIŞI",Başvuru!$A:$A,"&lt;&gt;"&amp;"",Başvuru!$F:$F,"&lt;&gt;"&amp;""))</f>
        <v>0</v>
      </c>
      <c r="P151" s="178">
        <f>IF(C151="","",COUNTIFS(Başvuru!$C:$C,C151,Başvuru!$L:$L,"GERİ ÇEKİLDİ",Başvuru!$A:$A,"&lt;&gt;"&amp;"",Başvuru!$F:$F,"&lt;&gt;"&amp;""))</f>
        <v>0</v>
      </c>
      <c r="Q151" s="166" t="s">
        <v>2092</v>
      </c>
      <c r="R151" s="167">
        <f>COUNTIFS(Başvuru!$C:$C,Q151,Başvuru!$A:$A,"&lt;&gt;"&amp;"",Başvuru!$F:$F,"&lt;&gt;"&amp;"")</f>
        <v>1</v>
      </c>
      <c r="S151" s="167">
        <f>RANK(R151,$R$6:$R$324,0)+COUNTIF($R$6:R151,R151)-1</f>
        <v>217</v>
      </c>
    </row>
    <row r="152" spans="2:19" ht="15" customHeight="1" x14ac:dyDescent="0.25">
      <c r="B152" s="155">
        <v>147</v>
      </c>
      <c r="C152" s="156" t="str">
        <f>IFERROR(INDEX($Q$6:$Q$324,MATCH(147,$S$6:$S$324,0)),"")</f>
        <v>Doç. Dr. Ayşe Bikem KARGI</v>
      </c>
      <c r="D152" s="157">
        <f>IF(C152="","",COUNTIFS(Başvuru!$C:$C,C152,Başvuru!$A:$A,"&lt;&gt;"&amp;"",Başvuru!$F:$F,"&lt;&gt;"&amp;""))</f>
        <v>1</v>
      </c>
      <c r="E152" s="155" t="str">
        <f>IF(C152="","-",IF(D152&gt;0,TEXT(D152/(COUNTIFS(Başvuru!$A:$A,"&lt;&gt;",Başvuru!$F:$F,"&lt;&gt;")-1)*100,"0.0")&amp;"%","-"))</f>
        <v>00%</v>
      </c>
      <c r="F152" s="158">
        <f>IF(C152="","",COUNTIFS(Başvuru!$C:$C,C152,Başvuru!$G:$G,"Bireysel Araştırma",Başvuru!$A:$A,"&lt;&gt;"&amp;"",Başvuru!$F:$F,"&lt;&gt;"&amp;""))</f>
        <v>0</v>
      </c>
      <c r="G152" s="158">
        <f>IF(C152="","",COUNTIFS(Başvuru!$C:$C,C152,Başvuru!$G:$G,"Uzmanlık Tezi",Başvuru!$A:$A,"&lt;&gt;"&amp;"",Başvuru!$F:$F,"&lt;&gt;"&amp;""))</f>
        <v>0</v>
      </c>
      <c r="H152" s="158">
        <f>IF(C152="","",COUNTIFS(Başvuru!$C:$C,C152,Başvuru!$G:$G,"Doktora Tezi",Başvuru!$A:$A,"&lt;&gt;"&amp;"",Başvuru!$F:$F,"&lt;&gt;"&amp;""))</f>
        <v>1</v>
      </c>
      <c r="I152" s="158">
        <f>IF(C152="","",COUNTIFS(Başvuru!$C:$C,C152,Başvuru!$G:$G,"Yüksek Lisans Tezi",Başvuru!$A:$A,"&lt;&gt;"&amp;"",Başvuru!$F:$F,"&lt;&gt;"&amp;""))</f>
        <v>0</v>
      </c>
      <c r="J152" s="159">
        <f>IF(C152="","",COUNTIFS(Başvuru!$C:$C,C152,Başvuru!$L:$L,"ONAY",Başvuru!$A:$A,"&lt;&gt;"&amp;"",Başvuru!$F:$F,"&lt;&gt;"&amp;""))</f>
        <v>1</v>
      </c>
      <c r="K152" s="160">
        <f>IF(C152="","",COUNTIFS(Başvuru!$C:$C,C152,Başvuru!$L:$L,"DÜZELTME",Başvuru!$A:$A,"&lt;&gt;"&amp;"",Başvuru!$F:$F,"&lt;&gt;"&amp;""))</f>
        <v>0</v>
      </c>
      <c r="L152" s="161">
        <f>IF(C152="","",COUNTIFS(Başvuru!$C:$C,C152,Başvuru!$L:$L,"KAEK",Başvuru!$A:$A,"&lt;&gt;"&amp;"",Başvuru!$F:$F,"&lt;&gt;"&amp;""))</f>
        <v>0</v>
      </c>
      <c r="M152" s="162">
        <f>IF(C152="","",COUNTIFS(Başvuru!$C:$C,C152,Başvuru!$L:$L,"GÖRÜŞ",Başvuru!$A:$A,"&lt;&gt;"&amp;"",Başvuru!$F:$F,"&lt;&gt;"&amp;""))</f>
        <v>0</v>
      </c>
      <c r="N152" s="163">
        <f>IF(C152="","",COUNTIFS(Başvuru!$C:$C,C152,Başvuru!$L:$L,"RET",Başvuru!$A:$A,"&lt;&gt;"&amp;"",Başvuru!$F:$F,"&lt;&gt;"&amp;""))</f>
        <v>0</v>
      </c>
      <c r="O152" s="164">
        <f>IF(C152="","",COUNTIFS(Başvuru!$C:$C,C152,Başvuru!$L:$L,"KAPSAM DIŞI",Başvuru!$A:$A,"&lt;&gt;"&amp;"",Başvuru!$F:$F,"&lt;&gt;"&amp;""))</f>
        <v>0</v>
      </c>
      <c r="P152" s="165">
        <f>IF(C152="","",COUNTIFS(Başvuru!$C:$C,C152,Başvuru!$L:$L,"GERİ ÇEKİLDİ",Başvuru!$A:$A,"&lt;&gt;"&amp;"",Başvuru!$F:$F,"&lt;&gt;"&amp;""))</f>
        <v>0</v>
      </c>
      <c r="Q152" s="166" t="s">
        <v>702</v>
      </c>
      <c r="R152" s="167">
        <f>COUNTIFS(Başvuru!$C:$C,Q152,Başvuru!$A:$A,"&lt;&gt;"&amp;"",Başvuru!$F:$F,"&lt;&gt;"&amp;"")</f>
        <v>5</v>
      </c>
      <c r="S152" s="167">
        <f>RANK(R152,$R$6:$R$324,0)+COUNTIF($R$6:R152,R152)-1</f>
        <v>24</v>
      </c>
    </row>
    <row r="153" spans="2:19" ht="15" customHeight="1" x14ac:dyDescent="0.25">
      <c r="B153" s="168">
        <v>148</v>
      </c>
      <c r="C153" s="169" t="str">
        <f>IFERROR(INDEX($Q$6:$Q$324,MATCH(148,$S$6:$S$324,0)),"")</f>
        <v>Doç. Dr. Basri GÜLBAKAN</v>
      </c>
      <c r="D153" s="170">
        <f>IF(C153="","",COUNTIFS(Başvuru!$C:$C,C153,Başvuru!$A:$A,"&lt;&gt;"&amp;"",Başvuru!$F:$F,"&lt;&gt;"&amp;""))</f>
        <v>1</v>
      </c>
      <c r="E153" s="168" t="str">
        <f>IF(C153="","-",IF(D153&gt;0,TEXT(D153/(COUNTIFS(Başvuru!$A:$A,"&lt;&gt;",Başvuru!$F:$F,"&lt;&gt;")-1)*100,"0.0")&amp;"%","-"))</f>
        <v>00%</v>
      </c>
      <c r="F153" s="171">
        <f>IF(C153="","",COUNTIFS(Başvuru!$C:$C,C153,Başvuru!$G:$G,"Bireysel Araştırma",Başvuru!$A:$A,"&lt;&gt;"&amp;"",Başvuru!$F:$F,"&lt;&gt;"&amp;""))</f>
        <v>0</v>
      </c>
      <c r="G153" s="171">
        <f>IF(C153="","",COUNTIFS(Başvuru!$C:$C,C153,Başvuru!$G:$G,"Uzmanlık Tezi",Başvuru!$A:$A,"&lt;&gt;"&amp;"",Başvuru!$F:$F,"&lt;&gt;"&amp;""))</f>
        <v>0</v>
      </c>
      <c r="H153" s="171">
        <f>IF(C153="","",COUNTIFS(Başvuru!$C:$C,C153,Başvuru!$G:$G,"Doktora Tezi",Başvuru!$A:$A,"&lt;&gt;"&amp;"",Başvuru!$F:$F,"&lt;&gt;"&amp;""))</f>
        <v>0</v>
      </c>
      <c r="I153" s="171">
        <f>IF(C153="","",COUNTIFS(Başvuru!$C:$C,C153,Başvuru!$G:$G,"Yüksek Lisans Tezi",Başvuru!$A:$A,"&lt;&gt;"&amp;"",Başvuru!$F:$F,"&lt;&gt;"&amp;""))</f>
        <v>1</v>
      </c>
      <c r="J153" s="172">
        <f>IF(C153="","",COUNTIFS(Başvuru!$C:$C,C153,Başvuru!$L:$L,"ONAY",Başvuru!$A:$A,"&lt;&gt;"&amp;"",Başvuru!$F:$F,"&lt;&gt;"&amp;""))</f>
        <v>0</v>
      </c>
      <c r="K153" s="173">
        <f>IF(C153="","",COUNTIFS(Başvuru!$C:$C,C153,Başvuru!$L:$L,"DÜZELTME",Başvuru!$A:$A,"&lt;&gt;"&amp;"",Başvuru!$F:$F,"&lt;&gt;"&amp;""))</f>
        <v>1</v>
      </c>
      <c r="L153" s="174">
        <f>IF(C153="","",COUNTIFS(Başvuru!$C:$C,C153,Başvuru!$L:$L,"KAEK",Başvuru!$A:$A,"&lt;&gt;"&amp;"",Başvuru!$F:$F,"&lt;&gt;"&amp;""))</f>
        <v>0</v>
      </c>
      <c r="M153" s="175">
        <f>IF(C153="","",COUNTIFS(Başvuru!$C:$C,C153,Başvuru!$L:$L,"GÖRÜŞ",Başvuru!$A:$A,"&lt;&gt;"&amp;"",Başvuru!$F:$F,"&lt;&gt;"&amp;""))</f>
        <v>0</v>
      </c>
      <c r="N153" s="176">
        <f>IF(C153="","",COUNTIFS(Başvuru!$C:$C,C153,Başvuru!$L:$L,"RET",Başvuru!$A:$A,"&lt;&gt;"&amp;"",Başvuru!$F:$F,"&lt;&gt;"&amp;""))</f>
        <v>0</v>
      </c>
      <c r="O153" s="177">
        <f>IF(C153="","",COUNTIFS(Başvuru!$C:$C,C153,Başvuru!$L:$L,"KAPSAM DIŞI",Başvuru!$A:$A,"&lt;&gt;"&amp;"",Başvuru!$F:$F,"&lt;&gt;"&amp;""))</f>
        <v>0</v>
      </c>
      <c r="P153" s="178">
        <f>IF(C153="","",COUNTIFS(Başvuru!$C:$C,C153,Başvuru!$L:$L,"GERİ ÇEKİLDİ",Başvuru!$A:$A,"&lt;&gt;"&amp;"",Başvuru!$F:$F,"&lt;&gt;"&amp;""))</f>
        <v>0</v>
      </c>
      <c r="Q153" s="166" t="s">
        <v>2193</v>
      </c>
      <c r="R153" s="167">
        <f>COUNTIFS(Başvuru!$C:$C,Q153,Başvuru!$A:$A,"&lt;&gt;"&amp;"",Başvuru!$F:$F,"&lt;&gt;"&amp;"")</f>
        <v>1</v>
      </c>
      <c r="S153" s="167">
        <f>RANK(R153,$R$6:$R$324,0)+COUNTIF($R$6:R153,R153)-1</f>
        <v>218</v>
      </c>
    </row>
    <row r="154" spans="2:19" ht="15" customHeight="1" x14ac:dyDescent="0.25">
      <c r="B154" s="155">
        <v>149</v>
      </c>
      <c r="C154" s="156" t="str">
        <f>IFERROR(INDEX($Q$6:$Q$324,MATCH(149,$S$6:$S$324,0)),"")</f>
        <v>Doç. Dr. Başak AKÇA</v>
      </c>
      <c r="D154" s="157">
        <f>IF(C154="","",COUNTIFS(Başvuru!$C:$C,C154,Başvuru!$A:$A,"&lt;&gt;"&amp;"",Başvuru!$F:$F,"&lt;&gt;"&amp;""))</f>
        <v>1</v>
      </c>
      <c r="E154" s="155" t="str">
        <f>IF(C154="","-",IF(D154&gt;0,TEXT(D154/(COUNTIFS(Başvuru!$A:$A,"&lt;&gt;",Başvuru!$F:$F,"&lt;&gt;")-1)*100,"0.0")&amp;"%","-"))</f>
        <v>00%</v>
      </c>
      <c r="F154" s="158">
        <f>IF(C154="","",COUNTIFS(Başvuru!$C:$C,C154,Başvuru!$G:$G,"Bireysel Araştırma",Başvuru!$A:$A,"&lt;&gt;"&amp;"",Başvuru!$F:$F,"&lt;&gt;"&amp;""))</f>
        <v>0</v>
      </c>
      <c r="G154" s="158">
        <f>IF(C154="","",COUNTIFS(Başvuru!$C:$C,C154,Başvuru!$G:$G,"Uzmanlık Tezi",Başvuru!$A:$A,"&lt;&gt;"&amp;"",Başvuru!$F:$F,"&lt;&gt;"&amp;""))</f>
        <v>1</v>
      </c>
      <c r="H154" s="158">
        <f>IF(C154="","",COUNTIFS(Başvuru!$C:$C,C154,Başvuru!$G:$G,"Doktora Tezi",Başvuru!$A:$A,"&lt;&gt;"&amp;"",Başvuru!$F:$F,"&lt;&gt;"&amp;""))</f>
        <v>0</v>
      </c>
      <c r="I154" s="158">
        <f>IF(C154="","",COUNTIFS(Başvuru!$C:$C,C154,Başvuru!$G:$G,"Yüksek Lisans Tezi",Başvuru!$A:$A,"&lt;&gt;"&amp;"",Başvuru!$F:$F,"&lt;&gt;"&amp;""))</f>
        <v>0</v>
      </c>
      <c r="J154" s="159">
        <f>IF(C154="","",COUNTIFS(Başvuru!$C:$C,C154,Başvuru!$L:$L,"ONAY",Başvuru!$A:$A,"&lt;&gt;"&amp;"",Başvuru!$F:$F,"&lt;&gt;"&amp;""))</f>
        <v>0</v>
      </c>
      <c r="K154" s="160">
        <f>IF(C154="","",COUNTIFS(Başvuru!$C:$C,C154,Başvuru!$L:$L,"DÜZELTME",Başvuru!$A:$A,"&lt;&gt;"&amp;"",Başvuru!$F:$F,"&lt;&gt;"&amp;""))</f>
        <v>0</v>
      </c>
      <c r="L154" s="161">
        <f>IF(C154="","",COUNTIFS(Başvuru!$C:$C,C154,Başvuru!$L:$L,"KAEK",Başvuru!$A:$A,"&lt;&gt;"&amp;"",Başvuru!$F:$F,"&lt;&gt;"&amp;""))</f>
        <v>0</v>
      </c>
      <c r="M154" s="162">
        <f>IF(C154="","",COUNTIFS(Başvuru!$C:$C,C154,Başvuru!$L:$L,"GÖRÜŞ",Başvuru!$A:$A,"&lt;&gt;"&amp;"",Başvuru!$F:$F,"&lt;&gt;"&amp;""))</f>
        <v>1</v>
      </c>
      <c r="N154" s="163">
        <f>IF(C154="","",COUNTIFS(Başvuru!$C:$C,C154,Başvuru!$L:$L,"RET",Başvuru!$A:$A,"&lt;&gt;"&amp;"",Başvuru!$F:$F,"&lt;&gt;"&amp;""))</f>
        <v>0</v>
      </c>
      <c r="O154" s="164">
        <f>IF(C154="","",COUNTIFS(Başvuru!$C:$C,C154,Başvuru!$L:$L,"KAPSAM DIŞI",Başvuru!$A:$A,"&lt;&gt;"&amp;"",Başvuru!$F:$F,"&lt;&gt;"&amp;""))</f>
        <v>0</v>
      </c>
      <c r="P154" s="165">
        <f>IF(C154="","",COUNTIFS(Başvuru!$C:$C,C154,Başvuru!$L:$L,"GERİ ÇEKİLDİ",Başvuru!$A:$A,"&lt;&gt;"&amp;"",Başvuru!$F:$F,"&lt;&gt;"&amp;""))</f>
        <v>0</v>
      </c>
      <c r="Q154" s="166" t="s">
        <v>788</v>
      </c>
      <c r="R154" s="167">
        <f>COUNTIFS(Başvuru!$C:$C,Q154,Başvuru!$A:$A,"&lt;&gt;"&amp;"",Başvuru!$F:$F,"&lt;&gt;"&amp;"")</f>
        <v>2</v>
      </c>
      <c r="S154" s="167">
        <f>RANK(R154,$R$6:$R$324,0)+COUNTIF($R$6:R154,R154)-1</f>
        <v>107</v>
      </c>
    </row>
    <row r="155" spans="2:19" ht="15" customHeight="1" x14ac:dyDescent="0.25">
      <c r="B155" s="168">
        <v>150</v>
      </c>
      <c r="C155" s="169" t="str">
        <f>IFERROR(INDEX($Q$6:$Q$324,MATCH(150,$S$6:$S$324,0)),"")</f>
        <v>Doç. Dr. Bengisu AKARSU GÜVEN</v>
      </c>
      <c r="D155" s="170">
        <f>IF(C155="","",COUNTIFS(Başvuru!$C:$C,C155,Başvuru!$A:$A,"&lt;&gt;"&amp;"",Başvuru!$F:$F,"&lt;&gt;"&amp;""))</f>
        <v>1</v>
      </c>
      <c r="E155" s="168" t="str">
        <f>IF(C155="","-",IF(D155&gt;0,TEXT(D155/(COUNTIFS(Başvuru!$A:$A,"&lt;&gt;",Başvuru!$F:$F,"&lt;&gt;")-1)*100,"0.0")&amp;"%","-"))</f>
        <v>00%</v>
      </c>
      <c r="F155" s="171">
        <f>IF(C155="","",COUNTIFS(Başvuru!$C:$C,C155,Başvuru!$G:$G,"Bireysel Araştırma",Başvuru!$A:$A,"&lt;&gt;"&amp;"",Başvuru!$F:$F,"&lt;&gt;"&amp;""))</f>
        <v>1</v>
      </c>
      <c r="G155" s="171">
        <f>IF(C155="","",COUNTIFS(Başvuru!$C:$C,C155,Başvuru!$G:$G,"Uzmanlık Tezi",Başvuru!$A:$A,"&lt;&gt;"&amp;"",Başvuru!$F:$F,"&lt;&gt;"&amp;""))</f>
        <v>0</v>
      </c>
      <c r="H155" s="171">
        <f>IF(C155="","",COUNTIFS(Başvuru!$C:$C,C155,Başvuru!$G:$G,"Doktora Tezi",Başvuru!$A:$A,"&lt;&gt;"&amp;"",Başvuru!$F:$F,"&lt;&gt;"&amp;""))</f>
        <v>0</v>
      </c>
      <c r="I155" s="171">
        <f>IF(C155="","",COUNTIFS(Başvuru!$C:$C,C155,Başvuru!$G:$G,"Yüksek Lisans Tezi",Başvuru!$A:$A,"&lt;&gt;"&amp;"",Başvuru!$F:$F,"&lt;&gt;"&amp;""))</f>
        <v>0</v>
      </c>
      <c r="J155" s="172">
        <f>IF(C155="","",COUNTIFS(Başvuru!$C:$C,C155,Başvuru!$L:$L,"ONAY",Başvuru!$A:$A,"&lt;&gt;"&amp;"",Başvuru!$F:$F,"&lt;&gt;"&amp;""))</f>
        <v>0</v>
      </c>
      <c r="K155" s="173">
        <f>IF(C155="","",COUNTIFS(Başvuru!$C:$C,C155,Başvuru!$L:$L,"DÜZELTME",Başvuru!$A:$A,"&lt;&gt;"&amp;"",Başvuru!$F:$F,"&lt;&gt;"&amp;""))</f>
        <v>1</v>
      </c>
      <c r="L155" s="174">
        <f>IF(C155="","",COUNTIFS(Başvuru!$C:$C,C155,Başvuru!$L:$L,"KAEK",Başvuru!$A:$A,"&lt;&gt;"&amp;"",Başvuru!$F:$F,"&lt;&gt;"&amp;""))</f>
        <v>0</v>
      </c>
      <c r="M155" s="175">
        <f>IF(C155="","",COUNTIFS(Başvuru!$C:$C,C155,Başvuru!$L:$L,"GÖRÜŞ",Başvuru!$A:$A,"&lt;&gt;"&amp;"",Başvuru!$F:$F,"&lt;&gt;"&amp;""))</f>
        <v>0</v>
      </c>
      <c r="N155" s="176">
        <f>IF(C155="","",COUNTIFS(Başvuru!$C:$C,C155,Başvuru!$L:$L,"RET",Başvuru!$A:$A,"&lt;&gt;"&amp;"",Başvuru!$F:$F,"&lt;&gt;"&amp;""))</f>
        <v>0</v>
      </c>
      <c r="O155" s="177">
        <f>IF(C155="","",COUNTIFS(Başvuru!$C:$C,C155,Başvuru!$L:$L,"KAPSAM DIŞI",Başvuru!$A:$A,"&lt;&gt;"&amp;"",Başvuru!$F:$F,"&lt;&gt;"&amp;""))</f>
        <v>0</v>
      </c>
      <c r="P155" s="178">
        <f>IF(C155="","",COUNTIFS(Başvuru!$C:$C,C155,Başvuru!$L:$L,"GERİ ÇEKİLDİ",Başvuru!$A:$A,"&lt;&gt;"&amp;"",Başvuru!$F:$F,"&lt;&gt;"&amp;""))</f>
        <v>0</v>
      </c>
      <c r="Q155" s="166" t="s">
        <v>113</v>
      </c>
      <c r="R155" s="167">
        <f>COUNTIFS(Başvuru!$C:$C,Q155,Başvuru!$A:$A,"&lt;&gt;"&amp;"",Başvuru!$F:$F,"&lt;&gt;"&amp;"")</f>
        <v>4</v>
      </c>
      <c r="S155" s="167">
        <f>RANK(R155,$R$6:$R$324,0)+COUNTIF($R$6:R155,R155)-1</f>
        <v>39</v>
      </c>
    </row>
    <row r="156" spans="2:19" ht="15" customHeight="1" x14ac:dyDescent="0.25">
      <c r="B156" s="155">
        <v>151</v>
      </c>
      <c r="C156" s="156" t="str">
        <f>IFERROR(INDEX($Q$6:$Q$324,MATCH(151,$S$6:$S$324,0)),"")</f>
        <v>Doç. Dr. Burak ARDIÇLI</v>
      </c>
      <c r="D156" s="157">
        <f>IF(C156="","",COUNTIFS(Başvuru!$C:$C,C156,Başvuru!$A:$A,"&lt;&gt;"&amp;"",Başvuru!$F:$F,"&lt;&gt;"&amp;""))</f>
        <v>1</v>
      </c>
      <c r="E156" s="155" t="str">
        <f>IF(C156="","-",IF(D156&gt;0,TEXT(D156/(COUNTIFS(Başvuru!$A:$A,"&lt;&gt;",Başvuru!$F:$F,"&lt;&gt;")-1)*100,"0.0")&amp;"%","-"))</f>
        <v>00%</v>
      </c>
      <c r="F156" s="158">
        <f>IF(C156="","",COUNTIFS(Başvuru!$C:$C,C156,Başvuru!$G:$G,"Bireysel Araştırma",Başvuru!$A:$A,"&lt;&gt;"&amp;"",Başvuru!$F:$F,"&lt;&gt;"&amp;""))</f>
        <v>1</v>
      </c>
      <c r="G156" s="158">
        <f>IF(C156="","",COUNTIFS(Başvuru!$C:$C,C156,Başvuru!$G:$G,"Uzmanlık Tezi",Başvuru!$A:$A,"&lt;&gt;"&amp;"",Başvuru!$F:$F,"&lt;&gt;"&amp;""))</f>
        <v>0</v>
      </c>
      <c r="H156" s="158">
        <f>IF(C156="","",COUNTIFS(Başvuru!$C:$C,C156,Başvuru!$G:$G,"Doktora Tezi",Başvuru!$A:$A,"&lt;&gt;"&amp;"",Başvuru!$F:$F,"&lt;&gt;"&amp;""))</f>
        <v>0</v>
      </c>
      <c r="I156" s="158">
        <f>IF(C156="","",COUNTIFS(Başvuru!$C:$C,C156,Başvuru!$G:$G,"Yüksek Lisans Tezi",Başvuru!$A:$A,"&lt;&gt;"&amp;"",Başvuru!$F:$F,"&lt;&gt;"&amp;""))</f>
        <v>0</v>
      </c>
      <c r="J156" s="159">
        <f>IF(C156="","",COUNTIFS(Başvuru!$C:$C,C156,Başvuru!$L:$L,"ONAY",Başvuru!$A:$A,"&lt;&gt;"&amp;"",Başvuru!$F:$F,"&lt;&gt;"&amp;""))</f>
        <v>1</v>
      </c>
      <c r="K156" s="160">
        <f>IF(C156="","",COUNTIFS(Başvuru!$C:$C,C156,Başvuru!$L:$L,"DÜZELTME",Başvuru!$A:$A,"&lt;&gt;"&amp;"",Başvuru!$F:$F,"&lt;&gt;"&amp;""))</f>
        <v>0</v>
      </c>
      <c r="L156" s="161">
        <f>IF(C156="","",COUNTIFS(Başvuru!$C:$C,C156,Başvuru!$L:$L,"KAEK",Başvuru!$A:$A,"&lt;&gt;"&amp;"",Başvuru!$F:$F,"&lt;&gt;"&amp;""))</f>
        <v>0</v>
      </c>
      <c r="M156" s="162">
        <f>IF(C156="","",COUNTIFS(Başvuru!$C:$C,C156,Başvuru!$L:$L,"GÖRÜŞ",Başvuru!$A:$A,"&lt;&gt;"&amp;"",Başvuru!$F:$F,"&lt;&gt;"&amp;""))</f>
        <v>0</v>
      </c>
      <c r="N156" s="163">
        <f>IF(C156="","",COUNTIFS(Başvuru!$C:$C,C156,Başvuru!$L:$L,"RET",Başvuru!$A:$A,"&lt;&gt;"&amp;"",Başvuru!$F:$F,"&lt;&gt;"&amp;""))</f>
        <v>0</v>
      </c>
      <c r="O156" s="164">
        <f>IF(C156="","",COUNTIFS(Başvuru!$C:$C,C156,Başvuru!$L:$L,"KAPSAM DIŞI",Başvuru!$A:$A,"&lt;&gt;"&amp;"",Başvuru!$F:$F,"&lt;&gt;"&amp;""))</f>
        <v>0</v>
      </c>
      <c r="P156" s="165">
        <f>IF(C156="","",COUNTIFS(Başvuru!$C:$C,C156,Başvuru!$L:$L,"GERİ ÇEKİLDİ",Başvuru!$A:$A,"&lt;&gt;"&amp;"",Başvuru!$F:$F,"&lt;&gt;"&amp;""))</f>
        <v>0</v>
      </c>
      <c r="Q156" s="166" t="s">
        <v>609</v>
      </c>
      <c r="R156" s="167">
        <f>COUNTIFS(Başvuru!$C:$C,Q156,Başvuru!$A:$A,"&lt;&gt;"&amp;"",Başvuru!$F:$F,"&lt;&gt;"&amp;"")</f>
        <v>3</v>
      </c>
      <c r="S156" s="167">
        <f>RANK(R156,$R$6:$R$324,0)+COUNTIF($R$6:R156,R156)-1</f>
        <v>56</v>
      </c>
    </row>
    <row r="157" spans="2:19" ht="15" customHeight="1" x14ac:dyDescent="0.25">
      <c r="B157" s="168">
        <v>152</v>
      </c>
      <c r="C157" s="169" t="str">
        <f>IFERROR(INDEX($Q$6:$Q$324,MATCH(152,$S$6:$S$324,0)),"")</f>
        <v>Doç. Dr. Cansu ÖZŞİN ÖZLER</v>
      </c>
      <c r="D157" s="170">
        <f>IF(C157="","",COUNTIFS(Başvuru!$C:$C,C157,Başvuru!$A:$A,"&lt;&gt;"&amp;"",Başvuru!$F:$F,"&lt;&gt;"&amp;""))</f>
        <v>1</v>
      </c>
      <c r="E157" s="168" t="str">
        <f>IF(C157="","-",IF(D157&gt;0,TEXT(D157/(COUNTIFS(Başvuru!$A:$A,"&lt;&gt;",Başvuru!$F:$F,"&lt;&gt;")-1)*100,"0.0")&amp;"%","-"))</f>
        <v>00%</v>
      </c>
      <c r="F157" s="171">
        <f>IF(C157="","",COUNTIFS(Başvuru!$C:$C,C157,Başvuru!$G:$G,"Bireysel Araştırma",Başvuru!$A:$A,"&lt;&gt;"&amp;"",Başvuru!$F:$F,"&lt;&gt;"&amp;""))</f>
        <v>0</v>
      </c>
      <c r="G157" s="171">
        <f>IF(C157="","",COUNTIFS(Başvuru!$C:$C,C157,Başvuru!$G:$G,"Uzmanlık Tezi",Başvuru!$A:$A,"&lt;&gt;"&amp;"",Başvuru!$F:$F,"&lt;&gt;"&amp;""))</f>
        <v>1</v>
      </c>
      <c r="H157" s="171">
        <f>IF(C157="","",COUNTIFS(Başvuru!$C:$C,C157,Başvuru!$G:$G,"Doktora Tezi",Başvuru!$A:$A,"&lt;&gt;"&amp;"",Başvuru!$F:$F,"&lt;&gt;"&amp;""))</f>
        <v>0</v>
      </c>
      <c r="I157" s="171">
        <f>IF(C157="","",COUNTIFS(Başvuru!$C:$C,C157,Başvuru!$G:$G,"Yüksek Lisans Tezi",Başvuru!$A:$A,"&lt;&gt;"&amp;"",Başvuru!$F:$F,"&lt;&gt;"&amp;""))</f>
        <v>0</v>
      </c>
      <c r="J157" s="172">
        <f>IF(C157="","",COUNTIFS(Başvuru!$C:$C,C157,Başvuru!$L:$L,"ONAY",Başvuru!$A:$A,"&lt;&gt;"&amp;"",Başvuru!$F:$F,"&lt;&gt;"&amp;""))</f>
        <v>1</v>
      </c>
      <c r="K157" s="173">
        <f>IF(C157="","",COUNTIFS(Başvuru!$C:$C,C157,Başvuru!$L:$L,"DÜZELTME",Başvuru!$A:$A,"&lt;&gt;"&amp;"",Başvuru!$F:$F,"&lt;&gt;"&amp;""))</f>
        <v>0</v>
      </c>
      <c r="L157" s="174">
        <f>IF(C157="","",COUNTIFS(Başvuru!$C:$C,C157,Başvuru!$L:$L,"KAEK",Başvuru!$A:$A,"&lt;&gt;"&amp;"",Başvuru!$F:$F,"&lt;&gt;"&amp;""))</f>
        <v>0</v>
      </c>
      <c r="M157" s="175">
        <f>IF(C157="","",COUNTIFS(Başvuru!$C:$C,C157,Başvuru!$L:$L,"GÖRÜŞ",Başvuru!$A:$A,"&lt;&gt;"&amp;"",Başvuru!$F:$F,"&lt;&gt;"&amp;""))</f>
        <v>0</v>
      </c>
      <c r="N157" s="176">
        <f>IF(C157="","",COUNTIFS(Başvuru!$C:$C,C157,Başvuru!$L:$L,"RET",Başvuru!$A:$A,"&lt;&gt;"&amp;"",Başvuru!$F:$F,"&lt;&gt;"&amp;""))</f>
        <v>0</v>
      </c>
      <c r="O157" s="177">
        <f>IF(C157="","",COUNTIFS(Başvuru!$C:$C,C157,Başvuru!$L:$L,"KAPSAM DIŞI",Başvuru!$A:$A,"&lt;&gt;"&amp;"",Başvuru!$F:$F,"&lt;&gt;"&amp;""))</f>
        <v>0</v>
      </c>
      <c r="P157" s="178">
        <f>IF(C157="","",COUNTIFS(Başvuru!$C:$C,C157,Başvuru!$L:$L,"GERİ ÇEKİLDİ",Başvuru!$A:$A,"&lt;&gt;"&amp;"",Başvuru!$F:$F,"&lt;&gt;"&amp;""))</f>
        <v>0</v>
      </c>
      <c r="Q157" s="166" t="s">
        <v>383</v>
      </c>
      <c r="R157" s="167">
        <f>COUNTIFS(Başvuru!$C:$C,Q157,Başvuru!$A:$A,"&lt;&gt;"&amp;"",Başvuru!$F:$F,"&lt;&gt;"&amp;"")</f>
        <v>1</v>
      </c>
      <c r="S157" s="167">
        <f>RANK(R157,$R$6:$R$324,0)+COUNTIF($R$6:R157,R157)-1</f>
        <v>219</v>
      </c>
    </row>
    <row r="158" spans="2:19" ht="15" customHeight="1" x14ac:dyDescent="0.25">
      <c r="B158" s="155">
        <v>153</v>
      </c>
      <c r="C158" s="156" t="str">
        <f>IFERROR(INDEX($Q$6:$Q$324,MATCH(153,$S$6:$S$324,0)),"")</f>
        <v>Doç. Dr. Derman BAŞARAN</v>
      </c>
      <c r="D158" s="157">
        <f>IF(C158="","",COUNTIFS(Başvuru!$C:$C,C158,Başvuru!$A:$A,"&lt;&gt;"&amp;"",Başvuru!$F:$F,"&lt;&gt;"&amp;""))</f>
        <v>1</v>
      </c>
      <c r="E158" s="155" t="str">
        <f>IF(C158="","-",IF(D158&gt;0,TEXT(D158/(COUNTIFS(Başvuru!$A:$A,"&lt;&gt;",Başvuru!$F:$F,"&lt;&gt;")-1)*100,"0.0")&amp;"%","-"))</f>
        <v>00%</v>
      </c>
      <c r="F158" s="158">
        <f>IF(C158="","",COUNTIFS(Başvuru!$C:$C,C158,Başvuru!$G:$G,"Bireysel Araştırma",Başvuru!$A:$A,"&lt;&gt;"&amp;"",Başvuru!$F:$F,"&lt;&gt;"&amp;""))</f>
        <v>1</v>
      </c>
      <c r="G158" s="158">
        <f>IF(C158="","",COUNTIFS(Başvuru!$C:$C,C158,Başvuru!$G:$G,"Uzmanlık Tezi",Başvuru!$A:$A,"&lt;&gt;"&amp;"",Başvuru!$F:$F,"&lt;&gt;"&amp;""))</f>
        <v>0</v>
      </c>
      <c r="H158" s="158">
        <f>IF(C158="","",COUNTIFS(Başvuru!$C:$C,C158,Başvuru!$G:$G,"Doktora Tezi",Başvuru!$A:$A,"&lt;&gt;"&amp;"",Başvuru!$F:$F,"&lt;&gt;"&amp;""))</f>
        <v>0</v>
      </c>
      <c r="I158" s="158">
        <f>IF(C158="","",COUNTIFS(Başvuru!$C:$C,C158,Başvuru!$G:$G,"Yüksek Lisans Tezi",Başvuru!$A:$A,"&lt;&gt;"&amp;"",Başvuru!$F:$F,"&lt;&gt;"&amp;""))</f>
        <v>0</v>
      </c>
      <c r="J158" s="159">
        <f>IF(C158="","",COUNTIFS(Başvuru!$C:$C,C158,Başvuru!$L:$L,"ONAY",Başvuru!$A:$A,"&lt;&gt;"&amp;"",Başvuru!$F:$F,"&lt;&gt;"&amp;""))</f>
        <v>1</v>
      </c>
      <c r="K158" s="160">
        <f>IF(C158="","",COUNTIFS(Başvuru!$C:$C,C158,Başvuru!$L:$L,"DÜZELTME",Başvuru!$A:$A,"&lt;&gt;"&amp;"",Başvuru!$F:$F,"&lt;&gt;"&amp;""))</f>
        <v>0</v>
      </c>
      <c r="L158" s="161">
        <f>IF(C158="","",COUNTIFS(Başvuru!$C:$C,C158,Başvuru!$L:$L,"KAEK",Başvuru!$A:$A,"&lt;&gt;"&amp;"",Başvuru!$F:$F,"&lt;&gt;"&amp;""))</f>
        <v>0</v>
      </c>
      <c r="M158" s="162">
        <f>IF(C158="","",COUNTIFS(Başvuru!$C:$C,C158,Başvuru!$L:$L,"GÖRÜŞ",Başvuru!$A:$A,"&lt;&gt;"&amp;"",Başvuru!$F:$F,"&lt;&gt;"&amp;""))</f>
        <v>0</v>
      </c>
      <c r="N158" s="163">
        <f>IF(C158="","",COUNTIFS(Başvuru!$C:$C,C158,Başvuru!$L:$L,"RET",Başvuru!$A:$A,"&lt;&gt;"&amp;"",Başvuru!$F:$F,"&lt;&gt;"&amp;""))</f>
        <v>0</v>
      </c>
      <c r="O158" s="164">
        <f>IF(C158="","",COUNTIFS(Başvuru!$C:$C,C158,Başvuru!$L:$L,"KAPSAM DIŞI",Başvuru!$A:$A,"&lt;&gt;"&amp;"",Başvuru!$F:$F,"&lt;&gt;"&amp;""))</f>
        <v>0</v>
      </c>
      <c r="P158" s="165">
        <f>IF(C158="","",COUNTIFS(Başvuru!$C:$C,C158,Başvuru!$L:$L,"GERİ ÇEKİLDİ",Başvuru!$A:$A,"&lt;&gt;"&amp;"",Başvuru!$F:$F,"&lt;&gt;"&amp;""))</f>
        <v>0</v>
      </c>
      <c r="Q158" s="166" t="s">
        <v>188</v>
      </c>
      <c r="R158" s="167">
        <f>COUNTIFS(Başvuru!$C:$C,Q158,Başvuru!$A:$A,"&lt;&gt;"&amp;"",Başvuru!$F:$F,"&lt;&gt;"&amp;"")</f>
        <v>1</v>
      </c>
      <c r="S158" s="167">
        <f>RANK(R158,$R$6:$R$324,0)+COUNTIF($R$6:R158,R158)-1</f>
        <v>220</v>
      </c>
    </row>
    <row r="159" spans="2:19" ht="15" customHeight="1" x14ac:dyDescent="0.25">
      <c r="B159" s="168">
        <v>154</v>
      </c>
      <c r="C159" s="169" t="str">
        <f>IFERROR(INDEX($Q$6:$Q$324,MATCH(154,$S$6:$S$324,0)),"")</f>
        <v>Doç. Dr. Eda Didem KURT ŞÜKÜR</v>
      </c>
      <c r="D159" s="170">
        <f>IF(C159="","",COUNTIFS(Başvuru!$C:$C,C159,Başvuru!$A:$A,"&lt;&gt;"&amp;"",Başvuru!$F:$F,"&lt;&gt;"&amp;""))</f>
        <v>1</v>
      </c>
      <c r="E159" s="168" t="str">
        <f>IF(C159="","-",IF(D159&gt;0,TEXT(D159/(COUNTIFS(Başvuru!$A:$A,"&lt;&gt;",Başvuru!$F:$F,"&lt;&gt;")-1)*100,"0.0")&amp;"%","-"))</f>
        <v>00%</v>
      </c>
      <c r="F159" s="171">
        <f>IF(C159="","",COUNTIFS(Başvuru!$C:$C,C159,Başvuru!$G:$G,"Bireysel Araştırma",Başvuru!$A:$A,"&lt;&gt;"&amp;"",Başvuru!$F:$F,"&lt;&gt;"&amp;""))</f>
        <v>0</v>
      </c>
      <c r="G159" s="171">
        <f>IF(C159="","",COUNTIFS(Başvuru!$C:$C,C159,Başvuru!$G:$G,"Uzmanlık Tezi",Başvuru!$A:$A,"&lt;&gt;"&amp;"",Başvuru!$F:$F,"&lt;&gt;"&amp;""))</f>
        <v>1</v>
      </c>
      <c r="H159" s="171">
        <f>IF(C159="","",COUNTIFS(Başvuru!$C:$C,C159,Başvuru!$G:$G,"Doktora Tezi",Başvuru!$A:$A,"&lt;&gt;"&amp;"",Başvuru!$F:$F,"&lt;&gt;"&amp;""))</f>
        <v>0</v>
      </c>
      <c r="I159" s="171">
        <f>IF(C159="","",COUNTIFS(Başvuru!$C:$C,C159,Başvuru!$G:$G,"Yüksek Lisans Tezi",Başvuru!$A:$A,"&lt;&gt;"&amp;"",Başvuru!$F:$F,"&lt;&gt;"&amp;""))</f>
        <v>0</v>
      </c>
      <c r="J159" s="172">
        <f>IF(C159="","",COUNTIFS(Başvuru!$C:$C,C159,Başvuru!$L:$L,"ONAY",Başvuru!$A:$A,"&lt;&gt;"&amp;"",Başvuru!$F:$F,"&lt;&gt;"&amp;""))</f>
        <v>1</v>
      </c>
      <c r="K159" s="173">
        <f>IF(C159="","",COUNTIFS(Başvuru!$C:$C,C159,Başvuru!$L:$L,"DÜZELTME",Başvuru!$A:$A,"&lt;&gt;"&amp;"",Başvuru!$F:$F,"&lt;&gt;"&amp;""))</f>
        <v>0</v>
      </c>
      <c r="L159" s="174">
        <f>IF(C159="","",COUNTIFS(Başvuru!$C:$C,C159,Başvuru!$L:$L,"KAEK",Başvuru!$A:$A,"&lt;&gt;"&amp;"",Başvuru!$F:$F,"&lt;&gt;"&amp;""))</f>
        <v>0</v>
      </c>
      <c r="M159" s="175">
        <f>IF(C159="","",COUNTIFS(Başvuru!$C:$C,C159,Başvuru!$L:$L,"GÖRÜŞ",Başvuru!$A:$A,"&lt;&gt;"&amp;"",Başvuru!$F:$F,"&lt;&gt;"&amp;""))</f>
        <v>0</v>
      </c>
      <c r="N159" s="176">
        <f>IF(C159="","",COUNTIFS(Başvuru!$C:$C,C159,Başvuru!$L:$L,"RET",Başvuru!$A:$A,"&lt;&gt;"&amp;"",Başvuru!$F:$F,"&lt;&gt;"&amp;""))</f>
        <v>0</v>
      </c>
      <c r="O159" s="177">
        <f>IF(C159="","",COUNTIFS(Başvuru!$C:$C,C159,Başvuru!$L:$L,"KAPSAM DIŞI",Başvuru!$A:$A,"&lt;&gt;"&amp;"",Başvuru!$F:$F,"&lt;&gt;"&amp;""))</f>
        <v>0</v>
      </c>
      <c r="P159" s="178">
        <f>IF(C159="","",COUNTIFS(Başvuru!$C:$C,C159,Başvuru!$L:$L,"GERİ ÇEKİLDİ",Başvuru!$A:$A,"&lt;&gt;"&amp;"",Başvuru!$F:$F,"&lt;&gt;"&amp;""))</f>
        <v>0</v>
      </c>
      <c r="Q159" s="166" t="s">
        <v>2450</v>
      </c>
      <c r="R159" s="167">
        <f>COUNTIFS(Başvuru!$C:$C,Q159,Başvuru!$A:$A,"&lt;&gt;"&amp;"",Başvuru!$F:$F,"&lt;&gt;"&amp;"")</f>
        <v>1</v>
      </c>
      <c r="S159" s="167">
        <f>RANK(R159,$R$6:$R$324,0)+COUNTIF($R$6:R159,R159)-1</f>
        <v>221</v>
      </c>
    </row>
    <row r="160" spans="2:19" ht="15" customHeight="1" x14ac:dyDescent="0.25">
      <c r="B160" s="155">
        <v>155</v>
      </c>
      <c r="C160" s="156" t="str">
        <f>IFERROR(INDEX($Q$6:$Q$324,MATCH(155,$S$6:$S$324,0)),"")</f>
        <v>Doç. Dr. Ekim GÜMELER</v>
      </c>
      <c r="D160" s="157">
        <f>IF(C160="","",COUNTIFS(Başvuru!$C:$C,C160,Başvuru!$A:$A,"&lt;&gt;"&amp;"",Başvuru!$F:$F,"&lt;&gt;"&amp;""))</f>
        <v>1</v>
      </c>
      <c r="E160" s="155" t="str">
        <f>IF(C160="","-",IF(D160&gt;0,TEXT(D160/(COUNTIFS(Başvuru!$A:$A,"&lt;&gt;",Başvuru!$F:$F,"&lt;&gt;")-1)*100,"0.0")&amp;"%","-"))</f>
        <v>00%</v>
      </c>
      <c r="F160" s="158">
        <f>IF(C160="","",COUNTIFS(Başvuru!$C:$C,C160,Başvuru!$G:$G,"Bireysel Araştırma",Başvuru!$A:$A,"&lt;&gt;"&amp;"",Başvuru!$F:$F,"&lt;&gt;"&amp;""))</f>
        <v>0</v>
      </c>
      <c r="G160" s="158">
        <f>IF(C160="","",COUNTIFS(Başvuru!$C:$C,C160,Başvuru!$G:$G,"Uzmanlık Tezi",Başvuru!$A:$A,"&lt;&gt;"&amp;"",Başvuru!$F:$F,"&lt;&gt;"&amp;""))</f>
        <v>1</v>
      </c>
      <c r="H160" s="158">
        <f>IF(C160="","",COUNTIFS(Başvuru!$C:$C,C160,Başvuru!$G:$G,"Doktora Tezi",Başvuru!$A:$A,"&lt;&gt;"&amp;"",Başvuru!$F:$F,"&lt;&gt;"&amp;""))</f>
        <v>0</v>
      </c>
      <c r="I160" s="158">
        <f>IF(C160="","",COUNTIFS(Başvuru!$C:$C,C160,Başvuru!$G:$G,"Yüksek Lisans Tezi",Başvuru!$A:$A,"&lt;&gt;"&amp;"",Başvuru!$F:$F,"&lt;&gt;"&amp;""))</f>
        <v>0</v>
      </c>
      <c r="J160" s="159">
        <f>IF(C160="","",COUNTIFS(Başvuru!$C:$C,C160,Başvuru!$L:$L,"ONAY",Başvuru!$A:$A,"&lt;&gt;"&amp;"",Başvuru!$F:$F,"&lt;&gt;"&amp;""))</f>
        <v>1</v>
      </c>
      <c r="K160" s="160">
        <f>IF(C160="","",COUNTIFS(Başvuru!$C:$C,C160,Başvuru!$L:$L,"DÜZELTME",Başvuru!$A:$A,"&lt;&gt;"&amp;"",Başvuru!$F:$F,"&lt;&gt;"&amp;""))</f>
        <v>0</v>
      </c>
      <c r="L160" s="161">
        <f>IF(C160="","",COUNTIFS(Başvuru!$C:$C,C160,Başvuru!$L:$L,"KAEK",Başvuru!$A:$A,"&lt;&gt;"&amp;"",Başvuru!$F:$F,"&lt;&gt;"&amp;""))</f>
        <v>0</v>
      </c>
      <c r="M160" s="162">
        <f>IF(C160="","",COUNTIFS(Başvuru!$C:$C,C160,Başvuru!$L:$L,"GÖRÜŞ",Başvuru!$A:$A,"&lt;&gt;"&amp;"",Başvuru!$F:$F,"&lt;&gt;"&amp;""))</f>
        <v>0</v>
      </c>
      <c r="N160" s="163">
        <f>IF(C160="","",COUNTIFS(Başvuru!$C:$C,C160,Başvuru!$L:$L,"RET",Başvuru!$A:$A,"&lt;&gt;"&amp;"",Başvuru!$F:$F,"&lt;&gt;"&amp;""))</f>
        <v>0</v>
      </c>
      <c r="O160" s="164">
        <f>IF(C160="","",COUNTIFS(Başvuru!$C:$C,C160,Başvuru!$L:$L,"KAPSAM DIŞI",Başvuru!$A:$A,"&lt;&gt;"&amp;"",Başvuru!$F:$F,"&lt;&gt;"&amp;""))</f>
        <v>0</v>
      </c>
      <c r="P160" s="165">
        <f>IF(C160="","",COUNTIFS(Başvuru!$C:$C,C160,Başvuru!$L:$L,"GERİ ÇEKİLDİ",Başvuru!$A:$A,"&lt;&gt;"&amp;"",Başvuru!$F:$F,"&lt;&gt;"&amp;""))</f>
        <v>0</v>
      </c>
      <c r="Q160" s="166" t="s">
        <v>90</v>
      </c>
      <c r="R160" s="167">
        <f>COUNTIFS(Başvuru!$C:$C,Q160,Başvuru!$A:$A,"&lt;&gt;"&amp;"",Başvuru!$F:$F,"&lt;&gt;"&amp;"")</f>
        <v>2</v>
      </c>
      <c r="S160" s="167">
        <f>RANK(R160,$R$6:$R$324,0)+COUNTIF($R$6:R160,R160)-1</f>
        <v>108</v>
      </c>
    </row>
    <row r="161" spans="2:19" ht="15" customHeight="1" x14ac:dyDescent="0.25">
      <c r="B161" s="168">
        <v>156</v>
      </c>
      <c r="C161" s="169" t="str">
        <f>IFERROR(INDEX($Q$6:$Q$324,MATCH(156,$S$6:$S$324,0)),"")</f>
        <v>Doç. Dr. Emel ISIYEL</v>
      </c>
      <c r="D161" s="170">
        <f>IF(C161="","",COUNTIFS(Başvuru!$C:$C,C161,Başvuru!$A:$A,"&lt;&gt;"&amp;"",Başvuru!$F:$F,"&lt;&gt;"&amp;""))</f>
        <v>1</v>
      </c>
      <c r="E161" s="168" t="str">
        <f>IF(C161="","-",IF(D161&gt;0,TEXT(D161/(COUNTIFS(Başvuru!$A:$A,"&lt;&gt;",Başvuru!$F:$F,"&lt;&gt;")-1)*100,"0.0")&amp;"%","-"))</f>
        <v>00%</v>
      </c>
      <c r="F161" s="171">
        <f>IF(C161="","",COUNTIFS(Başvuru!$C:$C,C161,Başvuru!$G:$G,"Bireysel Araştırma",Başvuru!$A:$A,"&lt;&gt;"&amp;"",Başvuru!$F:$F,"&lt;&gt;"&amp;""))</f>
        <v>0</v>
      </c>
      <c r="G161" s="171">
        <f>IF(C161="","",COUNTIFS(Başvuru!$C:$C,C161,Başvuru!$G:$G,"Uzmanlık Tezi",Başvuru!$A:$A,"&lt;&gt;"&amp;"",Başvuru!$F:$F,"&lt;&gt;"&amp;""))</f>
        <v>1</v>
      </c>
      <c r="H161" s="171">
        <f>IF(C161="","",COUNTIFS(Başvuru!$C:$C,C161,Başvuru!$G:$G,"Doktora Tezi",Başvuru!$A:$A,"&lt;&gt;"&amp;"",Başvuru!$F:$F,"&lt;&gt;"&amp;""))</f>
        <v>0</v>
      </c>
      <c r="I161" s="171">
        <f>IF(C161="","",COUNTIFS(Başvuru!$C:$C,C161,Başvuru!$G:$G,"Yüksek Lisans Tezi",Başvuru!$A:$A,"&lt;&gt;"&amp;"",Başvuru!$F:$F,"&lt;&gt;"&amp;""))</f>
        <v>0</v>
      </c>
      <c r="J161" s="172">
        <f>IF(C161="","",COUNTIFS(Başvuru!$C:$C,C161,Başvuru!$L:$L,"ONAY",Başvuru!$A:$A,"&lt;&gt;"&amp;"",Başvuru!$F:$F,"&lt;&gt;"&amp;""))</f>
        <v>0</v>
      </c>
      <c r="K161" s="173">
        <f>IF(C161="","",COUNTIFS(Başvuru!$C:$C,C161,Başvuru!$L:$L,"DÜZELTME",Başvuru!$A:$A,"&lt;&gt;"&amp;"",Başvuru!$F:$F,"&lt;&gt;"&amp;""))</f>
        <v>1</v>
      </c>
      <c r="L161" s="174">
        <f>IF(C161="","",COUNTIFS(Başvuru!$C:$C,C161,Başvuru!$L:$L,"KAEK",Başvuru!$A:$A,"&lt;&gt;"&amp;"",Başvuru!$F:$F,"&lt;&gt;"&amp;""))</f>
        <v>0</v>
      </c>
      <c r="M161" s="175">
        <f>IF(C161="","",COUNTIFS(Başvuru!$C:$C,C161,Başvuru!$L:$L,"GÖRÜŞ",Başvuru!$A:$A,"&lt;&gt;"&amp;"",Başvuru!$F:$F,"&lt;&gt;"&amp;""))</f>
        <v>0</v>
      </c>
      <c r="N161" s="176">
        <f>IF(C161="","",COUNTIFS(Başvuru!$C:$C,C161,Başvuru!$L:$L,"RET",Başvuru!$A:$A,"&lt;&gt;"&amp;"",Başvuru!$F:$F,"&lt;&gt;"&amp;""))</f>
        <v>0</v>
      </c>
      <c r="O161" s="177">
        <f>IF(C161="","",COUNTIFS(Başvuru!$C:$C,C161,Başvuru!$L:$L,"KAPSAM DIŞI",Başvuru!$A:$A,"&lt;&gt;"&amp;"",Başvuru!$F:$F,"&lt;&gt;"&amp;""))</f>
        <v>0</v>
      </c>
      <c r="P161" s="178">
        <f>IF(C161="","",COUNTIFS(Başvuru!$C:$C,C161,Başvuru!$L:$L,"GERİ ÇEKİLDİ",Başvuru!$A:$A,"&lt;&gt;"&amp;"",Başvuru!$F:$F,"&lt;&gt;"&amp;""))</f>
        <v>0</v>
      </c>
      <c r="Q161" s="166" t="s">
        <v>1192</v>
      </c>
      <c r="R161" s="167">
        <f>COUNTIFS(Başvuru!$C:$C,Q161,Başvuru!$A:$A,"&lt;&gt;"&amp;"",Başvuru!$F:$F,"&lt;&gt;"&amp;"")</f>
        <v>2</v>
      </c>
      <c r="S161" s="167">
        <f>RANK(R161,$R$6:$R$324,0)+COUNTIF($R$6:R161,R161)-1</f>
        <v>109</v>
      </c>
    </row>
    <row r="162" spans="2:19" ht="15" customHeight="1" x14ac:dyDescent="0.25">
      <c r="B162" s="155">
        <v>157</v>
      </c>
      <c r="C162" s="156" t="str">
        <f>IFERROR(INDEX($Q$6:$Q$324,MATCH(157,$S$6:$S$324,0)),"")</f>
        <v>Doç. Dr. Emel Tuğba ATAMAN DURUEL</v>
      </c>
      <c r="D162" s="157">
        <f>IF(C162="","",COUNTIFS(Başvuru!$C:$C,C162,Başvuru!$A:$A,"&lt;&gt;"&amp;"",Başvuru!$F:$F,"&lt;&gt;"&amp;""))</f>
        <v>1</v>
      </c>
      <c r="E162" s="155" t="str">
        <f>IF(C162="","-",IF(D162&gt;0,TEXT(D162/(COUNTIFS(Başvuru!$A:$A,"&lt;&gt;",Başvuru!$F:$F,"&lt;&gt;")-1)*100,"0.0")&amp;"%","-"))</f>
        <v>00%</v>
      </c>
      <c r="F162" s="158">
        <f>IF(C162="","",COUNTIFS(Başvuru!$C:$C,C162,Başvuru!$G:$G,"Bireysel Araştırma",Başvuru!$A:$A,"&lt;&gt;"&amp;"",Başvuru!$F:$F,"&lt;&gt;"&amp;""))</f>
        <v>0</v>
      </c>
      <c r="G162" s="158">
        <f>IF(C162="","",COUNTIFS(Başvuru!$C:$C,C162,Başvuru!$G:$G,"Uzmanlık Tezi",Başvuru!$A:$A,"&lt;&gt;"&amp;"",Başvuru!$F:$F,"&lt;&gt;"&amp;""))</f>
        <v>1</v>
      </c>
      <c r="H162" s="158">
        <f>IF(C162="","",COUNTIFS(Başvuru!$C:$C,C162,Başvuru!$G:$G,"Doktora Tezi",Başvuru!$A:$A,"&lt;&gt;"&amp;"",Başvuru!$F:$F,"&lt;&gt;"&amp;""))</f>
        <v>0</v>
      </c>
      <c r="I162" s="158">
        <f>IF(C162="","",COUNTIFS(Başvuru!$C:$C,C162,Başvuru!$G:$G,"Yüksek Lisans Tezi",Başvuru!$A:$A,"&lt;&gt;"&amp;"",Başvuru!$F:$F,"&lt;&gt;"&amp;""))</f>
        <v>0</v>
      </c>
      <c r="J162" s="159">
        <f>IF(C162="","",COUNTIFS(Başvuru!$C:$C,C162,Başvuru!$L:$L,"ONAY",Başvuru!$A:$A,"&lt;&gt;"&amp;"",Başvuru!$F:$F,"&lt;&gt;"&amp;""))</f>
        <v>0</v>
      </c>
      <c r="K162" s="160">
        <f>IF(C162="","",COUNTIFS(Başvuru!$C:$C,C162,Başvuru!$L:$L,"DÜZELTME",Başvuru!$A:$A,"&lt;&gt;"&amp;"",Başvuru!$F:$F,"&lt;&gt;"&amp;""))</f>
        <v>1</v>
      </c>
      <c r="L162" s="161">
        <f>IF(C162="","",COUNTIFS(Başvuru!$C:$C,C162,Başvuru!$L:$L,"KAEK",Başvuru!$A:$A,"&lt;&gt;"&amp;"",Başvuru!$F:$F,"&lt;&gt;"&amp;""))</f>
        <v>0</v>
      </c>
      <c r="M162" s="162">
        <f>IF(C162="","",COUNTIFS(Başvuru!$C:$C,C162,Başvuru!$L:$L,"GÖRÜŞ",Başvuru!$A:$A,"&lt;&gt;"&amp;"",Başvuru!$F:$F,"&lt;&gt;"&amp;""))</f>
        <v>0</v>
      </c>
      <c r="N162" s="163">
        <f>IF(C162="","",COUNTIFS(Başvuru!$C:$C,C162,Başvuru!$L:$L,"RET",Başvuru!$A:$A,"&lt;&gt;"&amp;"",Başvuru!$F:$F,"&lt;&gt;"&amp;""))</f>
        <v>0</v>
      </c>
      <c r="O162" s="164">
        <f>IF(C162="","",COUNTIFS(Başvuru!$C:$C,C162,Başvuru!$L:$L,"KAPSAM DIŞI",Başvuru!$A:$A,"&lt;&gt;"&amp;"",Başvuru!$F:$F,"&lt;&gt;"&amp;""))</f>
        <v>0</v>
      </c>
      <c r="P162" s="165">
        <f>IF(C162="","",COUNTIFS(Başvuru!$C:$C,C162,Başvuru!$L:$L,"GERİ ÇEKİLDİ",Başvuru!$A:$A,"&lt;&gt;"&amp;"",Başvuru!$F:$F,"&lt;&gt;"&amp;""))</f>
        <v>0</v>
      </c>
      <c r="Q162" s="166" t="s">
        <v>1569</v>
      </c>
      <c r="R162" s="167">
        <f>COUNTIFS(Başvuru!$C:$C,Q162,Başvuru!$A:$A,"&lt;&gt;"&amp;"",Başvuru!$F:$F,"&lt;&gt;"&amp;"")</f>
        <v>2</v>
      </c>
      <c r="S162" s="167">
        <f>RANK(R162,$R$6:$R$324,0)+COUNTIF($R$6:R162,R162)-1</f>
        <v>110</v>
      </c>
    </row>
    <row r="163" spans="2:19" ht="15" customHeight="1" x14ac:dyDescent="0.25">
      <c r="B163" s="168">
        <v>158</v>
      </c>
      <c r="C163" s="169" t="str">
        <f>IFERROR(INDEX($Q$6:$Q$324,MATCH(158,$S$6:$S$324,0)),"")</f>
        <v>Doç. Dr. Evren SERTALP</v>
      </c>
      <c r="D163" s="170">
        <f>IF(C163="","",COUNTIFS(Başvuru!$C:$C,C163,Başvuru!$A:$A,"&lt;&gt;"&amp;"",Başvuru!$F:$F,"&lt;&gt;"&amp;""))</f>
        <v>1</v>
      </c>
      <c r="E163" s="168" t="str">
        <f>IF(C163="","-",IF(D163&gt;0,TEXT(D163/(COUNTIFS(Başvuru!$A:$A,"&lt;&gt;",Başvuru!$F:$F,"&lt;&gt;")-1)*100,"0.0")&amp;"%","-"))</f>
        <v>00%</v>
      </c>
      <c r="F163" s="171">
        <f>IF(C163="","",COUNTIFS(Başvuru!$C:$C,C163,Başvuru!$G:$G,"Bireysel Araştırma",Başvuru!$A:$A,"&lt;&gt;"&amp;"",Başvuru!$F:$F,"&lt;&gt;"&amp;""))</f>
        <v>0</v>
      </c>
      <c r="G163" s="171">
        <f>IF(C163="","",COUNTIFS(Başvuru!$C:$C,C163,Başvuru!$G:$G,"Uzmanlık Tezi",Başvuru!$A:$A,"&lt;&gt;"&amp;"",Başvuru!$F:$F,"&lt;&gt;"&amp;""))</f>
        <v>0</v>
      </c>
      <c r="H163" s="171">
        <f>IF(C163="","",COUNTIFS(Başvuru!$C:$C,C163,Başvuru!$G:$G,"Doktora Tezi",Başvuru!$A:$A,"&lt;&gt;"&amp;"",Başvuru!$F:$F,"&lt;&gt;"&amp;""))</f>
        <v>0</v>
      </c>
      <c r="I163" s="171">
        <f>IF(C163="","",COUNTIFS(Başvuru!$C:$C,C163,Başvuru!$G:$G,"Yüksek Lisans Tezi",Başvuru!$A:$A,"&lt;&gt;"&amp;"",Başvuru!$F:$F,"&lt;&gt;"&amp;""))</f>
        <v>1</v>
      </c>
      <c r="J163" s="172">
        <f>IF(C163="","",COUNTIFS(Başvuru!$C:$C,C163,Başvuru!$L:$L,"ONAY",Başvuru!$A:$A,"&lt;&gt;"&amp;"",Başvuru!$F:$F,"&lt;&gt;"&amp;""))</f>
        <v>0</v>
      </c>
      <c r="K163" s="173">
        <f>IF(C163="","",COUNTIFS(Başvuru!$C:$C,C163,Başvuru!$L:$L,"DÜZELTME",Başvuru!$A:$A,"&lt;&gt;"&amp;"",Başvuru!$F:$F,"&lt;&gt;"&amp;""))</f>
        <v>1</v>
      </c>
      <c r="L163" s="174">
        <f>IF(C163="","",COUNTIFS(Başvuru!$C:$C,C163,Başvuru!$L:$L,"KAEK",Başvuru!$A:$A,"&lt;&gt;"&amp;"",Başvuru!$F:$F,"&lt;&gt;"&amp;""))</f>
        <v>0</v>
      </c>
      <c r="M163" s="175">
        <f>IF(C163="","",COUNTIFS(Başvuru!$C:$C,C163,Başvuru!$L:$L,"GÖRÜŞ",Başvuru!$A:$A,"&lt;&gt;"&amp;"",Başvuru!$F:$F,"&lt;&gt;"&amp;""))</f>
        <v>0</v>
      </c>
      <c r="N163" s="176">
        <f>IF(C163="","",COUNTIFS(Başvuru!$C:$C,C163,Başvuru!$L:$L,"RET",Başvuru!$A:$A,"&lt;&gt;"&amp;"",Başvuru!$F:$F,"&lt;&gt;"&amp;""))</f>
        <v>0</v>
      </c>
      <c r="O163" s="177">
        <f>IF(C163="","",COUNTIFS(Başvuru!$C:$C,C163,Başvuru!$L:$L,"KAPSAM DIŞI",Başvuru!$A:$A,"&lt;&gt;"&amp;"",Başvuru!$F:$F,"&lt;&gt;"&amp;""))</f>
        <v>0</v>
      </c>
      <c r="P163" s="178">
        <f>IF(C163="","",COUNTIFS(Başvuru!$C:$C,C163,Başvuru!$L:$L,"GERİ ÇEKİLDİ",Başvuru!$A:$A,"&lt;&gt;"&amp;"",Başvuru!$F:$F,"&lt;&gt;"&amp;""))</f>
        <v>0</v>
      </c>
      <c r="Q163" s="166" t="s">
        <v>1208</v>
      </c>
      <c r="R163" s="167">
        <f>COUNTIFS(Başvuru!$C:$C,Q163,Başvuru!$A:$A,"&lt;&gt;"&amp;"",Başvuru!$F:$F,"&lt;&gt;"&amp;"")</f>
        <v>1</v>
      </c>
      <c r="S163" s="167">
        <f>RANK(R163,$R$6:$R$324,0)+COUNTIF($R$6:R163,R163)-1</f>
        <v>222</v>
      </c>
    </row>
    <row r="164" spans="2:19" ht="15" customHeight="1" x14ac:dyDescent="0.25">
      <c r="B164" s="155">
        <v>159</v>
      </c>
      <c r="C164" s="156" t="str">
        <f>IFERROR(INDEX($Q$6:$Q$324,MATCH(159,$S$6:$S$324,0)),"")</f>
        <v>Doç. Dr. Eylem TOPBAŞ</v>
      </c>
      <c r="D164" s="157">
        <f>IF(C164="","",COUNTIFS(Başvuru!$C:$C,C164,Başvuru!$A:$A,"&lt;&gt;"&amp;"",Başvuru!$F:$F,"&lt;&gt;"&amp;""))</f>
        <v>1</v>
      </c>
      <c r="E164" s="155" t="str">
        <f>IF(C164="","-",IF(D164&gt;0,TEXT(D164/(COUNTIFS(Başvuru!$A:$A,"&lt;&gt;",Başvuru!$F:$F,"&lt;&gt;")-1)*100,"0.0")&amp;"%","-"))</f>
        <v>00%</v>
      </c>
      <c r="F164" s="158">
        <f>IF(C164="","",COUNTIFS(Başvuru!$C:$C,C164,Başvuru!$G:$G,"Bireysel Araştırma",Başvuru!$A:$A,"&lt;&gt;"&amp;"",Başvuru!$F:$F,"&lt;&gt;"&amp;""))</f>
        <v>0</v>
      </c>
      <c r="G164" s="158">
        <f>IF(C164="","",COUNTIFS(Başvuru!$C:$C,C164,Başvuru!$G:$G,"Uzmanlık Tezi",Başvuru!$A:$A,"&lt;&gt;"&amp;"",Başvuru!$F:$F,"&lt;&gt;"&amp;""))</f>
        <v>0</v>
      </c>
      <c r="H164" s="158">
        <f>IF(C164="","",COUNTIFS(Başvuru!$C:$C,C164,Başvuru!$G:$G,"Doktora Tezi",Başvuru!$A:$A,"&lt;&gt;"&amp;"",Başvuru!$F:$F,"&lt;&gt;"&amp;""))</f>
        <v>0</v>
      </c>
      <c r="I164" s="158">
        <f>IF(C164="","",COUNTIFS(Başvuru!$C:$C,C164,Başvuru!$G:$G,"Yüksek Lisans Tezi",Başvuru!$A:$A,"&lt;&gt;"&amp;"",Başvuru!$F:$F,"&lt;&gt;"&amp;""))</f>
        <v>1</v>
      </c>
      <c r="J164" s="159">
        <f>IF(C164="","",COUNTIFS(Başvuru!$C:$C,C164,Başvuru!$L:$L,"ONAY",Başvuru!$A:$A,"&lt;&gt;"&amp;"",Başvuru!$F:$F,"&lt;&gt;"&amp;""))</f>
        <v>0</v>
      </c>
      <c r="K164" s="160">
        <f>IF(C164="","",COUNTIFS(Başvuru!$C:$C,C164,Başvuru!$L:$L,"DÜZELTME",Başvuru!$A:$A,"&lt;&gt;"&amp;"",Başvuru!$F:$F,"&lt;&gt;"&amp;""))</f>
        <v>0</v>
      </c>
      <c r="L164" s="161">
        <f>IF(C164="","",COUNTIFS(Başvuru!$C:$C,C164,Başvuru!$L:$L,"KAEK",Başvuru!$A:$A,"&lt;&gt;"&amp;"",Başvuru!$F:$F,"&lt;&gt;"&amp;""))</f>
        <v>1</v>
      </c>
      <c r="M164" s="162">
        <f>IF(C164="","",COUNTIFS(Başvuru!$C:$C,C164,Başvuru!$L:$L,"GÖRÜŞ",Başvuru!$A:$A,"&lt;&gt;"&amp;"",Başvuru!$F:$F,"&lt;&gt;"&amp;""))</f>
        <v>0</v>
      </c>
      <c r="N164" s="163">
        <f>IF(C164="","",COUNTIFS(Başvuru!$C:$C,C164,Başvuru!$L:$L,"RET",Başvuru!$A:$A,"&lt;&gt;"&amp;"",Başvuru!$F:$F,"&lt;&gt;"&amp;""))</f>
        <v>0</v>
      </c>
      <c r="O164" s="164">
        <f>IF(C164="","",COUNTIFS(Başvuru!$C:$C,C164,Başvuru!$L:$L,"KAPSAM DIŞI",Başvuru!$A:$A,"&lt;&gt;"&amp;"",Başvuru!$F:$F,"&lt;&gt;"&amp;""))</f>
        <v>0</v>
      </c>
      <c r="P164" s="165">
        <f>IF(C164="","",COUNTIFS(Başvuru!$C:$C,C164,Başvuru!$L:$L,"GERİ ÇEKİLDİ",Başvuru!$A:$A,"&lt;&gt;"&amp;"",Başvuru!$F:$F,"&lt;&gt;"&amp;""))</f>
        <v>0</v>
      </c>
      <c r="Q164" s="166" t="s">
        <v>1384</v>
      </c>
      <c r="R164" s="167">
        <f>COUNTIFS(Başvuru!$C:$C,Q164,Başvuru!$A:$A,"&lt;&gt;"&amp;"",Başvuru!$F:$F,"&lt;&gt;"&amp;"")</f>
        <v>7</v>
      </c>
      <c r="S164" s="167">
        <f>RANK(R164,$R$6:$R$324,0)+COUNTIF($R$6:R164,R164)-1</f>
        <v>13</v>
      </c>
    </row>
    <row r="165" spans="2:19" ht="15" customHeight="1" x14ac:dyDescent="0.25">
      <c r="B165" s="168">
        <v>160</v>
      </c>
      <c r="C165" s="169" t="str">
        <f>IFERROR(INDEX($Q$6:$Q$324,MATCH(160,$S$6:$S$324,0)),"")</f>
        <v>Doç. Dr. Fatma Gonca ELDEM</v>
      </c>
      <c r="D165" s="170">
        <f>IF(C165="","",COUNTIFS(Başvuru!$C:$C,C165,Başvuru!$A:$A,"&lt;&gt;"&amp;"",Başvuru!$F:$F,"&lt;&gt;"&amp;""))</f>
        <v>1</v>
      </c>
      <c r="E165" s="168" t="str">
        <f>IF(C165="","-",IF(D165&gt;0,TEXT(D165/(COUNTIFS(Başvuru!$A:$A,"&lt;&gt;",Başvuru!$F:$F,"&lt;&gt;")-1)*100,"0.0")&amp;"%","-"))</f>
        <v>00%</v>
      </c>
      <c r="F165" s="171">
        <f>IF(C165="","",COUNTIFS(Başvuru!$C:$C,C165,Başvuru!$G:$G,"Bireysel Araştırma",Başvuru!$A:$A,"&lt;&gt;"&amp;"",Başvuru!$F:$F,"&lt;&gt;"&amp;""))</f>
        <v>1</v>
      </c>
      <c r="G165" s="171">
        <f>IF(C165="","",COUNTIFS(Başvuru!$C:$C,C165,Başvuru!$G:$G,"Uzmanlık Tezi",Başvuru!$A:$A,"&lt;&gt;"&amp;"",Başvuru!$F:$F,"&lt;&gt;"&amp;""))</f>
        <v>0</v>
      </c>
      <c r="H165" s="171">
        <f>IF(C165="","",COUNTIFS(Başvuru!$C:$C,C165,Başvuru!$G:$G,"Doktora Tezi",Başvuru!$A:$A,"&lt;&gt;"&amp;"",Başvuru!$F:$F,"&lt;&gt;"&amp;""))</f>
        <v>0</v>
      </c>
      <c r="I165" s="171">
        <f>IF(C165="","",COUNTIFS(Başvuru!$C:$C,C165,Başvuru!$G:$G,"Yüksek Lisans Tezi",Başvuru!$A:$A,"&lt;&gt;"&amp;"",Başvuru!$F:$F,"&lt;&gt;"&amp;""))</f>
        <v>0</v>
      </c>
      <c r="J165" s="172">
        <f>IF(C165="","",COUNTIFS(Başvuru!$C:$C,C165,Başvuru!$L:$L,"ONAY",Başvuru!$A:$A,"&lt;&gt;"&amp;"",Başvuru!$F:$F,"&lt;&gt;"&amp;""))</f>
        <v>0</v>
      </c>
      <c r="K165" s="173">
        <f>IF(C165="","",COUNTIFS(Başvuru!$C:$C,C165,Başvuru!$L:$L,"DÜZELTME",Başvuru!$A:$A,"&lt;&gt;"&amp;"",Başvuru!$F:$F,"&lt;&gt;"&amp;""))</f>
        <v>1</v>
      </c>
      <c r="L165" s="174">
        <f>IF(C165="","",COUNTIFS(Başvuru!$C:$C,C165,Başvuru!$L:$L,"KAEK",Başvuru!$A:$A,"&lt;&gt;"&amp;"",Başvuru!$F:$F,"&lt;&gt;"&amp;""))</f>
        <v>0</v>
      </c>
      <c r="M165" s="175">
        <f>IF(C165="","",COUNTIFS(Başvuru!$C:$C,C165,Başvuru!$L:$L,"GÖRÜŞ",Başvuru!$A:$A,"&lt;&gt;"&amp;"",Başvuru!$F:$F,"&lt;&gt;"&amp;""))</f>
        <v>0</v>
      </c>
      <c r="N165" s="176">
        <f>IF(C165="","",COUNTIFS(Başvuru!$C:$C,C165,Başvuru!$L:$L,"RET",Başvuru!$A:$A,"&lt;&gt;"&amp;"",Başvuru!$F:$F,"&lt;&gt;"&amp;""))</f>
        <v>0</v>
      </c>
      <c r="O165" s="177">
        <f>IF(C165="","",COUNTIFS(Başvuru!$C:$C,C165,Başvuru!$L:$L,"KAPSAM DIŞI",Başvuru!$A:$A,"&lt;&gt;"&amp;"",Başvuru!$F:$F,"&lt;&gt;"&amp;""))</f>
        <v>0</v>
      </c>
      <c r="P165" s="178">
        <f>IF(C165="","",COUNTIFS(Başvuru!$C:$C,C165,Başvuru!$L:$L,"GERİ ÇEKİLDİ",Başvuru!$A:$A,"&lt;&gt;"&amp;"",Başvuru!$F:$F,"&lt;&gt;"&amp;""))</f>
        <v>0</v>
      </c>
      <c r="Q165" s="166" t="s">
        <v>350</v>
      </c>
      <c r="R165" s="167">
        <f>COUNTIFS(Başvuru!$C:$C,Q165,Başvuru!$A:$A,"&lt;&gt;"&amp;"",Başvuru!$F:$F,"&lt;&gt;"&amp;"")</f>
        <v>1</v>
      </c>
      <c r="S165" s="167">
        <f>RANK(R165,$R$6:$R$324,0)+COUNTIF($R$6:R165,R165)-1</f>
        <v>223</v>
      </c>
    </row>
    <row r="166" spans="2:19" ht="15" customHeight="1" x14ac:dyDescent="0.25">
      <c r="B166" s="155">
        <v>161</v>
      </c>
      <c r="C166" s="156" t="str">
        <f>IFERROR(INDEX($Q$6:$Q$324,MATCH(161,$S$6:$S$324,0)),"")</f>
        <v>Doç. Dr. Gamze ATAY</v>
      </c>
      <c r="D166" s="157">
        <f>IF(C166="","",COUNTIFS(Başvuru!$C:$C,C166,Başvuru!$A:$A,"&lt;&gt;"&amp;"",Başvuru!$F:$F,"&lt;&gt;"&amp;""))</f>
        <v>1</v>
      </c>
      <c r="E166" s="155" t="str">
        <f>IF(C166="","-",IF(D166&gt;0,TEXT(D166/(COUNTIFS(Başvuru!$A:$A,"&lt;&gt;",Başvuru!$F:$F,"&lt;&gt;")-1)*100,"0.0")&amp;"%","-"))</f>
        <v>00%</v>
      </c>
      <c r="F166" s="158">
        <f>IF(C166="","",COUNTIFS(Başvuru!$C:$C,C166,Başvuru!$G:$G,"Bireysel Araştırma",Başvuru!$A:$A,"&lt;&gt;"&amp;"",Başvuru!$F:$F,"&lt;&gt;"&amp;""))</f>
        <v>0</v>
      </c>
      <c r="G166" s="158">
        <f>IF(C166="","",COUNTIFS(Başvuru!$C:$C,C166,Başvuru!$G:$G,"Uzmanlık Tezi",Başvuru!$A:$A,"&lt;&gt;"&amp;"",Başvuru!$F:$F,"&lt;&gt;"&amp;""))</f>
        <v>1</v>
      </c>
      <c r="H166" s="158">
        <f>IF(C166="","",COUNTIFS(Başvuru!$C:$C,C166,Başvuru!$G:$G,"Doktora Tezi",Başvuru!$A:$A,"&lt;&gt;"&amp;"",Başvuru!$F:$F,"&lt;&gt;"&amp;""))</f>
        <v>0</v>
      </c>
      <c r="I166" s="158">
        <f>IF(C166="","",COUNTIFS(Başvuru!$C:$C,C166,Başvuru!$G:$G,"Yüksek Lisans Tezi",Başvuru!$A:$A,"&lt;&gt;"&amp;"",Başvuru!$F:$F,"&lt;&gt;"&amp;""))</f>
        <v>0</v>
      </c>
      <c r="J166" s="159">
        <f>IF(C166="","",COUNTIFS(Başvuru!$C:$C,C166,Başvuru!$L:$L,"ONAY",Başvuru!$A:$A,"&lt;&gt;"&amp;"",Başvuru!$F:$F,"&lt;&gt;"&amp;""))</f>
        <v>0</v>
      </c>
      <c r="K166" s="160">
        <f>IF(C166="","",COUNTIFS(Başvuru!$C:$C,C166,Başvuru!$L:$L,"DÜZELTME",Başvuru!$A:$A,"&lt;&gt;"&amp;"",Başvuru!$F:$F,"&lt;&gt;"&amp;""))</f>
        <v>1</v>
      </c>
      <c r="L166" s="161">
        <f>IF(C166="","",COUNTIFS(Başvuru!$C:$C,C166,Başvuru!$L:$L,"KAEK",Başvuru!$A:$A,"&lt;&gt;"&amp;"",Başvuru!$F:$F,"&lt;&gt;"&amp;""))</f>
        <v>0</v>
      </c>
      <c r="M166" s="162">
        <f>IF(C166="","",COUNTIFS(Başvuru!$C:$C,C166,Başvuru!$L:$L,"GÖRÜŞ",Başvuru!$A:$A,"&lt;&gt;"&amp;"",Başvuru!$F:$F,"&lt;&gt;"&amp;""))</f>
        <v>0</v>
      </c>
      <c r="N166" s="163">
        <f>IF(C166="","",COUNTIFS(Başvuru!$C:$C,C166,Başvuru!$L:$L,"RET",Başvuru!$A:$A,"&lt;&gt;"&amp;"",Başvuru!$F:$F,"&lt;&gt;"&amp;""))</f>
        <v>0</v>
      </c>
      <c r="O166" s="164">
        <f>IF(C166="","",COUNTIFS(Başvuru!$C:$C,C166,Başvuru!$L:$L,"KAPSAM DIŞI",Başvuru!$A:$A,"&lt;&gt;"&amp;"",Başvuru!$F:$F,"&lt;&gt;"&amp;""))</f>
        <v>0</v>
      </c>
      <c r="P166" s="165">
        <f>IF(C166="","",COUNTIFS(Başvuru!$C:$C,C166,Başvuru!$L:$L,"GERİ ÇEKİLDİ",Başvuru!$A:$A,"&lt;&gt;"&amp;"",Başvuru!$F:$F,"&lt;&gt;"&amp;""))</f>
        <v>0</v>
      </c>
      <c r="Q166" s="166" t="s">
        <v>2316</v>
      </c>
      <c r="R166" s="167">
        <f>COUNTIFS(Başvuru!$C:$C,Q166,Başvuru!$A:$A,"&lt;&gt;"&amp;"",Başvuru!$F:$F,"&lt;&gt;"&amp;"")</f>
        <v>1</v>
      </c>
      <c r="S166" s="167">
        <f>RANK(R166,$R$6:$R$324,0)+COUNTIF($R$6:R166,R166)-1</f>
        <v>224</v>
      </c>
    </row>
    <row r="167" spans="2:19" ht="15" customHeight="1" x14ac:dyDescent="0.25">
      <c r="B167" s="168">
        <v>162</v>
      </c>
      <c r="C167" s="169" t="str">
        <f>IFERROR(INDEX($Q$6:$Q$324,MATCH(162,$S$6:$S$324,0)),"")</f>
        <v>Doç. Dr. Gölşah KÖK</v>
      </c>
      <c r="D167" s="170">
        <f>IF(C167="","",COUNTIFS(Başvuru!$C:$C,C167,Başvuru!$A:$A,"&lt;&gt;"&amp;"",Başvuru!$F:$F,"&lt;&gt;"&amp;""))</f>
        <v>1</v>
      </c>
      <c r="E167" s="168" t="str">
        <f>IF(C167="","-",IF(D167&gt;0,TEXT(D167/(COUNTIFS(Başvuru!$A:$A,"&lt;&gt;",Başvuru!$F:$F,"&lt;&gt;")-1)*100,"0.0")&amp;"%","-"))</f>
        <v>00%</v>
      </c>
      <c r="F167" s="171">
        <f>IF(C167="","",COUNTIFS(Başvuru!$C:$C,C167,Başvuru!$G:$G,"Bireysel Araştırma",Başvuru!$A:$A,"&lt;&gt;"&amp;"",Başvuru!$F:$F,"&lt;&gt;"&amp;""))</f>
        <v>1</v>
      </c>
      <c r="G167" s="171">
        <f>IF(C167="","",COUNTIFS(Başvuru!$C:$C,C167,Başvuru!$G:$G,"Uzmanlık Tezi",Başvuru!$A:$A,"&lt;&gt;"&amp;"",Başvuru!$F:$F,"&lt;&gt;"&amp;""))</f>
        <v>0</v>
      </c>
      <c r="H167" s="171">
        <f>IF(C167="","",COUNTIFS(Başvuru!$C:$C,C167,Başvuru!$G:$G,"Doktora Tezi",Başvuru!$A:$A,"&lt;&gt;"&amp;"",Başvuru!$F:$F,"&lt;&gt;"&amp;""))</f>
        <v>0</v>
      </c>
      <c r="I167" s="171">
        <f>IF(C167="","",COUNTIFS(Başvuru!$C:$C,C167,Başvuru!$G:$G,"Yüksek Lisans Tezi",Başvuru!$A:$A,"&lt;&gt;"&amp;"",Başvuru!$F:$F,"&lt;&gt;"&amp;""))</f>
        <v>0</v>
      </c>
      <c r="J167" s="172">
        <f>IF(C167="","",COUNTIFS(Başvuru!$C:$C,C167,Başvuru!$L:$L,"ONAY",Başvuru!$A:$A,"&lt;&gt;"&amp;"",Başvuru!$F:$F,"&lt;&gt;"&amp;""))</f>
        <v>1</v>
      </c>
      <c r="K167" s="173">
        <f>IF(C167="","",COUNTIFS(Başvuru!$C:$C,C167,Başvuru!$L:$L,"DÜZELTME",Başvuru!$A:$A,"&lt;&gt;"&amp;"",Başvuru!$F:$F,"&lt;&gt;"&amp;""))</f>
        <v>0</v>
      </c>
      <c r="L167" s="174">
        <f>IF(C167="","",COUNTIFS(Başvuru!$C:$C,C167,Başvuru!$L:$L,"KAEK",Başvuru!$A:$A,"&lt;&gt;"&amp;"",Başvuru!$F:$F,"&lt;&gt;"&amp;""))</f>
        <v>0</v>
      </c>
      <c r="M167" s="175">
        <f>IF(C167="","",COUNTIFS(Başvuru!$C:$C,C167,Başvuru!$L:$L,"GÖRÜŞ",Başvuru!$A:$A,"&lt;&gt;"&amp;"",Başvuru!$F:$F,"&lt;&gt;"&amp;""))</f>
        <v>0</v>
      </c>
      <c r="N167" s="176">
        <f>IF(C167="","",COUNTIFS(Başvuru!$C:$C,C167,Başvuru!$L:$L,"RET",Başvuru!$A:$A,"&lt;&gt;"&amp;"",Başvuru!$F:$F,"&lt;&gt;"&amp;""))</f>
        <v>0</v>
      </c>
      <c r="O167" s="177">
        <f>IF(C167="","",COUNTIFS(Başvuru!$C:$C,C167,Başvuru!$L:$L,"KAPSAM DIŞI",Başvuru!$A:$A,"&lt;&gt;"&amp;"",Başvuru!$F:$F,"&lt;&gt;"&amp;""))</f>
        <v>0</v>
      </c>
      <c r="P167" s="178">
        <f>IF(C167="","",COUNTIFS(Başvuru!$C:$C,C167,Başvuru!$L:$L,"GERİ ÇEKİLDİ",Başvuru!$A:$A,"&lt;&gt;"&amp;"",Başvuru!$F:$F,"&lt;&gt;"&amp;""))</f>
        <v>0</v>
      </c>
      <c r="Q167" s="166" t="s">
        <v>1360</v>
      </c>
      <c r="R167" s="167">
        <f>COUNTIFS(Başvuru!$C:$C,Q167,Başvuru!$A:$A,"&lt;&gt;"&amp;"",Başvuru!$F:$F,"&lt;&gt;"&amp;"")</f>
        <v>2</v>
      </c>
      <c r="S167" s="167">
        <f>RANK(R167,$R$6:$R$324,0)+COUNTIF($R$6:R167,R167)-1</f>
        <v>111</v>
      </c>
    </row>
    <row r="168" spans="2:19" ht="15" customHeight="1" x14ac:dyDescent="0.25">
      <c r="B168" s="155">
        <v>163</v>
      </c>
      <c r="C168" s="156" t="str">
        <f>IFERROR(INDEX($Q$6:$Q$324,MATCH(163,$S$6:$S$324,0)),"")</f>
        <v>Doç. Dr. Hilal KORKMAZ</v>
      </c>
      <c r="D168" s="157">
        <f>IF(C168="","",COUNTIFS(Başvuru!$C:$C,C168,Başvuru!$A:$A,"&lt;&gt;"&amp;"",Başvuru!$F:$F,"&lt;&gt;"&amp;""))</f>
        <v>1</v>
      </c>
      <c r="E168" s="155" t="str">
        <f>IF(C168="","-",IF(D168&gt;0,TEXT(D168/(COUNTIFS(Başvuru!$A:$A,"&lt;&gt;",Başvuru!$F:$F,"&lt;&gt;")-1)*100,"0.0")&amp;"%","-"))</f>
        <v>00%</v>
      </c>
      <c r="F168" s="158">
        <f>IF(C168="","",COUNTIFS(Başvuru!$C:$C,C168,Başvuru!$G:$G,"Bireysel Araştırma",Başvuru!$A:$A,"&lt;&gt;"&amp;"",Başvuru!$F:$F,"&lt;&gt;"&amp;""))</f>
        <v>1</v>
      </c>
      <c r="G168" s="158">
        <f>IF(C168="","",COUNTIFS(Başvuru!$C:$C,C168,Başvuru!$G:$G,"Uzmanlık Tezi",Başvuru!$A:$A,"&lt;&gt;"&amp;"",Başvuru!$F:$F,"&lt;&gt;"&amp;""))</f>
        <v>0</v>
      </c>
      <c r="H168" s="158">
        <f>IF(C168="","",COUNTIFS(Başvuru!$C:$C,C168,Başvuru!$G:$G,"Doktora Tezi",Başvuru!$A:$A,"&lt;&gt;"&amp;"",Başvuru!$F:$F,"&lt;&gt;"&amp;""))</f>
        <v>0</v>
      </c>
      <c r="I168" s="158">
        <f>IF(C168="","",COUNTIFS(Başvuru!$C:$C,C168,Başvuru!$G:$G,"Yüksek Lisans Tezi",Başvuru!$A:$A,"&lt;&gt;"&amp;"",Başvuru!$F:$F,"&lt;&gt;"&amp;""))</f>
        <v>0</v>
      </c>
      <c r="J168" s="159">
        <f>IF(C168="","",COUNTIFS(Başvuru!$C:$C,C168,Başvuru!$L:$L,"ONAY",Başvuru!$A:$A,"&lt;&gt;"&amp;"",Başvuru!$F:$F,"&lt;&gt;"&amp;""))</f>
        <v>0</v>
      </c>
      <c r="K168" s="160">
        <f>IF(C168="","",COUNTIFS(Başvuru!$C:$C,C168,Başvuru!$L:$L,"DÜZELTME",Başvuru!$A:$A,"&lt;&gt;"&amp;"",Başvuru!$F:$F,"&lt;&gt;"&amp;""))</f>
        <v>1</v>
      </c>
      <c r="L168" s="161">
        <f>IF(C168="","",COUNTIFS(Başvuru!$C:$C,C168,Başvuru!$L:$L,"KAEK",Başvuru!$A:$A,"&lt;&gt;"&amp;"",Başvuru!$F:$F,"&lt;&gt;"&amp;""))</f>
        <v>0</v>
      </c>
      <c r="M168" s="162">
        <f>IF(C168="","",COUNTIFS(Başvuru!$C:$C,C168,Başvuru!$L:$L,"GÖRÜŞ",Başvuru!$A:$A,"&lt;&gt;"&amp;"",Başvuru!$F:$F,"&lt;&gt;"&amp;""))</f>
        <v>0</v>
      </c>
      <c r="N168" s="163">
        <f>IF(C168="","",COUNTIFS(Başvuru!$C:$C,C168,Başvuru!$L:$L,"RET",Başvuru!$A:$A,"&lt;&gt;"&amp;"",Başvuru!$F:$F,"&lt;&gt;"&amp;""))</f>
        <v>0</v>
      </c>
      <c r="O168" s="164">
        <f>IF(C168="","",COUNTIFS(Başvuru!$C:$C,C168,Başvuru!$L:$L,"KAPSAM DIŞI",Başvuru!$A:$A,"&lt;&gt;"&amp;"",Başvuru!$F:$F,"&lt;&gt;"&amp;""))</f>
        <v>0</v>
      </c>
      <c r="P168" s="165">
        <f>IF(C168="","",COUNTIFS(Başvuru!$C:$C,C168,Başvuru!$L:$L,"GERİ ÇEKİLDİ",Başvuru!$A:$A,"&lt;&gt;"&amp;"",Başvuru!$F:$F,"&lt;&gt;"&amp;""))</f>
        <v>0</v>
      </c>
      <c r="Q168" s="166" t="s">
        <v>1594</v>
      </c>
      <c r="R168" s="167">
        <f>COUNTIFS(Başvuru!$C:$C,Q168,Başvuru!$A:$A,"&lt;&gt;"&amp;"",Başvuru!$F:$F,"&lt;&gt;"&amp;"")</f>
        <v>1</v>
      </c>
      <c r="S168" s="167">
        <f>RANK(R168,$R$6:$R$324,0)+COUNTIF($R$6:R168,R168)-1</f>
        <v>225</v>
      </c>
    </row>
    <row r="169" spans="2:19" ht="15" customHeight="1" x14ac:dyDescent="0.25">
      <c r="B169" s="168">
        <v>164</v>
      </c>
      <c r="C169" s="169" t="str">
        <f>IFERROR(INDEX($Q$6:$Q$324,MATCH(164,$S$6:$S$324,0)),"")</f>
        <v>Doç. Dr. Kevser NALBANT</v>
      </c>
      <c r="D169" s="170">
        <f>IF(C169="","",COUNTIFS(Başvuru!$C:$C,C169,Başvuru!$A:$A,"&lt;&gt;"&amp;"",Başvuru!$F:$F,"&lt;&gt;"&amp;""))</f>
        <v>1</v>
      </c>
      <c r="E169" s="168" t="str">
        <f>IF(C169="","-",IF(D169&gt;0,TEXT(D169/(COUNTIFS(Başvuru!$A:$A,"&lt;&gt;",Başvuru!$F:$F,"&lt;&gt;")-1)*100,"0.0")&amp;"%","-"))</f>
        <v>00%</v>
      </c>
      <c r="F169" s="171">
        <f>IF(C169="","",COUNTIFS(Başvuru!$C:$C,C169,Başvuru!$G:$G,"Bireysel Araştırma",Başvuru!$A:$A,"&lt;&gt;"&amp;"",Başvuru!$F:$F,"&lt;&gt;"&amp;""))</f>
        <v>1</v>
      </c>
      <c r="G169" s="171">
        <f>IF(C169="","",COUNTIFS(Başvuru!$C:$C,C169,Başvuru!$G:$G,"Uzmanlık Tezi",Başvuru!$A:$A,"&lt;&gt;"&amp;"",Başvuru!$F:$F,"&lt;&gt;"&amp;""))</f>
        <v>0</v>
      </c>
      <c r="H169" s="171">
        <f>IF(C169="","",COUNTIFS(Başvuru!$C:$C,C169,Başvuru!$G:$G,"Doktora Tezi",Başvuru!$A:$A,"&lt;&gt;"&amp;"",Başvuru!$F:$F,"&lt;&gt;"&amp;""))</f>
        <v>0</v>
      </c>
      <c r="I169" s="171">
        <f>IF(C169="","",COUNTIFS(Başvuru!$C:$C,C169,Başvuru!$G:$G,"Yüksek Lisans Tezi",Başvuru!$A:$A,"&lt;&gt;"&amp;"",Başvuru!$F:$F,"&lt;&gt;"&amp;""))</f>
        <v>0</v>
      </c>
      <c r="J169" s="172">
        <f>IF(C169="","",COUNTIFS(Başvuru!$C:$C,C169,Başvuru!$L:$L,"ONAY",Başvuru!$A:$A,"&lt;&gt;"&amp;"",Başvuru!$F:$F,"&lt;&gt;"&amp;""))</f>
        <v>0</v>
      </c>
      <c r="K169" s="173">
        <f>IF(C169="","",COUNTIFS(Başvuru!$C:$C,C169,Başvuru!$L:$L,"DÜZELTME",Başvuru!$A:$A,"&lt;&gt;"&amp;"",Başvuru!$F:$F,"&lt;&gt;"&amp;""))</f>
        <v>1</v>
      </c>
      <c r="L169" s="174">
        <f>IF(C169="","",COUNTIFS(Başvuru!$C:$C,C169,Başvuru!$L:$L,"KAEK",Başvuru!$A:$A,"&lt;&gt;"&amp;"",Başvuru!$F:$F,"&lt;&gt;"&amp;""))</f>
        <v>0</v>
      </c>
      <c r="M169" s="175">
        <f>IF(C169="","",COUNTIFS(Başvuru!$C:$C,C169,Başvuru!$L:$L,"GÖRÜŞ",Başvuru!$A:$A,"&lt;&gt;"&amp;"",Başvuru!$F:$F,"&lt;&gt;"&amp;""))</f>
        <v>0</v>
      </c>
      <c r="N169" s="176">
        <f>IF(C169="","",COUNTIFS(Başvuru!$C:$C,C169,Başvuru!$L:$L,"RET",Başvuru!$A:$A,"&lt;&gt;"&amp;"",Başvuru!$F:$F,"&lt;&gt;"&amp;""))</f>
        <v>0</v>
      </c>
      <c r="O169" s="177">
        <f>IF(C169="","",COUNTIFS(Başvuru!$C:$C,C169,Başvuru!$L:$L,"KAPSAM DIŞI",Başvuru!$A:$A,"&lt;&gt;"&amp;"",Başvuru!$F:$F,"&lt;&gt;"&amp;""))</f>
        <v>0</v>
      </c>
      <c r="P169" s="178">
        <f>IF(C169="","",COUNTIFS(Başvuru!$C:$C,C169,Başvuru!$L:$L,"GERİ ÇEKİLDİ",Başvuru!$A:$A,"&lt;&gt;"&amp;"",Başvuru!$F:$F,"&lt;&gt;"&amp;""))</f>
        <v>0</v>
      </c>
      <c r="Q169" s="166" t="s">
        <v>460</v>
      </c>
      <c r="R169" s="167">
        <f>COUNTIFS(Başvuru!$C:$C,Q169,Başvuru!$A:$A,"&lt;&gt;"&amp;"",Başvuru!$F:$F,"&lt;&gt;"&amp;"")</f>
        <v>2</v>
      </c>
      <c r="S169" s="167">
        <f>RANK(R169,$R$6:$R$324,0)+COUNTIF($R$6:R169,R169)-1</f>
        <v>112</v>
      </c>
    </row>
    <row r="170" spans="2:19" ht="15" customHeight="1" x14ac:dyDescent="0.25">
      <c r="B170" s="155">
        <v>165</v>
      </c>
      <c r="C170" s="156" t="str">
        <f>IFERROR(INDEX($Q$6:$Q$324,MATCH(165,$S$6:$S$324,0)),"")</f>
        <v>Doç. Dr. Kısmet ÇIKI</v>
      </c>
      <c r="D170" s="157">
        <f>IF(C170="","",COUNTIFS(Başvuru!$C:$C,C170,Başvuru!$A:$A,"&lt;&gt;"&amp;"",Başvuru!$F:$F,"&lt;&gt;"&amp;""))</f>
        <v>1</v>
      </c>
      <c r="E170" s="155" t="str">
        <f>IF(C170="","-",IF(D170&gt;0,TEXT(D170/(COUNTIFS(Başvuru!$A:$A,"&lt;&gt;",Başvuru!$F:$F,"&lt;&gt;")-1)*100,"0.0")&amp;"%","-"))</f>
        <v>00%</v>
      </c>
      <c r="F170" s="158">
        <f>IF(C170="","",COUNTIFS(Başvuru!$C:$C,C170,Başvuru!$G:$G,"Bireysel Araştırma",Başvuru!$A:$A,"&lt;&gt;"&amp;"",Başvuru!$F:$F,"&lt;&gt;"&amp;""))</f>
        <v>1</v>
      </c>
      <c r="G170" s="158">
        <f>IF(C170="","",COUNTIFS(Başvuru!$C:$C,C170,Başvuru!$G:$G,"Uzmanlık Tezi",Başvuru!$A:$A,"&lt;&gt;"&amp;"",Başvuru!$F:$F,"&lt;&gt;"&amp;""))</f>
        <v>0</v>
      </c>
      <c r="H170" s="158">
        <f>IF(C170="","",COUNTIFS(Başvuru!$C:$C,C170,Başvuru!$G:$G,"Doktora Tezi",Başvuru!$A:$A,"&lt;&gt;"&amp;"",Başvuru!$F:$F,"&lt;&gt;"&amp;""))</f>
        <v>0</v>
      </c>
      <c r="I170" s="158">
        <f>IF(C170="","",COUNTIFS(Başvuru!$C:$C,C170,Başvuru!$G:$G,"Yüksek Lisans Tezi",Başvuru!$A:$A,"&lt;&gt;"&amp;"",Başvuru!$F:$F,"&lt;&gt;"&amp;""))</f>
        <v>0</v>
      </c>
      <c r="J170" s="159">
        <f>IF(C170="","",COUNTIFS(Başvuru!$C:$C,C170,Başvuru!$L:$L,"ONAY",Başvuru!$A:$A,"&lt;&gt;"&amp;"",Başvuru!$F:$F,"&lt;&gt;"&amp;""))</f>
        <v>0</v>
      </c>
      <c r="K170" s="160">
        <f>IF(C170="","",COUNTIFS(Başvuru!$C:$C,C170,Başvuru!$L:$L,"DÜZELTME",Başvuru!$A:$A,"&lt;&gt;"&amp;"",Başvuru!$F:$F,"&lt;&gt;"&amp;""))</f>
        <v>1</v>
      </c>
      <c r="L170" s="161">
        <f>IF(C170="","",COUNTIFS(Başvuru!$C:$C,C170,Başvuru!$L:$L,"KAEK",Başvuru!$A:$A,"&lt;&gt;"&amp;"",Başvuru!$F:$F,"&lt;&gt;"&amp;""))</f>
        <v>0</v>
      </c>
      <c r="M170" s="162">
        <f>IF(C170="","",COUNTIFS(Başvuru!$C:$C,C170,Başvuru!$L:$L,"GÖRÜŞ",Başvuru!$A:$A,"&lt;&gt;"&amp;"",Başvuru!$F:$F,"&lt;&gt;"&amp;""))</f>
        <v>0</v>
      </c>
      <c r="N170" s="163">
        <f>IF(C170="","",COUNTIFS(Başvuru!$C:$C,C170,Başvuru!$L:$L,"RET",Başvuru!$A:$A,"&lt;&gt;"&amp;"",Başvuru!$F:$F,"&lt;&gt;"&amp;""))</f>
        <v>0</v>
      </c>
      <c r="O170" s="164">
        <f>IF(C170="","",COUNTIFS(Başvuru!$C:$C,C170,Başvuru!$L:$L,"KAPSAM DIŞI",Başvuru!$A:$A,"&lt;&gt;"&amp;"",Başvuru!$F:$F,"&lt;&gt;"&amp;""))</f>
        <v>0</v>
      </c>
      <c r="P170" s="165">
        <f>IF(C170="","",COUNTIFS(Başvuru!$C:$C,C170,Başvuru!$L:$L,"GERİ ÇEKİLDİ",Başvuru!$A:$A,"&lt;&gt;"&amp;"",Başvuru!$F:$F,"&lt;&gt;"&amp;""))</f>
        <v>0</v>
      </c>
      <c r="Q170" s="166" t="s">
        <v>826</v>
      </c>
      <c r="R170" s="167">
        <f>COUNTIFS(Başvuru!$C:$C,Q170,Başvuru!$A:$A,"&lt;&gt;"&amp;"",Başvuru!$F:$F,"&lt;&gt;"&amp;"")</f>
        <v>4</v>
      </c>
      <c r="S170" s="167">
        <f>RANK(R170,$R$6:$R$324,0)+COUNTIF($R$6:R170,R170)-1</f>
        <v>40</v>
      </c>
    </row>
    <row r="171" spans="2:19" ht="15" customHeight="1" x14ac:dyDescent="0.25">
      <c r="B171" s="168">
        <v>166</v>
      </c>
      <c r="C171" s="169" t="str">
        <f>IFERROR(INDEX($Q$6:$Q$324,MATCH(166,$S$6:$S$324,0)),"")</f>
        <v>Doç. Dr. Muhammed Bahaddin DURAK</v>
      </c>
      <c r="D171" s="170">
        <f>IF(C171="","",COUNTIFS(Başvuru!$C:$C,C171,Başvuru!$A:$A,"&lt;&gt;"&amp;"",Başvuru!$F:$F,"&lt;&gt;"&amp;""))</f>
        <v>1</v>
      </c>
      <c r="E171" s="168" t="str">
        <f>IF(C171="","-",IF(D171&gt;0,TEXT(D171/(COUNTIFS(Başvuru!$A:$A,"&lt;&gt;",Başvuru!$F:$F,"&lt;&gt;")-1)*100,"0.0")&amp;"%","-"))</f>
        <v>00%</v>
      </c>
      <c r="F171" s="171">
        <f>IF(C171="","",COUNTIFS(Başvuru!$C:$C,C171,Başvuru!$G:$G,"Bireysel Araştırma",Başvuru!$A:$A,"&lt;&gt;"&amp;"",Başvuru!$F:$F,"&lt;&gt;"&amp;""))</f>
        <v>0</v>
      </c>
      <c r="G171" s="171">
        <f>IF(C171="","",COUNTIFS(Başvuru!$C:$C,C171,Başvuru!$G:$G,"Uzmanlık Tezi",Başvuru!$A:$A,"&lt;&gt;"&amp;"",Başvuru!$F:$F,"&lt;&gt;"&amp;""))</f>
        <v>1</v>
      </c>
      <c r="H171" s="171">
        <f>IF(C171="","",COUNTIFS(Başvuru!$C:$C,C171,Başvuru!$G:$G,"Doktora Tezi",Başvuru!$A:$A,"&lt;&gt;"&amp;"",Başvuru!$F:$F,"&lt;&gt;"&amp;""))</f>
        <v>0</v>
      </c>
      <c r="I171" s="171">
        <f>IF(C171="","",COUNTIFS(Başvuru!$C:$C,C171,Başvuru!$G:$G,"Yüksek Lisans Tezi",Başvuru!$A:$A,"&lt;&gt;"&amp;"",Başvuru!$F:$F,"&lt;&gt;"&amp;""))</f>
        <v>0</v>
      </c>
      <c r="J171" s="172">
        <f>IF(C171="","",COUNTIFS(Başvuru!$C:$C,C171,Başvuru!$L:$L,"ONAY",Başvuru!$A:$A,"&lt;&gt;"&amp;"",Başvuru!$F:$F,"&lt;&gt;"&amp;""))</f>
        <v>1</v>
      </c>
      <c r="K171" s="173">
        <f>IF(C171="","",COUNTIFS(Başvuru!$C:$C,C171,Başvuru!$L:$L,"DÜZELTME",Başvuru!$A:$A,"&lt;&gt;"&amp;"",Başvuru!$F:$F,"&lt;&gt;"&amp;""))</f>
        <v>0</v>
      </c>
      <c r="L171" s="174">
        <f>IF(C171="","",COUNTIFS(Başvuru!$C:$C,C171,Başvuru!$L:$L,"KAEK",Başvuru!$A:$A,"&lt;&gt;"&amp;"",Başvuru!$F:$F,"&lt;&gt;"&amp;""))</f>
        <v>0</v>
      </c>
      <c r="M171" s="175">
        <f>IF(C171="","",COUNTIFS(Başvuru!$C:$C,C171,Başvuru!$L:$L,"GÖRÜŞ",Başvuru!$A:$A,"&lt;&gt;"&amp;"",Başvuru!$F:$F,"&lt;&gt;"&amp;""))</f>
        <v>0</v>
      </c>
      <c r="N171" s="176">
        <f>IF(C171="","",COUNTIFS(Başvuru!$C:$C,C171,Başvuru!$L:$L,"RET",Başvuru!$A:$A,"&lt;&gt;"&amp;"",Başvuru!$F:$F,"&lt;&gt;"&amp;""))</f>
        <v>0</v>
      </c>
      <c r="O171" s="177">
        <f>IF(C171="","",COUNTIFS(Başvuru!$C:$C,C171,Başvuru!$L:$L,"KAPSAM DIŞI",Başvuru!$A:$A,"&lt;&gt;"&amp;"",Başvuru!$F:$F,"&lt;&gt;"&amp;""))</f>
        <v>0</v>
      </c>
      <c r="P171" s="178">
        <f>IF(C171="","",COUNTIFS(Başvuru!$C:$C,C171,Başvuru!$L:$L,"GERİ ÇEKİLDİ",Başvuru!$A:$A,"&lt;&gt;"&amp;"",Başvuru!$F:$F,"&lt;&gt;"&amp;""))</f>
        <v>0</v>
      </c>
      <c r="Q171" s="166" t="s">
        <v>410</v>
      </c>
      <c r="R171" s="167">
        <f>COUNTIFS(Başvuru!$C:$C,Q171,Başvuru!$A:$A,"&lt;&gt;"&amp;"",Başvuru!$F:$F,"&lt;&gt;"&amp;"")</f>
        <v>11</v>
      </c>
      <c r="S171" s="167">
        <f>RANK(R171,$R$6:$R$324,0)+COUNTIF($R$6:R171,R171)-1</f>
        <v>2</v>
      </c>
    </row>
    <row r="172" spans="2:19" ht="15" customHeight="1" x14ac:dyDescent="0.25">
      <c r="B172" s="155">
        <v>167</v>
      </c>
      <c r="C172" s="156" t="str">
        <f>IFERROR(INDEX($Q$6:$Q$324,MATCH(167,$S$6:$S$324,0)),"")</f>
        <v>Doç. Dr. Nagihan KOÇ</v>
      </c>
      <c r="D172" s="157">
        <f>IF(C172="","",COUNTIFS(Başvuru!$C:$C,C172,Başvuru!$A:$A,"&lt;&gt;"&amp;"",Başvuru!$F:$F,"&lt;&gt;"&amp;""))</f>
        <v>1</v>
      </c>
      <c r="E172" s="155" t="str">
        <f>IF(C172="","-",IF(D172&gt;0,TEXT(D172/(COUNTIFS(Başvuru!$A:$A,"&lt;&gt;",Başvuru!$F:$F,"&lt;&gt;")-1)*100,"0.0")&amp;"%","-"))</f>
        <v>00%</v>
      </c>
      <c r="F172" s="158">
        <f>IF(C172="","",COUNTIFS(Başvuru!$C:$C,C172,Başvuru!$G:$G,"Bireysel Araştırma",Başvuru!$A:$A,"&lt;&gt;"&amp;"",Başvuru!$F:$F,"&lt;&gt;"&amp;""))</f>
        <v>0</v>
      </c>
      <c r="G172" s="158">
        <f>IF(C172="","",COUNTIFS(Başvuru!$C:$C,C172,Başvuru!$G:$G,"Uzmanlık Tezi",Başvuru!$A:$A,"&lt;&gt;"&amp;"",Başvuru!$F:$F,"&lt;&gt;"&amp;""))</f>
        <v>1</v>
      </c>
      <c r="H172" s="158">
        <f>IF(C172="","",COUNTIFS(Başvuru!$C:$C,C172,Başvuru!$G:$G,"Doktora Tezi",Başvuru!$A:$A,"&lt;&gt;"&amp;"",Başvuru!$F:$F,"&lt;&gt;"&amp;""))</f>
        <v>0</v>
      </c>
      <c r="I172" s="158">
        <f>IF(C172="","",COUNTIFS(Başvuru!$C:$C,C172,Başvuru!$G:$G,"Yüksek Lisans Tezi",Başvuru!$A:$A,"&lt;&gt;"&amp;"",Başvuru!$F:$F,"&lt;&gt;"&amp;""))</f>
        <v>0</v>
      </c>
      <c r="J172" s="159">
        <f>IF(C172="","",COUNTIFS(Başvuru!$C:$C,C172,Başvuru!$L:$L,"ONAY",Başvuru!$A:$A,"&lt;&gt;"&amp;"",Başvuru!$F:$F,"&lt;&gt;"&amp;""))</f>
        <v>1</v>
      </c>
      <c r="K172" s="160">
        <f>IF(C172="","",COUNTIFS(Başvuru!$C:$C,C172,Başvuru!$L:$L,"DÜZELTME",Başvuru!$A:$A,"&lt;&gt;"&amp;"",Başvuru!$F:$F,"&lt;&gt;"&amp;""))</f>
        <v>0</v>
      </c>
      <c r="L172" s="161">
        <f>IF(C172="","",COUNTIFS(Başvuru!$C:$C,C172,Başvuru!$L:$L,"KAEK",Başvuru!$A:$A,"&lt;&gt;"&amp;"",Başvuru!$F:$F,"&lt;&gt;"&amp;""))</f>
        <v>0</v>
      </c>
      <c r="M172" s="162">
        <f>IF(C172="","",COUNTIFS(Başvuru!$C:$C,C172,Başvuru!$L:$L,"GÖRÜŞ",Başvuru!$A:$A,"&lt;&gt;"&amp;"",Başvuru!$F:$F,"&lt;&gt;"&amp;""))</f>
        <v>0</v>
      </c>
      <c r="N172" s="163">
        <f>IF(C172="","",COUNTIFS(Başvuru!$C:$C,C172,Başvuru!$L:$L,"RET",Başvuru!$A:$A,"&lt;&gt;"&amp;"",Başvuru!$F:$F,"&lt;&gt;"&amp;""))</f>
        <v>0</v>
      </c>
      <c r="O172" s="164">
        <f>IF(C172="","",COUNTIFS(Başvuru!$C:$C,C172,Başvuru!$L:$L,"KAPSAM DIŞI",Başvuru!$A:$A,"&lt;&gt;"&amp;"",Başvuru!$F:$F,"&lt;&gt;"&amp;""))</f>
        <v>0</v>
      </c>
      <c r="P172" s="165">
        <f>IF(C172="","",COUNTIFS(Başvuru!$C:$C,C172,Başvuru!$L:$L,"GERİ ÇEKİLDİ",Başvuru!$A:$A,"&lt;&gt;"&amp;"",Başvuru!$F:$F,"&lt;&gt;"&amp;""))</f>
        <v>0</v>
      </c>
      <c r="Q172" s="166" t="s">
        <v>1513</v>
      </c>
      <c r="R172" s="167">
        <f>COUNTIFS(Başvuru!$C:$C,Q172,Başvuru!$A:$A,"&lt;&gt;"&amp;"",Başvuru!$F:$F,"&lt;&gt;"&amp;"")</f>
        <v>1</v>
      </c>
      <c r="S172" s="167">
        <f>RANK(R172,$R$6:$R$324,0)+COUNTIF($R$6:R172,R172)-1</f>
        <v>226</v>
      </c>
    </row>
    <row r="173" spans="2:19" ht="15" customHeight="1" x14ac:dyDescent="0.25">
      <c r="B173" s="168">
        <v>168</v>
      </c>
      <c r="C173" s="169" t="str">
        <f>IFERROR(INDEX($Q$6:$Q$324,MATCH(168,$S$6:$S$324,0)),"")</f>
        <v>Doç. Dr. Neslihan AKDOĞAN</v>
      </c>
      <c r="D173" s="170">
        <f>IF(C173="","",COUNTIFS(Başvuru!$C:$C,C173,Başvuru!$A:$A,"&lt;&gt;"&amp;"",Başvuru!$F:$F,"&lt;&gt;"&amp;""))</f>
        <v>1</v>
      </c>
      <c r="E173" s="168" t="str">
        <f>IF(C173="","-",IF(D173&gt;0,TEXT(D173/(COUNTIFS(Başvuru!$A:$A,"&lt;&gt;",Başvuru!$F:$F,"&lt;&gt;")-1)*100,"0.0")&amp;"%","-"))</f>
        <v>00%</v>
      </c>
      <c r="F173" s="171">
        <f>IF(C173="","",COUNTIFS(Başvuru!$C:$C,C173,Başvuru!$G:$G,"Bireysel Araştırma",Başvuru!$A:$A,"&lt;&gt;"&amp;"",Başvuru!$F:$F,"&lt;&gt;"&amp;""))</f>
        <v>0</v>
      </c>
      <c r="G173" s="171">
        <f>IF(C173="","",COUNTIFS(Başvuru!$C:$C,C173,Başvuru!$G:$G,"Uzmanlık Tezi",Başvuru!$A:$A,"&lt;&gt;"&amp;"",Başvuru!$F:$F,"&lt;&gt;"&amp;""))</f>
        <v>1</v>
      </c>
      <c r="H173" s="171">
        <f>IF(C173="","",COUNTIFS(Başvuru!$C:$C,C173,Başvuru!$G:$G,"Doktora Tezi",Başvuru!$A:$A,"&lt;&gt;"&amp;"",Başvuru!$F:$F,"&lt;&gt;"&amp;""))</f>
        <v>0</v>
      </c>
      <c r="I173" s="171">
        <f>IF(C173="","",COUNTIFS(Başvuru!$C:$C,C173,Başvuru!$G:$G,"Yüksek Lisans Tezi",Başvuru!$A:$A,"&lt;&gt;"&amp;"",Başvuru!$F:$F,"&lt;&gt;"&amp;""))</f>
        <v>0</v>
      </c>
      <c r="J173" s="172">
        <f>IF(C173="","",COUNTIFS(Başvuru!$C:$C,C173,Başvuru!$L:$L,"ONAY",Başvuru!$A:$A,"&lt;&gt;"&amp;"",Başvuru!$F:$F,"&lt;&gt;"&amp;""))</f>
        <v>1</v>
      </c>
      <c r="K173" s="173">
        <f>IF(C173="","",COUNTIFS(Başvuru!$C:$C,C173,Başvuru!$L:$L,"DÜZELTME",Başvuru!$A:$A,"&lt;&gt;"&amp;"",Başvuru!$F:$F,"&lt;&gt;"&amp;""))</f>
        <v>0</v>
      </c>
      <c r="L173" s="174">
        <f>IF(C173="","",COUNTIFS(Başvuru!$C:$C,C173,Başvuru!$L:$L,"KAEK",Başvuru!$A:$A,"&lt;&gt;"&amp;"",Başvuru!$F:$F,"&lt;&gt;"&amp;""))</f>
        <v>0</v>
      </c>
      <c r="M173" s="175">
        <f>IF(C173="","",COUNTIFS(Başvuru!$C:$C,C173,Başvuru!$L:$L,"GÖRÜŞ",Başvuru!$A:$A,"&lt;&gt;"&amp;"",Başvuru!$F:$F,"&lt;&gt;"&amp;""))</f>
        <v>0</v>
      </c>
      <c r="N173" s="176">
        <f>IF(C173="","",COUNTIFS(Başvuru!$C:$C,C173,Başvuru!$L:$L,"RET",Başvuru!$A:$A,"&lt;&gt;"&amp;"",Başvuru!$F:$F,"&lt;&gt;"&amp;""))</f>
        <v>0</v>
      </c>
      <c r="O173" s="177">
        <f>IF(C173="","",COUNTIFS(Başvuru!$C:$C,C173,Başvuru!$L:$L,"KAPSAM DIŞI",Başvuru!$A:$A,"&lt;&gt;"&amp;"",Başvuru!$F:$F,"&lt;&gt;"&amp;""))</f>
        <v>0</v>
      </c>
      <c r="P173" s="178">
        <f>IF(C173="","",COUNTIFS(Başvuru!$C:$C,C173,Başvuru!$L:$L,"GERİ ÇEKİLDİ",Başvuru!$A:$A,"&lt;&gt;"&amp;"",Başvuru!$F:$F,"&lt;&gt;"&amp;""))</f>
        <v>0</v>
      </c>
      <c r="Q173" s="166" t="s">
        <v>355</v>
      </c>
      <c r="R173" s="167">
        <f>COUNTIFS(Başvuru!$C:$C,Q173,Başvuru!$A:$A,"&lt;&gt;"&amp;"",Başvuru!$F:$F,"&lt;&gt;"&amp;"")</f>
        <v>3</v>
      </c>
      <c r="S173" s="167">
        <f>RANK(R173,$R$6:$R$324,0)+COUNTIF($R$6:R173,R173)-1</f>
        <v>57</v>
      </c>
    </row>
    <row r="174" spans="2:19" ht="15" customHeight="1" x14ac:dyDescent="0.25">
      <c r="B174" s="155">
        <v>169</v>
      </c>
      <c r="C174" s="156" t="str">
        <f>IFERROR(INDEX($Q$6:$Q$324,MATCH(169,$S$6:$S$324,0)),"")</f>
        <v>Doç. Dr. Nezih AKKAPULU</v>
      </c>
      <c r="D174" s="157">
        <f>IF(C174="","",COUNTIFS(Başvuru!$C:$C,C174,Başvuru!$A:$A,"&lt;&gt;"&amp;"",Başvuru!$F:$F,"&lt;&gt;"&amp;""))</f>
        <v>1</v>
      </c>
      <c r="E174" s="155" t="str">
        <f>IF(C174="","-",IF(D174&gt;0,TEXT(D174/(COUNTIFS(Başvuru!$A:$A,"&lt;&gt;",Başvuru!$F:$F,"&lt;&gt;")-1)*100,"0.0")&amp;"%","-"))</f>
        <v>00%</v>
      </c>
      <c r="F174" s="158">
        <f>IF(C174="","",COUNTIFS(Başvuru!$C:$C,C174,Başvuru!$G:$G,"Bireysel Araştırma",Başvuru!$A:$A,"&lt;&gt;"&amp;"",Başvuru!$F:$F,"&lt;&gt;"&amp;""))</f>
        <v>1</v>
      </c>
      <c r="G174" s="158">
        <f>IF(C174="","",COUNTIFS(Başvuru!$C:$C,C174,Başvuru!$G:$G,"Uzmanlık Tezi",Başvuru!$A:$A,"&lt;&gt;"&amp;"",Başvuru!$F:$F,"&lt;&gt;"&amp;""))</f>
        <v>0</v>
      </c>
      <c r="H174" s="158">
        <f>IF(C174="","",COUNTIFS(Başvuru!$C:$C,C174,Başvuru!$G:$G,"Doktora Tezi",Başvuru!$A:$A,"&lt;&gt;"&amp;"",Başvuru!$F:$F,"&lt;&gt;"&amp;""))</f>
        <v>0</v>
      </c>
      <c r="I174" s="158">
        <f>IF(C174="","",COUNTIFS(Başvuru!$C:$C,C174,Başvuru!$G:$G,"Yüksek Lisans Tezi",Başvuru!$A:$A,"&lt;&gt;"&amp;"",Başvuru!$F:$F,"&lt;&gt;"&amp;""))</f>
        <v>0</v>
      </c>
      <c r="J174" s="159">
        <f>IF(C174="","",COUNTIFS(Başvuru!$C:$C,C174,Başvuru!$L:$L,"ONAY",Başvuru!$A:$A,"&lt;&gt;"&amp;"",Başvuru!$F:$F,"&lt;&gt;"&amp;""))</f>
        <v>1</v>
      </c>
      <c r="K174" s="160">
        <f>IF(C174="","",COUNTIFS(Başvuru!$C:$C,C174,Başvuru!$L:$L,"DÜZELTME",Başvuru!$A:$A,"&lt;&gt;"&amp;"",Başvuru!$F:$F,"&lt;&gt;"&amp;""))</f>
        <v>0</v>
      </c>
      <c r="L174" s="161">
        <f>IF(C174="","",COUNTIFS(Başvuru!$C:$C,C174,Başvuru!$L:$L,"KAEK",Başvuru!$A:$A,"&lt;&gt;"&amp;"",Başvuru!$F:$F,"&lt;&gt;"&amp;""))</f>
        <v>0</v>
      </c>
      <c r="M174" s="162">
        <f>IF(C174="","",COUNTIFS(Başvuru!$C:$C,C174,Başvuru!$L:$L,"GÖRÜŞ",Başvuru!$A:$A,"&lt;&gt;"&amp;"",Başvuru!$F:$F,"&lt;&gt;"&amp;""))</f>
        <v>0</v>
      </c>
      <c r="N174" s="163">
        <f>IF(C174="","",COUNTIFS(Başvuru!$C:$C,C174,Başvuru!$L:$L,"RET",Başvuru!$A:$A,"&lt;&gt;"&amp;"",Başvuru!$F:$F,"&lt;&gt;"&amp;""))</f>
        <v>0</v>
      </c>
      <c r="O174" s="164">
        <f>IF(C174="","",COUNTIFS(Başvuru!$C:$C,C174,Başvuru!$L:$L,"KAPSAM DIŞI",Başvuru!$A:$A,"&lt;&gt;"&amp;"",Başvuru!$F:$F,"&lt;&gt;"&amp;""))</f>
        <v>0</v>
      </c>
      <c r="P174" s="165">
        <f>IF(C174="","",COUNTIFS(Başvuru!$C:$C,C174,Başvuru!$L:$L,"GERİ ÇEKİLDİ",Başvuru!$A:$A,"&lt;&gt;"&amp;"",Başvuru!$F:$F,"&lt;&gt;"&amp;""))</f>
        <v>0</v>
      </c>
      <c r="Q174" s="166" t="s">
        <v>770</v>
      </c>
      <c r="R174" s="167">
        <f>COUNTIFS(Başvuru!$C:$C,Q174,Başvuru!$A:$A,"&lt;&gt;"&amp;"",Başvuru!$F:$F,"&lt;&gt;"&amp;"")</f>
        <v>1</v>
      </c>
      <c r="S174" s="167">
        <f>RANK(R174,$R$6:$R$324,0)+COUNTIF($R$6:R174,R174)-1</f>
        <v>227</v>
      </c>
    </row>
    <row r="175" spans="2:19" ht="15" customHeight="1" x14ac:dyDescent="0.25">
      <c r="B175" s="168">
        <v>170</v>
      </c>
      <c r="C175" s="169" t="str">
        <f>IFERROR(INDEX($Q$6:$Q$324,MATCH(170,$S$6:$S$324,0)),"")</f>
        <v>Doç. Dr. Nursel AKKAYA</v>
      </c>
      <c r="D175" s="170">
        <f>IF(C175="","",COUNTIFS(Başvuru!$C:$C,C175,Başvuru!$A:$A,"&lt;&gt;"&amp;"",Başvuru!$F:$F,"&lt;&gt;"&amp;""))</f>
        <v>1</v>
      </c>
      <c r="E175" s="168" t="str">
        <f>IF(C175="","-",IF(D175&gt;0,TEXT(D175/(COUNTIFS(Başvuru!$A:$A,"&lt;&gt;",Başvuru!$F:$F,"&lt;&gt;")-1)*100,"0.0")&amp;"%","-"))</f>
        <v>00%</v>
      </c>
      <c r="F175" s="171">
        <f>IF(C175="","",COUNTIFS(Başvuru!$C:$C,C175,Başvuru!$G:$G,"Bireysel Araştırma",Başvuru!$A:$A,"&lt;&gt;"&amp;"",Başvuru!$F:$F,"&lt;&gt;"&amp;""))</f>
        <v>0</v>
      </c>
      <c r="G175" s="171">
        <f>IF(C175="","",COUNTIFS(Başvuru!$C:$C,C175,Başvuru!$G:$G,"Uzmanlık Tezi",Başvuru!$A:$A,"&lt;&gt;"&amp;"",Başvuru!$F:$F,"&lt;&gt;"&amp;""))</f>
        <v>1</v>
      </c>
      <c r="H175" s="171">
        <f>IF(C175="","",COUNTIFS(Başvuru!$C:$C,C175,Başvuru!$G:$G,"Doktora Tezi",Başvuru!$A:$A,"&lt;&gt;"&amp;"",Başvuru!$F:$F,"&lt;&gt;"&amp;""))</f>
        <v>0</v>
      </c>
      <c r="I175" s="171">
        <f>IF(C175="","",COUNTIFS(Başvuru!$C:$C,C175,Başvuru!$G:$G,"Yüksek Lisans Tezi",Başvuru!$A:$A,"&lt;&gt;"&amp;"",Başvuru!$F:$F,"&lt;&gt;"&amp;""))</f>
        <v>0</v>
      </c>
      <c r="J175" s="172">
        <f>IF(C175="","",COUNTIFS(Başvuru!$C:$C,C175,Başvuru!$L:$L,"ONAY",Başvuru!$A:$A,"&lt;&gt;"&amp;"",Başvuru!$F:$F,"&lt;&gt;"&amp;""))</f>
        <v>1</v>
      </c>
      <c r="K175" s="173">
        <f>IF(C175="","",COUNTIFS(Başvuru!$C:$C,C175,Başvuru!$L:$L,"DÜZELTME",Başvuru!$A:$A,"&lt;&gt;"&amp;"",Başvuru!$F:$F,"&lt;&gt;"&amp;""))</f>
        <v>0</v>
      </c>
      <c r="L175" s="174">
        <f>IF(C175="","",COUNTIFS(Başvuru!$C:$C,C175,Başvuru!$L:$L,"KAEK",Başvuru!$A:$A,"&lt;&gt;"&amp;"",Başvuru!$F:$F,"&lt;&gt;"&amp;""))</f>
        <v>0</v>
      </c>
      <c r="M175" s="175">
        <f>IF(C175="","",COUNTIFS(Başvuru!$C:$C,C175,Başvuru!$L:$L,"GÖRÜŞ",Başvuru!$A:$A,"&lt;&gt;"&amp;"",Başvuru!$F:$F,"&lt;&gt;"&amp;""))</f>
        <v>0</v>
      </c>
      <c r="N175" s="176">
        <f>IF(C175="","",COUNTIFS(Başvuru!$C:$C,C175,Başvuru!$L:$L,"RET",Başvuru!$A:$A,"&lt;&gt;"&amp;"",Başvuru!$F:$F,"&lt;&gt;"&amp;""))</f>
        <v>0</v>
      </c>
      <c r="O175" s="177">
        <f>IF(C175="","",COUNTIFS(Başvuru!$C:$C,C175,Başvuru!$L:$L,"KAPSAM DIŞI",Başvuru!$A:$A,"&lt;&gt;"&amp;"",Başvuru!$F:$F,"&lt;&gt;"&amp;""))</f>
        <v>0</v>
      </c>
      <c r="P175" s="178">
        <f>IF(C175="","",COUNTIFS(Başvuru!$C:$C,C175,Başvuru!$L:$L,"GERİ ÇEKİLDİ",Başvuru!$A:$A,"&lt;&gt;"&amp;"",Başvuru!$F:$F,"&lt;&gt;"&amp;""))</f>
        <v>0</v>
      </c>
      <c r="Q175" s="166" t="s">
        <v>1822</v>
      </c>
      <c r="R175" s="167">
        <f>COUNTIFS(Başvuru!$C:$C,Q175,Başvuru!$A:$A,"&lt;&gt;"&amp;"",Başvuru!$F:$F,"&lt;&gt;"&amp;"")</f>
        <v>1</v>
      </c>
      <c r="S175" s="167">
        <f>RANK(R175,$R$6:$R$324,0)+COUNTIF($R$6:R175,R175)-1</f>
        <v>228</v>
      </c>
    </row>
    <row r="176" spans="2:19" ht="15" customHeight="1" x14ac:dyDescent="0.25">
      <c r="B176" s="155">
        <v>171</v>
      </c>
      <c r="C176" s="156" t="str">
        <f>IFERROR(INDEX($Q$6:$Q$324,MATCH(171,$S$6:$S$324,0)),"")</f>
        <v>Doç. Dr. Rahşan GÖÇMEN</v>
      </c>
      <c r="D176" s="157">
        <f>IF(C176="","",COUNTIFS(Başvuru!$C:$C,C176,Başvuru!$A:$A,"&lt;&gt;"&amp;"",Başvuru!$F:$F,"&lt;&gt;"&amp;""))</f>
        <v>1</v>
      </c>
      <c r="E176" s="155" t="str">
        <f>IF(C176="","-",IF(D176&gt;0,TEXT(D176/(COUNTIFS(Başvuru!$A:$A,"&lt;&gt;",Başvuru!$F:$F,"&lt;&gt;")-1)*100,"0.0")&amp;"%","-"))</f>
        <v>00%</v>
      </c>
      <c r="F176" s="158">
        <f>IF(C176="","",COUNTIFS(Başvuru!$C:$C,C176,Başvuru!$G:$G,"Bireysel Araştırma",Başvuru!$A:$A,"&lt;&gt;"&amp;"",Başvuru!$F:$F,"&lt;&gt;"&amp;""))</f>
        <v>1</v>
      </c>
      <c r="G176" s="158">
        <f>IF(C176="","",COUNTIFS(Başvuru!$C:$C,C176,Başvuru!$G:$G,"Uzmanlık Tezi",Başvuru!$A:$A,"&lt;&gt;"&amp;"",Başvuru!$F:$F,"&lt;&gt;"&amp;""))</f>
        <v>0</v>
      </c>
      <c r="H176" s="158">
        <f>IF(C176="","",COUNTIFS(Başvuru!$C:$C,C176,Başvuru!$G:$G,"Doktora Tezi",Başvuru!$A:$A,"&lt;&gt;"&amp;"",Başvuru!$F:$F,"&lt;&gt;"&amp;""))</f>
        <v>0</v>
      </c>
      <c r="I176" s="158">
        <f>IF(C176="","",COUNTIFS(Başvuru!$C:$C,C176,Başvuru!$G:$G,"Yüksek Lisans Tezi",Başvuru!$A:$A,"&lt;&gt;"&amp;"",Başvuru!$F:$F,"&lt;&gt;"&amp;""))</f>
        <v>0</v>
      </c>
      <c r="J176" s="159">
        <f>IF(C176="","",COUNTIFS(Başvuru!$C:$C,C176,Başvuru!$L:$L,"ONAY",Başvuru!$A:$A,"&lt;&gt;"&amp;"",Başvuru!$F:$F,"&lt;&gt;"&amp;""))</f>
        <v>1</v>
      </c>
      <c r="K176" s="160">
        <f>IF(C176="","",COUNTIFS(Başvuru!$C:$C,C176,Başvuru!$L:$L,"DÜZELTME",Başvuru!$A:$A,"&lt;&gt;"&amp;"",Başvuru!$F:$F,"&lt;&gt;"&amp;""))</f>
        <v>0</v>
      </c>
      <c r="L176" s="161">
        <f>IF(C176="","",COUNTIFS(Başvuru!$C:$C,C176,Başvuru!$L:$L,"KAEK",Başvuru!$A:$A,"&lt;&gt;"&amp;"",Başvuru!$F:$F,"&lt;&gt;"&amp;""))</f>
        <v>0</v>
      </c>
      <c r="M176" s="162">
        <f>IF(C176="","",COUNTIFS(Başvuru!$C:$C,C176,Başvuru!$L:$L,"GÖRÜŞ",Başvuru!$A:$A,"&lt;&gt;"&amp;"",Başvuru!$F:$F,"&lt;&gt;"&amp;""))</f>
        <v>0</v>
      </c>
      <c r="N176" s="163">
        <f>IF(C176="","",COUNTIFS(Başvuru!$C:$C,C176,Başvuru!$L:$L,"RET",Başvuru!$A:$A,"&lt;&gt;"&amp;"",Başvuru!$F:$F,"&lt;&gt;"&amp;""))</f>
        <v>0</v>
      </c>
      <c r="O176" s="164">
        <f>IF(C176="","",COUNTIFS(Başvuru!$C:$C,C176,Başvuru!$L:$L,"KAPSAM DIŞI",Başvuru!$A:$A,"&lt;&gt;"&amp;"",Başvuru!$F:$F,"&lt;&gt;"&amp;""))</f>
        <v>0</v>
      </c>
      <c r="P176" s="165">
        <f>IF(C176="","",COUNTIFS(Başvuru!$C:$C,C176,Başvuru!$L:$L,"GERİ ÇEKİLDİ",Başvuru!$A:$A,"&lt;&gt;"&amp;"",Başvuru!$F:$F,"&lt;&gt;"&amp;""))</f>
        <v>0</v>
      </c>
      <c r="Q176" s="166" t="s">
        <v>283</v>
      </c>
      <c r="R176" s="167">
        <f>COUNTIFS(Başvuru!$C:$C,Q176,Başvuru!$A:$A,"&lt;&gt;"&amp;"",Başvuru!$F:$F,"&lt;&gt;"&amp;"")</f>
        <v>3</v>
      </c>
      <c r="S176" s="167">
        <f>RANK(R176,$R$6:$R$324,0)+COUNTIF($R$6:R176,R176)-1</f>
        <v>58</v>
      </c>
    </row>
    <row r="177" spans="2:19" ht="15" customHeight="1" x14ac:dyDescent="0.25">
      <c r="B177" s="168">
        <v>172</v>
      </c>
      <c r="C177" s="169" t="str">
        <f>IFERROR(INDEX($Q$6:$Q$324,MATCH(172,$S$6:$S$324,0)),"")</f>
        <v>Doç. Dr. Seda Hanife OĞUZ BAYKAL</v>
      </c>
      <c r="D177" s="170">
        <f>IF(C177="","",COUNTIFS(Başvuru!$C:$C,C177,Başvuru!$A:$A,"&lt;&gt;"&amp;"",Başvuru!$F:$F,"&lt;&gt;"&amp;""))</f>
        <v>1</v>
      </c>
      <c r="E177" s="168" t="str">
        <f>IF(C177="","-",IF(D177&gt;0,TEXT(D177/(COUNTIFS(Başvuru!$A:$A,"&lt;&gt;",Başvuru!$F:$F,"&lt;&gt;")-1)*100,"0.0")&amp;"%","-"))</f>
        <v>00%</v>
      </c>
      <c r="F177" s="171">
        <f>IF(C177="","",COUNTIFS(Başvuru!$C:$C,C177,Başvuru!$G:$G,"Bireysel Araştırma",Başvuru!$A:$A,"&lt;&gt;"&amp;"",Başvuru!$F:$F,"&lt;&gt;"&amp;""))</f>
        <v>1</v>
      </c>
      <c r="G177" s="171">
        <f>IF(C177="","",COUNTIFS(Başvuru!$C:$C,C177,Başvuru!$G:$G,"Uzmanlık Tezi",Başvuru!$A:$A,"&lt;&gt;"&amp;"",Başvuru!$F:$F,"&lt;&gt;"&amp;""))</f>
        <v>0</v>
      </c>
      <c r="H177" s="171">
        <f>IF(C177="","",COUNTIFS(Başvuru!$C:$C,C177,Başvuru!$G:$G,"Doktora Tezi",Başvuru!$A:$A,"&lt;&gt;"&amp;"",Başvuru!$F:$F,"&lt;&gt;"&amp;""))</f>
        <v>0</v>
      </c>
      <c r="I177" s="171">
        <f>IF(C177="","",COUNTIFS(Başvuru!$C:$C,C177,Başvuru!$G:$G,"Yüksek Lisans Tezi",Başvuru!$A:$A,"&lt;&gt;"&amp;"",Başvuru!$F:$F,"&lt;&gt;"&amp;""))</f>
        <v>0</v>
      </c>
      <c r="J177" s="172">
        <f>IF(C177="","",COUNTIFS(Başvuru!$C:$C,C177,Başvuru!$L:$L,"ONAY",Başvuru!$A:$A,"&lt;&gt;"&amp;"",Başvuru!$F:$F,"&lt;&gt;"&amp;""))</f>
        <v>1</v>
      </c>
      <c r="K177" s="173">
        <f>IF(C177="","",COUNTIFS(Başvuru!$C:$C,C177,Başvuru!$L:$L,"DÜZELTME",Başvuru!$A:$A,"&lt;&gt;"&amp;"",Başvuru!$F:$F,"&lt;&gt;"&amp;""))</f>
        <v>0</v>
      </c>
      <c r="L177" s="174">
        <f>IF(C177="","",COUNTIFS(Başvuru!$C:$C,C177,Başvuru!$L:$L,"KAEK",Başvuru!$A:$A,"&lt;&gt;"&amp;"",Başvuru!$F:$F,"&lt;&gt;"&amp;""))</f>
        <v>0</v>
      </c>
      <c r="M177" s="175">
        <f>IF(C177="","",COUNTIFS(Başvuru!$C:$C,C177,Başvuru!$L:$L,"GÖRÜŞ",Başvuru!$A:$A,"&lt;&gt;"&amp;"",Başvuru!$F:$F,"&lt;&gt;"&amp;""))</f>
        <v>0</v>
      </c>
      <c r="N177" s="176">
        <f>IF(C177="","",COUNTIFS(Başvuru!$C:$C,C177,Başvuru!$L:$L,"RET",Başvuru!$A:$A,"&lt;&gt;"&amp;"",Başvuru!$F:$F,"&lt;&gt;"&amp;""))</f>
        <v>0</v>
      </c>
      <c r="O177" s="177">
        <f>IF(C177="","",COUNTIFS(Başvuru!$C:$C,C177,Başvuru!$L:$L,"KAPSAM DIŞI",Başvuru!$A:$A,"&lt;&gt;"&amp;"",Başvuru!$F:$F,"&lt;&gt;"&amp;""))</f>
        <v>0</v>
      </c>
      <c r="P177" s="178">
        <f>IF(C177="","",COUNTIFS(Başvuru!$C:$C,C177,Başvuru!$L:$L,"GERİ ÇEKİLDİ",Başvuru!$A:$A,"&lt;&gt;"&amp;"",Başvuru!$F:$F,"&lt;&gt;"&amp;""))</f>
        <v>0</v>
      </c>
      <c r="Q177" s="166" t="s">
        <v>973</v>
      </c>
      <c r="R177" s="167">
        <f>COUNTIFS(Başvuru!$C:$C,Q177,Başvuru!$A:$A,"&lt;&gt;"&amp;"",Başvuru!$F:$F,"&lt;&gt;"&amp;"")</f>
        <v>1</v>
      </c>
      <c r="S177" s="167">
        <f>RANK(R177,$R$6:$R$324,0)+COUNTIF($R$6:R177,R177)-1</f>
        <v>229</v>
      </c>
    </row>
    <row r="178" spans="2:19" ht="15" customHeight="1" x14ac:dyDescent="0.25">
      <c r="B178" s="155">
        <v>173</v>
      </c>
      <c r="C178" s="156" t="str">
        <f>IFERROR(INDEX($Q$6:$Q$324,MATCH(173,$S$6:$S$324,0)),"")</f>
        <v>Doç. Dr. Serra ÖRSTEN</v>
      </c>
      <c r="D178" s="157">
        <f>IF(C178="","",COUNTIFS(Başvuru!$C:$C,C178,Başvuru!$A:$A,"&lt;&gt;"&amp;"",Başvuru!$F:$F,"&lt;&gt;"&amp;""))</f>
        <v>1</v>
      </c>
      <c r="E178" s="155" t="str">
        <f>IF(C178="","-",IF(D178&gt;0,TEXT(D178/(COUNTIFS(Başvuru!$A:$A,"&lt;&gt;",Başvuru!$F:$F,"&lt;&gt;")-1)*100,"0.0")&amp;"%","-"))</f>
        <v>00%</v>
      </c>
      <c r="F178" s="158">
        <f>IF(C178="","",COUNTIFS(Başvuru!$C:$C,C178,Başvuru!$G:$G,"Bireysel Araştırma",Başvuru!$A:$A,"&lt;&gt;"&amp;"",Başvuru!$F:$F,"&lt;&gt;"&amp;""))</f>
        <v>1</v>
      </c>
      <c r="G178" s="158">
        <f>IF(C178="","",COUNTIFS(Başvuru!$C:$C,C178,Başvuru!$G:$G,"Uzmanlık Tezi",Başvuru!$A:$A,"&lt;&gt;"&amp;"",Başvuru!$F:$F,"&lt;&gt;"&amp;""))</f>
        <v>0</v>
      </c>
      <c r="H178" s="158">
        <f>IF(C178="","",COUNTIFS(Başvuru!$C:$C,C178,Başvuru!$G:$G,"Doktora Tezi",Başvuru!$A:$A,"&lt;&gt;"&amp;"",Başvuru!$F:$F,"&lt;&gt;"&amp;""))</f>
        <v>0</v>
      </c>
      <c r="I178" s="158">
        <f>IF(C178="","",COUNTIFS(Başvuru!$C:$C,C178,Başvuru!$G:$G,"Yüksek Lisans Tezi",Başvuru!$A:$A,"&lt;&gt;"&amp;"",Başvuru!$F:$F,"&lt;&gt;"&amp;""))</f>
        <v>0</v>
      </c>
      <c r="J178" s="159">
        <f>IF(C178="","",COUNTIFS(Başvuru!$C:$C,C178,Başvuru!$L:$L,"ONAY",Başvuru!$A:$A,"&lt;&gt;"&amp;"",Başvuru!$F:$F,"&lt;&gt;"&amp;""))</f>
        <v>0</v>
      </c>
      <c r="K178" s="160">
        <f>IF(C178="","",COUNTIFS(Başvuru!$C:$C,C178,Başvuru!$L:$L,"DÜZELTME",Başvuru!$A:$A,"&lt;&gt;"&amp;"",Başvuru!$F:$F,"&lt;&gt;"&amp;""))</f>
        <v>1</v>
      </c>
      <c r="L178" s="161">
        <f>IF(C178="","",COUNTIFS(Başvuru!$C:$C,C178,Başvuru!$L:$L,"KAEK",Başvuru!$A:$A,"&lt;&gt;"&amp;"",Başvuru!$F:$F,"&lt;&gt;"&amp;""))</f>
        <v>0</v>
      </c>
      <c r="M178" s="162">
        <f>IF(C178="","",COUNTIFS(Başvuru!$C:$C,C178,Başvuru!$L:$L,"GÖRÜŞ",Başvuru!$A:$A,"&lt;&gt;"&amp;"",Başvuru!$F:$F,"&lt;&gt;"&amp;""))</f>
        <v>0</v>
      </c>
      <c r="N178" s="163">
        <f>IF(C178="","",COUNTIFS(Başvuru!$C:$C,C178,Başvuru!$L:$L,"RET",Başvuru!$A:$A,"&lt;&gt;"&amp;"",Başvuru!$F:$F,"&lt;&gt;"&amp;""))</f>
        <v>0</v>
      </c>
      <c r="O178" s="164">
        <f>IF(C178="","",COUNTIFS(Başvuru!$C:$C,C178,Başvuru!$L:$L,"KAPSAM DIŞI",Başvuru!$A:$A,"&lt;&gt;"&amp;"",Başvuru!$F:$F,"&lt;&gt;"&amp;""))</f>
        <v>0</v>
      </c>
      <c r="P178" s="165">
        <f>IF(C178="","",COUNTIFS(Başvuru!$C:$C,C178,Başvuru!$L:$L,"GERİ ÇEKİLDİ",Başvuru!$A:$A,"&lt;&gt;"&amp;"",Başvuru!$F:$F,"&lt;&gt;"&amp;""))</f>
        <v>0</v>
      </c>
      <c r="Q178" s="166" t="s">
        <v>2070</v>
      </c>
      <c r="R178" s="167">
        <f>COUNTIFS(Başvuru!$C:$C,Q178,Başvuru!$A:$A,"&lt;&gt;"&amp;"",Başvuru!$F:$F,"&lt;&gt;"&amp;"")</f>
        <v>1</v>
      </c>
      <c r="S178" s="167">
        <f>RANK(R178,$R$6:$R$324,0)+COUNTIF($R$6:R178,R178)-1</f>
        <v>230</v>
      </c>
    </row>
    <row r="179" spans="2:19" ht="15" customHeight="1" x14ac:dyDescent="0.25">
      <c r="B179" s="168">
        <v>174</v>
      </c>
      <c r="C179" s="169" t="str">
        <f>IFERROR(INDEX($Q$6:$Q$324,MATCH(174,$S$6:$S$324,0)),"")</f>
        <v>Doç. Dr. Sevtap ARSLAN SARIKAYA</v>
      </c>
      <c r="D179" s="170">
        <f>IF(C179="","",COUNTIFS(Başvuru!$C:$C,C179,Başvuru!$A:$A,"&lt;&gt;"&amp;"",Başvuru!$F:$F,"&lt;&gt;"&amp;""))</f>
        <v>1</v>
      </c>
      <c r="E179" s="168" t="str">
        <f>IF(C179="","-",IF(D179&gt;0,TEXT(D179/(COUNTIFS(Başvuru!$A:$A,"&lt;&gt;",Başvuru!$F:$F,"&lt;&gt;")-1)*100,"0.0")&amp;"%","-"))</f>
        <v>00%</v>
      </c>
      <c r="F179" s="171">
        <f>IF(C179="","",COUNTIFS(Başvuru!$C:$C,C179,Başvuru!$G:$G,"Bireysel Araştırma",Başvuru!$A:$A,"&lt;&gt;"&amp;"",Başvuru!$F:$F,"&lt;&gt;"&amp;""))</f>
        <v>0</v>
      </c>
      <c r="G179" s="171">
        <f>IF(C179="","",COUNTIFS(Başvuru!$C:$C,C179,Başvuru!$G:$G,"Uzmanlık Tezi",Başvuru!$A:$A,"&lt;&gt;"&amp;"",Başvuru!$F:$F,"&lt;&gt;"&amp;""))</f>
        <v>1</v>
      </c>
      <c r="H179" s="171">
        <f>IF(C179="","",COUNTIFS(Başvuru!$C:$C,C179,Başvuru!$G:$G,"Doktora Tezi",Başvuru!$A:$A,"&lt;&gt;"&amp;"",Başvuru!$F:$F,"&lt;&gt;"&amp;""))</f>
        <v>0</v>
      </c>
      <c r="I179" s="171">
        <f>IF(C179="","",COUNTIFS(Başvuru!$C:$C,C179,Başvuru!$G:$G,"Yüksek Lisans Tezi",Başvuru!$A:$A,"&lt;&gt;"&amp;"",Başvuru!$F:$F,"&lt;&gt;"&amp;""))</f>
        <v>0</v>
      </c>
      <c r="J179" s="172">
        <f>IF(C179="","",COUNTIFS(Başvuru!$C:$C,C179,Başvuru!$L:$L,"ONAY",Başvuru!$A:$A,"&lt;&gt;"&amp;"",Başvuru!$F:$F,"&lt;&gt;"&amp;""))</f>
        <v>1</v>
      </c>
      <c r="K179" s="173">
        <f>IF(C179="","",COUNTIFS(Başvuru!$C:$C,C179,Başvuru!$L:$L,"DÜZELTME",Başvuru!$A:$A,"&lt;&gt;"&amp;"",Başvuru!$F:$F,"&lt;&gt;"&amp;""))</f>
        <v>0</v>
      </c>
      <c r="L179" s="174">
        <f>IF(C179="","",COUNTIFS(Başvuru!$C:$C,C179,Başvuru!$L:$L,"KAEK",Başvuru!$A:$A,"&lt;&gt;"&amp;"",Başvuru!$F:$F,"&lt;&gt;"&amp;""))</f>
        <v>0</v>
      </c>
      <c r="M179" s="175">
        <f>IF(C179="","",COUNTIFS(Başvuru!$C:$C,C179,Başvuru!$L:$L,"GÖRÜŞ",Başvuru!$A:$A,"&lt;&gt;"&amp;"",Başvuru!$F:$F,"&lt;&gt;"&amp;""))</f>
        <v>0</v>
      </c>
      <c r="N179" s="176">
        <f>IF(C179="","",COUNTIFS(Başvuru!$C:$C,C179,Başvuru!$L:$L,"RET",Başvuru!$A:$A,"&lt;&gt;"&amp;"",Başvuru!$F:$F,"&lt;&gt;"&amp;""))</f>
        <v>0</v>
      </c>
      <c r="O179" s="177">
        <f>IF(C179="","",COUNTIFS(Başvuru!$C:$C,C179,Başvuru!$L:$L,"KAPSAM DIŞI",Başvuru!$A:$A,"&lt;&gt;"&amp;"",Başvuru!$F:$F,"&lt;&gt;"&amp;""))</f>
        <v>0</v>
      </c>
      <c r="P179" s="178">
        <f>IF(C179="","",COUNTIFS(Başvuru!$C:$C,C179,Başvuru!$L:$L,"GERİ ÇEKİLDİ",Başvuru!$A:$A,"&lt;&gt;"&amp;"",Başvuru!$F:$F,"&lt;&gt;"&amp;""))</f>
        <v>0</v>
      </c>
      <c r="Q179" s="166" t="s">
        <v>1508</v>
      </c>
      <c r="R179" s="167">
        <f>COUNTIFS(Başvuru!$C:$C,Q179,Başvuru!$A:$A,"&lt;&gt;"&amp;"",Başvuru!$F:$F,"&lt;&gt;"&amp;"")</f>
        <v>1</v>
      </c>
      <c r="S179" s="167">
        <f>RANK(R179,$R$6:$R$324,0)+COUNTIF($R$6:R179,R179)-1</f>
        <v>231</v>
      </c>
    </row>
    <row r="180" spans="2:19" ht="15" customHeight="1" x14ac:dyDescent="0.25">
      <c r="B180" s="155">
        <v>175</v>
      </c>
      <c r="C180" s="156" t="str">
        <f>IFERROR(INDEX($Q$6:$Q$324,MATCH(175,$S$6:$S$324,0)),"")</f>
        <v>Doç. Dr. Songül ÇINAROĞLU</v>
      </c>
      <c r="D180" s="157">
        <f>IF(C180="","",COUNTIFS(Başvuru!$C:$C,C180,Başvuru!$A:$A,"&lt;&gt;"&amp;"",Başvuru!$F:$F,"&lt;&gt;"&amp;""))</f>
        <v>1</v>
      </c>
      <c r="E180" s="155" t="str">
        <f>IF(C180="","-",IF(D180&gt;0,TEXT(D180/(COUNTIFS(Başvuru!$A:$A,"&lt;&gt;",Başvuru!$F:$F,"&lt;&gt;")-1)*100,"0.0")&amp;"%","-"))</f>
        <v>00%</v>
      </c>
      <c r="F180" s="158">
        <f>IF(C180="","",COUNTIFS(Başvuru!$C:$C,C180,Başvuru!$G:$G,"Bireysel Araştırma",Başvuru!$A:$A,"&lt;&gt;"&amp;"",Başvuru!$F:$F,"&lt;&gt;"&amp;""))</f>
        <v>0</v>
      </c>
      <c r="G180" s="158">
        <f>IF(C180="","",COUNTIFS(Başvuru!$C:$C,C180,Başvuru!$G:$G,"Uzmanlık Tezi",Başvuru!$A:$A,"&lt;&gt;"&amp;"",Başvuru!$F:$F,"&lt;&gt;"&amp;""))</f>
        <v>0</v>
      </c>
      <c r="H180" s="158">
        <f>IF(C180="","",COUNTIFS(Başvuru!$C:$C,C180,Başvuru!$G:$G,"Doktora Tezi",Başvuru!$A:$A,"&lt;&gt;"&amp;"",Başvuru!$F:$F,"&lt;&gt;"&amp;""))</f>
        <v>1</v>
      </c>
      <c r="I180" s="158">
        <f>IF(C180="","",COUNTIFS(Başvuru!$C:$C,C180,Başvuru!$G:$G,"Yüksek Lisans Tezi",Başvuru!$A:$A,"&lt;&gt;"&amp;"",Başvuru!$F:$F,"&lt;&gt;"&amp;""))</f>
        <v>0</v>
      </c>
      <c r="J180" s="159">
        <f>IF(C180="","",COUNTIFS(Başvuru!$C:$C,C180,Başvuru!$L:$L,"ONAY",Başvuru!$A:$A,"&lt;&gt;"&amp;"",Başvuru!$F:$F,"&lt;&gt;"&amp;""))</f>
        <v>1</v>
      </c>
      <c r="K180" s="160">
        <f>IF(C180="","",COUNTIFS(Başvuru!$C:$C,C180,Başvuru!$L:$L,"DÜZELTME",Başvuru!$A:$A,"&lt;&gt;"&amp;"",Başvuru!$F:$F,"&lt;&gt;"&amp;""))</f>
        <v>0</v>
      </c>
      <c r="L180" s="161">
        <f>IF(C180="","",COUNTIFS(Başvuru!$C:$C,C180,Başvuru!$L:$L,"KAEK",Başvuru!$A:$A,"&lt;&gt;"&amp;"",Başvuru!$F:$F,"&lt;&gt;"&amp;""))</f>
        <v>0</v>
      </c>
      <c r="M180" s="162">
        <f>IF(C180="","",COUNTIFS(Başvuru!$C:$C,C180,Başvuru!$L:$L,"GÖRÜŞ",Başvuru!$A:$A,"&lt;&gt;"&amp;"",Başvuru!$F:$F,"&lt;&gt;"&amp;""))</f>
        <v>0</v>
      </c>
      <c r="N180" s="163">
        <f>IF(C180="","",COUNTIFS(Başvuru!$C:$C,C180,Başvuru!$L:$L,"RET",Başvuru!$A:$A,"&lt;&gt;"&amp;"",Başvuru!$F:$F,"&lt;&gt;"&amp;""))</f>
        <v>0</v>
      </c>
      <c r="O180" s="164">
        <f>IF(C180="","",COUNTIFS(Başvuru!$C:$C,C180,Başvuru!$L:$L,"KAPSAM DIŞI",Başvuru!$A:$A,"&lt;&gt;"&amp;"",Başvuru!$F:$F,"&lt;&gt;"&amp;""))</f>
        <v>0</v>
      </c>
      <c r="P180" s="165">
        <f>IF(C180="","",COUNTIFS(Başvuru!$C:$C,C180,Başvuru!$L:$L,"GERİ ÇEKİLDİ",Başvuru!$A:$A,"&lt;&gt;"&amp;"",Başvuru!$F:$F,"&lt;&gt;"&amp;""))</f>
        <v>0</v>
      </c>
      <c r="Q180" s="166" t="s">
        <v>228</v>
      </c>
      <c r="R180" s="167">
        <f>COUNTIFS(Başvuru!$C:$C,Q180,Başvuru!$A:$A,"&lt;&gt;"&amp;"",Başvuru!$F:$F,"&lt;&gt;"&amp;"")</f>
        <v>1</v>
      </c>
      <c r="S180" s="167">
        <f>RANK(R180,$R$6:$R$324,0)+COUNTIF($R$6:R180,R180)-1</f>
        <v>232</v>
      </c>
    </row>
    <row r="181" spans="2:19" ht="15" customHeight="1" x14ac:dyDescent="0.25">
      <c r="B181" s="168">
        <v>176</v>
      </c>
      <c r="C181" s="169" t="str">
        <f>IFERROR(INDEX($Q$6:$Q$324,MATCH(176,$S$6:$S$324,0)),"")</f>
        <v>Doç. Dr. Tekin AKSU</v>
      </c>
      <c r="D181" s="170">
        <f>IF(C181="","",COUNTIFS(Başvuru!$C:$C,C181,Başvuru!$A:$A,"&lt;&gt;"&amp;"",Başvuru!$F:$F,"&lt;&gt;"&amp;""))</f>
        <v>1</v>
      </c>
      <c r="E181" s="168" t="str">
        <f>IF(C181="","-",IF(D181&gt;0,TEXT(D181/(COUNTIFS(Başvuru!$A:$A,"&lt;&gt;",Başvuru!$F:$F,"&lt;&gt;")-1)*100,"0.0")&amp;"%","-"))</f>
        <v>00%</v>
      </c>
      <c r="F181" s="171">
        <f>IF(C181="","",COUNTIFS(Başvuru!$C:$C,C181,Başvuru!$G:$G,"Bireysel Araştırma",Başvuru!$A:$A,"&lt;&gt;"&amp;"",Başvuru!$F:$F,"&lt;&gt;"&amp;""))</f>
        <v>1</v>
      </c>
      <c r="G181" s="171">
        <f>IF(C181="","",COUNTIFS(Başvuru!$C:$C,C181,Başvuru!$G:$G,"Uzmanlık Tezi",Başvuru!$A:$A,"&lt;&gt;"&amp;"",Başvuru!$F:$F,"&lt;&gt;"&amp;""))</f>
        <v>0</v>
      </c>
      <c r="H181" s="171">
        <f>IF(C181="","",COUNTIFS(Başvuru!$C:$C,C181,Başvuru!$G:$G,"Doktora Tezi",Başvuru!$A:$A,"&lt;&gt;"&amp;"",Başvuru!$F:$F,"&lt;&gt;"&amp;""))</f>
        <v>0</v>
      </c>
      <c r="I181" s="171">
        <f>IF(C181="","",COUNTIFS(Başvuru!$C:$C,C181,Başvuru!$G:$G,"Yüksek Lisans Tezi",Başvuru!$A:$A,"&lt;&gt;"&amp;"",Başvuru!$F:$F,"&lt;&gt;"&amp;""))</f>
        <v>0</v>
      </c>
      <c r="J181" s="172">
        <f>IF(C181="","",COUNTIFS(Başvuru!$C:$C,C181,Başvuru!$L:$L,"ONAY",Başvuru!$A:$A,"&lt;&gt;"&amp;"",Başvuru!$F:$F,"&lt;&gt;"&amp;""))</f>
        <v>0</v>
      </c>
      <c r="K181" s="173">
        <f>IF(C181="","",COUNTIFS(Başvuru!$C:$C,C181,Başvuru!$L:$L,"DÜZELTME",Başvuru!$A:$A,"&lt;&gt;"&amp;"",Başvuru!$F:$F,"&lt;&gt;"&amp;""))</f>
        <v>1</v>
      </c>
      <c r="L181" s="174">
        <f>IF(C181="","",COUNTIFS(Başvuru!$C:$C,C181,Başvuru!$L:$L,"KAEK",Başvuru!$A:$A,"&lt;&gt;"&amp;"",Başvuru!$F:$F,"&lt;&gt;"&amp;""))</f>
        <v>0</v>
      </c>
      <c r="M181" s="175">
        <f>IF(C181="","",COUNTIFS(Başvuru!$C:$C,C181,Başvuru!$L:$L,"GÖRÜŞ",Başvuru!$A:$A,"&lt;&gt;"&amp;"",Başvuru!$F:$F,"&lt;&gt;"&amp;""))</f>
        <v>0</v>
      </c>
      <c r="N181" s="176">
        <f>IF(C181="","",COUNTIFS(Başvuru!$C:$C,C181,Başvuru!$L:$L,"RET",Başvuru!$A:$A,"&lt;&gt;"&amp;"",Başvuru!$F:$F,"&lt;&gt;"&amp;""))</f>
        <v>0</v>
      </c>
      <c r="O181" s="177">
        <f>IF(C181="","",COUNTIFS(Başvuru!$C:$C,C181,Başvuru!$L:$L,"KAPSAM DIŞI",Başvuru!$A:$A,"&lt;&gt;"&amp;"",Başvuru!$F:$F,"&lt;&gt;"&amp;""))</f>
        <v>0</v>
      </c>
      <c r="P181" s="178">
        <f>IF(C181="","",COUNTIFS(Başvuru!$C:$C,C181,Başvuru!$L:$L,"GERİ ÇEKİLDİ",Başvuru!$A:$A,"&lt;&gt;"&amp;"",Başvuru!$F:$F,"&lt;&gt;"&amp;""))</f>
        <v>0</v>
      </c>
      <c r="Q181" s="166" t="s">
        <v>1839</v>
      </c>
      <c r="R181" s="167">
        <f>COUNTIFS(Başvuru!$C:$C,Q181,Başvuru!$A:$A,"&lt;&gt;"&amp;"",Başvuru!$F:$F,"&lt;&gt;"&amp;"")</f>
        <v>1</v>
      </c>
      <c r="S181" s="167">
        <f>RANK(R181,$R$6:$R$324,0)+COUNTIF($R$6:R181,R181)-1</f>
        <v>233</v>
      </c>
    </row>
    <row r="182" spans="2:19" ht="15" customHeight="1" x14ac:dyDescent="0.25">
      <c r="B182" s="155">
        <v>177</v>
      </c>
      <c r="C182" s="156" t="str">
        <f>IFERROR(INDEX($Q$6:$Q$324,MATCH(177,$S$6:$S$324,0)),"")</f>
        <v>Doç. Dr. Ulaş KUMBASAR</v>
      </c>
      <c r="D182" s="157">
        <f>IF(C182="","",COUNTIFS(Başvuru!$C:$C,C182,Başvuru!$A:$A,"&lt;&gt;"&amp;"",Başvuru!$F:$F,"&lt;&gt;"&amp;""))</f>
        <v>1</v>
      </c>
      <c r="E182" s="155" t="str">
        <f>IF(C182="","-",IF(D182&gt;0,TEXT(D182/(COUNTIFS(Başvuru!$A:$A,"&lt;&gt;",Başvuru!$F:$F,"&lt;&gt;")-1)*100,"0.0")&amp;"%","-"))</f>
        <v>00%</v>
      </c>
      <c r="F182" s="158">
        <f>IF(C182="","",COUNTIFS(Başvuru!$C:$C,C182,Başvuru!$G:$G,"Bireysel Araştırma",Başvuru!$A:$A,"&lt;&gt;"&amp;"",Başvuru!$F:$F,"&lt;&gt;"&amp;""))</f>
        <v>1</v>
      </c>
      <c r="G182" s="158">
        <f>IF(C182="","",COUNTIFS(Başvuru!$C:$C,C182,Başvuru!$G:$G,"Uzmanlık Tezi",Başvuru!$A:$A,"&lt;&gt;"&amp;"",Başvuru!$F:$F,"&lt;&gt;"&amp;""))</f>
        <v>0</v>
      </c>
      <c r="H182" s="158">
        <f>IF(C182="","",COUNTIFS(Başvuru!$C:$C,C182,Başvuru!$G:$G,"Doktora Tezi",Başvuru!$A:$A,"&lt;&gt;"&amp;"",Başvuru!$F:$F,"&lt;&gt;"&amp;""))</f>
        <v>0</v>
      </c>
      <c r="I182" s="158">
        <f>IF(C182="","",COUNTIFS(Başvuru!$C:$C,C182,Başvuru!$G:$G,"Yüksek Lisans Tezi",Başvuru!$A:$A,"&lt;&gt;"&amp;"",Başvuru!$F:$F,"&lt;&gt;"&amp;""))</f>
        <v>0</v>
      </c>
      <c r="J182" s="159">
        <f>IF(C182="","",COUNTIFS(Başvuru!$C:$C,C182,Başvuru!$L:$L,"ONAY",Başvuru!$A:$A,"&lt;&gt;"&amp;"",Başvuru!$F:$F,"&lt;&gt;"&amp;""))</f>
        <v>1</v>
      </c>
      <c r="K182" s="160">
        <f>IF(C182="","",COUNTIFS(Başvuru!$C:$C,C182,Başvuru!$L:$L,"DÜZELTME",Başvuru!$A:$A,"&lt;&gt;"&amp;"",Başvuru!$F:$F,"&lt;&gt;"&amp;""))</f>
        <v>0</v>
      </c>
      <c r="L182" s="161">
        <f>IF(C182="","",COUNTIFS(Başvuru!$C:$C,C182,Başvuru!$L:$L,"KAEK",Başvuru!$A:$A,"&lt;&gt;"&amp;"",Başvuru!$F:$F,"&lt;&gt;"&amp;""))</f>
        <v>0</v>
      </c>
      <c r="M182" s="162">
        <f>IF(C182="","",COUNTIFS(Başvuru!$C:$C,C182,Başvuru!$L:$L,"GÖRÜŞ",Başvuru!$A:$A,"&lt;&gt;"&amp;"",Başvuru!$F:$F,"&lt;&gt;"&amp;""))</f>
        <v>0</v>
      </c>
      <c r="N182" s="163">
        <f>IF(C182="","",COUNTIFS(Başvuru!$C:$C,C182,Başvuru!$L:$L,"RET",Başvuru!$A:$A,"&lt;&gt;"&amp;"",Başvuru!$F:$F,"&lt;&gt;"&amp;""))</f>
        <v>0</v>
      </c>
      <c r="O182" s="164">
        <f>IF(C182="","",COUNTIFS(Başvuru!$C:$C,C182,Başvuru!$L:$L,"KAPSAM DIŞI",Başvuru!$A:$A,"&lt;&gt;"&amp;"",Başvuru!$F:$F,"&lt;&gt;"&amp;""))</f>
        <v>0</v>
      </c>
      <c r="P182" s="165">
        <f>IF(C182="","",COUNTIFS(Başvuru!$C:$C,C182,Başvuru!$L:$L,"GERİ ÇEKİLDİ",Başvuru!$A:$A,"&lt;&gt;"&amp;"",Başvuru!$F:$F,"&lt;&gt;"&amp;""))</f>
        <v>0</v>
      </c>
      <c r="Q182" s="166" t="s">
        <v>73</v>
      </c>
      <c r="R182" s="167">
        <f>COUNTIFS(Başvuru!$C:$C,Q182,Başvuru!$A:$A,"&lt;&gt;"&amp;"",Başvuru!$F:$F,"&lt;&gt;"&amp;"")</f>
        <v>1</v>
      </c>
      <c r="S182" s="167">
        <f>RANK(R182,$R$6:$R$324,0)+COUNTIF($R$6:R182,R182)-1</f>
        <v>234</v>
      </c>
    </row>
    <row r="183" spans="2:19" ht="15" customHeight="1" x14ac:dyDescent="0.25">
      <c r="B183" s="168">
        <v>178</v>
      </c>
      <c r="C183" s="169" t="str">
        <f>IFERROR(INDEX($Q$6:$Q$324,MATCH(178,$S$6:$S$324,0)),"")</f>
        <v>Doç. Dr. Zeynep TÜZÜN GÜN</v>
      </c>
      <c r="D183" s="170">
        <f>IF(C183="","",COUNTIFS(Başvuru!$C:$C,C183,Başvuru!$A:$A,"&lt;&gt;"&amp;"",Başvuru!$F:$F,"&lt;&gt;"&amp;""))</f>
        <v>1</v>
      </c>
      <c r="E183" s="168" t="str">
        <f>IF(C183="","-",IF(D183&gt;0,TEXT(D183/(COUNTIFS(Başvuru!$A:$A,"&lt;&gt;",Başvuru!$F:$F,"&lt;&gt;")-1)*100,"0.0")&amp;"%","-"))</f>
        <v>00%</v>
      </c>
      <c r="F183" s="171">
        <f>IF(C183="","",COUNTIFS(Başvuru!$C:$C,C183,Başvuru!$G:$G,"Bireysel Araştırma",Başvuru!$A:$A,"&lt;&gt;"&amp;"",Başvuru!$F:$F,"&lt;&gt;"&amp;""))</f>
        <v>1</v>
      </c>
      <c r="G183" s="171">
        <f>IF(C183="","",COUNTIFS(Başvuru!$C:$C,C183,Başvuru!$G:$G,"Uzmanlık Tezi",Başvuru!$A:$A,"&lt;&gt;"&amp;"",Başvuru!$F:$F,"&lt;&gt;"&amp;""))</f>
        <v>0</v>
      </c>
      <c r="H183" s="171">
        <f>IF(C183="","",COUNTIFS(Başvuru!$C:$C,C183,Başvuru!$G:$G,"Doktora Tezi",Başvuru!$A:$A,"&lt;&gt;"&amp;"",Başvuru!$F:$F,"&lt;&gt;"&amp;""))</f>
        <v>0</v>
      </c>
      <c r="I183" s="171">
        <f>IF(C183="","",COUNTIFS(Başvuru!$C:$C,C183,Başvuru!$G:$G,"Yüksek Lisans Tezi",Başvuru!$A:$A,"&lt;&gt;"&amp;"",Başvuru!$F:$F,"&lt;&gt;"&amp;""))</f>
        <v>0</v>
      </c>
      <c r="J183" s="172">
        <f>IF(C183="","",COUNTIFS(Başvuru!$C:$C,C183,Başvuru!$L:$L,"ONAY",Başvuru!$A:$A,"&lt;&gt;"&amp;"",Başvuru!$F:$F,"&lt;&gt;"&amp;""))</f>
        <v>0</v>
      </c>
      <c r="K183" s="173">
        <f>IF(C183="","",COUNTIFS(Başvuru!$C:$C,C183,Başvuru!$L:$L,"DÜZELTME",Başvuru!$A:$A,"&lt;&gt;"&amp;"",Başvuru!$F:$F,"&lt;&gt;"&amp;""))</f>
        <v>1</v>
      </c>
      <c r="L183" s="174">
        <f>IF(C183="","",COUNTIFS(Başvuru!$C:$C,C183,Başvuru!$L:$L,"KAEK",Başvuru!$A:$A,"&lt;&gt;"&amp;"",Başvuru!$F:$F,"&lt;&gt;"&amp;""))</f>
        <v>0</v>
      </c>
      <c r="M183" s="175">
        <f>IF(C183="","",COUNTIFS(Başvuru!$C:$C,C183,Başvuru!$L:$L,"GÖRÜŞ",Başvuru!$A:$A,"&lt;&gt;"&amp;"",Başvuru!$F:$F,"&lt;&gt;"&amp;""))</f>
        <v>0</v>
      </c>
      <c r="N183" s="176">
        <f>IF(C183="","",COUNTIFS(Başvuru!$C:$C,C183,Başvuru!$L:$L,"RET",Başvuru!$A:$A,"&lt;&gt;"&amp;"",Başvuru!$F:$F,"&lt;&gt;"&amp;""))</f>
        <v>0</v>
      </c>
      <c r="O183" s="177">
        <f>IF(C183="","",COUNTIFS(Başvuru!$C:$C,C183,Başvuru!$L:$L,"KAPSAM DIŞI",Başvuru!$A:$A,"&lt;&gt;"&amp;"",Başvuru!$F:$F,"&lt;&gt;"&amp;""))</f>
        <v>0</v>
      </c>
      <c r="P183" s="178">
        <f>IF(C183="","",COUNTIFS(Başvuru!$C:$C,C183,Başvuru!$L:$L,"GERİ ÇEKİLDİ",Başvuru!$A:$A,"&lt;&gt;"&amp;"",Başvuru!$F:$F,"&lt;&gt;"&amp;""))</f>
        <v>0</v>
      </c>
      <c r="Q183" s="166" t="s">
        <v>1228</v>
      </c>
      <c r="R183" s="167">
        <f>COUNTIFS(Başvuru!$C:$C,Q183,Başvuru!$A:$A,"&lt;&gt;"&amp;"",Başvuru!$F:$F,"&lt;&gt;"&amp;"")</f>
        <v>3</v>
      </c>
      <c r="S183" s="167">
        <f>RANK(R183,$R$6:$R$324,0)+COUNTIF($R$6:R183,R183)-1</f>
        <v>59</v>
      </c>
    </row>
    <row r="184" spans="2:19" ht="15" customHeight="1" x14ac:dyDescent="0.25">
      <c r="B184" s="155">
        <v>179</v>
      </c>
      <c r="C184" s="156" t="str">
        <f>IFERROR(INDEX($Q$6:$Q$324,MATCH(179,$S$6:$S$324,0)),"")</f>
        <v>Doç. Dr. Özlem DİKMETAŞ SANDIKÇI</v>
      </c>
      <c r="D184" s="157">
        <f>IF(C184="","",COUNTIFS(Başvuru!$C:$C,C184,Başvuru!$A:$A,"&lt;&gt;"&amp;"",Başvuru!$F:$F,"&lt;&gt;"&amp;""))</f>
        <v>1</v>
      </c>
      <c r="E184" s="155" t="str">
        <f>IF(C184="","-",IF(D184&gt;0,TEXT(D184/(COUNTIFS(Başvuru!$A:$A,"&lt;&gt;",Başvuru!$F:$F,"&lt;&gt;")-1)*100,"0.0")&amp;"%","-"))</f>
        <v>00%</v>
      </c>
      <c r="F184" s="158">
        <f>IF(C184="","",COUNTIFS(Başvuru!$C:$C,C184,Başvuru!$G:$G,"Bireysel Araştırma",Başvuru!$A:$A,"&lt;&gt;"&amp;"",Başvuru!$F:$F,"&lt;&gt;"&amp;""))</f>
        <v>1</v>
      </c>
      <c r="G184" s="158">
        <f>IF(C184="","",COUNTIFS(Başvuru!$C:$C,C184,Başvuru!$G:$G,"Uzmanlık Tezi",Başvuru!$A:$A,"&lt;&gt;"&amp;"",Başvuru!$F:$F,"&lt;&gt;"&amp;""))</f>
        <v>0</v>
      </c>
      <c r="H184" s="158">
        <f>IF(C184="","",COUNTIFS(Başvuru!$C:$C,C184,Başvuru!$G:$G,"Doktora Tezi",Başvuru!$A:$A,"&lt;&gt;"&amp;"",Başvuru!$F:$F,"&lt;&gt;"&amp;""))</f>
        <v>0</v>
      </c>
      <c r="I184" s="158">
        <f>IF(C184="","",COUNTIFS(Başvuru!$C:$C,C184,Başvuru!$G:$G,"Yüksek Lisans Tezi",Başvuru!$A:$A,"&lt;&gt;"&amp;"",Başvuru!$F:$F,"&lt;&gt;"&amp;""))</f>
        <v>0</v>
      </c>
      <c r="J184" s="159">
        <f>IF(C184="","",COUNTIFS(Başvuru!$C:$C,C184,Başvuru!$L:$L,"ONAY",Başvuru!$A:$A,"&lt;&gt;"&amp;"",Başvuru!$F:$F,"&lt;&gt;"&amp;""))</f>
        <v>1</v>
      </c>
      <c r="K184" s="160">
        <f>IF(C184="","",COUNTIFS(Başvuru!$C:$C,C184,Başvuru!$L:$L,"DÜZELTME",Başvuru!$A:$A,"&lt;&gt;"&amp;"",Başvuru!$F:$F,"&lt;&gt;"&amp;""))</f>
        <v>0</v>
      </c>
      <c r="L184" s="161">
        <f>IF(C184="","",COUNTIFS(Başvuru!$C:$C,C184,Başvuru!$L:$L,"KAEK",Başvuru!$A:$A,"&lt;&gt;"&amp;"",Başvuru!$F:$F,"&lt;&gt;"&amp;""))</f>
        <v>0</v>
      </c>
      <c r="M184" s="162">
        <f>IF(C184="","",COUNTIFS(Başvuru!$C:$C,C184,Başvuru!$L:$L,"GÖRÜŞ",Başvuru!$A:$A,"&lt;&gt;"&amp;"",Başvuru!$F:$F,"&lt;&gt;"&amp;""))</f>
        <v>0</v>
      </c>
      <c r="N184" s="163">
        <f>IF(C184="","",COUNTIFS(Başvuru!$C:$C,C184,Başvuru!$L:$L,"RET",Başvuru!$A:$A,"&lt;&gt;"&amp;"",Başvuru!$F:$F,"&lt;&gt;"&amp;""))</f>
        <v>0</v>
      </c>
      <c r="O184" s="164">
        <f>IF(C184="","",COUNTIFS(Başvuru!$C:$C,C184,Başvuru!$L:$L,"KAPSAM DIŞI",Başvuru!$A:$A,"&lt;&gt;"&amp;"",Başvuru!$F:$F,"&lt;&gt;"&amp;""))</f>
        <v>0</v>
      </c>
      <c r="P184" s="165">
        <f>IF(C184="","",COUNTIFS(Başvuru!$C:$C,C184,Başvuru!$L:$L,"GERİ ÇEKİLDİ",Başvuru!$A:$A,"&lt;&gt;"&amp;"",Başvuru!$F:$F,"&lt;&gt;"&amp;""))</f>
        <v>0</v>
      </c>
      <c r="Q184" s="166" t="s">
        <v>455</v>
      </c>
      <c r="R184" s="167">
        <f>COUNTIFS(Başvuru!$C:$C,Q184,Başvuru!$A:$A,"&lt;&gt;"&amp;"",Başvuru!$F:$F,"&lt;&gt;"&amp;"")</f>
        <v>4</v>
      </c>
      <c r="S184" s="167">
        <f>RANK(R184,$R$6:$R$324,0)+COUNTIF($R$6:R184,R184)-1</f>
        <v>41</v>
      </c>
    </row>
    <row r="185" spans="2:19" ht="15" customHeight="1" x14ac:dyDescent="0.25">
      <c r="B185" s="168">
        <v>180</v>
      </c>
      <c r="C185" s="169" t="str">
        <f>IFERROR(INDEX($Q$6:$Q$324,MATCH(180,$S$6:$S$324,0)),"")</f>
        <v>Doç. Dr. İlker ERTUĞRUL</v>
      </c>
      <c r="D185" s="170">
        <f>IF(C185="","",COUNTIFS(Başvuru!$C:$C,C185,Başvuru!$A:$A,"&lt;&gt;"&amp;"",Başvuru!$F:$F,"&lt;&gt;"&amp;""))</f>
        <v>1</v>
      </c>
      <c r="E185" s="168" t="str">
        <f>IF(C185="","-",IF(D185&gt;0,TEXT(D185/(COUNTIFS(Başvuru!$A:$A,"&lt;&gt;",Başvuru!$F:$F,"&lt;&gt;")-1)*100,"0.0")&amp;"%","-"))</f>
        <v>00%</v>
      </c>
      <c r="F185" s="171">
        <f>IF(C185="","",COUNTIFS(Başvuru!$C:$C,C185,Başvuru!$G:$G,"Bireysel Araştırma",Başvuru!$A:$A,"&lt;&gt;"&amp;"",Başvuru!$F:$F,"&lt;&gt;"&amp;""))</f>
        <v>1</v>
      </c>
      <c r="G185" s="171">
        <f>IF(C185="","",COUNTIFS(Başvuru!$C:$C,C185,Başvuru!$G:$G,"Uzmanlık Tezi",Başvuru!$A:$A,"&lt;&gt;"&amp;"",Başvuru!$F:$F,"&lt;&gt;"&amp;""))</f>
        <v>0</v>
      </c>
      <c r="H185" s="171">
        <f>IF(C185="","",COUNTIFS(Başvuru!$C:$C,C185,Başvuru!$G:$G,"Doktora Tezi",Başvuru!$A:$A,"&lt;&gt;"&amp;"",Başvuru!$F:$F,"&lt;&gt;"&amp;""))</f>
        <v>0</v>
      </c>
      <c r="I185" s="171">
        <f>IF(C185="","",COUNTIFS(Başvuru!$C:$C,C185,Başvuru!$G:$G,"Yüksek Lisans Tezi",Başvuru!$A:$A,"&lt;&gt;"&amp;"",Başvuru!$F:$F,"&lt;&gt;"&amp;""))</f>
        <v>0</v>
      </c>
      <c r="J185" s="172">
        <f>IF(C185="","",COUNTIFS(Başvuru!$C:$C,C185,Başvuru!$L:$L,"ONAY",Başvuru!$A:$A,"&lt;&gt;"&amp;"",Başvuru!$F:$F,"&lt;&gt;"&amp;""))</f>
        <v>0</v>
      </c>
      <c r="K185" s="173">
        <f>IF(C185="","",COUNTIFS(Başvuru!$C:$C,C185,Başvuru!$L:$L,"DÜZELTME",Başvuru!$A:$A,"&lt;&gt;"&amp;"",Başvuru!$F:$F,"&lt;&gt;"&amp;""))</f>
        <v>1</v>
      </c>
      <c r="L185" s="174">
        <f>IF(C185="","",COUNTIFS(Başvuru!$C:$C,C185,Başvuru!$L:$L,"KAEK",Başvuru!$A:$A,"&lt;&gt;"&amp;"",Başvuru!$F:$F,"&lt;&gt;"&amp;""))</f>
        <v>0</v>
      </c>
      <c r="M185" s="175">
        <f>IF(C185="","",COUNTIFS(Başvuru!$C:$C,C185,Başvuru!$L:$L,"GÖRÜŞ",Başvuru!$A:$A,"&lt;&gt;"&amp;"",Başvuru!$F:$F,"&lt;&gt;"&amp;""))</f>
        <v>0</v>
      </c>
      <c r="N185" s="176">
        <f>IF(C185="","",COUNTIFS(Başvuru!$C:$C,C185,Başvuru!$L:$L,"RET",Başvuru!$A:$A,"&lt;&gt;"&amp;"",Başvuru!$F:$F,"&lt;&gt;"&amp;""))</f>
        <v>0</v>
      </c>
      <c r="O185" s="177">
        <f>IF(C185="","",COUNTIFS(Başvuru!$C:$C,C185,Başvuru!$L:$L,"KAPSAM DIŞI",Başvuru!$A:$A,"&lt;&gt;"&amp;"",Başvuru!$F:$F,"&lt;&gt;"&amp;""))</f>
        <v>0</v>
      </c>
      <c r="P185" s="178">
        <f>IF(C185="","",COUNTIFS(Başvuru!$C:$C,C185,Başvuru!$L:$L,"GERİ ÇEKİLDİ",Başvuru!$A:$A,"&lt;&gt;"&amp;"",Başvuru!$F:$F,"&lt;&gt;"&amp;""))</f>
        <v>0</v>
      </c>
      <c r="Q185" s="166" t="s">
        <v>1485</v>
      </c>
      <c r="R185" s="167">
        <f>COUNTIFS(Başvuru!$C:$C,Q185,Başvuru!$A:$A,"&lt;&gt;"&amp;"",Başvuru!$F:$F,"&lt;&gt;"&amp;"")</f>
        <v>1</v>
      </c>
      <c r="S185" s="167">
        <f>RANK(R185,$R$6:$R$324,0)+COUNTIF($R$6:R185,R185)-1</f>
        <v>235</v>
      </c>
    </row>
    <row r="186" spans="2:19" ht="15" customHeight="1" x14ac:dyDescent="0.25">
      <c r="B186" s="155">
        <v>181</v>
      </c>
      <c r="C186" s="156" t="str">
        <f>IFERROR(INDEX($Q$6:$Q$324,MATCH(181,$S$6:$S$324,0)),"")</f>
        <v>Doç. Dr. Şükran Gülin EVİNÇ</v>
      </c>
      <c r="D186" s="157">
        <f>IF(C186="","",COUNTIFS(Başvuru!$C:$C,C186,Başvuru!$A:$A,"&lt;&gt;"&amp;"",Başvuru!$F:$F,"&lt;&gt;"&amp;""))</f>
        <v>1</v>
      </c>
      <c r="E186" s="155" t="str">
        <f>IF(C186="","-",IF(D186&gt;0,TEXT(D186/(COUNTIFS(Başvuru!$A:$A,"&lt;&gt;",Başvuru!$F:$F,"&lt;&gt;")-1)*100,"0.0")&amp;"%","-"))</f>
        <v>00%</v>
      </c>
      <c r="F186" s="158">
        <f>IF(C186="","",COUNTIFS(Başvuru!$C:$C,C186,Başvuru!$G:$G,"Bireysel Araştırma",Başvuru!$A:$A,"&lt;&gt;"&amp;"",Başvuru!$F:$F,"&lt;&gt;"&amp;""))</f>
        <v>1</v>
      </c>
      <c r="G186" s="158">
        <f>IF(C186="","",COUNTIFS(Başvuru!$C:$C,C186,Başvuru!$G:$G,"Uzmanlık Tezi",Başvuru!$A:$A,"&lt;&gt;"&amp;"",Başvuru!$F:$F,"&lt;&gt;"&amp;""))</f>
        <v>0</v>
      </c>
      <c r="H186" s="158">
        <f>IF(C186="","",COUNTIFS(Başvuru!$C:$C,C186,Başvuru!$G:$G,"Doktora Tezi",Başvuru!$A:$A,"&lt;&gt;"&amp;"",Başvuru!$F:$F,"&lt;&gt;"&amp;""))</f>
        <v>0</v>
      </c>
      <c r="I186" s="158">
        <f>IF(C186="","",COUNTIFS(Başvuru!$C:$C,C186,Başvuru!$G:$G,"Yüksek Lisans Tezi",Başvuru!$A:$A,"&lt;&gt;"&amp;"",Başvuru!$F:$F,"&lt;&gt;"&amp;""))</f>
        <v>0</v>
      </c>
      <c r="J186" s="159">
        <f>IF(C186="","",COUNTIFS(Başvuru!$C:$C,C186,Başvuru!$L:$L,"ONAY",Başvuru!$A:$A,"&lt;&gt;"&amp;"",Başvuru!$F:$F,"&lt;&gt;"&amp;""))</f>
        <v>1</v>
      </c>
      <c r="K186" s="160">
        <f>IF(C186="","",COUNTIFS(Başvuru!$C:$C,C186,Başvuru!$L:$L,"DÜZELTME",Başvuru!$A:$A,"&lt;&gt;"&amp;"",Başvuru!$F:$F,"&lt;&gt;"&amp;""))</f>
        <v>0</v>
      </c>
      <c r="L186" s="161">
        <f>IF(C186="","",COUNTIFS(Başvuru!$C:$C,C186,Başvuru!$L:$L,"KAEK",Başvuru!$A:$A,"&lt;&gt;"&amp;"",Başvuru!$F:$F,"&lt;&gt;"&amp;""))</f>
        <v>0</v>
      </c>
      <c r="M186" s="162">
        <f>IF(C186="","",COUNTIFS(Başvuru!$C:$C,C186,Başvuru!$L:$L,"GÖRÜŞ",Başvuru!$A:$A,"&lt;&gt;"&amp;"",Başvuru!$F:$F,"&lt;&gt;"&amp;""))</f>
        <v>0</v>
      </c>
      <c r="N186" s="163">
        <f>IF(C186="","",COUNTIFS(Başvuru!$C:$C,C186,Başvuru!$L:$L,"RET",Başvuru!$A:$A,"&lt;&gt;"&amp;"",Başvuru!$F:$F,"&lt;&gt;"&amp;""))</f>
        <v>0</v>
      </c>
      <c r="O186" s="164">
        <f>IF(C186="","",COUNTIFS(Başvuru!$C:$C,C186,Başvuru!$L:$L,"KAPSAM DIŞI",Başvuru!$A:$A,"&lt;&gt;"&amp;"",Başvuru!$F:$F,"&lt;&gt;"&amp;""))</f>
        <v>0</v>
      </c>
      <c r="P186" s="165">
        <f>IF(C186="","",COUNTIFS(Başvuru!$C:$C,C186,Başvuru!$L:$L,"GERİ ÇEKİLDİ",Başvuru!$A:$A,"&lt;&gt;"&amp;"",Başvuru!$F:$F,"&lt;&gt;"&amp;""))</f>
        <v>0</v>
      </c>
      <c r="Q186" s="166" t="s">
        <v>1581</v>
      </c>
      <c r="R186" s="167">
        <f>COUNTIFS(Başvuru!$C:$C,Q186,Başvuru!$A:$A,"&lt;&gt;"&amp;"",Başvuru!$F:$F,"&lt;&gt;"&amp;"")</f>
        <v>1</v>
      </c>
      <c r="S186" s="167">
        <f>RANK(R186,$R$6:$R$324,0)+COUNTIF($R$6:R186,R186)-1</f>
        <v>236</v>
      </c>
    </row>
    <row r="187" spans="2:19" ht="15" customHeight="1" x14ac:dyDescent="0.25">
      <c r="B187" s="168">
        <v>182</v>
      </c>
      <c r="C187" s="169" t="str">
        <f>IFERROR(INDEX($Q$6:$Q$324,MATCH(182,$S$6:$S$324,0)),"")</f>
        <v>Doç.Dr. Tekin AKSU</v>
      </c>
      <c r="D187" s="170">
        <f>IF(C187="","",COUNTIFS(Başvuru!$C:$C,C187,Başvuru!$A:$A,"&lt;&gt;"&amp;"",Başvuru!$F:$F,"&lt;&gt;"&amp;""))</f>
        <v>1</v>
      </c>
      <c r="E187" s="168" t="str">
        <f>IF(C187="","-",IF(D187&gt;0,TEXT(D187/(COUNTIFS(Başvuru!$A:$A,"&lt;&gt;",Başvuru!$F:$F,"&lt;&gt;")-1)*100,"0.0")&amp;"%","-"))</f>
        <v>00%</v>
      </c>
      <c r="F187" s="171">
        <f>IF(C187="","",COUNTIFS(Başvuru!$C:$C,C187,Başvuru!$G:$G,"Bireysel Araştırma",Başvuru!$A:$A,"&lt;&gt;"&amp;"",Başvuru!$F:$F,"&lt;&gt;"&amp;""))</f>
        <v>0</v>
      </c>
      <c r="G187" s="171">
        <f>IF(C187="","",COUNTIFS(Başvuru!$C:$C,C187,Başvuru!$G:$G,"Uzmanlık Tezi",Başvuru!$A:$A,"&lt;&gt;"&amp;"",Başvuru!$F:$F,"&lt;&gt;"&amp;""))</f>
        <v>1</v>
      </c>
      <c r="H187" s="171">
        <f>IF(C187="","",COUNTIFS(Başvuru!$C:$C,C187,Başvuru!$G:$G,"Doktora Tezi",Başvuru!$A:$A,"&lt;&gt;"&amp;"",Başvuru!$F:$F,"&lt;&gt;"&amp;""))</f>
        <v>0</v>
      </c>
      <c r="I187" s="171">
        <f>IF(C187="","",COUNTIFS(Başvuru!$C:$C,C187,Başvuru!$G:$G,"Yüksek Lisans Tezi",Başvuru!$A:$A,"&lt;&gt;"&amp;"",Başvuru!$F:$F,"&lt;&gt;"&amp;""))</f>
        <v>0</v>
      </c>
      <c r="J187" s="172">
        <f>IF(C187="","",COUNTIFS(Başvuru!$C:$C,C187,Başvuru!$L:$L,"ONAY",Başvuru!$A:$A,"&lt;&gt;"&amp;"",Başvuru!$F:$F,"&lt;&gt;"&amp;""))</f>
        <v>0</v>
      </c>
      <c r="K187" s="173">
        <f>IF(C187="","",COUNTIFS(Başvuru!$C:$C,C187,Başvuru!$L:$L,"DÜZELTME",Başvuru!$A:$A,"&lt;&gt;"&amp;"",Başvuru!$F:$F,"&lt;&gt;"&amp;""))</f>
        <v>1</v>
      </c>
      <c r="L187" s="174">
        <f>IF(C187="","",COUNTIFS(Başvuru!$C:$C,C187,Başvuru!$L:$L,"KAEK",Başvuru!$A:$A,"&lt;&gt;"&amp;"",Başvuru!$F:$F,"&lt;&gt;"&amp;""))</f>
        <v>0</v>
      </c>
      <c r="M187" s="175">
        <f>IF(C187="","",COUNTIFS(Başvuru!$C:$C,C187,Başvuru!$L:$L,"GÖRÜŞ",Başvuru!$A:$A,"&lt;&gt;"&amp;"",Başvuru!$F:$F,"&lt;&gt;"&amp;""))</f>
        <v>0</v>
      </c>
      <c r="N187" s="176">
        <f>IF(C187="","",COUNTIFS(Başvuru!$C:$C,C187,Başvuru!$L:$L,"RET",Başvuru!$A:$A,"&lt;&gt;"&amp;"",Başvuru!$F:$F,"&lt;&gt;"&amp;""))</f>
        <v>0</v>
      </c>
      <c r="O187" s="177">
        <f>IF(C187="","",COUNTIFS(Başvuru!$C:$C,C187,Başvuru!$L:$L,"KAPSAM DIŞI",Başvuru!$A:$A,"&lt;&gt;"&amp;"",Başvuru!$F:$F,"&lt;&gt;"&amp;""))</f>
        <v>0</v>
      </c>
      <c r="P187" s="178">
        <f>IF(C187="","",COUNTIFS(Başvuru!$C:$C,C187,Başvuru!$L:$L,"GERİ ÇEKİLDİ",Başvuru!$A:$A,"&lt;&gt;"&amp;"",Başvuru!$F:$F,"&lt;&gt;"&amp;""))</f>
        <v>0</v>
      </c>
      <c r="Q187" s="166" t="s">
        <v>2290</v>
      </c>
      <c r="R187" s="167">
        <f>COUNTIFS(Başvuru!$C:$C,Q187,Başvuru!$A:$A,"&lt;&gt;"&amp;"",Başvuru!$F:$F,"&lt;&gt;"&amp;"")</f>
        <v>2</v>
      </c>
      <c r="S187" s="167">
        <f>RANK(R187,$R$6:$R$324,0)+COUNTIF($R$6:R187,R187)-1</f>
        <v>113</v>
      </c>
    </row>
    <row r="188" spans="2:19" ht="15" customHeight="1" x14ac:dyDescent="0.25">
      <c r="B188" s="155">
        <v>183</v>
      </c>
      <c r="C188" s="156" t="str">
        <f>IFERROR(INDEX($Q$6:$Q$324,MATCH(183,$S$6:$S$324,0)),"")</f>
        <v>Dr. Natalia RAKİSLOVA</v>
      </c>
      <c r="D188" s="157">
        <f>IF(C188="","",COUNTIFS(Başvuru!$C:$C,C188,Başvuru!$A:$A,"&lt;&gt;"&amp;"",Başvuru!$F:$F,"&lt;&gt;"&amp;""))</f>
        <v>1</v>
      </c>
      <c r="E188" s="155" t="str">
        <f>IF(C188="","-",IF(D188&gt;0,TEXT(D188/(COUNTIFS(Başvuru!$A:$A,"&lt;&gt;",Başvuru!$F:$F,"&lt;&gt;")-1)*100,"0.0")&amp;"%","-"))</f>
        <v>00%</v>
      </c>
      <c r="F188" s="158">
        <f>IF(C188="","",COUNTIFS(Başvuru!$C:$C,C188,Başvuru!$G:$G,"Bireysel Araştırma",Başvuru!$A:$A,"&lt;&gt;"&amp;"",Başvuru!$F:$F,"&lt;&gt;"&amp;""))</f>
        <v>1</v>
      </c>
      <c r="G188" s="158">
        <f>IF(C188="","",COUNTIFS(Başvuru!$C:$C,C188,Başvuru!$G:$G,"Uzmanlık Tezi",Başvuru!$A:$A,"&lt;&gt;"&amp;"",Başvuru!$F:$F,"&lt;&gt;"&amp;""))</f>
        <v>0</v>
      </c>
      <c r="H188" s="158">
        <f>IF(C188="","",COUNTIFS(Başvuru!$C:$C,C188,Başvuru!$G:$G,"Doktora Tezi",Başvuru!$A:$A,"&lt;&gt;"&amp;"",Başvuru!$F:$F,"&lt;&gt;"&amp;""))</f>
        <v>0</v>
      </c>
      <c r="I188" s="158">
        <f>IF(C188="","",COUNTIFS(Başvuru!$C:$C,C188,Başvuru!$G:$G,"Yüksek Lisans Tezi",Başvuru!$A:$A,"&lt;&gt;"&amp;"",Başvuru!$F:$F,"&lt;&gt;"&amp;""))</f>
        <v>0</v>
      </c>
      <c r="J188" s="159">
        <f>IF(C188="","",COUNTIFS(Başvuru!$C:$C,C188,Başvuru!$L:$L,"ONAY",Başvuru!$A:$A,"&lt;&gt;"&amp;"",Başvuru!$F:$F,"&lt;&gt;"&amp;""))</f>
        <v>0</v>
      </c>
      <c r="K188" s="160">
        <f>IF(C188="","",COUNTIFS(Başvuru!$C:$C,C188,Başvuru!$L:$L,"DÜZELTME",Başvuru!$A:$A,"&lt;&gt;"&amp;"",Başvuru!$F:$F,"&lt;&gt;"&amp;""))</f>
        <v>1</v>
      </c>
      <c r="L188" s="161">
        <f>IF(C188="","",COUNTIFS(Başvuru!$C:$C,C188,Başvuru!$L:$L,"KAEK",Başvuru!$A:$A,"&lt;&gt;"&amp;"",Başvuru!$F:$F,"&lt;&gt;"&amp;""))</f>
        <v>0</v>
      </c>
      <c r="M188" s="162">
        <f>IF(C188="","",COUNTIFS(Başvuru!$C:$C,C188,Başvuru!$L:$L,"GÖRÜŞ",Başvuru!$A:$A,"&lt;&gt;"&amp;"",Başvuru!$F:$F,"&lt;&gt;"&amp;""))</f>
        <v>0</v>
      </c>
      <c r="N188" s="163">
        <f>IF(C188="","",COUNTIFS(Başvuru!$C:$C,C188,Başvuru!$L:$L,"RET",Başvuru!$A:$A,"&lt;&gt;"&amp;"",Başvuru!$F:$F,"&lt;&gt;"&amp;""))</f>
        <v>0</v>
      </c>
      <c r="O188" s="164">
        <f>IF(C188="","",COUNTIFS(Başvuru!$C:$C,C188,Başvuru!$L:$L,"KAPSAM DIŞI",Başvuru!$A:$A,"&lt;&gt;"&amp;"",Başvuru!$F:$F,"&lt;&gt;"&amp;""))</f>
        <v>0</v>
      </c>
      <c r="P188" s="165">
        <f>IF(C188="","",COUNTIFS(Başvuru!$C:$C,C188,Başvuru!$L:$L,"GERİ ÇEKİLDİ",Başvuru!$A:$A,"&lt;&gt;"&amp;"",Başvuru!$F:$F,"&lt;&gt;"&amp;""))</f>
        <v>0</v>
      </c>
      <c r="Q188" s="166" t="s">
        <v>1866</v>
      </c>
      <c r="R188" s="167">
        <f>COUNTIFS(Başvuru!$C:$C,Q188,Başvuru!$A:$A,"&lt;&gt;"&amp;"",Başvuru!$F:$F,"&lt;&gt;"&amp;"")</f>
        <v>1</v>
      </c>
      <c r="S188" s="167">
        <f>RANK(R188,$R$6:$R$324,0)+COUNTIF($R$6:R188,R188)-1</f>
        <v>237</v>
      </c>
    </row>
    <row r="189" spans="2:19" ht="15" customHeight="1" x14ac:dyDescent="0.25">
      <c r="B189" s="168">
        <v>184</v>
      </c>
      <c r="C189" s="169" t="str">
        <f>IFERROR(INDEX($Q$6:$Q$324,MATCH(184,$S$6:$S$324,0)),"")</f>
        <v>Dr. Vet. Hek. Özgür Doğuş EROL DUYAR</v>
      </c>
      <c r="D189" s="170">
        <f>IF(C189="","",COUNTIFS(Başvuru!$C:$C,C189,Başvuru!$A:$A,"&lt;&gt;"&amp;"",Başvuru!$F:$F,"&lt;&gt;"&amp;""))</f>
        <v>1</v>
      </c>
      <c r="E189" s="168" t="str">
        <f>IF(C189="","-",IF(D189&gt;0,TEXT(D189/(COUNTIFS(Başvuru!$A:$A,"&lt;&gt;",Başvuru!$F:$F,"&lt;&gt;")-1)*100,"0.0")&amp;"%","-"))</f>
        <v>00%</v>
      </c>
      <c r="F189" s="171">
        <f>IF(C189="","",COUNTIFS(Başvuru!$C:$C,C189,Başvuru!$G:$G,"Bireysel Araştırma",Başvuru!$A:$A,"&lt;&gt;"&amp;"",Başvuru!$F:$F,"&lt;&gt;"&amp;""))</f>
        <v>1</v>
      </c>
      <c r="G189" s="171">
        <f>IF(C189="","",COUNTIFS(Başvuru!$C:$C,C189,Başvuru!$G:$G,"Uzmanlık Tezi",Başvuru!$A:$A,"&lt;&gt;"&amp;"",Başvuru!$F:$F,"&lt;&gt;"&amp;""))</f>
        <v>0</v>
      </c>
      <c r="H189" s="171">
        <f>IF(C189="","",COUNTIFS(Başvuru!$C:$C,C189,Başvuru!$G:$G,"Doktora Tezi",Başvuru!$A:$A,"&lt;&gt;"&amp;"",Başvuru!$F:$F,"&lt;&gt;"&amp;""))</f>
        <v>0</v>
      </c>
      <c r="I189" s="171">
        <f>IF(C189="","",COUNTIFS(Başvuru!$C:$C,C189,Başvuru!$G:$G,"Yüksek Lisans Tezi",Başvuru!$A:$A,"&lt;&gt;"&amp;"",Başvuru!$F:$F,"&lt;&gt;"&amp;""))</f>
        <v>0</v>
      </c>
      <c r="J189" s="172">
        <f>IF(C189="","",COUNTIFS(Başvuru!$C:$C,C189,Başvuru!$L:$L,"ONAY",Başvuru!$A:$A,"&lt;&gt;"&amp;"",Başvuru!$F:$F,"&lt;&gt;"&amp;""))</f>
        <v>1</v>
      </c>
      <c r="K189" s="173">
        <f>IF(C189="","",COUNTIFS(Başvuru!$C:$C,C189,Başvuru!$L:$L,"DÜZELTME",Başvuru!$A:$A,"&lt;&gt;"&amp;"",Başvuru!$F:$F,"&lt;&gt;"&amp;""))</f>
        <v>0</v>
      </c>
      <c r="L189" s="174">
        <f>IF(C189="","",COUNTIFS(Başvuru!$C:$C,C189,Başvuru!$L:$L,"KAEK",Başvuru!$A:$A,"&lt;&gt;"&amp;"",Başvuru!$F:$F,"&lt;&gt;"&amp;""))</f>
        <v>0</v>
      </c>
      <c r="M189" s="175">
        <f>IF(C189="","",COUNTIFS(Başvuru!$C:$C,C189,Başvuru!$L:$L,"GÖRÜŞ",Başvuru!$A:$A,"&lt;&gt;"&amp;"",Başvuru!$F:$F,"&lt;&gt;"&amp;""))</f>
        <v>0</v>
      </c>
      <c r="N189" s="176">
        <f>IF(C189="","",COUNTIFS(Başvuru!$C:$C,C189,Başvuru!$L:$L,"RET",Başvuru!$A:$A,"&lt;&gt;"&amp;"",Başvuru!$F:$F,"&lt;&gt;"&amp;""))</f>
        <v>0</v>
      </c>
      <c r="O189" s="177">
        <f>IF(C189="","",COUNTIFS(Başvuru!$C:$C,C189,Başvuru!$L:$L,"KAPSAM DIŞI",Başvuru!$A:$A,"&lt;&gt;"&amp;"",Başvuru!$F:$F,"&lt;&gt;"&amp;""))</f>
        <v>0</v>
      </c>
      <c r="P189" s="178">
        <f>IF(C189="","",COUNTIFS(Başvuru!$C:$C,C189,Başvuru!$L:$L,"GERİ ÇEKİLDİ",Başvuru!$A:$A,"&lt;&gt;"&amp;"",Başvuru!$F:$F,"&lt;&gt;"&amp;""))</f>
        <v>0</v>
      </c>
      <c r="Q189" s="166" t="s">
        <v>182</v>
      </c>
      <c r="R189" s="167">
        <f>COUNTIFS(Başvuru!$C:$C,Q189,Başvuru!$A:$A,"&lt;&gt;"&amp;"",Başvuru!$F:$F,"&lt;&gt;"&amp;"")</f>
        <v>5</v>
      </c>
      <c r="S189" s="167">
        <f>RANK(R189,$R$6:$R$324,0)+COUNTIF($R$6:R189,R189)-1</f>
        <v>25</v>
      </c>
    </row>
    <row r="190" spans="2:19" ht="15" customHeight="1" x14ac:dyDescent="0.25">
      <c r="B190" s="155">
        <v>185</v>
      </c>
      <c r="C190" s="156" t="str">
        <f>IFERROR(INDEX($Q$6:$Q$324,MATCH(185,$S$6:$S$324,0)),"")</f>
        <v>Dr. Öğr. Gör. Buket KILIÇ</v>
      </c>
      <c r="D190" s="157">
        <f>IF(C190="","",COUNTIFS(Başvuru!$C:$C,C190,Başvuru!$A:$A,"&lt;&gt;"&amp;"",Başvuru!$F:$F,"&lt;&gt;"&amp;""))</f>
        <v>1</v>
      </c>
      <c r="E190" s="155" t="str">
        <f>IF(C190="","-",IF(D190&gt;0,TEXT(D190/(COUNTIFS(Başvuru!$A:$A,"&lt;&gt;",Başvuru!$F:$F,"&lt;&gt;")-1)*100,"0.0")&amp;"%","-"))</f>
        <v>00%</v>
      </c>
      <c r="F190" s="158">
        <f>IF(C190="","",COUNTIFS(Başvuru!$C:$C,C190,Başvuru!$G:$G,"Bireysel Araştırma",Başvuru!$A:$A,"&lt;&gt;"&amp;"",Başvuru!$F:$F,"&lt;&gt;"&amp;""))</f>
        <v>1</v>
      </c>
      <c r="G190" s="158">
        <f>IF(C190="","",COUNTIFS(Başvuru!$C:$C,C190,Başvuru!$G:$G,"Uzmanlık Tezi",Başvuru!$A:$A,"&lt;&gt;"&amp;"",Başvuru!$F:$F,"&lt;&gt;"&amp;""))</f>
        <v>0</v>
      </c>
      <c r="H190" s="158">
        <f>IF(C190="","",COUNTIFS(Başvuru!$C:$C,C190,Başvuru!$G:$G,"Doktora Tezi",Başvuru!$A:$A,"&lt;&gt;"&amp;"",Başvuru!$F:$F,"&lt;&gt;"&amp;""))</f>
        <v>0</v>
      </c>
      <c r="I190" s="158">
        <f>IF(C190="","",COUNTIFS(Başvuru!$C:$C,C190,Başvuru!$G:$G,"Yüksek Lisans Tezi",Başvuru!$A:$A,"&lt;&gt;"&amp;"",Başvuru!$F:$F,"&lt;&gt;"&amp;""))</f>
        <v>0</v>
      </c>
      <c r="J190" s="159">
        <f>IF(C190="","",COUNTIFS(Başvuru!$C:$C,C190,Başvuru!$L:$L,"ONAY",Başvuru!$A:$A,"&lt;&gt;"&amp;"",Başvuru!$F:$F,"&lt;&gt;"&amp;""))</f>
        <v>1</v>
      </c>
      <c r="K190" s="160">
        <f>IF(C190="","",COUNTIFS(Başvuru!$C:$C,C190,Başvuru!$L:$L,"DÜZELTME",Başvuru!$A:$A,"&lt;&gt;"&amp;"",Başvuru!$F:$F,"&lt;&gt;"&amp;""))</f>
        <v>0</v>
      </c>
      <c r="L190" s="161">
        <f>IF(C190="","",COUNTIFS(Başvuru!$C:$C,C190,Başvuru!$L:$L,"KAEK",Başvuru!$A:$A,"&lt;&gt;"&amp;"",Başvuru!$F:$F,"&lt;&gt;"&amp;""))</f>
        <v>0</v>
      </c>
      <c r="M190" s="162">
        <f>IF(C190="","",COUNTIFS(Başvuru!$C:$C,C190,Başvuru!$L:$L,"GÖRÜŞ",Başvuru!$A:$A,"&lt;&gt;"&amp;"",Başvuru!$F:$F,"&lt;&gt;"&amp;""))</f>
        <v>0</v>
      </c>
      <c r="N190" s="163">
        <f>IF(C190="","",COUNTIFS(Başvuru!$C:$C,C190,Başvuru!$L:$L,"RET",Başvuru!$A:$A,"&lt;&gt;"&amp;"",Başvuru!$F:$F,"&lt;&gt;"&amp;""))</f>
        <v>0</v>
      </c>
      <c r="O190" s="164">
        <f>IF(C190="","",COUNTIFS(Başvuru!$C:$C,C190,Başvuru!$L:$L,"KAPSAM DIŞI",Başvuru!$A:$A,"&lt;&gt;"&amp;"",Başvuru!$F:$F,"&lt;&gt;"&amp;""))</f>
        <v>0</v>
      </c>
      <c r="P190" s="165">
        <f>IF(C190="","",COUNTIFS(Başvuru!$C:$C,C190,Başvuru!$L:$L,"GERİ ÇEKİLDİ",Başvuru!$A:$A,"&lt;&gt;"&amp;"",Başvuru!$F:$F,"&lt;&gt;"&amp;""))</f>
        <v>0</v>
      </c>
      <c r="Q190" s="166" t="s">
        <v>2380</v>
      </c>
      <c r="R190" s="167">
        <f>COUNTIFS(Başvuru!$C:$C,Q190,Başvuru!$A:$A,"&lt;&gt;"&amp;"",Başvuru!$F:$F,"&lt;&gt;"&amp;"")</f>
        <v>1</v>
      </c>
      <c r="S190" s="167">
        <f>RANK(R190,$R$6:$R$324,0)+COUNTIF($R$6:R190,R190)-1</f>
        <v>238</v>
      </c>
    </row>
    <row r="191" spans="2:19" ht="15" customHeight="1" x14ac:dyDescent="0.25">
      <c r="B191" s="168">
        <v>186</v>
      </c>
      <c r="C191" s="169" t="str">
        <f>IFERROR(INDEX($Q$6:$Q$324,MATCH(186,$S$6:$S$324,0)),"")</f>
        <v>Dr. Öğr. Gör. Tuğçe TAŞKINDERE ABBASOĞLU</v>
      </c>
      <c r="D191" s="170">
        <f>IF(C191="","",COUNTIFS(Başvuru!$C:$C,C191,Başvuru!$A:$A,"&lt;&gt;"&amp;"",Başvuru!$F:$F,"&lt;&gt;"&amp;""))</f>
        <v>1</v>
      </c>
      <c r="E191" s="168" t="str">
        <f>IF(C191="","-",IF(D191&gt;0,TEXT(D191/(COUNTIFS(Başvuru!$A:$A,"&lt;&gt;",Başvuru!$F:$F,"&lt;&gt;")-1)*100,"0.0")&amp;"%","-"))</f>
        <v>00%</v>
      </c>
      <c r="F191" s="171">
        <f>IF(C191="","",COUNTIFS(Başvuru!$C:$C,C191,Başvuru!$G:$G,"Bireysel Araştırma",Başvuru!$A:$A,"&lt;&gt;"&amp;"",Başvuru!$F:$F,"&lt;&gt;"&amp;""))</f>
        <v>1</v>
      </c>
      <c r="G191" s="171">
        <f>IF(C191="","",COUNTIFS(Başvuru!$C:$C,C191,Başvuru!$G:$G,"Uzmanlık Tezi",Başvuru!$A:$A,"&lt;&gt;"&amp;"",Başvuru!$F:$F,"&lt;&gt;"&amp;""))</f>
        <v>0</v>
      </c>
      <c r="H191" s="171">
        <f>IF(C191="","",COUNTIFS(Başvuru!$C:$C,C191,Başvuru!$G:$G,"Doktora Tezi",Başvuru!$A:$A,"&lt;&gt;"&amp;"",Başvuru!$F:$F,"&lt;&gt;"&amp;""))</f>
        <v>0</v>
      </c>
      <c r="I191" s="171">
        <f>IF(C191="","",COUNTIFS(Başvuru!$C:$C,C191,Başvuru!$G:$G,"Yüksek Lisans Tezi",Başvuru!$A:$A,"&lt;&gt;"&amp;"",Başvuru!$F:$F,"&lt;&gt;"&amp;""))</f>
        <v>0</v>
      </c>
      <c r="J191" s="172">
        <f>IF(C191="","",COUNTIFS(Başvuru!$C:$C,C191,Başvuru!$L:$L,"ONAY",Başvuru!$A:$A,"&lt;&gt;"&amp;"",Başvuru!$F:$F,"&lt;&gt;"&amp;""))</f>
        <v>1</v>
      </c>
      <c r="K191" s="173">
        <f>IF(C191="","",COUNTIFS(Başvuru!$C:$C,C191,Başvuru!$L:$L,"DÜZELTME",Başvuru!$A:$A,"&lt;&gt;"&amp;"",Başvuru!$F:$F,"&lt;&gt;"&amp;""))</f>
        <v>0</v>
      </c>
      <c r="L191" s="174">
        <f>IF(C191="","",COUNTIFS(Başvuru!$C:$C,C191,Başvuru!$L:$L,"KAEK",Başvuru!$A:$A,"&lt;&gt;"&amp;"",Başvuru!$F:$F,"&lt;&gt;"&amp;""))</f>
        <v>0</v>
      </c>
      <c r="M191" s="175">
        <f>IF(C191="","",COUNTIFS(Başvuru!$C:$C,C191,Başvuru!$L:$L,"GÖRÜŞ",Başvuru!$A:$A,"&lt;&gt;"&amp;"",Başvuru!$F:$F,"&lt;&gt;"&amp;""))</f>
        <v>0</v>
      </c>
      <c r="N191" s="176">
        <f>IF(C191="","",COUNTIFS(Başvuru!$C:$C,C191,Başvuru!$L:$L,"RET",Başvuru!$A:$A,"&lt;&gt;"&amp;"",Başvuru!$F:$F,"&lt;&gt;"&amp;""))</f>
        <v>0</v>
      </c>
      <c r="O191" s="177">
        <f>IF(C191="","",COUNTIFS(Başvuru!$C:$C,C191,Başvuru!$L:$L,"KAPSAM DIŞI",Başvuru!$A:$A,"&lt;&gt;"&amp;"",Başvuru!$F:$F,"&lt;&gt;"&amp;""))</f>
        <v>0</v>
      </c>
      <c r="P191" s="178">
        <f>IF(C191="","",COUNTIFS(Başvuru!$C:$C,C191,Başvuru!$L:$L,"GERİ ÇEKİLDİ",Başvuru!$A:$A,"&lt;&gt;"&amp;"",Başvuru!$F:$F,"&lt;&gt;"&amp;""))</f>
        <v>0</v>
      </c>
      <c r="Q191" s="166" t="s">
        <v>2346</v>
      </c>
      <c r="R191" s="167">
        <f>COUNTIFS(Başvuru!$C:$C,Q191,Başvuru!$A:$A,"&lt;&gt;"&amp;"",Başvuru!$F:$F,"&lt;&gt;"&amp;"")</f>
        <v>1</v>
      </c>
      <c r="S191" s="167">
        <f>RANK(R191,$R$6:$R$324,0)+COUNTIF($R$6:R191,R191)-1</f>
        <v>239</v>
      </c>
    </row>
    <row r="192" spans="2:19" ht="15" customHeight="1" x14ac:dyDescent="0.25">
      <c r="B192" s="155">
        <v>187</v>
      </c>
      <c r="C192" s="156" t="str">
        <f>IFERROR(INDEX($Q$6:$Q$324,MATCH(187,$S$6:$S$324,0)),"")</f>
        <v>Dr. Öğr. Üyesi Ahmet Gürkan ERDEMİR</v>
      </c>
      <c r="D192" s="157">
        <f>IF(C192="","",COUNTIFS(Başvuru!$C:$C,C192,Başvuru!$A:$A,"&lt;&gt;"&amp;"",Başvuru!$F:$F,"&lt;&gt;"&amp;""))</f>
        <v>1</v>
      </c>
      <c r="E192" s="155" t="str">
        <f>IF(C192="","-",IF(D192&gt;0,TEXT(D192/(COUNTIFS(Başvuru!$A:$A,"&lt;&gt;",Başvuru!$F:$F,"&lt;&gt;")-1)*100,"0.0")&amp;"%","-"))</f>
        <v>00%</v>
      </c>
      <c r="F192" s="158">
        <f>IF(C192="","",COUNTIFS(Başvuru!$C:$C,C192,Başvuru!$G:$G,"Bireysel Araştırma",Başvuru!$A:$A,"&lt;&gt;"&amp;"",Başvuru!$F:$F,"&lt;&gt;"&amp;""))</f>
        <v>1</v>
      </c>
      <c r="G192" s="158">
        <f>IF(C192="","",COUNTIFS(Başvuru!$C:$C,C192,Başvuru!$G:$G,"Uzmanlık Tezi",Başvuru!$A:$A,"&lt;&gt;"&amp;"",Başvuru!$F:$F,"&lt;&gt;"&amp;""))</f>
        <v>0</v>
      </c>
      <c r="H192" s="158">
        <f>IF(C192="","",COUNTIFS(Başvuru!$C:$C,C192,Başvuru!$G:$G,"Doktora Tezi",Başvuru!$A:$A,"&lt;&gt;"&amp;"",Başvuru!$F:$F,"&lt;&gt;"&amp;""))</f>
        <v>0</v>
      </c>
      <c r="I192" s="158">
        <f>IF(C192="","",COUNTIFS(Başvuru!$C:$C,C192,Başvuru!$G:$G,"Yüksek Lisans Tezi",Başvuru!$A:$A,"&lt;&gt;"&amp;"",Başvuru!$F:$F,"&lt;&gt;"&amp;""))</f>
        <v>0</v>
      </c>
      <c r="J192" s="159">
        <f>IF(C192="","",COUNTIFS(Başvuru!$C:$C,C192,Başvuru!$L:$L,"ONAY",Başvuru!$A:$A,"&lt;&gt;"&amp;"",Başvuru!$F:$F,"&lt;&gt;"&amp;""))</f>
        <v>1</v>
      </c>
      <c r="K192" s="160">
        <f>IF(C192="","",COUNTIFS(Başvuru!$C:$C,C192,Başvuru!$L:$L,"DÜZELTME",Başvuru!$A:$A,"&lt;&gt;"&amp;"",Başvuru!$F:$F,"&lt;&gt;"&amp;""))</f>
        <v>0</v>
      </c>
      <c r="L192" s="161">
        <f>IF(C192="","",COUNTIFS(Başvuru!$C:$C,C192,Başvuru!$L:$L,"KAEK",Başvuru!$A:$A,"&lt;&gt;"&amp;"",Başvuru!$F:$F,"&lt;&gt;"&amp;""))</f>
        <v>0</v>
      </c>
      <c r="M192" s="162">
        <f>IF(C192="","",COUNTIFS(Başvuru!$C:$C,C192,Başvuru!$L:$L,"GÖRÜŞ",Başvuru!$A:$A,"&lt;&gt;"&amp;"",Başvuru!$F:$F,"&lt;&gt;"&amp;""))</f>
        <v>0</v>
      </c>
      <c r="N192" s="163">
        <f>IF(C192="","",COUNTIFS(Başvuru!$C:$C,C192,Başvuru!$L:$L,"RET",Başvuru!$A:$A,"&lt;&gt;"&amp;"",Başvuru!$F:$F,"&lt;&gt;"&amp;""))</f>
        <v>0</v>
      </c>
      <c r="O192" s="164">
        <f>IF(C192="","",COUNTIFS(Başvuru!$C:$C,C192,Başvuru!$L:$L,"KAPSAM DIŞI",Başvuru!$A:$A,"&lt;&gt;"&amp;"",Başvuru!$F:$F,"&lt;&gt;"&amp;""))</f>
        <v>0</v>
      </c>
      <c r="P192" s="165">
        <f>IF(C192="","",COUNTIFS(Başvuru!$C:$C,C192,Başvuru!$L:$L,"GERİ ÇEKİLDİ",Başvuru!$A:$A,"&lt;&gt;"&amp;"",Başvuru!$F:$F,"&lt;&gt;"&amp;""))</f>
        <v>0</v>
      </c>
      <c r="Q192" s="166" t="s">
        <v>1269</v>
      </c>
      <c r="R192" s="167">
        <f>COUNTIFS(Başvuru!$C:$C,Q192,Başvuru!$A:$A,"&lt;&gt;"&amp;"",Başvuru!$F:$F,"&lt;&gt;"&amp;"")</f>
        <v>2</v>
      </c>
      <c r="S192" s="167">
        <f>RANK(R192,$R$6:$R$324,0)+COUNTIF($R$6:R192,R192)-1</f>
        <v>114</v>
      </c>
    </row>
    <row r="193" spans="2:19" ht="15" customHeight="1" x14ac:dyDescent="0.25">
      <c r="B193" s="168">
        <v>188</v>
      </c>
      <c r="C193" s="169" t="str">
        <f>IFERROR(INDEX($Q$6:$Q$324,MATCH(188,$S$6:$S$324,0)),"")</f>
        <v>Dr. Öğr. Üyesi Aslı ALKAN</v>
      </c>
      <c r="D193" s="170">
        <f>IF(C193="","",COUNTIFS(Başvuru!$C:$C,C193,Başvuru!$A:$A,"&lt;&gt;"&amp;"",Başvuru!$F:$F,"&lt;&gt;"&amp;""))</f>
        <v>1</v>
      </c>
      <c r="E193" s="168" t="str">
        <f>IF(C193="","-",IF(D193&gt;0,TEXT(D193/(COUNTIFS(Başvuru!$A:$A,"&lt;&gt;",Başvuru!$F:$F,"&lt;&gt;")-1)*100,"0.0")&amp;"%","-"))</f>
        <v>00%</v>
      </c>
      <c r="F193" s="171">
        <f>IF(C193="","",COUNTIFS(Başvuru!$C:$C,C193,Başvuru!$G:$G,"Bireysel Araştırma",Başvuru!$A:$A,"&lt;&gt;"&amp;"",Başvuru!$F:$F,"&lt;&gt;"&amp;""))</f>
        <v>0</v>
      </c>
      <c r="G193" s="171">
        <f>IF(C193="","",COUNTIFS(Başvuru!$C:$C,C193,Başvuru!$G:$G,"Uzmanlık Tezi",Başvuru!$A:$A,"&lt;&gt;"&amp;"",Başvuru!$F:$F,"&lt;&gt;"&amp;""))</f>
        <v>1</v>
      </c>
      <c r="H193" s="171">
        <f>IF(C193="","",COUNTIFS(Başvuru!$C:$C,C193,Başvuru!$G:$G,"Doktora Tezi",Başvuru!$A:$A,"&lt;&gt;"&amp;"",Başvuru!$F:$F,"&lt;&gt;"&amp;""))</f>
        <v>0</v>
      </c>
      <c r="I193" s="171">
        <f>IF(C193="","",COUNTIFS(Başvuru!$C:$C,C193,Başvuru!$G:$G,"Yüksek Lisans Tezi",Başvuru!$A:$A,"&lt;&gt;"&amp;"",Başvuru!$F:$F,"&lt;&gt;"&amp;""))</f>
        <v>0</v>
      </c>
      <c r="J193" s="172">
        <f>IF(C193="","",COUNTIFS(Başvuru!$C:$C,C193,Başvuru!$L:$L,"ONAY",Başvuru!$A:$A,"&lt;&gt;"&amp;"",Başvuru!$F:$F,"&lt;&gt;"&amp;""))</f>
        <v>1</v>
      </c>
      <c r="K193" s="173">
        <f>IF(C193="","",COUNTIFS(Başvuru!$C:$C,C193,Başvuru!$L:$L,"DÜZELTME",Başvuru!$A:$A,"&lt;&gt;"&amp;"",Başvuru!$F:$F,"&lt;&gt;"&amp;""))</f>
        <v>0</v>
      </c>
      <c r="L193" s="174">
        <f>IF(C193="","",COUNTIFS(Başvuru!$C:$C,C193,Başvuru!$L:$L,"KAEK",Başvuru!$A:$A,"&lt;&gt;"&amp;"",Başvuru!$F:$F,"&lt;&gt;"&amp;""))</f>
        <v>0</v>
      </c>
      <c r="M193" s="175">
        <f>IF(C193="","",COUNTIFS(Başvuru!$C:$C,C193,Başvuru!$L:$L,"GÖRÜŞ",Başvuru!$A:$A,"&lt;&gt;"&amp;"",Başvuru!$F:$F,"&lt;&gt;"&amp;""))</f>
        <v>0</v>
      </c>
      <c r="N193" s="176">
        <f>IF(C193="","",COUNTIFS(Başvuru!$C:$C,C193,Başvuru!$L:$L,"RET",Başvuru!$A:$A,"&lt;&gt;"&amp;"",Başvuru!$F:$F,"&lt;&gt;"&amp;""))</f>
        <v>0</v>
      </c>
      <c r="O193" s="177">
        <f>IF(C193="","",COUNTIFS(Başvuru!$C:$C,C193,Başvuru!$L:$L,"KAPSAM DIŞI",Başvuru!$A:$A,"&lt;&gt;"&amp;"",Başvuru!$F:$F,"&lt;&gt;"&amp;""))</f>
        <v>0</v>
      </c>
      <c r="P193" s="178">
        <f>IF(C193="","",COUNTIFS(Başvuru!$C:$C,C193,Başvuru!$L:$L,"GERİ ÇEKİLDİ",Başvuru!$A:$A,"&lt;&gt;"&amp;"",Başvuru!$F:$F,"&lt;&gt;"&amp;""))</f>
        <v>0</v>
      </c>
      <c r="Q193" s="166" t="s">
        <v>569</v>
      </c>
      <c r="R193" s="167">
        <f>COUNTIFS(Başvuru!$C:$C,Q193,Başvuru!$A:$A,"&lt;&gt;"&amp;"",Başvuru!$F:$F,"&lt;&gt;"&amp;"")</f>
        <v>1</v>
      </c>
      <c r="S193" s="167">
        <f>RANK(R193,$R$6:$R$324,0)+COUNTIF($R$6:R193,R193)-1</f>
        <v>240</v>
      </c>
    </row>
    <row r="194" spans="2:19" ht="15" customHeight="1" x14ac:dyDescent="0.25">
      <c r="B194" s="155">
        <v>189</v>
      </c>
      <c r="C194" s="156" t="str">
        <f>IFERROR(INDEX($Q$6:$Q$324,MATCH(189,$S$6:$S$324,0)),"")</f>
        <v>Dr. Öğr. Üyesi Aybüke USLU TEKCE</v>
      </c>
      <c r="D194" s="157">
        <f>IF(C194="","",COUNTIFS(Başvuru!$C:$C,C194,Başvuru!$A:$A,"&lt;&gt;"&amp;"",Başvuru!$F:$F,"&lt;&gt;"&amp;""))</f>
        <v>1</v>
      </c>
      <c r="E194" s="155" t="str">
        <f>IF(C194="","-",IF(D194&gt;0,TEXT(D194/(COUNTIFS(Başvuru!$A:$A,"&lt;&gt;",Başvuru!$F:$F,"&lt;&gt;")-1)*100,"0.0")&amp;"%","-"))</f>
        <v>00%</v>
      </c>
      <c r="F194" s="158">
        <f>IF(C194="","",COUNTIFS(Başvuru!$C:$C,C194,Başvuru!$G:$G,"Bireysel Araştırma",Başvuru!$A:$A,"&lt;&gt;"&amp;"",Başvuru!$F:$F,"&lt;&gt;"&amp;""))</f>
        <v>1</v>
      </c>
      <c r="G194" s="158">
        <f>IF(C194="","",COUNTIFS(Başvuru!$C:$C,C194,Başvuru!$G:$G,"Uzmanlık Tezi",Başvuru!$A:$A,"&lt;&gt;"&amp;"",Başvuru!$F:$F,"&lt;&gt;"&amp;""))</f>
        <v>0</v>
      </c>
      <c r="H194" s="158">
        <f>IF(C194="","",COUNTIFS(Başvuru!$C:$C,C194,Başvuru!$G:$G,"Doktora Tezi",Başvuru!$A:$A,"&lt;&gt;"&amp;"",Başvuru!$F:$F,"&lt;&gt;"&amp;""))</f>
        <v>0</v>
      </c>
      <c r="I194" s="158">
        <f>IF(C194="","",COUNTIFS(Başvuru!$C:$C,C194,Başvuru!$G:$G,"Yüksek Lisans Tezi",Başvuru!$A:$A,"&lt;&gt;"&amp;"",Başvuru!$F:$F,"&lt;&gt;"&amp;""))</f>
        <v>0</v>
      </c>
      <c r="J194" s="159">
        <f>IF(C194="","",COUNTIFS(Başvuru!$C:$C,C194,Başvuru!$L:$L,"ONAY",Başvuru!$A:$A,"&lt;&gt;"&amp;"",Başvuru!$F:$F,"&lt;&gt;"&amp;""))</f>
        <v>1</v>
      </c>
      <c r="K194" s="160">
        <f>IF(C194="","",COUNTIFS(Başvuru!$C:$C,C194,Başvuru!$L:$L,"DÜZELTME",Başvuru!$A:$A,"&lt;&gt;"&amp;"",Başvuru!$F:$F,"&lt;&gt;"&amp;""))</f>
        <v>0</v>
      </c>
      <c r="L194" s="161">
        <f>IF(C194="","",COUNTIFS(Başvuru!$C:$C,C194,Başvuru!$L:$L,"KAEK",Başvuru!$A:$A,"&lt;&gt;"&amp;"",Başvuru!$F:$F,"&lt;&gt;"&amp;""))</f>
        <v>0</v>
      </c>
      <c r="M194" s="162">
        <f>IF(C194="","",COUNTIFS(Başvuru!$C:$C,C194,Başvuru!$L:$L,"GÖRÜŞ",Başvuru!$A:$A,"&lt;&gt;"&amp;"",Başvuru!$F:$F,"&lt;&gt;"&amp;""))</f>
        <v>0</v>
      </c>
      <c r="N194" s="163">
        <f>IF(C194="","",COUNTIFS(Başvuru!$C:$C,C194,Başvuru!$L:$L,"RET",Başvuru!$A:$A,"&lt;&gt;"&amp;"",Başvuru!$F:$F,"&lt;&gt;"&amp;""))</f>
        <v>0</v>
      </c>
      <c r="O194" s="164">
        <f>IF(C194="","",COUNTIFS(Başvuru!$C:$C,C194,Başvuru!$L:$L,"KAPSAM DIŞI",Başvuru!$A:$A,"&lt;&gt;"&amp;"",Başvuru!$F:$F,"&lt;&gt;"&amp;""))</f>
        <v>0</v>
      </c>
      <c r="P194" s="165">
        <f>IF(C194="","",COUNTIFS(Başvuru!$C:$C,C194,Başvuru!$L:$L,"GERİ ÇEKİLDİ",Başvuru!$A:$A,"&lt;&gt;"&amp;"",Başvuru!$F:$F,"&lt;&gt;"&amp;""))</f>
        <v>0</v>
      </c>
      <c r="Q194" s="179" t="s">
        <v>1793</v>
      </c>
      <c r="R194" s="167">
        <f>COUNTIFS(Başvuru!$C:$C,Q194,Başvuru!$A:$A,"&lt;&gt;"&amp;"",Başvuru!$F:$F,"&lt;&gt;"&amp;"")</f>
        <v>1</v>
      </c>
      <c r="S194" s="167">
        <f>RANK(R194,$R$6:$R$324,0)+COUNTIF($R$6:R194,R194)-1</f>
        <v>241</v>
      </c>
    </row>
    <row r="195" spans="2:19" ht="15" customHeight="1" x14ac:dyDescent="0.25">
      <c r="B195" s="168">
        <v>190</v>
      </c>
      <c r="C195" s="169" t="str">
        <f>IFERROR(INDEX($Q$6:$Q$324,MATCH(190,$S$6:$S$324,0)),"")</f>
        <v>Dr. Öğr. Üyesi Bekir ERDEVE</v>
      </c>
      <c r="D195" s="170">
        <f>IF(C195="","",COUNTIFS(Başvuru!$C:$C,C195,Başvuru!$A:$A,"&lt;&gt;"&amp;"",Başvuru!$F:$F,"&lt;&gt;"&amp;""))</f>
        <v>1</v>
      </c>
      <c r="E195" s="168" t="str">
        <f>IF(C195="","-",IF(D195&gt;0,TEXT(D195/(COUNTIFS(Başvuru!$A:$A,"&lt;&gt;",Başvuru!$F:$F,"&lt;&gt;")-1)*100,"0.0")&amp;"%","-"))</f>
        <v>00%</v>
      </c>
      <c r="F195" s="171">
        <f>IF(C195="","",COUNTIFS(Başvuru!$C:$C,C195,Başvuru!$G:$G,"Bireysel Araştırma",Başvuru!$A:$A,"&lt;&gt;"&amp;"",Başvuru!$F:$F,"&lt;&gt;"&amp;""))</f>
        <v>1</v>
      </c>
      <c r="G195" s="171">
        <f>IF(C195="","",COUNTIFS(Başvuru!$C:$C,C195,Başvuru!$G:$G,"Uzmanlık Tezi",Başvuru!$A:$A,"&lt;&gt;"&amp;"",Başvuru!$F:$F,"&lt;&gt;"&amp;""))</f>
        <v>0</v>
      </c>
      <c r="H195" s="171">
        <f>IF(C195="","",COUNTIFS(Başvuru!$C:$C,C195,Başvuru!$G:$G,"Doktora Tezi",Başvuru!$A:$A,"&lt;&gt;"&amp;"",Başvuru!$F:$F,"&lt;&gt;"&amp;""))</f>
        <v>0</v>
      </c>
      <c r="I195" s="171">
        <f>IF(C195="","",COUNTIFS(Başvuru!$C:$C,C195,Başvuru!$G:$G,"Yüksek Lisans Tezi",Başvuru!$A:$A,"&lt;&gt;"&amp;"",Başvuru!$F:$F,"&lt;&gt;"&amp;""))</f>
        <v>0</v>
      </c>
      <c r="J195" s="172">
        <f>IF(C195="","",COUNTIFS(Başvuru!$C:$C,C195,Başvuru!$L:$L,"ONAY",Başvuru!$A:$A,"&lt;&gt;"&amp;"",Başvuru!$F:$F,"&lt;&gt;"&amp;""))</f>
        <v>0</v>
      </c>
      <c r="K195" s="173">
        <f>IF(C195="","",COUNTIFS(Başvuru!$C:$C,C195,Başvuru!$L:$L,"DÜZELTME",Başvuru!$A:$A,"&lt;&gt;"&amp;"",Başvuru!$F:$F,"&lt;&gt;"&amp;""))</f>
        <v>1</v>
      </c>
      <c r="L195" s="174">
        <f>IF(C195="","",COUNTIFS(Başvuru!$C:$C,C195,Başvuru!$L:$L,"KAEK",Başvuru!$A:$A,"&lt;&gt;"&amp;"",Başvuru!$F:$F,"&lt;&gt;"&amp;""))</f>
        <v>0</v>
      </c>
      <c r="M195" s="175">
        <f>IF(C195="","",COUNTIFS(Başvuru!$C:$C,C195,Başvuru!$L:$L,"GÖRÜŞ",Başvuru!$A:$A,"&lt;&gt;"&amp;"",Başvuru!$F:$F,"&lt;&gt;"&amp;""))</f>
        <v>0</v>
      </c>
      <c r="N195" s="176">
        <f>IF(C195="","",COUNTIFS(Başvuru!$C:$C,C195,Başvuru!$L:$L,"RET",Başvuru!$A:$A,"&lt;&gt;"&amp;"",Başvuru!$F:$F,"&lt;&gt;"&amp;""))</f>
        <v>0</v>
      </c>
      <c r="O195" s="177">
        <f>IF(C195="","",COUNTIFS(Başvuru!$C:$C,C195,Başvuru!$L:$L,"KAPSAM DIŞI",Başvuru!$A:$A,"&lt;&gt;"&amp;"",Başvuru!$F:$F,"&lt;&gt;"&amp;""))</f>
        <v>0</v>
      </c>
      <c r="P195" s="178">
        <f>IF(C195="","",COUNTIFS(Başvuru!$C:$C,C195,Başvuru!$L:$L,"GERİ ÇEKİLDİ",Başvuru!$A:$A,"&lt;&gt;"&amp;"",Başvuru!$F:$F,"&lt;&gt;"&amp;""))</f>
        <v>0</v>
      </c>
      <c r="Q195" s="166" t="s">
        <v>1529</v>
      </c>
      <c r="R195" s="167">
        <f>COUNTIFS(Başvuru!$C:$C,Q195,Başvuru!$A:$A,"&lt;&gt;"&amp;"",Başvuru!$F:$F,"&lt;&gt;"&amp;"")</f>
        <v>3</v>
      </c>
      <c r="S195" s="167">
        <f>RANK(R195,$R$6:$R$324,0)+COUNTIF($R$6:R195,R195)-1</f>
        <v>60</v>
      </c>
    </row>
    <row r="196" spans="2:19" ht="15" customHeight="1" x14ac:dyDescent="0.25">
      <c r="B196" s="155">
        <v>191</v>
      </c>
      <c r="C196" s="156" t="str">
        <f>IFERROR(INDEX($Q$6:$Q$324,MATCH(191,$S$6:$S$324,0)),"")</f>
        <v>Dr. Öğr. Üyesi Burkay UTKU</v>
      </c>
      <c r="D196" s="157">
        <f>IF(C196="","",COUNTIFS(Başvuru!$C:$C,C196,Başvuru!$A:$A,"&lt;&gt;"&amp;"",Başvuru!$F:$F,"&lt;&gt;"&amp;""))</f>
        <v>1</v>
      </c>
      <c r="E196" s="155" t="str">
        <f>IF(C196="","-",IF(D196&gt;0,TEXT(D196/(COUNTIFS(Başvuru!$A:$A,"&lt;&gt;",Başvuru!$F:$F,"&lt;&gt;")-1)*100,"0.0")&amp;"%","-"))</f>
        <v>00%</v>
      </c>
      <c r="F196" s="158">
        <f>IF(C196="","",COUNTIFS(Başvuru!$C:$C,C196,Başvuru!$G:$G,"Bireysel Araştırma",Başvuru!$A:$A,"&lt;&gt;"&amp;"",Başvuru!$F:$F,"&lt;&gt;"&amp;""))</f>
        <v>1</v>
      </c>
      <c r="G196" s="158">
        <f>IF(C196="","",COUNTIFS(Başvuru!$C:$C,C196,Başvuru!$G:$G,"Uzmanlık Tezi",Başvuru!$A:$A,"&lt;&gt;"&amp;"",Başvuru!$F:$F,"&lt;&gt;"&amp;""))</f>
        <v>0</v>
      </c>
      <c r="H196" s="158">
        <f>IF(C196="","",COUNTIFS(Başvuru!$C:$C,C196,Başvuru!$G:$G,"Doktora Tezi",Başvuru!$A:$A,"&lt;&gt;"&amp;"",Başvuru!$F:$F,"&lt;&gt;"&amp;""))</f>
        <v>0</v>
      </c>
      <c r="I196" s="158">
        <f>IF(C196="","",COUNTIFS(Başvuru!$C:$C,C196,Başvuru!$G:$G,"Yüksek Lisans Tezi",Başvuru!$A:$A,"&lt;&gt;"&amp;"",Başvuru!$F:$F,"&lt;&gt;"&amp;""))</f>
        <v>0</v>
      </c>
      <c r="J196" s="159">
        <f>IF(C196="","",COUNTIFS(Başvuru!$C:$C,C196,Başvuru!$L:$L,"ONAY",Başvuru!$A:$A,"&lt;&gt;"&amp;"",Başvuru!$F:$F,"&lt;&gt;"&amp;""))</f>
        <v>0</v>
      </c>
      <c r="K196" s="160">
        <f>IF(C196="","",COUNTIFS(Başvuru!$C:$C,C196,Başvuru!$L:$L,"DÜZELTME",Başvuru!$A:$A,"&lt;&gt;"&amp;"",Başvuru!$F:$F,"&lt;&gt;"&amp;""))</f>
        <v>1</v>
      </c>
      <c r="L196" s="161">
        <f>IF(C196="","",COUNTIFS(Başvuru!$C:$C,C196,Başvuru!$L:$L,"KAEK",Başvuru!$A:$A,"&lt;&gt;"&amp;"",Başvuru!$F:$F,"&lt;&gt;"&amp;""))</f>
        <v>0</v>
      </c>
      <c r="M196" s="162">
        <f>IF(C196="","",COUNTIFS(Başvuru!$C:$C,C196,Başvuru!$L:$L,"GÖRÜŞ",Başvuru!$A:$A,"&lt;&gt;"&amp;"",Başvuru!$F:$F,"&lt;&gt;"&amp;""))</f>
        <v>0</v>
      </c>
      <c r="N196" s="163">
        <f>IF(C196="","",COUNTIFS(Başvuru!$C:$C,C196,Başvuru!$L:$L,"RET",Başvuru!$A:$A,"&lt;&gt;"&amp;"",Başvuru!$F:$F,"&lt;&gt;"&amp;""))</f>
        <v>0</v>
      </c>
      <c r="O196" s="164">
        <f>IF(C196="","",COUNTIFS(Başvuru!$C:$C,C196,Başvuru!$L:$L,"KAPSAM DIŞI",Başvuru!$A:$A,"&lt;&gt;"&amp;"",Başvuru!$F:$F,"&lt;&gt;"&amp;""))</f>
        <v>0</v>
      </c>
      <c r="P196" s="165">
        <f>IF(C196="","",COUNTIFS(Başvuru!$C:$C,C196,Başvuru!$L:$L,"GERİ ÇEKİLDİ",Başvuru!$A:$A,"&lt;&gt;"&amp;"",Başvuru!$F:$F,"&lt;&gt;"&amp;""))</f>
        <v>0</v>
      </c>
      <c r="Q196" s="166" t="s">
        <v>635</v>
      </c>
      <c r="R196" s="167">
        <f>COUNTIFS(Başvuru!$C:$C,Q196,Başvuru!$A:$A,"&lt;&gt;"&amp;"",Başvuru!$F:$F,"&lt;&gt;"&amp;"")</f>
        <v>2</v>
      </c>
      <c r="S196" s="167">
        <f>RANK(R196,$R$6:$R$324,0)+COUNTIF($R$6:R196,R196)-1</f>
        <v>115</v>
      </c>
    </row>
    <row r="197" spans="2:19" ht="15" customHeight="1" x14ac:dyDescent="0.25">
      <c r="B197" s="168">
        <v>192</v>
      </c>
      <c r="C197" s="169" t="str">
        <f>IFERROR(INDEX($Q$6:$Q$324,MATCH(192,$S$6:$S$324,0)),"")</f>
        <v>Dr. Öğr. Üyesi Burçe ATAÇ MOGOL</v>
      </c>
      <c r="D197" s="170">
        <f>IF(C197="","",COUNTIFS(Başvuru!$C:$C,C197,Başvuru!$A:$A,"&lt;&gt;"&amp;"",Başvuru!$F:$F,"&lt;&gt;"&amp;""))</f>
        <v>1</v>
      </c>
      <c r="E197" s="168" t="str">
        <f>IF(C197="","-",IF(D197&gt;0,TEXT(D197/(COUNTIFS(Başvuru!$A:$A,"&lt;&gt;",Başvuru!$F:$F,"&lt;&gt;")-1)*100,"0.0")&amp;"%","-"))</f>
        <v>00%</v>
      </c>
      <c r="F197" s="171">
        <f>IF(C197="","",COUNTIFS(Başvuru!$C:$C,C197,Başvuru!$G:$G,"Bireysel Araştırma",Başvuru!$A:$A,"&lt;&gt;"&amp;"",Başvuru!$F:$F,"&lt;&gt;"&amp;""))</f>
        <v>0</v>
      </c>
      <c r="G197" s="171">
        <f>IF(C197="","",COUNTIFS(Başvuru!$C:$C,C197,Başvuru!$G:$G,"Uzmanlık Tezi",Başvuru!$A:$A,"&lt;&gt;"&amp;"",Başvuru!$F:$F,"&lt;&gt;"&amp;""))</f>
        <v>0</v>
      </c>
      <c r="H197" s="171">
        <f>IF(C197="","",COUNTIFS(Başvuru!$C:$C,C197,Başvuru!$G:$G,"Doktora Tezi",Başvuru!$A:$A,"&lt;&gt;"&amp;"",Başvuru!$F:$F,"&lt;&gt;"&amp;""))</f>
        <v>0</v>
      </c>
      <c r="I197" s="171">
        <f>IF(C197="","",COUNTIFS(Başvuru!$C:$C,C197,Başvuru!$G:$G,"Yüksek Lisans Tezi",Başvuru!$A:$A,"&lt;&gt;"&amp;"",Başvuru!$F:$F,"&lt;&gt;"&amp;""))</f>
        <v>1</v>
      </c>
      <c r="J197" s="172">
        <f>IF(C197="","",COUNTIFS(Başvuru!$C:$C,C197,Başvuru!$L:$L,"ONAY",Başvuru!$A:$A,"&lt;&gt;"&amp;"",Başvuru!$F:$F,"&lt;&gt;"&amp;""))</f>
        <v>0</v>
      </c>
      <c r="K197" s="173">
        <f>IF(C197="","",COUNTIFS(Başvuru!$C:$C,C197,Başvuru!$L:$L,"DÜZELTME",Başvuru!$A:$A,"&lt;&gt;"&amp;"",Başvuru!$F:$F,"&lt;&gt;"&amp;""))</f>
        <v>1</v>
      </c>
      <c r="L197" s="174">
        <f>IF(C197="","",COUNTIFS(Başvuru!$C:$C,C197,Başvuru!$L:$L,"KAEK",Başvuru!$A:$A,"&lt;&gt;"&amp;"",Başvuru!$F:$F,"&lt;&gt;"&amp;""))</f>
        <v>0</v>
      </c>
      <c r="M197" s="175">
        <f>IF(C197="","",COUNTIFS(Başvuru!$C:$C,C197,Başvuru!$L:$L,"GÖRÜŞ",Başvuru!$A:$A,"&lt;&gt;"&amp;"",Başvuru!$F:$F,"&lt;&gt;"&amp;""))</f>
        <v>0</v>
      </c>
      <c r="N197" s="176">
        <f>IF(C197="","",COUNTIFS(Başvuru!$C:$C,C197,Başvuru!$L:$L,"RET",Başvuru!$A:$A,"&lt;&gt;"&amp;"",Başvuru!$F:$F,"&lt;&gt;"&amp;""))</f>
        <v>0</v>
      </c>
      <c r="O197" s="177">
        <f>IF(C197="","",COUNTIFS(Başvuru!$C:$C,C197,Başvuru!$L:$L,"KAPSAM DIŞI",Başvuru!$A:$A,"&lt;&gt;"&amp;"",Başvuru!$F:$F,"&lt;&gt;"&amp;""))</f>
        <v>0</v>
      </c>
      <c r="P197" s="178">
        <f>IF(C197="","",COUNTIFS(Başvuru!$C:$C,C197,Başvuru!$L:$L,"GERİ ÇEKİLDİ",Başvuru!$A:$A,"&lt;&gt;"&amp;"",Başvuru!$F:$F,"&lt;&gt;"&amp;""))</f>
        <v>0</v>
      </c>
      <c r="Q197" s="166" t="s">
        <v>1788</v>
      </c>
      <c r="R197" s="167">
        <f>COUNTIFS(Başvuru!$C:$C,Q197,Başvuru!$A:$A,"&lt;&gt;"&amp;"",Başvuru!$F:$F,"&lt;&gt;"&amp;"")</f>
        <v>2</v>
      </c>
      <c r="S197" s="167">
        <f>RANK(R197,$R$6:$R$324,0)+COUNTIF($R$6:R197,R197)-1</f>
        <v>116</v>
      </c>
    </row>
    <row r="198" spans="2:19" ht="15" customHeight="1" x14ac:dyDescent="0.25">
      <c r="B198" s="155">
        <v>193</v>
      </c>
      <c r="C198" s="156" t="str">
        <f>IFERROR(INDEX($Q$6:$Q$324,MATCH(193,$S$6:$S$324,0)),"")</f>
        <v>Dr. Öğr. Üyesi Cenk Ahmet AKCAN</v>
      </c>
      <c r="D198" s="157">
        <f>IF(C198="","",COUNTIFS(Başvuru!$C:$C,C198,Başvuru!$A:$A,"&lt;&gt;"&amp;"",Başvuru!$F:$F,"&lt;&gt;"&amp;""))</f>
        <v>1</v>
      </c>
      <c r="E198" s="155" t="str">
        <f>IF(C198="","-",IF(D198&gt;0,TEXT(D198/(COUNTIFS(Başvuru!$A:$A,"&lt;&gt;",Başvuru!$F:$F,"&lt;&gt;")-1)*100,"0.0")&amp;"%","-"))</f>
        <v>00%</v>
      </c>
      <c r="F198" s="158">
        <f>IF(C198="","",COUNTIFS(Başvuru!$C:$C,C198,Başvuru!$G:$G,"Bireysel Araştırma",Başvuru!$A:$A,"&lt;&gt;"&amp;"",Başvuru!$F:$F,"&lt;&gt;"&amp;""))</f>
        <v>1</v>
      </c>
      <c r="G198" s="158">
        <f>IF(C198="","",COUNTIFS(Başvuru!$C:$C,C198,Başvuru!$G:$G,"Uzmanlık Tezi",Başvuru!$A:$A,"&lt;&gt;"&amp;"",Başvuru!$F:$F,"&lt;&gt;"&amp;""))</f>
        <v>0</v>
      </c>
      <c r="H198" s="158">
        <f>IF(C198="","",COUNTIFS(Başvuru!$C:$C,C198,Başvuru!$G:$G,"Doktora Tezi",Başvuru!$A:$A,"&lt;&gt;"&amp;"",Başvuru!$F:$F,"&lt;&gt;"&amp;""))</f>
        <v>0</v>
      </c>
      <c r="I198" s="158">
        <f>IF(C198="","",COUNTIFS(Başvuru!$C:$C,C198,Başvuru!$G:$G,"Yüksek Lisans Tezi",Başvuru!$A:$A,"&lt;&gt;"&amp;"",Başvuru!$F:$F,"&lt;&gt;"&amp;""))</f>
        <v>0</v>
      </c>
      <c r="J198" s="159">
        <f>IF(C198="","",COUNTIFS(Başvuru!$C:$C,C198,Başvuru!$L:$L,"ONAY",Başvuru!$A:$A,"&lt;&gt;"&amp;"",Başvuru!$F:$F,"&lt;&gt;"&amp;""))</f>
        <v>1</v>
      </c>
      <c r="K198" s="160">
        <f>IF(C198="","",COUNTIFS(Başvuru!$C:$C,C198,Başvuru!$L:$L,"DÜZELTME",Başvuru!$A:$A,"&lt;&gt;"&amp;"",Başvuru!$F:$F,"&lt;&gt;"&amp;""))</f>
        <v>0</v>
      </c>
      <c r="L198" s="161">
        <f>IF(C198="","",COUNTIFS(Başvuru!$C:$C,C198,Başvuru!$L:$L,"KAEK",Başvuru!$A:$A,"&lt;&gt;"&amp;"",Başvuru!$F:$F,"&lt;&gt;"&amp;""))</f>
        <v>0</v>
      </c>
      <c r="M198" s="162">
        <f>IF(C198="","",COUNTIFS(Başvuru!$C:$C,C198,Başvuru!$L:$L,"GÖRÜŞ",Başvuru!$A:$A,"&lt;&gt;"&amp;"",Başvuru!$F:$F,"&lt;&gt;"&amp;""))</f>
        <v>0</v>
      </c>
      <c r="N198" s="163">
        <f>IF(C198="","",COUNTIFS(Başvuru!$C:$C,C198,Başvuru!$L:$L,"RET",Başvuru!$A:$A,"&lt;&gt;"&amp;"",Başvuru!$F:$F,"&lt;&gt;"&amp;""))</f>
        <v>0</v>
      </c>
      <c r="O198" s="164">
        <f>IF(C198="","",COUNTIFS(Başvuru!$C:$C,C198,Başvuru!$L:$L,"KAPSAM DIŞI",Başvuru!$A:$A,"&lt;&gt;"&amp;"",Başvuru!$F:$F,"&lt;&gt;"&amp;""))</f>
        <v>0</v>
      </c>
      <c r="P198" s="165">
        <f>IF(C198="","",COUNTIFS(Başvuru!$C:$C,C198,Başvuru!$L:$L,"GERİ ÇEKİLDİ",Başvuru!$A:$A,"&lt;&gt;"&amp;"",Başvuru!$F:$F,"&lt;&gt;"&amp;""))</f>
        <v>0</v>
      </c>
      <c r="Q198" s="166" t="s">
        <v>2484</v>
      </c>
      <c r="R198" s="167">
        <f>COUNTIFS(Başvuru!$C:$C,Q198,Başvuru!$A:$A,"&lt;&gt;"&amp;"",Başvuru!$F:$F,"&lt;&gt;"&amp;"")</f>
        <v>1</v>
      </c>
      <c r="S198" s="167">
        <f>RANK(R198,$R$6:$R$324,0)+COUNTIF($R$6:R198,R198)-1</f>
        <v>242</v>
      </c>
    </row>
    <row r="199" spans="2:19" ht="15" customHeight="1" x14ac:dyDescent="0.25">
      <c r="B199" s="168">
        <v>194</v>
      </c>
      <c r="C199" s="169" t="str">
        <f>IFERROR(INDEX($Q$6:$Q$324,MATCH(194,$S$6:$S$324,0)),"")</f>
        <v>Dr. Öğr. Üyesi Emre MUTLU</v>
      </c>
      <c r="D199" s="170">
        <f>IF(C199="","",COUNTIFS(Başvuru!$C:$C,C199,Başvuru!$A:$A,"&lt;&gt;"&amp;"",Başvuru!$F:$F,"&lt;&gt;"&amp;""))</f>
        <v>1</v>
      </c>
      <c r="E199" s="168" t="str">
        <f>IF(C199="","-",IF(D199&gt;0,TEXT(D199/(COUNTIFS(Başvuru!$A:$A,"&lt;&gt;",Başvuru!$F:$F,"&lt;&gt;")-1)*100,"0.0")&amp;"%","-"))</f>
        <v>00%</v>
      </c>
      <c r="F199" s="171">
        <f>IF(C199="","",COUNTIFS(Başvuru!$C:$C,C199,Başvuru!$G:$G,"Bireysel Araştırma",Başvuru!$A:$A,"&lt;&gt;"&amp;"",Başvuru!$F:$F,"&lt;&gt;"&amp;""))</f>
        <v>1</v>
      </c>
      <c r="G199" s="171">
        <f>IF(C199="","",COUNTIFS(Başvuru!$C:$C,C199,Başvuru!$G:$G,"Uzmanlık Tezi",Başvuru!$A:$A,"&lt;&gt;"&amp;"",Başvuru!$F:$F,"&lt;&gt;"&amp;""))</f>
        <v>0</v>
      </c>
      <c r="H199" s="171">
        <f>IF(C199="","",COUNTIFS(Başvuru!$C:$C,C199,Başvuru!$G:$G,"Doktora Tezi",Başvuru!$A:$A,"&lt;&gt;"&amp;"",Başvuru!$F:$F,"&lt;&gt;"&amp;""))</f>
        <v>0</v>
      </c>
      <c r="I199" s="171">
        <f>IF(C199="","",COUNTIFS(Başvuru!$C:$C,C199,Başvuru!$G:$G,"Yüksek Lisans Tezi",Başvuru!$A:$A,"&lt;&gt;"&amp;"",Başvuru!$F:$F,"&lt;&gt;"&amp;""))</f>
        <v>0</v>
      </c>
      <c r="J199" s="172">
        <f>IF(C199="","",COUNTIFS(Başvuru!$C:$C,C199,Başvuru!$L:$L,"ONAY",Başvuru!$A:$A,"&lt;&gt;"&amp;"",Başvuru!$F:$F,"&lt;&gt;"&amp;""))</f>
        <v>1</v>
      </c>
      <c r="K199" s="173">
        <f>IF(C199="","",COUNTIFS(Başvuru!$C:$C,C199,Başvuru!$L:$L,"DÜZELTME",Başvuru!$A:$A,"&lt;&gt;"&amp;"",Başvuru!$F:$F,"&lt;&gt;"&amp;""))</f>
        <v>0</v>
      </c>
      <c r="L199" s="174">
        <f>IF(C199="","",COUNTIFS(Başvuru!$C:$C,C199,Başvuru!$L:$L,"KAEK",Başvuru!$A:$A,"&lt;&gt;"&amp;"",Başvuru!$F:$F,"&lt;&gt;"&amp;""))</f>
        <v>0</v>
      </c>
      <c r="M199" s="175">
        <f>IF(C199="","",COUNTIFS(Başvuru!$C:$C,C199,Başvuru!$L:$L,"GÖRÜŞ",Başvuru!$A:$A,"&lt;&gt;"&amp;"",Başvuru!$F:$F,"&lt;&gt;"&amp;""))</f>
        <v>0</v>
      </c>
      <c r="N199" s="176">
        <f>IF(C199="","",COUNTIFS(Başvuru!$C:$C,C199,Başvuru!$L:$L,"RET",Başvuru!$A:$A,"&lt;&gt;"&amp;"",Başvuru!$F:$F,"&lt;&gt;"&amp;""))</f>
        <v>0</v>
      </c>
      <c r="O199" s="177">
        <f>IF(C199="","",COUNTIFS(Başvuru!$C:$C,C199,Başvuru!$L:$L,"KAPSAM DIŞI",Başvuru!$A:$A,"&lt;&gt;"&amp;"",Başvuru!$F:$F,"&lt;&gt;"&amp;""))</f>
        <v>0</v>
      </c>
      <c r="P199" s="178">
        <f>IF(C199="","",COUNTIFS(Başvuru!$C:$C,C199,Başvuru!$L:$L,"GERİ ÇEKİLDİ",Başvuru!$A:$A,"&lt;&gt;"&amp;"",Başvuru!$F:$F,"&lt;&gt;"&amp;""))</f>
        <v>0</v>
      </c>
      <c r="Q199" s="166" t="s">
        <v>434</v>
      </c>
      <c r="R199" s="167">
        <f>COUNTIFS(Başvuru!$C:$C,Q199,Başvuru!$A:$A,"&lt;&gt;"&amp;"",Başvuru!$F:$F,"&lt;&gt;"&amp;"")</f>
        <v>2</v>
      </c>
      <c r="S199" s="167">
        <f>RANK(R199,$R$6:$R$324,0)+COUNTIF($R$6:R199,R199)-1</f>
        <v>117</v>
      </c>
    </row>
    <row r="200" spans="2:19" ht="15" customHeight="1" x14ac:dyDescent="0.25">
      <c r="B200" s="155">
        <v>195</v>
      </c>
      <c r="C200" s="156" t="str">
        <f>IFERROR(INDEX($Q$6:$Q$324,MATCH(195,$S$6:$S$324,0)),"")</f>
        <v>Dr. Öğr. Üyesi Evrim ÜNVER</v>
      </c>
      <c r="D200" s="157">
        <f>IF(C200="","",COUNTIFS(Başvuru!$C:$C,C200,Başvuru!$A:$A,"&lt;&gt;"&amp;"",Başvuru!$F:$F,"&lt;&gt;"&amp;""))</f>
        <v>1</v>
      </c>
      <c r="E200" s="155" t="str">
        <f>IF(C200="","-",IF(D200&gt;0,TEXT(D200/(COUNTIFS(Başvuru!$A:$A,"&lt;&gt;",Başvuru!$F:$F,"&lt;&gt;")-1)*100,"0.0")&amp;"%","-"))</f>
        <v>00%</v>
      </c>
      <c r="F200" s="158">
        <f>IF(C200="","",COUNTIFS(Başvuru!$C:$C,C200,Başvuru!$G:$G,"Bireysel Araştırma",Başvuru!$A:$A,"&lt;&gt;"&amp;"",Başvuru!$F:$F,"&lt;&gt;"&amp;""))</f>
        <v>1</v>
      </c>
      <c r="G200" s="158">
        <f>IF(C200="","",COUNTIFS(Başvuru!$C:$C,C200,Başvuru!$G:$G,"Uzmanlık Tezi",Başvuru!$A:$A,"&lt;&gt;"&amp;"",Başvuru!$F:$F,"&lt;&gt;"&amp;""))</f>
        <v>0</v>
      </c>
      <c r="H200" s="158">
        <f>IF(C200="","",COUNTIFS(Başvuru!$C:$C,C200,Başvuru!$G:$G,"Doktora Tezi",Başvuru!$A:$A,"&lt;&gt;"&amp;"",Başvuru!$F:$F,"&lt;&gt;"&amp;""))</f>
        <v>0</v>
      </c>
      <c r="I200" s="158">
        <f>IF(C200="","",COUNTIFS(Başvuru!$C:$C,C200,Başvuru!$G:$G,"Yüksek Lisans Tezi",Başvuru!$A:$A,"&lt;&gt;"&amp;"",Başvuru!$F:$F,"&lt;&gt;"&amp;""))</f>
        <v>0</v>
      </c>
      <c r="J200" s="159">
        <f>IF(C200="","",COUNTIFS(Başvuru!$C:$C,C200,Başvuru!$L:$L,"ONAY",Başvuru!$A:$A,"&lt;&gt;"&amp;"",Başvuru!$F:$F,"&lt;&gt;"&amp;""))</f>
        <v>1</v>
      </c>
      <c r="K200" s="160">
        <f>IF(C200="","",COUNTIFS(Başvuru!$C:$C,C200,Başvuru!$L:$L,"DÜZELTME",Başvuru!$A:$A,"&lt;&gt;"&amp;"",Başvuru!$F:$F,"&lt;&gt;"&amp;""))</f>
        <v>0</v>
      </c>
      <c r="L200" s="161">
        <f>IF(C200="","",COUNTIFS(Başvuru!$C:$C,C200,Başvuru!$L:$L,"KAEK",Başvuru!$A:$A,"&lt;&gt;"&amp;"",Başvuru!$F:$F,"&lt;&gt;"&amp;""))</f>
        <v>0</v>
      </c>
      <c r="M200" s="162">
        <f>IF(C200="","",COUNTIFS(Başvuru!$C:$C,C200,Başvuru!$L:$L,"GÖRÜŞ",Başvuru!$A:$A,"&lt;&gt;"&amp;"",Başvuru!$F:$F,"&lt;&gt;"&amp;""))</f>
        <v>0</v>
      </c>
      <c r="N200" s="163">
        <f>IF(C200="","",COUNTIFS(Başvuru!$C:$C,C200,Başvuru!$L:$L,"RET",Başvuru!$A:$A,"&lt;&gt;"&amp;"",Başvuru!$F:$F,"&lt;&gt;"&amp;""))</f>
        <v>0</v>
      </c>
      <c r="O200" s="164">
        <f>IF(C200="","",COUNTIFS(Başvuru!$C:$C,C200,Başvuru!$L:$L,"KAPSAM DIŞI",Başvuru!$A:$A,"&lt;&gt;"&amp;"",Başvuru!$F:$F,"&lt;&gt;"&amp;""))</f>
        <v>0</v>
      </c>
      <c r="P200" s="165">
        <f>IF(C200="","",COUNTIFS(Başvuru!$C:$C,C200,Başvuru!$L:$L,"GERİ ÇEKİLDİ",Başvuru!$A:$A,"&lt;&gt;"&amp;"",Başvuru!$F:$F,"&lt;&gt;"&amp;""))</f>
        <v>0</v>
      </c>
      <c r="Q200" s="166" t="s">
        <v>898</v>
      </c>
      <c r="R200" s="167">
        <f>COUNTIFS(Başvuru!$C:$C,Q200,Başvuru!$A:$A,"&lt;&gt;"&amp;"",Başvuru!$F:$F,"&lt;&gt;"&amp;"")</f>
        <v>1</v>
      </c>
      <c r="S200" s="167">
        <f>RANK(R200,$R$6:$R$324,0)+COUNTIF($R$6:R200,R200)-1</f>
        <v>243</v>
      </c>
    </row>
    <row r="201" spans="2:19" ht="15" customHeight="1" x14ac:dyDescent="0.25">
      <c r="B201" s="168">
        <v>196</v>
      </c>
      <c r="C201" s="169" t="str">
        <f>IFERROR(INDEX($Q$6:$Q$324,MATCH(196,$S$6:$S$324,0)),"")</f>
        <v>Dr. Öğr. Üyesi Ezgi DOĞAN CÖMERT</v>
      </c>
      <c r="D201" s="170">
        <f>IF(C201="","",COUNTIFS(Başvuru!$C:$C,C201,Başvuru!$A:$A,"&lt;&gt;"&amp;"",Başvuru!$F:$F,"&lt;&gt;"&amp;""))</f>
        <v>1</v>
      </c>
      <c r="E201" s="168" t="str">
        <f>IF(C201="","-",IF(D201&gt;0,TEXT(D201/(COUNTIFS(Başvuru!$A:$A,"&lt;&gt;",Başvuru!$F:$F,"&lt;&gt;")-1)*100,"0.0")&amp;"%","-"))</f>
        <v>00%</v>
      </c>
      <c r="F201" s="171">
        <f>IF(C201="","",COUNTIFS(Başvuru!$C:$C,C201,Başvuru!$G:$G,"Bireysel Araştırma",Başvuru!$A:$A,"&lt;&gt;"&amp;"",Başvuru!$F:$F,"&lt;&gt;"&amp;""))</f>
        <v>1</v>
      </c>
      <c r="G201" s="171">
        <f>IF(C201="","",COUNTIFS(Başvuru!$C:$C,C201,Başvuru!$G:$G,"Uzmanlık Tezi",Başvuru!$A:$A,"&lt;&gt;"&amp;"",Başvuru!$F:$F,"&lt;&gt;"&amp;""))</f>
        <v>0</v>
      </c>
      <c r="H201" s="171">
        <f>IF(C201="","",COUNTIFS(Başvuru!$C:$C,C201,Başvuru!$G:$G,"Doktora Tezi",Başvuru!$A:$A,"&lt;&gt;"&amp;"",Başvuru!$F:$F,"&lt;&gt;"&amp;""))</f>
        <v>0</v>
      </c>
      <c r="I201" s="171">
        <f>IF(C201="","",COUNTIFS(Başvuru!$C:$C,C201,Başvuru!$G:$G,"Yüksek Lisans Tezi",Başvuru!$A:$A,"&lt;&gt;"&amp;"",Başvuru!$F:$F,"&lt;&gt;"&amp;""))</f>
        <v>0</v>
      </c>
      <c r="J201" s="172">
        <f>IF(C201="","",COUNTIFS(Başvuru!$C:$C,C201,Başvuru!$L:$L,"ONAY",Başvuru!$A:$A,"&lt;&gt;"&amp;"",Başvuru!$F:$F,"&lt;&gt;"&amp;""))</f>
        <v>1</v>
      </c>
      <c r="K201" s="173">
        <f>IF(C201="","",COUNTIFS(Başvuru!$C:$C,C201,Başvuru!$L:$L,"DÜZELTME",Başvuru!$A:$A,"&lt;&gt;"&amp;"",Başvuru!$F:$F,"&lt;&gt;"&amp;""))</f>
        <v>0</v>
      </c>
      <c r="L201" s="174">
        <f>IF(C201="","",COUNTIFS(Başvuru!$C:$C,C201,Başvuru!$L:$L,"KAEK",Başvuru!$A:$A,"&lt;&gt;"&amp;"",Başvuru!$F:$F,"&lt;&gt;"&amp;""))</f>
        <v>0</v>
      </c>
      <c r="M201" s="175">
        <f>IF(C201="","",COUNTIFS(Başvuru!$C:$C,C201,Başvuru!$L:$L,"GÖRÜŞ",Başvuru!$A:$A,"&lt;&gt;"&amp;"",Başvuru!$F:$F,"&lt;&gt;"&amp;""))</f>
        <v>0</v>
      </c>
      <c r="N201" s="176">
        <f>IF(C201="","",COUNTIFS(Başvuru!$C:$C,C201,Başvuru!$L:$L,"RET",Başvuru!$A:$A,"&lt;&gt;"&amp;"",Başvuru!$F:$F,"&lt;&gt;"&amp;""))</f>
        <v>0</v>
      </c>
      <c r="O201" s="177">
        <f>IF(C201="","",COUNTIFS(Başvuru!$C:$C,C201,Başvuru!$L:$L,"KAPSAM DIŞI",Başvuru!$A:$A,"&lt;&gt;"&amp;"",Başvuru!$F:$F,"&lt;&gt;"&amp;""))</f>
        <v>0</v>
      </c>
      <c r="P201" s="178">
        <f>IF(C201="","",COUNTIFS(Başvuru!$C:$C,C201,Başvuru!$L:$L,"GERİ ÇEKİLDİ",Başvuru!$A:$A,"&lt;&gt;"&amp;"",Başvuru!$F:$F,"&lt;&gt;"&amp;""))</f>
        <v>0</v>
      </c>
      <c r="Q201" s="166" t="s">
        <v>712</v>
      </c>
      <c r="R201" s="167">
        <f>COUNTIFS(Başvuru!$C:$C,Q201,Başvuru!$A:$A,"&lt;&gt;"&amp;"",Başvuru!$F:$F,"&lt;&gt;"&amp;"")</f>
        <v>4</v>
      </c>
      <c r="S201" s="167">
        <f>RANK(R201,$R$6:$R$324,0)+COUNTIF($R$6:R201,R201)-1</f>
        <v>42</v>
      </c>
    </row>
    <row r="202" spans="2:19" ht="15" customHeight="1" x14ac:dyDescent="0.25">
      <c r="B202" s="155">
        <v>197</v>
      </c>
      <c r="C202" s="156" t="str">
        <f>IFERROR(INDEX($Q$6:$Q$324,MATCH(197,$S$6:$S$324,0)),"")</f>
        <v>Dr. Öğr. Üyesi Gökçen AKÇİÇEK</v>
      </c>
      <c r="D202" s="157">
        <f>IF(C202="","",COUNTIFS(Başvuru!$C:$C,C202,Başvuru!$A:$A,"&lt;&gt;"&amp;"",Başvuru!$F:$F,"&lt;&gt;"&amp;""))</f>
        <v>1</v>
      </c>
      <c r="E202" s="155" t="str">
        <f>IF(C202="","-",IF(D202&gt;0,TEXT(D202/(COUNTIFS(Başvuru!$A:$A,"&lt;&gt;",Başvuru!$F:$F,"&lt;&gt;")-1)*100,"0.0")&amp;"%","-"))</f>
        <v>00%</v>
      </c>
      <c r="F202" s="158">
        <f>IF(C202="","",COUNTIFS(Başvuru!$C:$C,C202,Başvuru!$G:$G,"Bireysel Araştırma",Başvuru!$A:$A,"&lt;&gt;"&amp;"",Başvuru!$F:$F,"&lt;&gt;"&amp;""))</f>
        <v>0</v>
      </c>
      <c r="G202" s="158">
        <f>IF(C202="","",COUNTIFS(Başvuru!$C:$C,C202,Başvuru!$G:$G,"Uzmanlık Tezi",Başvuru!$A:$A,"&lt;&gt;"&amp;"",Başvuru!$F:$F,"&lt;&gt;"&amp;""))</f>
        <v>1</v>
      </c>
      <c r="H202" s="158">
        <f>IF(C202="","",COUNTIFS(Başvuru!$C:$C,C202,Başvuru!$G:$G,"Doktora Tezi",Başvuru!$A:$A,"&lt;&gt;"&amp;"",Başvuru!$F:$F,"&lt;&gt;"&amp;""))</f>
        <v>0</v>
      </c>
      <c r="I202" s="158">
        <f>IF(C202="","",COUNTIFS(Başvuru!$C:$C,C202,Başvuru!$G:$G,"Yüksek Lisans Tezi",Başvuru!$A:$A,"&lt;&gt;"&amp;"",Başvuru!$F:$F,"&lt;&gt;"&amp;""))</f>
        <v>0</v>
      </c>
      <c r="J202" s="159">
        <f>IF(C202="","",COUNTIFS(Başvuru!$C:$C,C202,Başvuru!$L:$L,"ONAY",Başvuru!$A:$A,"&lt;&gt;"&amp;"",Başvuru!$F:$F,"&lt;&gt;"&amp;""))</f>
        <v>1</v>
      </c>
      <c r="K202" s="160">
        <f>IF(C202="","",COUNTIFS(Başvuru!$C:$C,C202,Başvuru!$L:$L,"DÜZELTME",Başvuru!$A:$A,"&lt;&gt;"&amp;"",Başvuru!$F:$F,"&lt;&gt;"&amp;""))</f>
        <v>0</v>
      </c>
      <c r="L202" s="161">
        <f>IF(C202="","",COUNTIFS(Başvuru!$C:$C,C202,Başvuru!$L:$L,"KAEK",Başvuru!$A:$A,"&lt;&gt;"&amp;"",Başvuru!$F:$F,"&lt;&gt;"&amp;""))</f>
        <v>0</v>
      </c>
      <c r="M202" s="162">
        <f>IF(C202="","",COUNTIFS(Başvuru!$C:$C,C202,Başvuru!$L:$L,"GÖRÜŞ",Başvuru!$A:$A,"&lt;&gt;"&amp;"",Başvuru!$F:$F,"&lt;&gt;"&amp;""))</f>
        <v>0</v>
      </c>
      <c r="N202" s="163">
        <f>IF(C202="","",COUNTIFS(Başvuru!$C:$C,C202,Başvuru!$L:$L,"RET",Başvuru!$A:$A,"&lt;&gt;"&amp;"",Başvuru!$F:$F,"&lt;&gt;"&amp;""))</f>
        <v>0</v>
      </c>
      <c r="O202" s="164">
        <f>IF(C202="","",COUNTIFS(Başvuru!$C:$C,C202,Başvuru!$L:$L,"KAPSAM DIŞI",Başvuru!$A:$A,"&lt;&gt;"&amp;"",Başvuru!$F:$F,"&lt;&gt;"&amp;""))</f>
        <v>0</v>
      </c>
      <c r="P202" s="165">
        <f>IF(C202="","",COUNTIFS(Başvuru!$C:$C,C202,Başvuru!$L:$L,"GERİ ÇEKİLDİ",Başvuru!$A:$A,"&lt;&gt;"&amp;"",Başvuru!$F:$F,"&lt;&gt;"&amp;""))</f>
        <v>0</v>
      </c>
      <c r="Q202" s="166" t="s">
        <v>250</v>
      </c>
      <c r="R202" s="167">
        <f>COUNTIFS(Başvuru!$C:$C,Q202,Başvuru!$A:$A,"&lt;&gt;"&amp;"",Başvuru!$F:$F,"&lt;&gt;"&amp;"")</f>
        <v>2</v>
      </c>
      <c r="S202" s="167">
        <f>RANK(R202,$R$6:$R$324,0)+COUNTIF($R$6:R202,R202)-1</f>
        <v>118</v>
      </c>
    </row>
    <row r="203" spans="2:19" ht="15" customHeight="1" x14ac:dyDescent="0.25">
      <c r="B203" s="168">
        <v>198</v>
      </c>
      <c r="C203" s="169" t="str">
        <f>IFERROR(INDEX($Q$6:$Q$324,MATCH(198,$S$6:$S$324,0)),"")</f>
        <v>Dr. Öğr. Üyesi Gözde ÖZER</v>
      </c>
      <c r="D203" s="170">
        <f>IF(C203="","",COUNTIFS(Başvuru!$C:$C,C203,Başvuru!$A:$A,"&lt;&gt;"&amp;"",Başvuru!$F:$F,"&lt;&gt;"&amp;""))</f>
        <v>1</v>
      </c>
      <c r="E203" s="168" t="str">
        <f>IF(C203="","-",IF(D203&gt;0,TEXT(D203/(COUNTIFS(Başvuru!$A:$A,"&lt;&gt;",Başvuru!$F:$F,"&lt;&gt;")-1)*100,"0.0")&amp;"%","-"))</f>
        <v>00%</v>
      </c>
      <c r="F203" s="171">
        <f>IF(C203="","",COUNTIFS(Başvuru!$C:$C,C203,Başvuru!$G:$G,"Bireysel Araştırma",Başvuru!$A:$A,"&lt;&gt;"&amp;"",Başvuru!$F:$F,"&lt;&gt;"&amp;""))</f>
        <v>1</v>
      </c>
      <c r="G203" s="171">
        <f>IF(C203="","",COUNTIFS(Başvuru!$C:$C,C203,Başvuru!$G:$G,"Uzmanlık Tezi",Başvuru!$A:$A,"&lt;&gt;"&amp;"",Başvuru!$F:$F,"&lt;&gt;"&amp;""))</f>
        <v>0</v>
      </c>
      <c r="H203" s="171">
        <f>IF(C203="","",COUNTIFS(Başvuru!$C:$C,C203,Başvuru!$G:$G,"Doktora Tezi",Başvuru!$A:$A,"&lt;&gt;"&amp;"",Başvuru!$F:$F,"&lt;&gt;"&amp;""))</f>
        <v>0</v>
      </c>
      <c r="I203" s="171">
        <f>IF(C203="","",COUNTIFS(Başvuru!$C:$C,C203,Başvuru!$G:$G,"Yüksek Lisans Tezi",Başvuru!$A:$A,"&lt;&gt;"&amp;"",Başvuru!$F:$F,"&lt;&gt;"&amp;""))</f>
        <v>0</v>
      </c>
      <c r="J203" s="172">
        <f>IF(C203="","",COUNTIFS(Başvuru!$C:$C,C203,Başvuru!$L:$L,"ONAY",Başvuru!$A:$A,"&lt;&gt;"&amp;"",Başvuru!$F:$F,"&lt;&gt;"&amp;""))</f>
        <v>1</v>
      </c>
      <c r="K203" s="173">
        <f>IF(C203="","",COUNTIFS(Başvuru!$C:$C,C203,Başvuru!$L:$L,"DÜZELTME",Başvuru!$A:$A,"&lt;&gt;"&amp;"",Başvuru!$F:$F,"&lt;&gt;"&amp;""))</f>
        <v>0</v>
      </c>
      <c r="L203" s="174">
        <f>IF(C203="","",COUNTIFS(Başvuru!$C:$C,C203,Başvuru!$L:$L,"KAEK",Başvuru!$A:$A,"&lt;&gt;"&amp;"",Başvuru!$F:$F,"&lt;&gt;"&amp;""))</f>
        <v>0</v>
      </c>
      <c r="M203" s="175">
        <f>IF(C203="","",COUNTIFS(Başvuru!$C:$C,C203,Başvuru!$L:$L,"GÖRÜŞ",Başvuru!$A:$A,"&lt;&gt;"&amp;"",Başvuru!$F:$F,"&lt;&gt;"&amp;""))</f>
        <v>0</v>
      </c>
      <c r="N203" s="176">
        <f>IF(C203="","",COUNTIFS(Başvuru!$C:$C,C203,Başvuru!$L:$L,"RET",Başvuru!$A:$A,"&lt;&gt;"&amp;"",Başvuru!$F:$F,"&lt;&gt;"&amp;""))</f>
        <v>0</v>
      </c>
      <c r="O203" s="177">
        <f>IF(C203="","",COUNTIFS(Başvuru!$C:$C,C203,Başvuru!$L:$L,"KAPSAM DIŞI",Başvuru!$A:$A,"&lt;&gt;"&amp;"",Başvuru!$F:$F,"&lt;&gt;"&amp;""))</f>
        <v>0</v>
      </c>
      <c r="P203" s="178">
        <f>IF(C203="","",COUNTIFS(Başvuru!$C:$C,C203,Başvuru!$L:$L,"GERİ ÇEKİLDİ",Başvuru!$A:$A,"&lt;&gt;"&amp;"",Başvuru!$F:$F,"&lt;&gt;"&amp;""))</f>
        <v>0</v>
      </c>
      <c r="Q203" s="166" t="s">
        <v>812</v>
      </c>
      <c r="R203" s="167">
        <f>COUNTIFS(Başvuru!$C:$C,Q203,Başvuru!$A:$A,"&lt;&gt;"&amp;"",Başvuru!$F:$F,"&lt;&gt;"&amp;"")</f>
        <v>1</v>
      </c>
      <c r="S203" s="167">
        <f>RANK(R203,$R$6:$R$324,0)+COUNTIF($R$6:R203,R203)-1</f>
        <v>244</v>
      </c>
    </row>
    <row r="204" spans="2:19" ht="15" customHeight="1" x14ac:dyDescent="0.25">
      <c r="B204" s="155">
        <v>199</v>
      </c>
      <c r="C204" s="156" t="str">
        <f>IFERROR(INDEX($Q$6:$Q$324,MATCH(199,$S$6:$S$324,0)),"")</f>
        <v>Dr. Öğr. Üyesi Hanife Merva PARLAK</v>
      </c>
      <c r="D204" s="157">
        <f>IF(C204="","",COUNTIFS(Başvuru!$C:$C,C204,Başvuru!$A:$A,"&lt;&gt;"&amp;"",Başvuru!$F:$F,"&lt;&gt;"&amp;""))</f>
        <v>1</v>
      </c>
      <c r="E204" s="155" t="str">
        <f>IF(C204="","-",IF(D204&gt;0,TEXT(D204/(COUNTIFS(Başvuru!$A:$A,"&lt;&gt;",Başvuru!$F:$F,"&lt;&gt;")-1)*100,"0.0")&amp;"%","-"))</f>
        <v>00%</v>
      </c>
      <c r="F204" s="158">
        <f>IF(C204="","",COUNTIFS(Başvuru!$C:$C,C204,Başvuru!$G:$G,"Bireysel Araştırma",Başvuru!$A:$A,"&lt;&gt;"&amp;"",Başvuru!$F:$F,"&lt;&gt;"&amp;""))</f>
        <v>1</v>
      </c>
      <c r="G204" s="158">
        <f>IF(C204="","",COUNTIFS(Başvuru!$C:$C,C204,Başvuru!$G:$G,"Uzmanlık Tezi",Başvuru!$A:$A,"&lt;&gt;"&amp;"",Başvuru!$F:$F,"&lt;&gt;"&amp;""))</f>
        <v>0</v>
      </c>
      <c r="H204" s="158">
        <f>IF(C204="","",COUNTIFS(Başvuru!$C:$C,C204,Başvuru!$G:$G,"Doktora Tezi",Başvuru!$A:$A,"&lt;&gt;"&amp;"",Başvuru!$F:$F,"&lt;&gt;"&amp;""))</f>
        <v>0</v>
      </c>
      <c r="I204" s="158">
        <f>IF(C204="","",COUNTIFS(Başvuru!$C:$C,C204,Başvuru!$G:$G,"Yüksek Lisans Tezi",Başvuru!$A:$A,"&lt;&gt;"&amp;"",Başvuru!$F:$F,"&lt;&gt;"&amp;""))</f>
        <v>0</v>
      </c>
      <c r="J204" s="159">
        <f>IF(C204="","",COUNTIFS(Başvuru!$C:$C,C204,Başvuru!$L:$L,"ONAY",Başvuru!$A:$A,"&lt;&gt;"&amp;"",Başvuru!$F:$F,"&lt;&gt;"&amp;""))</f>
        <v>1</v>
      </c>
      <c r="K204" s="160">
        <f>IF(C204="","",COUNTIFS(Başvuru!$C:$C,C204,Başvuru!$L:$L,"DÜZELTME",Başvuru!$A:$A,"&lt;&gt;"&amp;"",Başvuru!$F:$F,"&lt;&gt;"&amp;""))</f>
        <v>0</v>
      </c>
      <c r="L204" s="161">
        <f>IF(C204="","",COUNTIFS(Başvuru!$C:$C,C204,Başvuru!$L:$L,"KAEK",Başvuru!$A:$A,"&lt;&gt;"&amp;"",Başvuru!$F:$F,"&lt;&gt;"&amp;""))</f>
        <v>0</v>
      </c>
      <c r="M204" s="162">
        <f>IF(C204="","",COUNTIFS(Başvuru!$C:$C,C204,Başvuru!$L:$L,"GÖRÜŞ",Başvuru!$A:$A,"&lt;&gt;"&amp;"",Başvuru!$F:$F,"&lt;&gt;"&amp;""))</f>
        <v>0</v>
      </c>
      <c r="N204" s="163">
        <f>IF(C204="","",COUNTIFS(Başvuru!$C:$C,C204,Başvuru!$L:$L,"RET",Başvuru!$A:$A,"&lt;&gt;"&amp;"",Başvuru!$F:$F,"&lt;&gt;"&amp;""))</f>
        <v>0</v>
      </c>
      <c r="O204" s="164">
        <f>IF(C204="","",COUNTIFS(Başvuru!$C:$C,C204,Başvuru!$L:$L,"KAPSAM DIŞI",Başvuru!$A:$A,"&lt;&gt;"&amp;"",Başvuru!$F:$F,"&lt;&gt;"&amp;""))</f>
        <v>0</v>
      </c>
      <c r="P204" s="165">
        <f>IF(C204="","",COUNTIFS(Başvuru!$C:$C,C204,Başvuru!$L:$L,"GERİ ÇEKİLDİ",Başvuru!$A:$A,"&lt;&gt;"&amp;"",Başvuru!$F:$F,"&lt;&gt;"&amp;""))</f>
        <v>0</v>
      </c>
      <c r="Q204" s="166" t="s">
        <v>1705</v>
      </c>
      <c r="R204" s="167">
        <f>COUNTIFS(Başvuru!$C:$C,Q204,Başvuru!$A:$A,"&lt;&gt;"&amp;"",Başvuru!$F:$F,"&lt;&gt;"&amp;"")</f>
        <v>2</v>
      </c>
      <c r="S204" s="167">
        <f>RANK(R204,$R$6:$R$324,0)+COUNTIF($R$6:R204,R204)-1</f>
        <v>119</v>
      </c>
    </row>
    <row r="205" spans="2:19" ht="15" customHeight="1" x14ac:dyDescent="0.25">
      <c r="B205" s="168">
        <v>200</v>
      </c>
      <c r="C205" s="169" t="str">
        <f>IFERROR(INDEX($Q$6:$Q$324,MATCH(200,$S$6:$S$324,0)),"")</f>
        <v>Dr. Öğr. Üyesi Hilal AKDEMİR AKTAŞ</v>
      </c>
      <c r="D205" s="170">
        <f>IF(C205="","",COUNTIFS(Başvuru!$C:$C,C205,Başvuru!$A:$A,"&lt;&gt;"&amp;"",Başvuru!$F:$F,"&lt;&gt;"&amp;""))</f>
        <v>1</v>
      </c>
      <c r="E205" s="168" t="str">
        <f>IF(C205="","-",IF(D205&gt;0,TEXT(D205/(COUNTIFS(Başvuru!$A:$A,"&lt;&gt;",Başvuru!$F:$F,"&lt;&gt;")-1)*100,"0.0")&amp;"%","-"))</f>
        <v>00%</v>
      </c>
      <c r="F205" s="171">
        <f>IF(C205="","",COUNTIFS(Başvuru!$C:$C,C205,Başvuru!$G:$G,"Bireysel Araştırma",Başvuru!$A:$A,"&lt;&gt;"&amp;"",Başvuru!$F:$F,"&lt;&gt;"&amp;""))</f>
        <v>1</v>
      </c>
      <c r="G205" s="171">
        <f>IF(C205="","",COUNTIFS(Başvuru!$C:$C,C205,Başvuru!$G:$G,"Uzmanlık Tezi",Başvuru!$A:$A,"&lt;&gt;"&amp;"",Başvuru!$F:$F,"&lt;&gt;"&amp;""))</f>
        <v>0</v>
      </c>
      <c r="H205" s="171">
        <f>IF(C205="","",COUNTIFS(Başvuru!$C:$C,C205,Başvuru!$G:$G,"Doktora Tezi",Başvuru!$A:$A,"&lt;&gt;"&amp;"",Başvuru!$F:$F,"&lt;&gt;"&amp;""))</f>
        <v>0</v>
      </c>
      <c r="I205" s="171">
        <f>IF(C205="","",COUNTIFS(Başvuru!$C:$C,C205,Başvuru!$G:$G,"Yüksek Lisans Tezi",Başvuru!$A:$A,"&lt;&gt;"&amp;"",Başvuru!$F:$F,"&lt;&gt;"&amp;""))</f>
        <v>0</v>
      </c>
      <c r="J205" s="172">
        <f>IF(C205="","",COUNTIFS(Başvuru!$C:$C,C205,Başvuru!$L:$L,"ONAY",Başvuru!$A:$A,"&lt;&gt;"&amp;"",Başvuru!$F:$F,"&lt;&gt;"&amp;""))</f>
        <v>0</v>
      </c>
      <c r="K205" s="173">
        <f>IF(C205="","",COUNTIFS(Başvuru!$C:$C,C205,Başvuru!$L:$L,"DÜZELTME",Başvuru!$A:$A,"&lt;&gt;"&amp;"",Başvuru!$F:$F,"&lt;&gt;"&amp;""))</f>
        <v>1</v>
      </c>
      <c r="L205" s="174">
        <f>IF(C205="","",COUNTIFS(Başvuru!$C:$C,C205,Başvuru!$L:$L,"KAEK",Başvuru!$A:$A,"&lt;&gt;"&amp;"",Başvuru!$F:$F,"&lt;&gt;"&amp;""))</f>
        <v>0</v>
      </c>
      <c r="M205" s="175">
        <f>IF(C205="","",COUNTIFS(Başvuru!$C:$C,C205,Başvuru!$L:$L,"GÖRÜŞ",Başvuru!$A:$A,"&lt;&gt;"&amp;"",Başvuru!$F:$F,"&lt;&gt;"&amp;""))</f>
        <v>0</v>
      </c>
      <c r="N205" s="176">
        <f>IF(C205="","",COUNTIFS(Başvuru!$C:$C,C205,Başvuru!$L:$L,"RET",Başvuru!$A:$A,"&lt;&gt;"&amp;"",Başvuru!$F:$F,"&lt;&gt;"&amp;""))</f>
        <v>0</v>
      </c>
      <c r="O205" s="177">
        <f>IF(C205="","",COUNTIFS(Başvuru!$C:$C,C205,Başvuru!$L:$L,"KAPSAM DIŞI",Başvuru!$A:$A,"&lt;&gt;"&amp;"",Başvuru!$F:$F,"&lt;&gt;"&amp;""))</f>
        <v>0</v>
      </c>
      <c r="P205" s="178">
        <f>IF(C205="","",COUNTIFS(Başvuru!$C:$C,C205,Başvuru!$L:$L,"GERİ ÇEKİLDİ",Başvuru!$A:$A,"&lt;&gt;"&amp;"",Başvuru!$F:$F,"&lt;&gt;"&amp;""))</f>
        <v>0</v>
      </c>
      <c r="Q205" s="166" t="s">
        <v>1068</v>
      </c>
      <c r="R205" s="167">
        <f>COUNTIFS(Başvuru!$C:$C,Q205,Başvuru!$A:$A,"&lt;&gt;"&amp;"",Başvuru!$F:$F,"&lt;&gt;"&amp;"")</f>
        <v>1</v>
      </c>
      <c r="S205" s="167">
        <f>RANK(R205,$R$6:$R$324,0)+COUNTIF($R$6:R205,R205)-1</f>
        <v>245</v>
      </c>
    </row>
    <row r="206" spans="2:19" ht="15" customHeight="1" x14ac:dyDescent="0.25">
      <c r="B206" s="155">
        <v>201</v>
      </c>
      <c r="C206" s="156" t="str">
        <f>IFERROR(INDEX($Q$6:$Q$324,MATCH(201,$S$6:$S$324,0)),"")</f>
        <v>Dr. Öğr. Üyesi Irmak OCAK</v>
      </c>
      <c r="D206" s="157">
        <f>IF(C206="","",COUNTIFS(Başvuru!$C:$C,C206,Başvuru!$A:$A,"&lt;&gt;"&amp;"",Başvuru!$F:$F,"&lt;&gt;"&amp;""))</f>
        <v>1</v>
      </c>
      <c r="E206" s="155" t="str">
        <f>IF(C206="","-",IF(D206&gt;0,TEXT(D206/(COUNTIFS(Başvuru!$A:$A,"&lt;&gt;",Başvuru!$F:$F,"&lt;&gt;")-1)*100,"0.0")&amp;"%","-"))</f>
        <v>00%</v>
      </c>
      <c r="F206" s="158">
        <f>IF(C206="","",COUNTIFS(Başvuru!$C:$C,C206,Başvuru!$G:$G,"Bireysel Araştırma",Başvuru!$A:$A,"&lt;&gt;"&amp;"",Başvuru!$F:$F,"&lt;&gt;"&amp;""))</f>
        <v>1</v>
      </c>
      <c r="G206" s="158">
        <f>IF(C206="","",COUNTIFS(Başvuru!$C:$C,C206,Başvuru!$G:$G,"Uzmanlık Tezi",Başvuru!$A:$A,"&lt;&gt;"&amp;"",Başvuru!$F:$F,"&lt;&gt;"&amp;""))</f>
        <v>0</v>
      </c>
      <c r="H206" s="158">
        <f>IF(C206="","",COUNTIFS(Başvuru!$C:$C,C206,Başvuru!$G:$G,"Doktora Tezi",Başvuru!$A:$A,"&lt;&gt;"&amp;"",Başvuru!$F:$F,"&lt;&gt;"&amp;""))</f>
        <v>0</v>
      </c>
      <c r="I206" s="158">
        <f>IF(C206="","",COUNTIFS(Başvuru!$C:$C,C206,Başvuru!$G:$G,"Yüksek Lisans Tezi",Başvuru!$A:$A,"&lt;&gt;"&amp;"",Başvuru!$F:$F,"&lt;&gt;"&amp;""))</f>
        <v>0</v>
      </c>
      <c r="J206" s="159">
        <f>IF(C206="","",COUNTIFS(Başvuru!$C:$C,C206,Başvuru!$L:$L,"ONAY",Başvuru!$A:$A,"&lt;&gt;"&amp;"",Başvuru!$F:$F,"&lt;&gt;"&amp;""))</f>
        <v>1</v>
      </c>
      <c r="K206" s="160">
        <f>IF(C206="","",COUNTIFS(Başvuru!$C:$C,C206,Başvuru!$L:$L,"DÜZELTME",Başvuru!$A:$A,"&lt;&gt;"&amp;"",Başvuru!$F:$F,"&lt;&gt;"&amp;""))</f>
        <v>0</v>
      </c>
      <c r="L206" s="161">
        <f>IF(C206="","",COUNTIFS(Başvuru!$C:$C,C206,Başvuru!$L:$L,"KAEK",Başvuru!$A:$A,"&lt;&gt;"&amp;"",Başvuru!$F:$F,"&lt;&gt;"&amp;""))</f>
        <v>0</v>
      </c>
      <c r="M206" s="162">
        <f>IF(C206="","",COUNTIFS(Başvuru!$C:$C,C206,Başvuru!$L:$L,"GÖRÜŞ",Başvuru!$A:$A,"&lt;&gt;"&amp;"",Başvuru!$F:$F,"&lt;&gt;"&amp;""))</f>
        <v>0</v>
      </c>
      <c r="N206" s="163">
        <f>IF(C206="","",COUNTIFS(Başvuru!$C:$C,C206,Başvuru!$L:$L,"RET",Başvuru!$A:$A,"&lt;&gt;"&amp;"",Başvuru!$F:$F,"&lt;&gt;"&amp;""))</f>
        <v>0</v>
      </c>
      <c r="O206" s="164">
        <f>IF(C206="","",COUNTIFS(Başvuru!$C:$C,C206,Başvuru!$L:$L,"KAPSAM DIŞI",Başvuru!$A:$A,"&lt;&gt;"&amp;"",Başvuru!$F:$F,"&lt;&gt;"&amp;""))</f>
        <v>0</v>
      </c>
      <c r="P206" s="165">
        <f>IF(C206="","",COUNTIFS(Başvuru!$C:$C,C206,Başvuru!$L:$L,"GERİ ÇEKİLDİ",Başvuru!$A:$A,"&lt;&gt;"&amp;"",Başvuru!$F:$F,"&lt;&gt;"&amp;""))</f>
        <v>0</v>
      </c>
      <c r="Q206" s="166" t="s">
        <v>1710</v>
      </c>
      <c r="R206" s="167">
        <f>COUNTIFS(Başvuru!$C:$C,Q206,Başvuru!$A:$A,"&lt;&gt;"&amp;"",Başvuru!$F:$F,"&lt;&gt;"&amp;"")</f>
        <v>1</v>
      </c>
      <c r="S206" s="167">
        <f>RANK(R206,$R$6:$R$324,0)+COUNTIF($R$6:R206,R206)-1</f>
        <v>246</v>
      </c>
    </row>
    <row r="207" spans="2:19" ht="15" customHeight="1" x14ac:dyDescent="0.25">
      <c r="B207" s="168">
        <v>202</v>
      </c>
      <c r="C207" s="169" t="str">
        <f>IFERROR(INDEX($Q$6:$Q$324,MATCH(202,$S$6:$S$324,0)),"")</f>
        <v>Dr. Öğr. Üyesi Leyla HUSEYNOVA TERZİ</v>
      </c>
      <c r="D207" s="170">
        <f>IF(C207="","",COUNTIFS(Başvuru!$C:$C,C207,Başvuru!$A:$A,"&lt;&gt;"&amp;"",Başvuru!$F:$F,"&lt;&gt;"&amp;""))</f>
        <v>1</v>
      </c>
      <c r="E207" s="168" t="str">
        <f>IF(C207="","-",IF(D207&gt;0,TEXT(D207/(COUNTIFS(Başvuru!$A:$A,"&lt;&gt;",Başvuru!$F:$F,"&lt;&gt;")-1)*100,"0.0")&amp;"%","-"))</f>
        <v>00%</v>
      </c>
      <c r="F207" s="171">
        <f>IF(C207="","",COUNTIFS(Başvuru!$C:$C,C207,Başvuru!$G:$G,"Bireysel Araştırma",Başvuru!$A:$A,"&lt;&gt;"&amp;"",Başvuru!$F:$F,"&lt;&gt;"&amp;""))</f>
        <v>1</v>
      </c>
      <c r="G207" s="171">
        <f>IF(C207="","",COUNTIFS(Başvuru!$C:$C,C207,Başvuru!$G:$G,"Uzmanlık Tezi",Başvuru!$A:$A,"&lt;&gt;"&amp;"",Başvuru!$F:$F,"&lt;&gt;"&amp;""))</f>
        <v>0</v>
      </c>
      <c r="H207" s="171">
        <f>IF(C207="","",COUNTIFS(Başvuru!$C:$C,C207,Başvuru!$G:$G,"Doktora Tezi",Başvuru!$A:$A,"&lt;&gt;"&amp;"",Başvuru!$F:$F,"&lt;&gt;"&amp;""))</f>
        <v>0</v>
      </c>
      <c r="I207" s="171">
        <f>IF(C207="","",COUNTIFS(Başvuru!$C:$C,C207,Başvuru!$G:$G,"Yüksek Lisans Tezi",Başvuru!$A:$A,"&lt;&gt;"&amp;"",Başvuru!$F:$F,"&lt;&gt;"&amp;""))</f>
        <v>0</v>
      </c>
      <c r="J207" s="172">
        <f>IF(C207="","",COUNTIFS(Başvuru!$C:$C,C207,Başvuru!$L:$L,"ONAY",Başvuru!$A:$A,"&lt;&gt;"&amp;"",Başvuru!$F:$F,"&lt;&gt;"&amp;""))</f>
        <v>1</v>
      </c>
      <c r="K207" s="173">
        <f>IF(C207="","",COUNTIFS(Başvuru!$C:$C,C207,Başvuru!$L:$L,"DÜZELTME",Başvuru!$A:$A,"&lt;&gt;"&amp;"",Başvuru!$F:$F,"&lt;&gt;"&amp;""))</f>
        <v>0</v>
      </c>
      <c r="L207" s="174">
        <f>IF(C207="","",COUNTIFS(Başvuru!$C:$C,C207,Başvuru!$L:$L,"KAEK",Başvuru!$A:$A,"&lt;&gt;"&amp;"",Başvuru!$F:$F,"&lt;&gt;"&amp;""))</f>
        <v>0</v>
      </c>
      <c r="M207" s="175">
        <f>IF(C207="","",COUNTIFS(Başvuru!$C:$C,C207,Başvuru!$L:$L,"GÖRÜŞ",Başvuru!$A:$A,"&lt;&gt;"&amp;"",Başvuru!$F:$F,"&lt;&gt;"&amp;""))</f>
        <v>0</v>
      </c>
      <c r="N207" s="176">
        <f>IF(C207="","",COUNTIFS(Başvuru!$C:$C,C207,Başvuru!$L:$L,"RET",Başvuru!$A:$A,"&lt;&gt;"&amp;"",Başvuru!$F:$F,"&lt;&gt;"&amp;""))</f>
        <v>0</v>
      </c>
      <c r="O207" s="177">
        <f>IF(C207="","",COUNTIFS(Başvuru!$C:$C,C207,Başvuru!$L:$L,"KAPSAM DIŞI",Başvuru!$A:$A,"&lt;&gt;"&amp;"",Başvuru!$F:$F,"&lt;&gt;"&amp;""))</f>
        <v>0</v>
      </c>
      <c r="P207" s="178">
        <f>IF(C207="","",COUNTIFS(Başvuru!$C:$C,C207,Başvuru!$L:$L,"GERİ ÇEKİLDİ",Başvuru!$A:$A,"&lt;&gt;"&amp;"",Başvuru!$F:$F,"&lt;&gt;"&amp;""))</f>
        <v>0</v>
      </c>
      <c r="Q207" s="166" t="s">
        <v>268</v>
      </c>
      <c r="R207" s="167">
        <f>COUNTIFS(Başvuru!$C:$C,Q207,Başvuru!$A:$A,"&lt;&gt;"&amp;"",Başvuru!$F:$F,"&lt;&gt;"&amp;"")</f>
        <v>3</v>
      </c>
      <c r="S207" s="167">
        <f>RANK(R207,$R$6:$R$324,0)+COUNTIF($R$6:R207,R207)-1</f>
        <v>61</v>
      </c>
    </row>
    <row r="208" spans="2:19" ht="15" customHeight="1" x14ac:dyDescent="0.25">
      <c r="B208" s="155">
        <v>203</v>
      </c>
      <c r="C208" s="156" t="str">
        <f>IFERROR(INDEX($Q$6:$Q$324,MATCH(203,$S$6:$S$324,0)),"")</f>
        <v>Dr. Öğr. Üyesi Merva PARLAK</v>
      </c>
      <c r="D208" s="157">
        <f>IF(C208="","",COUNTIFS(Başvuru!$C:$C,C208,Başvuru!$A:$A,"&lt;&gt;"&amp;"",Başvuru!$F:$F,"&lt;&gt;"&amp;""))</f>
        <v>1</v>
      </c>
      <c r="E208" s="155" t="str">
        <f>IF(C208="","-",IF(D208&gt;0,TEXT(D208/(COUNTIFS(Başvuru!$A:$A,"&lt;&gt;",Başvuru!$F:$F,"&lt;&gt;")-1)*100,"0.0")&amp;"%","-"))</f>
        <v>00%</v>
      </c>
      <c r="F208" s="158">
        <f>IF(C208="","",COUNTIFS(Başvuru!$C:$C,C208,Başvuru!$G:$G,"Bireysel Araştırma",Başvuru!$A:$A,"&lt;&gt;"&amp;"",Başvuru!$F:$F,"&lt;&gt;"&amp;""))</f>
        <v>1</v>
      </c>
      <c r="G208" s="158">
        <f>IF(C208="","",COUNTIFS(Başvuru!$C:$C,C208,Başvuru!$G:$G,"Uzmanlık Tezi",Başvuru!$A:$A,"&lt;&gt;"&amp;"",Başvuru!$F:$F,"&lt;&gt;"&amp;""))</f>
        <v>0</v>
      </c>
      <c r="H208" s="158">
        <f>IF(C208="","",COUNTIFS(Başvuru!$C:$C,C208,Başvuru!$G:$G,"Doktora Tezi",Başvuru!$A:$A,"&lt;&gt;"&amp;"",Başvuru!$F:$F,"&lt;&gt;"&amp;""))</f>
        <v>0</v>
      </c>
      <c r="I208" s="158">
        <f>IF(C208="","",COUNTIFS(Başvuru!$C:$C,C208,Başvuru!$G:$G,"Yüksek Lisans Tezi",Başvuru!$A:$A,"&lt;&gt;"&amp;"",Başvuru!$F:$F,"&lt;&gt;"&amp;""))</f>
        <v>0</v>
      </c>
      <c r="J208" s="159">
        <f>IF(C208="","",COUNTIFS(Başvuru!$C:$C,C208,Başvuru!$L:$L,"ONAY",Başvuru!$A:$A,"&lt;&gt;"&amp;"",Başvuru!$F:$F,"&lt;&gt;"&amp;""))</f>
        <v>1</v>
      </c>
      <c r="K208" s="160">
        <f>IF(C208="","",COUNTIFS(Başvuru!$C:$C,C208,Başvuru!$L:$L,"DÜZELTME",Başvuru!$A:$A,"&lt;&gt;"&amp;"",Başvuru!$F:$F,"&lt;&gt;"&amp;""))</f>
        <v>0</v>
      </c>
      <c r="L208" s="161">
        <f>IF(C208="","",COUNTIFS(Başvuru!$C:$C,C208,Başvuru!$L:$L,"KAEK",Başvuru!$A:$A,"&lt;&gt;"&amp;"",Başvuru!$F:$F,"&lt;&gt;"&amp;""))</f>
        <v>0</v>
      </c>
      <c r="M208" s="162">
        <f>IF(C208="","",COUNTIFS(Başvuru!$C:$C,C208,Başvuru!$L:$L,"GÖRÜŞ",Başvuru!$A:$A,"&lt;&gt;"&amp;"",Başvuru!$F:$F,"&lt;&gt;"&amp;""))</f>
        <v>0</v>
      </c>
      <c r="N208" s="163">
        <f>IF(C208="","",COUNTIFS(Başvuru!$C:$C,C208,Başvuru!$L:$L,"RET",Başvuru!$A:$A,"&lt;&gt;"&amp;"",Başvuru!$F:$F,"&lt;&gt;"&amp;""))</f>
        <v>0</v>
      </c>
      <c r="O208" s="164">
        <f>IF(C208="","",COUNTIFS(Başvuru!$C:$C,C208,Başvuru!$L:$L,"KAPSAM DIŞI",Başvuru!$A:$A,"&lt;&gt;"&amp;"",Başvuru!$F:$F,"&lt;&gt;"&amp;""))</f>
        <v>0</v>
      </c>
      <c r="P208" s="165">
        <f>IF(C208="","",COUNTIFS(Başvuru!$C:$C,C208,Başvuru!$L:$L,"GERİ ÇEKİLDİ",Başvuru!$A:$A,"&lt;&gt;"&amp;"",Başvuru!$F:$F,"&lt;&gt;"&amp;""))</f>
        <v>0</v>
      </c>
      <c r="Q208" s="166" t="s">
        <v>444</v>
      </c>
      <c r="R208" s="167">
        <f>COUNTIFS(Başvuru!$C:$C,Q208,Başvuru!$A:$A,"&lt;&gt;"&amp;"",Başvuru!$F:$F,"&lt;&gt;"&amp;"")</f>
        <v>2</v>
      </c>
      <c r="S208" s="167">
        <f>RANK(R208,$R$6:$R$324,0)+COUNTIF($R$6:R208,R208)-1</f>
        <v>120</v>
      </c>
    </row>
    <row r="209" spans="2:19" ht="15" customHeight="1" x14ac:dyDescent="0.25">
      <c r="B209" s="168">
        <v>204</v>
      </c>
      <c r="C209" s="169" t="str">
        <f>IFERROR(INDEX($Q$6:$Q$324,MATCH(204,$S$6:$S$324,0)),"")</f>
        <v>Dr. Öğr. Üyesi Neslihan TAŞ</v>
      </c>
      <c r="D209" s="170">
        <f>IF(C209="","",COUNTIFS(Başvuru!$C:$C,C209,Başvuru!$A:$A,"&lt;&gt;"&amp;"",Başvuru!$F:$F,"&lt;&gt;"&amp;""))</f>
        <v>1</v>
      </c>
      <c r="E209" s="168" t="str">
        <f>IF(C209="","-",IF(D209&gt;0,TEXT(D209/(COUNTIFS(Başvuru!$A:$A,"&lt;&gt;",Başvuru!$F:$F,"&lt;&gt;")-1)*100,"0.0")&amp;"%","-"))</f>
        <v>00%</v>
      </c>
      <c r="F209" s="171">
        <f>IF(C209="","",COUNTIFS(Başvuru!$C:$C,C209,Başvuru!$G:$G,"Bireysel Araştırma",Başvuru!$A:$A,"&lt;&gt;"&amp;"",Başvuru!$F:$F,"&lt;&gt;"&amp;""))</f>
        <v>0</v>
      </c>
      <c r="G209" s="171">
        <f>IF(C209="","",COUNTIFS(Başvuru!$C:$C,C209,Başvuru!$G:$G,"Uzmanlık Tezi",Başvuru!$A:$A,"&lt;&gt;"&amp;"",Başvuru!$F:$F,"&lt;&gt;"&amp;""))</f>
        <v>0</v>
      </c>
      <c r="H209" s="171">
        <f>IF(C209="","",COUNTIFS(Başvuru!$C:$C,C209,Başvuru!$G:$G,"Doktora Tezi",Başvuru!$A:$A,"&lt;&gt;"&amp;"",Başvuru!$F:$F,"&lt;&gt;"&amp;""))</f>
        <v>0</v>
      </c>
      <c r="I209" s="171">
        <f>IF(C209="","",COUNTIFS(Başvuru!$C:$C,C209,Başvuru!$G:$G,"Yüksek Lisans Tezi",Başvuru!$A:$A,"&lt;&gt;"&amp;"",Başvuru!$F:$F,"&lt;&gt;"&amp;""))</f>
        <v>1</v>
      </c>
      <c r="J209" s="172">
        <f>IF(C209="","",COUNTIFS(Başvuru!$C:$C,C209,Başvuru!$L:$L,"ONAY",Başvuru!$A:$A,"&lt;&gt;"&amp;"",Başvuru!$F:$F,"&lt;&gt;"&amp;""))</f>
        <v>0</v>
      </c>
      <c r="K209" s="173">
        <f>IF(C209="","",COUNTIFS(Başvuru!$C:$C,C209,Başvuru!$L:$L,"DÜZELTME",Başvuru!$A:$A,"&lt;&gt;"&amp;"",Başvuru!$F:$F,"&lt;&gt;"&amp;""))</f>
        <v>1</v>
      </c>
      <c r="L209" s="174">
        <f>IF(C209="","",COUNTIFS(Başvuru!$C:$C,C209,Başvuru!$L:$L,"KAEK",Başvuru!$A:$A,"&lt;&gt;"&amp;"",Başvuru!$F:$F,"&lt;&gt;"&amp;""))</f>
        <v>0</v>
      </c>
      <c r="M209" s="175">
        <f>IF(C209="","",COUNTIFS(Başvuru!$C:$C,C209,Başvuru!$L:$L,"GÖRÜŞ",Başvuru!$A:$A,"&lt;&gt;"&amp;"",Başvuru!$F:$F,"&lt;&gt;"&amp;""))</f>
        <v>0</v>
      </c>
      <c r="N209" s="176">
        <f>IF(C209="","",COUNTIFS(Başvuru!$C:$C,C209,Başvuru!$L:$L,"RET",Başvuru!$A:$A,"&lt;&gt;"&amp;"",Başvuru!$F:$F,"&lt;&gt;"&amp;""))</f>
        <v>0</v>
      </c>
      <c r="O209" s="177">
        <f>IF(C209="","",COUNTIFS(Başvuru!$C:$C,C209,Başvuru!$L:$L,"KAPSAM DIŞI",Başvuru!$A:$A,"&lt;&gt;"&amp;"",Başvuru!$F:$F,"&lt;&gt;"&amp;""))</f>
        <v>0</v>
      </c>
      <c r="P209" s="178">
        <f>IF(C209="","",COUNTIFS(Başvuru!$C:$C,C209,Başvuru!$L:$L,"GERİ ÇEKİLDİ",Başvuru!$A:$A,"&lt;&gt;"&amp;"",Başvuru!$F:$F,"&lt;&gt;"&amp;""))</f>
        <v>0</v>
      </c>
      <c r="Q209" s="166" t="s">
        <v>2258</v>
      </c>
      <c r="R209" s="167">
        <f>COUNTIFS(Başvuru!$C:$C,Q209,Başvuru!$A:$A,"&lt;&gt;"&amp;"",Başvuru!$F:$F,"&lt;&gt;"&amp;"")</f>
        <v>1</v>
      </c>
      <c r="S209" s="167">
        <f>RANK(R209,$R$6:$R$324,0)+COUNTIF($R$6:R209,R209)-1</f>
        <v>247</v>
      </c>
    </row>
    <row r="210" spans="2:19" ht="15" customHeight="1" x14ac:dyDescent="0.25">
      <c r="B210" s="155">
        <v>205</v>
      </c>
      <c r="C210" s="156" t="str">
        <f>IFERROR(INDEX($Q$6:$Q$324,MATCH(205,$S$6:$S$324,0)),"")</f>
        <v>Dr. Öğr. Üyesi Nur Berna ÇELİK ERTAŞ</v>
      </c>
      <c r="D210" s="157">
        <f>IF(C210="","",COUNTIFS(Başvuru!$C:$C,C210,Başvuru!$A:$A,"&lt;&gt;"&amp;"",Başvuru!$F:$F,"&lt;&gt;"&amp;""))</f>
        <v>1</v>
      </c>
      <c r="E210" s="155" t="str">
        <f>IF(C210="","-",IF(D210&gt;0,TEXT(D210/(COUNTIFS(Başvuru!$A:$A,"&lt;&gt;",Başvuru!$F:$F,"&lt;&gt;")-1)*100,"0.0")&amp;"%","-"))</f>
        <v>00%</v>
      </c>
      <c r="F210" s="158">
        <f>IF(C210="","",COUNTIFS(Başvuru!$C:$C,C210,Başvuru!$G:$G,"Bireysel Araştırma",Başvuru!$A:$A,"&lt;&gt;"&amp;"",Başvuru!$F:$F,"&lt;&gt;"&amp;""))</f>
        <v>1</v>
      </c>
      <c r="G210" s="158">
        <f>IF(C210="","",COUNTIFS(Başvuru!$C:$C,C210,Başvuru!$G:$G,"Uzmanlık Tezi",Başvuru!$A:$A,"&lt;&gt;"&amp;"",Başvuru!$F:$F,"&lt;&gt;"&amp;""))</f>
        <v>0</v>
      </c>
      <c r="H210" s="158">
        <f>IF(C210="","",COUNTIFS(Başvuru!$C:$C,C210,Başvuru!$G:$G,"Doktora Tezi",Başvuru!$A:$A,"&lt;&gt;"&amp;"",Başvuru!$F:$F,"&lt;&gt;"&amp;""))</f>
        <v>0</v>
      </c>
      <c r="I210" s="158">
        <f>IF(C210="","",COUNTIFS(Başvuru!$C:$C,C210,Başvuru!$G:$G,"Yüksek Lisans Tezi",Başvuru!$A:$A,"&lt;&gt;"&amp;"",Başvuru!$F:$F,"&lt;&gt;"&amp;""))</f>
        <v>0</v>
      </c>
      <c r="J210" s="159">
        <f>IF(C210="","",COUNTIFS(Başvuru!$C:$C,C210,Başvuru!$L:$L,"ONAY",Başvuru!$A:$A,"&lt;&gt;"&amp;"",Başvuru!$F:$F,"&lt;&gt;"&amp;""))</f>
        <v>1</v>
      </c>
      <c r="K210" s="160">
        <f>IF(C210="","",COUNTIFS(Başvuru!$C:$C,C210,Başvuru!$L:$L,"DÜZELTME",Başvuru!$A:$A,"&lt;&gt;"&amp;"",Başvuru!$F:$F,"&lt;&gt;"&amp;""))</f>
        <v>0</v>
      </c>
      <c r="L210" s="161">
        <f>IF(C210="","",COUNTIFS(Başvuru!$C:$C,C210,Başvuru!$L:$L,"KAEK",Başvuru!$A:$A,"&lt;&gt;"&amp;"",Başvuru!$F:$F,"&lt;&gt;"&amp;""))</f>
        <v>0</v>
      </c>
      <c r="M210" s="162">
        <f>IF(C210="","",COUNTIFS(Başvuru!$C:$C,C210,Başvuru!$L:$L,"GÖRÜŞ",Başvuru!$A:$A,"&lt;&gt;"&amp;"",Başvuru!$F:$F,"&lt;&gt;"&amp;""))</f>
        <v>0</v>
      </c>
      <c r="N210" s="163">
        <f>IF(C210="","",COUNTIFS(Başvuru!$C:$C,C210,Başvuru!$L:$L,"RET",Başvuru!$A:$A,"&lt;&gt;"&amp;"",Başvuru!$F:$F,"&lt;&gt;"&amp;""))</f>
        <v>0</v>
      </c>
      <c r="O210" s="164">
        <f>IF(C210="","",COUNTIFS(Başvuru!$C:$C,C210,Başvuru!$L:$L,"KAPSAM DIŞI",Başvuru!$A:$A,"&lt;&gt;"&amp;"",Başvuru!$F:$F,"&lt;&gt;"&amp;""))</f>
        <v>0</v>
      </c>
      <c r="P210" s="165">
        <f>IF(C210="","",COUNTIFS(Başvuru!$C:$C,C210,Başvuru!$L:$L,"GERİ ÇEKİLDİ",Başvuru!$A:$A,"&lt;&gt;"&amp;"",Başvuru!$F:$F,"&lt;&gt;"&amp;""))</f>
        <v>0</v>
      </c>
      <c r="Q210" s="166" t="s">
        <v>2401</v>
      </c>
      <c r="R210" s="167">
        <f>COUNTIFS(Başvuru!$C:$C,Q210,Başvuru!$A:$A,"&lt;&gt;"&amp;"",Başvuru!$F:$F,"&lt;&gt;"&amp;"")</f>
        <v>2</v>
      </c>
      <c r="S210" s="167">
        <f>RANK(R210,$R$6:$R$324,0)+COUNTIF($R$6:R210,R210)-1</f>
        <v>121</v>
      </c>
    </row>
    <row r="211" spans="2:19" ht="15" customHeight="1" x14ac:dyDescent="0.25">
      <c r="B211" s="168">
        <v>206</v>
      </c>
      <c r="C211" s="169" t="str">
        <f>IFERROR(INDEX($Q$6:$Q$324,MATCH(206,$S$6:$S$324,0)),"")</f>
        <v>Dr. Öğr. Üyesi Onur İNCE</v>
      </c>
      <c r="D211" s="170">
        <f>IF(C211="","",COUNTIFS(Başvuru!$C:$C,C211,Başvuru!$A:$A,"&lt;&gt;"&amp;"",Başvuru!$F:$F,"&lt;&gt;"&amp;""))</f>
        <v>1</v>
      </c>
      <c r="E211" s="168" t="str">
        <f>IF(C211="","-",IF(D211&gt;0,TEXT(D211/(COUNTIFS(Başvuru!$A:$A,"&lt;&gt;",Başvuru!$F:$F,"&lt;&gt;")-1)*100,"0.0")&amp;"%","-"))</f>
        <v>00%</v>
      </c>
      <c r="F211" s="171">
        <f>IF(C211="","",COUNTIFS(Başvuru!$C:$C,C211,Başvuru!$G:$G,"Bireysel Araştırma",Başvuru!$A:$A,"&lt;&gt;"&amp;"",Başvuru!$F:$F,"&lt;&gt;"&amp;""))</f>
        <v>0</v>
      </c>
      <c r="G211" s="171">
        <f>IF(C211="","",COUNTIFS(Başvuru!$C:$C,C211,Başvuru!$G:$G,"Uzmanlık Tezi",Başvuru!$A:$A,"&lt;&gt;"&amp;"",Başvuru!$F:$F,"&lt;&gt;"&amp;""))</f>
        <v>1</v>
      </c>
      <c r="H211" s="171">
        <f>IF(C211="","",COUNTIFS(Başvuru!$C:$C,C211,Başvuru!$G:$G,"Doktora Tezi",Başvuru!$A:$A,"&lt;&gt;"&amp;"",Başvuru!$F:$F,"&lt;&gt;"&amp;""))</f>
        <v>0</v>
      </c>
      <c r="I211" s="171">
        <f>IF(C211="","",COUNTIFS(Başvuru!$C:$C,C211,Başvuru!$G:$G,"Yüksek Lisans Tezi",Başvuru!$A:$A,"&lt;&gt;"&amp;"",Başvuru!$F:$F,"&lt;&gt;"&amp;""))</f>
        <v>0</v>
      </c>
      <c r="J211" s="172">
        <f>IF(C211="","",COUNTIFS(Başvuru!$C:$C,C211,Başvuru!$L:$L,"ONAY",Başvuru!$A:$A,"&lt;&gt;"&amp;"",Başvuru!$F:$F,"&lt;&gt;"&amp;""))</f>
        <v>1</v>
      </c>
      <c r="K211" s="173">
        <f>IF(C211="","",COUNTIFS(Başvuru!$C:$C,C211,Başvuru!$L:$L,"DÜZELTME",Başvuru!$A:$A,"&lt;&gt;"&amp;"",Başvuru!$F:$F,"&lt;&gt;"&amp;""))</f>
        <v>0</v>
      </c>
      <c r="L211" s="174">
        <f>IF(C211="","",COUNTIFS(Başvuru!$C:$C,C211,Başvuru!$L:$L,"KAEK",Başvuru!$A:$A,"&lt;&gt;"&amp;"",Başvuru!$F:$F,"&lt;&gt;"&amp;""))</f>
        <v>0</v>
      </c>
      <c r="M211" s="175">
        <f>IF(C211="","",COUNTIFS(Başvuru!$C:$C,C211,Başvuru!$L:$L,"GÖRÜŞ",Başvuru!$A:$A,"&lt;&gt;"&amp;"",Başvuru!$F:$F,"&lt;&gt;"&amp;""))</f>
        <v>0</v>
      </c>
      <c r="N211" s="176">
        <f>IF(C211="","",COUNTIFS(Başvuru!$C:$C,C211,Başvuru!$L:$L,"RET",Başvuru!$A:$A,"&lt;&gt;"&amp;"",Başvuru!$F:$F,"&lt;&gt;"&amp;""))</f>
        <v>0</v>
      </c>
      <c r="O211" s="177">
        <f>IF(C211="","",COUNTIFS(Başvuru!$C:$C,C211,Başvuru!$L:$L,"KAPSAM DIŞI",Başvuru!$A:$A,"&lt;&gt;"&amp;"",Başvuru!$F:$F,"&lt;&gt;"&amp;""))</f>
        <v>0</v>
      </c>
      <c r="P211" s="178">
        <f>IF(C211="","",COUNTIFS(Başvuru!$C:$C,C211,Başvuru!$L:$L,"GERİ ÇEKİLDİ",Başvuru!$A:$A,"&lt;&gt;"&amp;"",Başvuru!$F:$F,"&lt;&gt;"&amp;""))</f>
        <v>0</v>
      </c>
      <c r="Q211" s="166" t="s">
        <v>121</v>
      </c>
      <c r="R211" s="167">
        <f>COUNTIFS(Başvuru!$C:$C,Q211,Başvuru!$A:$A,"&lt;&gt;"&amp;"",Başvuru!$F:$F,"&lt;&gt;"&amp;"")</f>
        <v>1</v>
      </c>
      <c r="S211" s="167">
        <f>RANK(R211,$R$6:$R$324,0)+COUNTIF($R$6:R211,R211)-1</f>
        <v>248</v>
      </c>
    </row>
    <row r="212" spans="2:19" ht="15" customHeight="1" x14ac:dyDescent="0.25">
      <c r="B212" s="155">
        <v>207</v>
      </c>
      <c r="C212" s="156" t="str">
        <f>IFERROR(INDEX($Q$6:$Q$324,MATCH(207,$S$6:$S$324,0)),"")</f>
        <v>Dr. Öğr. Üyesi Oğuzhan KATAR</v>
      </c>
      <c r="D212" s="157">
        <f>IF(C212="","",COUNTIFS(Başvuru!$C:$C,C212,Başvuru!$A:$A,"&lt;&gt;"&amp;"",Başvuru!$F:$F,"&lt;&gt;"&amp;""))</f>
        <v>1</v>
      </c>
      <c r="E212" s="155" t="str">
        <f>IF(C212="","-",IF(D212&gt;0,TEXT(D212/(COUNTIFS(Başvuru!$A:$A,"&lt;&gt;",Başvuru!$F:$F,"&lt;&gt;")-1)*100,"0.0")&amp;"%","-"))</f>
        <v>00%</v>
      </c>
      <c r="F212" s="158">
        <f>IF(C212="","",COUNTIFS(Başvuru!$C:$C,C212,Başvuru!$G:$G,"Bireysel Araştırma",Başvuru!$A:$A,"&lt;&gt;"&amp;"",Başvuru!$F:$F,"&lt;&gt;"&amp;""))</f>
        <v>1</v>
      </c>
      <c r="G212" s="158">
        <f>IF(C212="","",COUNTIFS(Başvuru!$C:$C,C212,Başvuru!$G:$G,"Uzmanlık Tezi",Başvuru!$A:$A,"&lt;&gt;"&amp;"",Başvuru!$F:$F,"&lt;&gt;"&amp;""))</f>
        <v>0</v>
      </c>
      <c r="H212" s="158">
        <f>IF(C212="","",COUNTIFS(Başvuru!$C:$C,C212,Başvuru!$G:$G,"Doktora Tezi",Başvuru!$A:$A,"&lt;&gt;"&amp;"",Başvuru!$F:$F,"&lt;&gt;"&amp;""))</f>
        <v>0</v>
      </c>
      <c r="I212" s="158">
        <f>IF(C212="","",COUNTIFS(Başvuru!$C:$C,C212,Başvuru!$G:$G,"Yüksek Lisans Tezi",Başvuru!$A:$A,"&lt;&gt;"&amp;"",Başvuru!$F:$F,"&lt;&gt;"&amp;""))</f>
        <v>0</v>
      </c>
      <c r="J212" s="159">
        <f>IF(C212="","",COUNTIFS(Başvuru!$C:$C,C212,Başvuru!$L:$L,"ONAY",Başvuru!$A:$A,"&lt;&gt;"&amp;"",Başvuru!$F:$F,"&lt;&gt;"&amp;""))</f>
        <v>1</v>
      </c>
      <c r="K212" s="160">
        <f>IF(C212="","",COUNTIFS(Başvuru!$C:$C,C212,Başvuru!$L:$L,"DÜZELTME",Başvuru!$A:$A,"&lt;&gt;"&amp;"",Başvuru!$F:$F,"&lt;&gt;"&amp;""))</f>
        <v>0</v>
      </c>
      <c r="L212" s="161">
        <f>IF(C212="","",COUNTIFS(Başvuru!$C:$C,C212,Başvuru!$L:$L,"KAEK",Başvuru!$A:$A,"&lt;&gt;"&amp;"",Başvuru!$F:$F,"&lt;&gt;"&amp;""))</f>
        <v>0</v>
      </c>
      <c r="M212" s="162">
        <f>IF(C212="","",COUNTIFS(Başvuru!$C:$C,C212,Başvuru!$L:$L,"GÖRÜŞ",Başvuru!$A:$A,"&lt;&gt;"&amp;"",Başvuru!$F:$F,"&lt;&gt;"&amp;""))</f>
        <v>0</v>
      </c>
      <c r="N212" s="163">
        <f>IF(C212="","",COUNTIFS(Başvuru!$C:$C,C212,Başvuru!$L:$L,"RET",Başvuru!$A:$A,"&lt;&gt;"&amp;"",Başvuru!$F:$F,"&lt;&gt;"&amp;""))</f>
        <v>0</v>
      </c>
      <c r="O212" s="164">
        <f>IF(C212="","",COUNTIFS(Başvuru!$C:$C,C212,Başvuru!$L:$L,"KAPSAM DIŞI",Başvuru!$A:$A,"&lt;&gt;"&amp;"",Başvuru!$F:$F,"&lt;&gt;"&amp;""))</f>
        <v>0</v>
      </c>
      <c r="P212" s="165">
        <f>IF(C212="","",COUNTIFS(Başvuru!$C:$C,C212,Başvuru!$L:$L,"GERİ ÇEKİLDİ",Başvuru!$A:$A,"&lt;&gt;"&amp;"",Başvuru!$F:$F,"&lt;&gt;"&amp;""))</f>
        <v>0</v>
      </c>
      <c r="Q212" s="166" t="s">
        <v>421</v>
      </c>
      <c r="R212" s="167">
        <f>COUNTIFS(Başvuru!$C:$C,Q212,Başvuru!$A:$A,"&lt;&gt;"&amp;"",Başvuru!$F:$F,"&lt;&gt;"&amp;"")</f>
        <v>8</v>
      </c>
      <c r="S212" s="167">
        <f>RANK(R212,$R$6:$R$324,0)+COUNTIF($R$6:R212,R212)-1</f>
        <v>8</v>
      </c>
    </row>
    <row r="213" spans="2:19" ht="15" customHeight="1" x14ac:dyDescent="0.25">
      <c r="B213" s="168">
        <v>208</v>
      </c>
      <c r="C213" s="169" t="str">
        <f>IFERROR(INDEX($Q$6:$Q$324,MATCH(208,$S$6:$S$324,0)),"")</f>
        <v>Dr. Öğr. Üyesi Salih Eren MERAL</v>
      </c>
      <c r="D213" s="170">
        <f>IF(C213="","",COUNTIFS(Başvuru!$C:$C,C213,Başvuru!$A:$A,"&lt;&gt;"&amp;"",Başvuru!$F:$F,"&lt;&gt;"&amp;""))</f>
        <v>1</v>
      </c>
      <c r="E213" s="168" t="str">
        <f>IF(C213="","-",IF(D213&gt;0,TEXT(D213/(COUNTIFS(Başvuru!$A:$A,"&lt;&gt;",Başvuru!$F:$F,"&lt;&gt;")-1)*100,"0.0")&amp;"%","-"))</f>
        <v>00%</v>
      </c>
      <c r="F213" s="171">
        <f>IF(C213="","",COUNTIFS(Başvuru!$C:$C,C213,Başvuru!$G:$G,"Bireysel Araştırma",Başvuru!$A:$A,"&lt;&gt;"&amp;"",Başvuru!$F:$F,"&lt;&gt;"&amp;""))</f>
        <v>1</v>
      </c>
      <c r="G213" s="171">
        <f>IF(C213="","",COUNTIFS(Başvuru!$C:$C,C213,Başvuru!$G:$G,"Uzmanlık Tezi",Başvuru!$A:$A,"&lt;&gt;"&amp;"",Başvuru!$F:$F,"&lt;&gt;"&amp;""))</f>
        <v>0</v>
      </c>
      <c r="H213" s="171">
        <f>IF(C213="","",COUNTIFS(Başvuru!$C:$C,C213,Başvuru!$G:$G,"Doktora Tezi",Başvuru!$A:$A,"&lt;&gt;"&amp;"",Başvuru!$F:$F,"&lt;&gt;"&amp;""))</f>
        <v>0</v>
      </c>
      <c r="I213" s="171">
        <f>IF(C213="","",COUNTIFS(Başvuru!$C:$C,C213,Başvuru!$G:$G,"Yüksek Lisans Tezi",Başvuru!$A:$A,"&lt;&gt;"&amp;"",Başvuru!$F:$F,"&lt;&gt;"&amp;""))</f>
        <v>0</v>
      </c>
      <c r="J213" s="172">
        <f>IF(C213="","",COUNTIFS(Başvuru!$C:$C,C213,Başvuru!$L:$L,"ONAY",Başvuru!$A:$A,"&lt;&gt;"&amp;"",Başvuru!$F:$F,"&lt;&gt;"&amp;""))</f>
        <v>1</v>
      </c>
      <c r="K213" s="173">
        <f>IF(C213="","",COUNTIFS(Başvuru!$C:$C,C213,Başvuru!$L:$L,"DÜZELTME",Başvuru!$A:$A,"&lt;&gt;"&amp;"",Başvuru!$F:$F,"&lt;&gt;"&amp;""))</f>
        <v>0</v>
      </c>
      <c r="L213" s="174">
        <f>IF(C213="","",COUNTIFS(Başvuru!$C:$C,C213,Başvuru!$L:$L,"KAEK",Başvuru!$A:$A,"&lt;&gt;"&amp;"",Başvuru!$F:$F,"&lt;&gt;"&amp;""))</f>
        <v>0</v>
      </c>
      <c r="M213" s="175">
        <f>IF(C213="","",COUNTIFS(Başvuru!$C:$C,C213,Başvuru!$L:$L,"GÖRÜŞ",Başvuru!$A:$A,"&lt;&gt;"&amp;"",Başvuru!$F:$F,"&lt;&gt;"&amp;""))</f>
        <v>0</v>
      </c>
      <c r="N213" s="176">
        <f>IF(C213="","",COUNTIFS(Başvuru!$C:$C,C213,Başvuru!$L:$L,"RET",Başvuru!$A:$A,"&lt;&gt;"&amp;"",Başvuru!$F:$F,"&lt;&gt;"&amp;""))</f>
        <v>0</v>
      </c>
      <c r="O213" s="177">
        <f>IF(C213="","",COUNTIFS(Başvuru!$C:$C,C213,Başvuru!$L:$L,"KAPSAM DIŞI",Başvuru!$A:$A,"&lt;&gt;"&amp;"",Başvuru!$F:$F,"&lt;&gt;"&amp;""))</f>
        <v>0</v>
      </c>
      <c r="P213" s="178">
        <f>IF(C213="","",COUNTIFS(Başvuru!$C:$C,C213,Başvuru!$L:$L,"GERİ ÇEKİLDİ",Başvuru!$A:$A,"&lt;&gt;"&amp;"",Başvuru!$F:$F,"&lt;&gt;"&amp;""))</f>
        <v>0</v>
      </c>
      <c r="Q213" s="166" t="s">
        <v>394</v>
      </c>
      <c r="R213" s="167">
        <f>COUNTIFS(Başvuru!$C:$C,Q213,Başvuru!$A:$A,"&lt;&gt;"&amp;"",Başvuru!$F:$F,"&lt;&gt;"&amp;"")</f>
        <v>1</v>
      </c>
      <c r="S213" s="167">
        <f>RANK(R213,$R$6:$R$324,0)+COUNTIF($R$6:R213,R213)-1</f>
        <v>249</v>
      </c>
    </row>
    <row r="214" spans="2:19" ht="15" customHeight="1" x14ac:dyDescent="0.25">
      <c r="B214" s="155">
        <v>209</v>
      </c>
      <c r="C214" s="156" t="str">
        <f>IFERROR(INDEX($Q$6:$Q$324,MATCH(209,$S$6:$S$324,0)),"")</f>
        <v>Dr. Öğr. Üyesi Sefa Burak ÇAM</v>
      </c>
      <c r="D214" s="157">
        <f>IF(C214="","",COUNTIFS(Başvuru!$C:$C,C214,Başvuru!$A:$A,"&lt;&gt;"&amp;"",Başvuru!$F:$F,"&lt;&gt;"&amp;""))</f>
        <v>1</v>
      </c>
      <c r="E214" s="155" t="str">
        <f>IF(C214="","-",IF(D214&gt;0,TEXT(D214/(COUNTIFS(Başvuru!$A:$A,"&lt;&gt;",Başvuru!$F:$F,"&lt;&gt;")-1)*100,"0.0")&amp;"%","-"))</f>
        <v>00%</v>
      </c>
      <c r="F214" s="158">
        <f>IF(C214="","",COUNTIFS(Başvuru!$C:$C,C214,Başvuru!$G:$G,"Bireysel Araştırma",Başvuru!$A:$A,"&lt;&gt;"&amp;"",Başvuru!$F:$F,"&lt;&gt;"&amp;""))</f>
        <v>0</v>
      </c>
      <c r="G214" s="158">
        <f>IF(C214="","",COUNTIFS(Başvuru!$C:$C,C214,Başvuru!$G:$G,"Uzmanlık Tezi",Başvuru!$A:$A,"&lt;&gt;"&amp;"",Başvuru!$F:$F,"&lt;&gt;"&amp;""))</f>
        <v>1</v>
      </c>
      <c r="H214" s="158">
        <f>IF(C214="","",COUNTIFS(Başvuru!$C:$C,C214,Başvuru!$G:$G,"Doktora Tezi",Başvuru!$A:$A,"&lt;&gt;"&amp;"",Başvuru!$F:$F,"&lt;&gt;"&amp;""))</f>
        <v>0</v>
      </c>
      <c r="I214" s="158">
        <f>IF(C214="","",COUNTIFS(Başvuru!$C:$C,C214,Başvuru!$G:$G,"Yüksek Lisans Tezi",Başvuru!$A:$A,"&lt;&gt;"&amp;"",Başvuru!$F:$F,"&lt;&gt;"&amp;""))</f>
        <v>0</v>
      </c>
      <c r="J214" s="159">
        <f>IF(C214="","",COUNTIFS(Başvuru!$C:$C,C214,Başvuru!$L:$L,"ONAY",Başvuru!$A:$A,"&lt;&gt;"&amp;"",Başvuru!$F:$F,"&lt;&gt;"&amp;""))</f>
        <v>0</v>
      </c>
      <c r="K214" s="160">
        <f>IF(C214="","",COUNTIFS(Başvuru!$C:$C,C214,Başvuru!$L:$L,"DÜZELTME",Başvuru!$A:$A,"&lt;&gt;"&amp;"",Başvuru!$F:$F,"&lt;&gt;"&amp;""))</f>
        <v>0</v>
      </c>
      <c r="L214" s="161">
        <f>IF(C214="","",COUNTIFS(Başvuru!$C:$C,C214,Başvuru!$L:$L,"KAEK",Başvuru!$A:$A,"&lt;&gt;"&amp;"",Başvuru!$F:$F,"&lt;&gt;"&amp;""))</f>
        <v>0</v>
      </c>
      <c r="M214" s="162">
        <f>IF(C214="","",COUNTIFS(Başvuru!$C:$C,C214,Başvuru!$L:$L,"GÖRÜŞ",Başvuru!$A:$A,"&lt;&gt;"&amp;"",Başvuru!$F:$F,"&lt;&gt;"&amp;""))</f>
        <v>0</v>
      </c>
      <c r="N214" s="163">
        <f>IF(C214="","",COUNTIFS(Başvuru!$C:$C,C214,Başvuru!$L:$L,"RET",Başvuru!$A:$A,"&lt;&gt;"&amp;"",Başvuru!$F:$F,"&lt;&gt;"&amp;""))</f>
        <v>0</v>
      </c>
      <c r="O214" s="164">
        <f>IF(C214="","",COUNTIFS(Başvuru!$C:$C,C214,Başvuru!$L:$L,"KAPSAM DIŞI",Başvuru!$A:$A,"&lt;&gt;"&amp;"",Başvuru!$F:$F,"&lt;&gt;"&amp;""))</f>
        <v>1</v>
      </c>
      <c r="P214" s="165">
        <f>IF(C214="","",COUNTIFS(Başvuru!$C:$C,C214,Başvuru!$L:$L,"GERİ ÇEKİLDİ",Başvuru!$A:$A,"&lt;&gt;"&amp;"",Başvuru!$F:$F,"&lt;&gt;"&amp;""))</f>
        <v>0</v>
      </c>
      <c r="Q214" s="166" t="s">
        <v>1309</v>
      </c>
      <c r="R214" s="167">
        <f>COUNTIFS(Başvuru!$C:$C,Q214,Başvuru!$A:$A,"&lt;&gt;"&amp;"",Başvuru!$F:$F,"&lt;&gt;"&amp;"")</f>
        <v>1</v>
      </c>
      <c r="S214" s="167">
        <f>RANK(R214,$R$6:$R$324,0)+COUNTIF($R$6:R214,R214)-1</f>
        <v>250</v>
      </c>
    </row>
    <row r="215" spans="2:19" ht="15" customHeight="1" x14ac:dyDescent="0.25">
      <c r="B215" s="168">
        <v>210</v>
      </c>
      <c r="C215" s="169" t="str">
        <f>IFERROR(INDEX($Q$6:$Q$324,MATCH(210,$S$6:$S$324,0)),"")</f>
        <v>Dr. Öğr. Üyesi Selin ARDALI DÜZGÜN</v>
      </c>
      <c r="D215" s="170">
        <f>IF(C215="","",COUNTIFS(Başvuru!$C:$C,C215,Başvuru!$A:$A,"&lt;&gt;"&amp;"",Başvuru!$F:$F,"&lt;&gt;"&amp;""))</f>
        <v>1</v>
      </c>
      <c r="E215" s="168" t="str">
        <f>IF(C215="","-",IF(D215&gt;0,TEXT(D215/(COUNTIFS(Başvuru!$A:$A,"&lt;&gt;",Başvuru!$F:$F,"&lt;&gt;")-1)*100,"0.0")&amp;"%","-"))</f>
        <v>00%</v>
      </c>
      <c r="F215" s="171">
        <f>IF(C215="","",COUNTIFS(Başvuru!$C:$C,C215,Başvuru!$G:$G,"Bireysel Araştırma",Başvuru!$A:$A,"&lt;&gt;"&amp;"",Başvuru!$F:$F,"&lt;&gt;"&amp;""))</f>
        <v>1</v>
      </c>
      <c r="G215" s="171">
        <f>IF(C215="","",COUNTIFS(Başvuru!$C:$C,C215,Başvuru!$G:$G,"Uzmanlık Tezi",Başvuru!$A:$A,"&lt;&gt;"&amp;"",Başvuru!$F:$F,"&lt;&gt;"&amp;""))</f>
        <v>0</v>
      </c>
      <c r="H215" s="171">
        <f>IF(C215="","",COUNTIFS(Başvuru!$C:$C,C215,Başvuru!$G:$G,"Doktora Tezi",Başvuru!$A:$A,"&lt;&gt;"&amp;"",Başvuru!$F:$F,"&lt;&gt;"&amp;""))</f>
        <v>0</v>
      </c>
      <c r="I215" s="171">
        <f>IF(C215="","",COUNTIFS(Başvuru!$C:$C,C215,Başvuru!$G:$G,"Yüksek Lisans Tezi",Başvuru!$A:$A,"&lt;&gt;"&amp;"",Başvuru!$F:$F,"&lt;&gt;"&amp;""))</f>
        <v>0</v>
      </c>
      <c r="J215" s="172">
        <f>IF(C215="","",COUNTIFS(Başvuru!$C:$C,C215,Başvuru!$L:$L,"ONAY",Başvuru!$A:$A,"&lt;&gt;"&amp;"",Başvuru!$F:$F,"&lt;&gt;"&amp;""))</f>
        <v>1</v>
      </c>
      <c r="K215" s="173">
        <f>IF(C215="","",COUNTIFS(Başvuru!$C:$C,C215,Başvuru!$L:$L,"DÜZELTME",Başvuru!$A:$A,"&lt;&gt;"&amp;"",Başvuru!$F:$F,"&lt;&gt;"&amp;""))</f>
        <v>0</v>
      </c>
      <c r="L215" s="174">
        <f>IF(C215="","",COUNTIFS(Başvuru!$C:$C,C215,Başvuru!$L:$L,"KAEK",Başvuru!$A:$A,"&lt;&gt;"&amp;"",Başvuru!$F:$F,"&lt;&gt;"&amp;""))</f>
        <v>0</v>
      </c>
      <c r="M215" s="175">
        <f>IF(C215="","",COUNTIFS(Başvuru!$C:$C,C215,Başvuru!$L:$L,"GÖRÜŞ",Başvuru!$A:$A,"&lt;&gt;"&amp;"",Başvuru!$F:$F,"&lt;&gt;"&amp;""))</f>
        <v>0</v>
      </c>
      <c r="N215" s="176">
        <f>IF(C215="","",COUNTIFS(Başvuru!$C:$C,C215,Başvuru!$L:$L,"RET",Başvuru!$A:$A,"&lt;&gt;"&amp;"",Başvuru!$F:$F,"&lt;&gt;"&amp;""))</f>
        <v>0</v>
      </c>
      <c r="O215" s="177">
        <f>IF(C215="","",COUNTIFS(Başvuru!$C:$C,C215,Başvuru!$L:$L,"KAPSAM DIŞI",Başvuru!$A:$A,"&lt;&gt;"&amp;"",Başvuru!$F:$F,"&lt;&gt;"&amp;""))</f>
        <v>0</v>
      </c>
      <c r="P215" s="178">
        <f>IF(C215="","",COUNTIFS(Başvuru!$C:$C,C215,Başvuru!$L:$L,"GERİ ÇEKİLDİ",Başvuru!$A:$A,"&lt;&gt;"&amp;"",Başvuru!$F:$F,"&lt;&gt;"&amp;""))</f>
        <v>0</v>
      </c>
      <c r="Q215" s="166" t="s">
        <v>2031</v>
      </c>
      <c r="R215" s="167">
        <f>COUNTIFS(Başvuru!$C:$C,Q215,Başvuru!$A:$A,"&lt;&gt;"&amp;"",Başvuru!$F:$F,"&lt;&gt;"&amp;"")</f>
        <v>1</v>
      </c>
      <c r="S215" s="167">
        <f>RANK(R215,$R$6:$R$324,0)+COUNTIF($R$6:R215,R215)-1</f>
        <v>251</v>
      </c>
    </row>
    <row r="216" spans="2:19" ht="15" customHeight="1" x14ac:dyDescent="0.25">
      <c r="B216" s="155">
        <v>211</v>
      </c>
      <c r="C216" s="156" t="str">
        <f>IFERROR(INDEX($Q$6:$Q$324,MATCH(211,$S$6:$S$324,0)),"")</f>
        <v>Dr. Öğr. Üyesi Süleyman BULUT</v>
      </c>
      <c r="D216" s="157">
        <f>IF(C216="","",COUNTIFS(Başvuru!$C:$C,C216,Başvuru!$A:$A,"&lt;&gt;"&amp;"",Başvuru!$F:$F,"&lt;&gt;"&amp;""))</f>
        <v>1</v>
      </c>
      <c r="E216" s="155" t="str">
        <f>IF(C216="","-",IF(D216&gt;0,TEXT(D216/(COUNTIFS(Başvuru!$A:$A,"&lt;&gt;",Başvuru!$F:$F,"&lt;&gt;")-1)*100,"0.0")&amp;"%","-"))</f>
        <v>00%</v>
      </c>
      <c r="F216" s="158">
        <f>IF(C216="","",COUNTIFS(Başvuru!$C:$C,C216,Başvuru!$G:$G,"Bireysel Araştırma",Başvuru!$A:$A,"&lt;&gt;"&amp;"",Başvuru!$F:$F,"&lt;&gt;"&amp;""))</f>
        <v>0</v>
      </c>
      <c r="G216" s="158">
        <f>IF(C216="","",COUNTIFS(Başvuru!$C:$C,C216,Başvuru!$G:$G,"Uzmanlık Tezi",Başvuru!$A:$A,"&lt;&gt;"&amp;"",Başvuru!$F:$F,"&lt;&gt;"&amp;""))</f>
        <v>0</v>
      </c>
      <c r="H216" s="158">
        <f>IF(C216="","",COUNTIFS(Başvuru!$C:$C,C216,Başvuru!$G:$G,"Doktora Tezi",Başvuru!$A:$A,"&lt;&gt;"&amp;"",Başvuru!$F:$F,"&lt;&gt;"&amp;""))</f>
        <v>0</v>
      </c>
      <c r="I216" s="158">
        <f>IF(C216="","",COUNTIFS(Başvuru!$C:$C,C216,Başvuru!$G:$G,"Yüksek Lisans Tezi",Başvuru!$A:$A,"&lt;&gt;"&amp;"",Başvuru!$F:$F,"&lt;&gt;"&amp;""))</f>
        <v>1</v>
      </c>
      <c r="J216" s="159">
        <f>IF(C216="","",COUNTIFS(Başvuru!$C:$C,C216,Başvuru!$L:$L,"ONAY",Başvuru!$A:$A,"&lt;&gt;"&amp;"",Başvuru!$F:$F,"&lt;&gt;"&amp;""))</f>
        <v>0</v>
      </c>
      <c r="K216" s="160">
        <f>IF(C216="","",COUNTIFS(Başvuru!$C:$C,C216,Başvuru!$L:$L,"DÜZELTME",Başvuru!$A:$A,"&lt;&gt;"&amp;"",Başvuru!$F:$F,"&lt;&gt;"&amp;""))</f>
        <v>1</v>
      </c>
      <c r="L216" s="161">
        <f>IF(C216="","",COUNTIFS(Başvuru!$C:$C,C216,Başvuru!$L:$L,"KAEK",Başvuru!$A:$A,"&lt;&gt;"&amp;"",Başvuru!$F:$F,"&lt;&gt;"&amp;""))</f>
        <v>0</v>
      </c>
      <c r="M216" s="162">
        <f>IF(C216="","",COUNTIFS(Başvuru!$C:$C,C216,Başvuru!$L:$L,"GÖRÜŞ",Başvuru!$A:$A,"&lt;&gt;"&amp;"",Başvuru!$F:$F,"&lt;&gt;"&amp;""))</f>
        <v>0</v>
      </c>
      <c r="N216" s="163">
        <f>IF(C216="","",COUNTIFS(Başvuru!$C:$C,C216,Başvuru!$L:$L,"RET",Başvuru!$A:$A,"&lt;&gt;"&amp;"",Başvuru!$F:$F,"&lt;&gt;"&amp;""))</f>
        <v>0</v>
      </c>
      <c r="O216" s="164">
        <f>IF(C216="","",COUNTIFS(Başvuru!$C:$C,C216,Başvuru!$L:$L,"KAPSAM DIŞI",Başvuru!$A:$A,"&lt;&gt;"&amp;"",Başvuru!$F:$F,"&lt;&gt;"&amp;""))</f>
        <v>0</v>
      </c>
      <c r="P216" s="165">
        <f>IF(C216="","",COUNTIFS(Başvuru!$C:$C,C216,Başvuru!$L:$L,"GERİ ÇEKİLDİ",Başvuru!$A:$A,"&lt;&gt;"&amp;"",Başvuru!$F:$F,"&lt;&gt;"&amp;""))</f>
        <v>0</v>
      </c>
      <c r="Q216" s="166" t="s">
        <v>105</v>
      </c>
      <c r="R216" s="167">
        <f>COUNTIFS(Başvuru!$C:$C,Q216,Başvuru!$A:$A,"&lt;&gt;"&amp;"",Başvuru!$F:$F,"&lt;&gt;"&amp;"")</f>
        <v>1</v>
      </c>
      <c r="S216" s="167">
        <f>RANK(R216,$R$6:$R$324,0)+COUNTIF($R$6:R216,R216)-1</f>
        <v>252</v>
      </c>
    </row>
    <row r="217" spans="2:19" ht="15" customHeight="1" x14ac:dyDescent="0.25">
      <c r="B217" s="168">
        <v>212</v>
      </c>
      <c r="C217" s="169" t="str">
        <f>IFERROR(INDEX($Q$6:$Q$324,MATCH(212,$S$6:$S$324,0)),"")</f>
        <v>Dr. Öğr. Üyesi Yağmur Deniz YILDIRIM</v>
      </c>
      <c r="D217" s="170">
        <f>IF(C217="","",COUNTIFS(Başvuru!$C:$C,C217,Başvuru!$A:$A,"&lt;&gt;"&amp;"",Başvuru!$F:$F,"&lt;&gt;"&amp;""))</f>
        <v>1</v>
      </c>
      <c r="E217" s="168" t="str">
        <f>IF(C217="","-",IF(D217&gt;0,TEXT(D217/(COUNTIFS(Başvuru!$A:$A,"&lt;&gt;",Başvuru!$F:$F,"&lt;&gt;")-1)*100,"0.0")&amp;"%","-"))</f>
        <v>00%</v>
      </c>
      <c r="F217" s="171">
        <f>IF(C217="","",COUNTIFS(Başvuru!$C:$C,C217,Başvuru!$G:$G,"Bireysel Araştırma",Başvuru!$A:$A,"&lt;&gt;"&amp;"",Başvuru!$F:$F,"&lt;&gt;"&amp;""))</f>
        <v>0</v>
      </c>
      <c r="G217" s="171">
        <f>IF(C217="","",COUNTIFS(Başvuru!$C:$C,C217,Başvuru!$G:$G,"Uzmanlık Tezi",Başvuru!$A:$A,"&lt;&gt;"&amp;"",Başvuru!$F:$F,"&lt;&gt;"&amp;""))</f>
        <v>1</v>
      </c>
      <c r="H217" s="171">
        <f>IF(C217="","",COUNTIFS(Başvuru!$C:$C,C217,Başvuru!$G:$G,"Doktora Tezi",Başvuru!$A:$A,"&lt;&gt;"&amp;"",Başvuru!$F:$F,"&lt;&gt;"&amp;""))</f>
        <v>0</v>
      </c>
      <c r="I217" s="171">
        <f>IF(C217="","",COUNTIFS(Başvuru!$C:$C,C217,Başvuru!$G:$G,"Yüksek Lisans Tezi",Başvuru!$A:$A,"&lt;&gt;"&amp;"",Başvuru!$F:$F,"&lt;&gt;"&amp;""))</f>
        <v>0</v>
      </c>
      <c r="J217" s="172">
        <f>IF(C217="","",COUNTIFS(Başvuru!$C:$C,C217,Başvuru!$L:$L,"ONAY",Başvuru!$A:$A,"&lt;&gt;"&amp;"",Başvuru!$F:$F,"&lt;&gt;"&amp;""))</f>
        <v>0</v>
      </c>
      <c r="K217" s="173">
        <f>IF(C217="","",COUNTIFS(Başvuru!$C:$C,C217,Başvuru!$L:$L,"DÜZELTME",Başvuru!$A:$A,"&lt;&gt;"&amp;"",Başvuru!$F:$F,"&lt;&gt;"&amp;""))</f>
        <v>1</v>
      </c>
      <c r="L217" s="174">
        <f>IF(C217="","",COUNTIFS(Başvuru!$C:$C,C217,Başvuru!$L:$L,"KAEK",Başvuru!$A:$A,"&lt;&gt;"&amp;"",Başvuru!$F:$F,"&lt;&gt;"&amp;""))</f>
        <v>0</v>
      </c>
      <c r="M217" s="175">
        <f>IF(C217="","",COUNTIFS(Başvuru!$C:$C,C217,Başvuru!$L:$L,"GÖRÜŞ",Başvuru!$A:$A,"&lt;&gt;"&amp;"",Başvuru!$F:$F,"&lt;&gt;"&amp;""))</f>
        <v>0</v>
      </c>
      <c r="N217" s="176">
        <f>IF(C217="","",COUNTIFS(Başvuru!$C:$C,C217,Başvuru!$L:$L,"RET",Başvuru!$A:$A,"&lt;&gt;"&amp;"",Başvuru!$F:$F,"&lt;&gt;"&amp;""))</f>
        <v>0</v>
      </c>
      <c r="O217" s="177">
        <f>IF(C217="","",COUNTIFS(Başvuru!$C:$C,C217,Başvuru!$L:$L,"KAPSAM DIŞI",Başvuru!$A:$A,"&lt;&gt;"&amp;"",Başvuru!$F:$F,"&lt;&gt;"&amp;""))</f>
        <v>0</v>
      </c>
      <c r="P217" s="178">
        <f>IF(C217="","",COUNTIFS(Başvuru!$C:$C,C217,Başvuru!$L:$L,"GERİ ÇEKİLDİ",Başvuru!$A:$A,"&lt;&gt;"&amp;"",Başvuru!$F:$F,"&lt;&gt;"&amp;""))</f>
        <v>0</v>
      </c>
      <c r="Q217" s="166" t="s">
        <v>109</v>
      </c>
      <c r="R217" s="167">
        <f>COUNTIFS(Başvuru!$C:$C,Q217,Başvuru!$A:$A,"&lt;&gt;"&amp;"",Başvuru!$F:$F,"&lt;&gt;"&amp;"")</f>
        <v>17</v>
      </c>
      <c r="S217" s="167">
        <f>RANK(R217,$R$6:$R$324,0)+COUNTIF($R$6:R217,R217)-1</f>
        <v>1</v>
      </c>
    </row>
    <row r="218" spans="2:19" ht="15" customHeight="1" x14ac:dyDescent="0.25">
      <c r="B218" s="155">
        <v>213</v>
      </c>
      <c r="C218" s="156" t="str">
        <f>IFERROR(INDEX($Q$6:$Q$324,MATCH(213,$S$6:$S$324,0)),"")</f>
        <v>Dr. Öğr. Üyesi Özge YAVUZ SARI</v>
      </c>
      <c r="D218" s="157">
        <f>IF(C218="","",COUNTIFS(Başvuru!$C:$C,C218,Başvuru!$A:$A,"&lt;&gt;"&amp;"",Başvuru!$F:$F,"&lt;&gt;"&amp;""))</f>
        <v>1</v>
      </c>
      <c r="E218" s="155" t="str">
        <f>IF(C218="","-",IF(D218&gt;0,TEXT(D218/(COUNTIFS(Başvuru!$A:$A,"&lt;&gt;",Başvuru!$F:$F,"&lt;&gt;")-1)*100,"0.0")&amp;"%","-"))</f>
        <v>00%</v>
      </c>
      <c r="F218" s="158">
        <f>IF(C218="","",COUNTIFS(Başvuru!$C:$C,C218,Başvuru!$G:$G,"Bireysel Araştırma",Başvuru!$A:$A,"&lt;&gt;"&amp;"",Başvuru!$F:$F,"&lt;&gt;"&amp;""))</f>
        <v>1</v>
      </c>
      <c r="G218" s="158">
        <f>IF(C218="","",COUNTIFS(Başvuru!$C:$C,C218,Başvuru!$G:$G,"Uzmanlık Tezi",Başvuru!$A:$A,"&lt;&gt;"&amp;"",Başvuru!$F:$F,"&lt;&gt;"&amp;""))</f>
        <v>0</v>
      </c>
      <c r="H218" s="158">
        <f>IF(C218="","",COUNTIFS(Başvuru!$C:$C,C218,Başvuru!$G:$G,"Doktora Tezi",Başvuru!$A:$A,"&lt;&gt;"&amp;"",Başvuru!$F:$F,"&lt;&gt;"&amp;""))</f>
        <v>0</v>
      </c>
      <c r="I218" s="158">
        <f>IF(C218="","",COUNTIFS(Başvuru!$C:$C,C218,Başvuru!$G:$G,"Yüksek Lisans Tezi",Başvuru!$A:$A,"&lt;&gt;"&amp;"",Başvuru!$F:$F,"&lt;&gt;"&amp;""))</f>
        <v>0</v>
      </c>
      <c r="J218" s="159">
        <f>IF(C218="","",COUNTIFS(Başvuru!$C:$C,C218,Başvuru!$L:$L,"ONAY",Başvuru!$A:$A,"&lt;&gt;"&amp;"",Başvuru!$F:$F,"&lt;&gt;"&amp;""))</f>
        <v>1</v>
      </c>
      <c r="K218" s="160">
        <f>IF(C218="","",COUNTIFS(Başvuru!$C:$C,C218,Başvuru!$L:$L,"DÜZELTME",Başvuru!$A:$A,"&lt;&gt;"&amp;"",Başvuru!$F:$F,"&lt;&gt;"&amp;""))</f>
        <v>0</v>
      </c>
      <c r="L218" s="161">
        <f>IF(C218="","",COUNTIFS(Başvuru!$C:$C,C218,Başvuru!$L:$L,"KAEK",Başvuru!$A:$A,"&lt;&gt;"&amp;"",Başvuru!$F:$F,"&lt;&gt;"&amp;""))</f>
        <v>0</v>
      </c>
      <c r="M218" s="162">
        <f>IF(C218="","",COUNTIFS(Başvuru!$C:$C,C218,Başvuru!$L:$L,"GÖRÜŞ",Başvuru!$A:$A,"&lt;&gt;"&amp;"",Başvuru!$F:$F,"&lt;&gt;"&amp;""))</f>
        <v>0</v>
      </c>
      <c r="N218" s="163">
        <f>IF(C218="","",COUNTIFS(Başvuru!$C:$C,C218,Başvuru!$L:$L,"RET",Başvuru!$A:$A,"&lt;&gt;"&amp;"",Başvuru!$F:$F,"&lt;&gt;"&amp;""))</f>
        <v>0</v>
      </c>
      <c r="O218" s="164">
        <f>IF(C218="","",COUNTIFS(Başvuru!$C:$C,C218,Başvuru!$L:$L,"KAPSAM DIŞI",Başvuru!$A:$A,"&lt;&gt;"&amp;"",Başvuru!$F:$F,"&lt;&gt;"&amp;""))</f>
        <v>0</v>
      </c>
      <c r="P218" s="165">
        <f>IF(C218="","",COUNTIFS(Başvuru!$C:$C,C218,Başvuru!$L:$L,"GERİ ÇEKİLDİ",Başvuru!$A:$A,"&lt;&gt;"&amp;"",Başvuru!$F:$F,"&lt;&gt;"&amp;""))</f>
        <v>0</v>
      </c>
      <c r="Q218" s="166" t="s">
        <v>1173</v>
      </c>
      <c r="R218" s="167">
        <f>COUNTIFS(Başvuru!$C:$C,Q218,Başvuru!$A:$A,"&lt;&gt;"&amp;"",Başvuru!$F:$F,"&lt;&gt;"&amp;"")</f>
        <v>1</v>
      </c>
      <c r="S218" s="167">
        <f>RANK(R218,$R$6:$R$324,0)+COUNTIF($R$6:R218,R218)-1</f>
        <v>253</v>
      </c>
    </row>
    <row r="219" spans="2:19" ht="15" customHeight="1" x14ac:dyDescent="0.25">
      <c r="B219" s="168">
        <v>214</v>
      </c>
      <c r="C219" s="169" t="str">
        <f>IFERROR(INDEX($Q$6:$Q$324,MATCH(214,$S$6:$S$324,0)),"")</f>
        <v>Prof. Dr. Abdullah Ruhi SOYLU</v>
      </c>
      <c r="D219" s="170">
        <f>IF(C219="","",COUNTIFS(Başvuru!$C:$C,C219,Başvuru!$A:$A,"&lt;&gt;"&amp;"",Başvuru!$F:$F,"&lt;&gt;"&amp;""))</f>
        <v>1</v>
      </c>
      <c r="E219" s="168" t="str">
        <f>IF(C219="","-",IF(D219&gt;0,TEXT(D219/(COUNTIFS(Başvuru!$A:$A,"&lt;&gt;",Başvuru!$F:$F,"&lt;&gt;")-1)*100,"0.0")&amp;"%","-"))</f>
        <v>00%</v>
      </c>
      <c r="F219" s="171">
        <f>IF(C219="","",COUNTIFS(Başvuru!$C:$C,C219,Başvuru!$G:$G,"Bireysel Araştırma",Başvuru!$A:$A,"&lt;&gt;"&amp;"",Başvuru!$F:$F,"&lt;&gt;"&amp;""))</f>
        <v>0</v>
      </c>
      <c r="G219" s="171">
        <f>IF(C219="","",COUNTIFS(Başvuru!$C:$C,C219,Başvuru!$G:$G,"Uzmanlık Tezi",Başvuru!$A:$A,"&lt;&gt;"&amp;"",Başvuru!$F:$F,"&lt;&gt;"&amp;""))</f>
        <v>0</v>
      </c>
      <c r="H219" s="171">
        <f>IF(C219="","",COUNTIFS(Başvuru!$C:$C,C219,Başvuru!$G:$G,"Doktora Tezi",Başvuru!$A:$A,"&lt;&gt;"&amp;"",Başvuru!$F:$F,"&lt;&gt;"&amp;""))</f>
        <v>1</v>
      </c>
      <c r="I219" s="171">
        <f>IF(C219="","",COUNTIFS(Başvuru!$C:$C,C219,Başvuru!$G:$G,"Yüksek Lisans Tezi",Başvuru!$A:$A,"&lt;&gt;"&amp;"",Başvuru!$F:$F,"&lt;&gt;"&amp;""))</f>
        <v>0</v>
      </c>
      <c r="J219" s="172">
        <f>IF(C219="","",COUNTIFS(Başvuru!$C:$C,C219,Başvuru!$L:$L,"ONAY",Başvuru!$A:$A,"&lt;&gt;"&amp;"",Başvuru!$F:$F,"&lt;&gt;"&amp;""))</f>
        <v>1</v>
      </c>
      <c r="K219" s="173">
        <f>IF(C219="","",COUNTIFS(Başvuru!$C:$C,C219,Başvuru!$L:$L,"DÜZELTME",Başvuru!$A:$A,"&lt;&gt;"&amp;"",Başvuru!$F:$F,"&lt;&gt;"&amp;""))</f>
        <v>0</v>
      </c>
      <c r="L219" s="174">
        <f>IF(C219="","",COUNTIFS(Başvuru!$C:$C,C219,Başvuru!$L:$L,"KAEK",Başvuru!$A:$A,"&lt;&gt;"&amp;"",Başvuru!$F:$F,"&lt;&gt;"&amp;""))</f>
        <v>0</v>
      </c>
      <c r="M219" s="175">
        <f>IF(C219="","",COUNTIFS(Başvuru!$C:$C,C219,Başvuru!$L:$L,"GÖRÜŞ",Başvuru!$A:$A,"&lt;&gt;"&amp;"",Başvuru!$F:$F,"&lt;&gt;"&amp;""))</f>
        <v>0</v>
      </c>
      <c r="N219" s="176">
        <f>IF(C219="","",COUNTIFS(Başvuru!$C:$C,C219,Başvuru!$L:$L,"RET",Başvuru!$A:$A,"&lt;&gt;"&amp;"",Başvuru!$F:$F,"&lt;&gt;"&amp;""))</f>
        <v>0</v>
      </c>
      <c r="O219" s="177">
        <f>IF(C219="","",COUNTIFS(Başvuru!$C:$C,C219,Başvuru!$L:$L,"KAPSAM DIŞI",Başvuru!$A:$A,"&lt;&gt;"&amp;"",Başvuru!$F:$F,"&lt;&gt;"&amp;""))</f>
        <v>0</v>
      </c>
      <c r="P219" s="178">
        <f>IF(C219="","",COUNTIFS(Başvuru!$C:$C,C219,Başvuru!$L:$L,"GERİ ÇEKİLDİ",Başvuru!$A:$A,"&lt;&gt;"&amp;"",Başvuru!$F:$F,"&lt;&gt;"&amp;""))</f>
        <v>0</v>
      </c>
      <c r="Q219" s="166" t="s">
        <v>1690</v>
      </c>
      <c r="R219" s="167">
        <f>COUNTIFS(Başvuru!$C:$C,Q219,Başvuru!$A:$A,"&lt;&gt;"&amp;"",Başvuru!$F:$F,"&lt;&gt;"&amp;"")</f>
        <v>3</v>
      </c>
      <c r="S219" s="167">
        <f>RANK(R219,$R$6:$R$324,0)+COUNTIF($R$6:R219,R219)-1</f>
        <v>62</v>
      </c>
    </row>
    <row r="220" spans="2:19" ht="15" customHeight="1" x14ac:dyDescent="0.25">
      <c r="B220" s="155">
        <v>215</v>
      </c>
      <c r="C220" s="156" t="str">
        <f>IFERROR(INDEX($Q$6:$Q$324,MATCH(215,$S$6:$S$324,0)),"")</f>
        <v>Prof. Dr. Ali DURSUN</v>
      </c>
      <c r="D220" s="157">
        <f>IF(C220="","",COUNTIFS(Başvuru!$C:$C,C220,Başvuru!$A:$A,"&lt;&gt;"&amp;"",Başvuru!$F:$F,"&lt;&gt;"&amp;""))</f>
        <v>1</v>
      </c>
      <c r="E220" s="155" t="str">
        <f>IF(C220="","-",IF(D220&gt;0,TEXT(D220/(COUNTIFS(Başvuru!$A:$A,"&lt;&gt;",Başvuru!$F:$F,"&lt;&gt;")-1)*100,"0.0")&amp;"%","-"))</f>
        <v>00%</v>
      </c>
      <c r="F220" s="158">
        <f>IF(C220="","",COUNTIFS(Başvuru!$C:$C,C220,Başvuru!$G:$G,"Bireysel Araştırma",Başvuru!$A:$A,"&lt;&gt;"&amp;"",Başvuru!$F:$F,"&lt;&gt;"&amp;""))</f>
        <v>1</v>
      </c>
      <c r="G220" s="158">
        <f>IF(C220="","",COUNTIFS(Başvuru!$C:$C,C220,Başvuru!$G:$G,"Uzmanlık Tezi",Başvuru!$A:$A,"&lt;&gt;"&amp;"",Başvuru!$F:$F,"&lt;&gt;"&amp;""))</f>
        <v>0</v>
      </c>
      <c r="H220" s="158">
        <f>IF(C220="","",COUNTIFS(Başvuru!$C:$C,C220,Başvuru!$G:$G,"Doktora Tezi",Başvuru!$A:$A,"&lt;&gt;"&amp;"",Başvuru!$F:$F,"&lt;&gt;"&amp;""))</f>
        <v>0</v>
      </c>
      <c r="I220" s="158">
        <f>IF(C220="","",COUNTIFS(Başvuru!$C:$C,C220,Başvuru!$G:$G,"Yüksek Lisans Tezi",Başvuru!$A:$A,"&lt;&gt;"&amp;"",Başvuru!$F:$F,"&lt;&gt;"&amp;""))</f>
        <v>0</v>
      </c>
      <c r="J220" s="159">
        <f>IF(C220="","",COUNTIFS(Başvuru!$C:$C,C220,Başvuru!$L:$L,"ONAY",Başvuru!$A:$A,"&lt;&gt;"&amp;"",Başvuru!$F:$F,"&lt;&gt;"&amp;""))</f>
        <v>0</v>
      </c>
      <c r="K220" s="160">
        <f>IF(C220="","",COUNTIFS(Başvuru!$C:$C,C220,Başvuru!$L:$L,"DÜZELTME",Başvuru!$A:$A,"&lt;&gt;"&amp;"",Başvuru!$F:$F,"&lt;&gt;"&amp;""))</f>
        <v>1</v>
      </c>
      <c r="L220" s="161">
        <f>IF(C220="","",COUNTIFS(Başvuru!$C:$C,C220,Başvuru!$L:$L,"KAEK",Başvuru!$A:$A,"&lt;&gt;"&amp;"",Başvuru!$F:$F,"&lt;&gt;"&amp;""))</f>
        <v>0</v>
      </c>
      <c r="M220" s="162">
        <f>IF(C220="","",COUNTIFS(Başvuru!$C:$C,C220,Başvuru!$L:$L,"GÖRÜŞ",Başvuru!$A:$A,"&lt;&gt;"&amp;"",Başvuru!$F:$F,"&lt;&gt;"&amp;""))</f>
        <v>0</v>
      </c>
      <c r="N220" s="163">
        <f>IF(C220="","",COUNTIFS(Başvuru!$C:$C,C220,Başvuru!$L:$L,"RET",Başvuru!$A:$A,"&lt;&gt;"&amp;"",Başvuru!$F:$F,"&lt;&gt;"&amp;""))</f>
        <v>0</v>
      </c>
      <c r="O220" s="164">
        <f>IF(C220="","",COUNTIFS(Başvuru!$C:$C,C220,Başvuru!$L:$L,"KAPSAM DIŞI",Başvuru!$A:$A,"&lt;&gt;"&amp;"",Başvuru!$F:$F,"&lt;&gt;"&amp;""))</f>
        <v>0</v>
      </c>
      <c r="P220" s="165">
        <f>IF(C220="","",COUNTIFS(Başvuru!$C:$C,C220,Başvuru!$L:$L,"GERİ ÇEKİLDİ",Başvuru!$A:$A,"&lt;&gt;"&amp;"",Başvuru!$F:$F,"&lt;&gt;"&amp;""))</f>
        <v>0</v>
      </c>
      <c r="Q220" s="166" t="s">
        <v>1331</v>
      </c>
      <c r="R220" s="167">
        <f>COUNTIFS(Başvuru!$C:$C,Q220,Başvuru!$A:$A,"&lt;&gt;"&amp;"",Başvuru!$F:$F,"&lt;&gt;"&amp;"")</f>
        <v>5</v>
      </c>
      <c r="S220" s="167">
        <f>RANK(R220,$R$6:$R$324,0)+COUNTIF($R$6:R220,R220)-1</f>
        <v>26</v>
      </c>
    </row>
    <row r="221" spans="2:19" ht="15" customHeight="1" x14ac:dyDescent="0.25">
      <c r="B221" s="168">
        <v>216</v>
      </c>
      <c r="C221" s="169" t="str">
        <f>IFERROR(INDEX($Q$6:$Q$324,MATCH(216,$S$6:$S$324,0)),"")</f>
        <v>Prof. Dr. Ali DÜZOVA</v>
      </c>
      <c r="D221" s="170">
        <f>IF(C221="","",COUNTIFS(Başvuru!$C:$C,C221,Başvuru!$A:$A,"&lt;&gt;"&amp;"",Başvuru!$F:$F,"&lt;&gt;"&amp;""))</f>
        <v>1</v>
      </c>
      <c r="E221" s="168" t="str">
        <f>IF(C221="","-",IF(D221&gt;0,TEXT(D221/(COUNTIFS(Başvuru!$A:$A,"&lt;&gt;",Başvuru!$F:$F,"&lt;&gt;")-1)*100,"0.0")&amp;"%","-"))</f>
        <v>00%</v>
      </c>
      <c r="F221" s="171">
        <f>IF(C221="","",COUNTIFS(Başvuru!$C:$C,C221,Başvuru!$G:$G,"Bireysel Araştırma",Başvuru!$A:$A,"&lt;&gt;"&amp;"",Başvuru!$F:$F,"&lt;&gt;"&amp;""))</f>
        <v>1</v>
      </c>
      <c r="G221" s="171">
        <f>IF(C221="","",COUNTIFS(Başvuru!$C:$C,C221,Başvuru!$G:$G,"Uzmanlık Tezi",Başvuru!$A:$A,"&lt;&gt;"&amp;"",Başvuru!$F:$F,"&lt;&gt;"&amp;""))</f>
        <v>0</v>
      </c>
      <c r="H221" s="171">
        <f>IF(C221="","",COUNTIFS(Başvuru!$C:$C,C221,Başvuru!$G:$G,"Doktora Tezi",Başvuru!$A:$A,"&lt;&gt;"&amp;"",Başvuru!$F:$F,"&lt;&gt;"&amp;""))</f>
        <v>0</v>
      </c>
      <c r="I221" s="171">
        <f>IF(C221="","",COUNTIFS(Başvuru!$C:$C,C221,Başvuru!$G:$G,"Yüksek Lisans Tezi",Başvuru!$A:$A,"&lt;&gt;"&amp;"",Başvuru!$F:$F,"&lt;&gt;"&amp;""))</f>
        <v>0</v>
      </c>
      <c r="J221" s="172">
        <f>IF(C221="","",COUNTIFS(Başvuru!$C:$C,C221,Başvuru!$L:$L,"ONAY",Başvuru!$A:$A,"&lt;&gt;"&amp;"",Başvuru!$F:$F,"&lt;&gt;"&amp;""))</f>
        <v>1</v>
      </c>
      <c r="K221" s="173">
        <f>IF(C221="","",COUNTIFS(Başvuru!$C:$C,C221,Başvuru!$L:$L,"DÜZELTME",Başvuru!$A:$A,"&lt;&gt;"&amp;"",Başvuru!$F:$F,"&lt;&gt;"&amp;""))</f>
        <v>0</v>
      </c>
      <c r="L221" s="174">
        <f>IF(C221="","",COUNTIFS(Başvuru!$C:$C,C221,Başvuru!$L:$L,"KAEK",Başvuru!$A:$A,"&lt;&gt;"&amp;"",Başvuru!$F:$F,"&lt;&gt;"&amp;""))</f>
        <v>0</v>
      </c>
      <c r="M221" s="175">
        <f>IF(C221="","",COUNTIFS(Başvuru!$C:$C,C221,Başvuru!$L:$L,"GÖRÜŞ",Başvuru!$A:$A,"&lt;&gt;"&amp;"",Başvuru!$F:$F,"&lt;&gt;"&amp;""))</f>
        <v>0</v>
      </c>
      <c r="N221" s="176">
        <f>IF(C221="","",COUNTIFS(Başvuru!$C:$C,C221,Başvuru!$L:$L,"RET",Başvuru!$A:$A,"&lt;&gt;"&amp;"",Başvuru!$F:$F,"&lt;&gt;"&amp;""))</f>
        <v>0</v>
      </c>
      <c r="O221" s="177">
        <f>IF(C221="","",COUNTIFS(Başvuru!$C:$C,C221,Başvuru!$L:$L,"KAPSAM DIŞI",Başvuru!$A:$A,"&lt;&gt;"&amp;"",Başvuru!$F:$F,"&lt;&gt;"&amp;""))</f>
        <v>0</v>
      </c>
      <c r="P221" s="178">
        <f>IF(C221="","",COUNTIFS(Başvuru!$C:$C,C221,Başvuru!$L:$L,"GERİ ÇEKİLDİ",Başvuru!$A:$A,"&lt;&gt;"&amp;"",Başvuru!$F:$F,"&lt;&gt;"&amp;""))</f>
        <v>0</v>
      </c>
      <c r="Q221" s="166" t="s">
        <v>1118</v>
      </c>
      <c r="R221" s="167">
        <f>COUNTIFS(Başvuru!$C:$C,Q221,Başvuru!$A:$A,"&lt;&gt;"&amp;"",Başvuru!$F:$F,"&lt;&gt;"&amp;"")</f>
        <v>2</v>
      </c>
      <c r="S221" s="167">
        <f>RANK(R221,$R$6:$R$324,0)+COUNTIF($R$6:R221,R221)-1</f>
        <v>122</v>
      </c>
    </row>
    <row r="222" spans="2:19" ht="15" customHeight="1" x14ac:dyDescent="0.25">
      <c r="B222" s="155">
        <v>217</v>
      </c>
      <c r="C222" s="156" t="str">
        <f>IFERROR(INDEX($Q$6:$Q$324,MATCH(217,$S$6:$S$324,0)),"")</f>
        <v>Prof. Dr. Alp USUBÜTÜN</v>
      </c>
      <c r="D222" s="157">
        <f>IF(C222="","",COUNTIFS(Başvuru!$C:$C,C222,Başvuru!$A:$A,"&lt;&gt;"&amp;"",Başvuru!$F:$F,"&lt;&gt;"&amp;""))</f>
        <v>1</v>
      </c>
      <c r="E222" s="155" t="str">
        <f>IF(C222="","-",IF(D222&gt;0,TEXT(D222/(COUNTIFS(Başvuru!$A:$A,"&lt;&gt;",Başvuru!$F:$F,"&lt;&gt;")-1)*100,"0.0")&amp;"%","-"))</f>
        <v>00%</v>
      </c>
      <c r="F222" s="158">
        <f>IF(C222="","",COUNTIFS(Başvuru!$C:$C,C222,Başvuru!$G:$G,"Bireysel Araştırma",Başvuru!$A:$A,"&lt;&gt;"&amp;"",Başvuru!$F:$F,"&lt;&gt;"&amp;""))</f>
        <v>1</v>
      </c>
      <c r="G222" s="158">
        <f>IF(C222="","",COUNTIFS(Başvuru!$C:$C,C222,Başvuru!$G:$G,"Uzmanlık Tezi",Başvuru!$A:$A,"&lt;&gt;"&amp;"",Başvuru!$F:$F,"&lt;&gt;"&amp;""))</f>
        <v>0</v>
      </c>
      <c r="H222" s="158">
        <f>IF(C222="","",COUNTIFS(Başvuru!$C:$C,C222,Başvuru!$G:$G,"Doktora Tezi",Başvuru!$A:$A,"&lt;&gt;"&amp;"",Başvuru!$F:$F,"&lt;&gt;"&amp;""))</f>
        <v>0</v>
      </c>
      <c r="I222" s="158">
        <f>IF(C222="","",COUNTIFS(Başvuru!$C:$C,C222,Başvuru!$G:$G,"Yüksek Lisans Tezi",Başvuru!$A:$A,"&lt;&gt;"&amp;"",Başvuru!$F:$F,"&lt;&gt;"&amp;""))</f>
        <v>0</v>
      </c>
      <c r="J222" s="159">
        <f>IF(C222="","",COUNTIFS(Başvuru!$C:$C,C222,Başvuru!$L:$L,"ONAY",Başvuru!$A:$A,"&lt;&gt;"&amp;"",Başvuru!$F:$F,"&lt;&gt;"&amp;""))</f>
        <v>1</v>
      </c>
      <c r="K222" s="160">
        <f>IF(C222="","",COUNTIFS(Başvuru!$C:$C,C222,Başvuru!$L:$L,"DÜZELTME",Başvuru!$A:$A,"&lt;&gt;"&amp;"",Başvuru!$F:$F,"&lt;&gt;"&amp;""))</f>
        <v>0</v>
      </c>
      <c r="L222" s="161">
        <f>IF(C222="","",COUNTIFS(Başvuru!$C:$C,C222,Başvuru!$L:$L,"KAEK",Başvuru!$A:$A,"&lt;&gt;"&amp;"",Başvuru!$F:$F,"&lt;&gt;"&amp;""))</f>
        <v>0</v>
      </c>
      <c r="M222" s="162">
        <f>IF(C222="","",COUNTIFS(Başvuru!$C:$C,C222,Başvuru!$L:$L,"GÖRÜŞ",Başvuru!$A:$A,"&lt;&gt;"&amp;"",Başvuru!$F:$F,"&lt;&gt;"&amp;""))</f>
        <v>0</v>
      </c>
      <c r="N222" s="163">
        <f>IF(C222="","",COUNTIFS(Başvuru!$C:$C,C222,Başvuru!$L:$L,"RET",Başvuru!$A:$A,"&lt;&gt;"&amp;"",Başvuru!$F:$F,"&lt;&gt;"&amp;""))</f>
        <v>0</v>
      </c>
      <c r="O222" s="164">
        <f>IF(C222="","",COUNTIFS(Başvuru!$C:$C,C222,Başvuru!$L:$L,"KAPSAM DIŞI",Başvuru!$A:$A,"&lt;&gt;"&amp;"",Başvuru!$F:$F,"&lt;&gt;"&amp;""))</f>
        <v>0</v>
      </c>
      <c r="P222" s="165">
        <f>IF(C222="","",COUNTIFS(Başvuru!$C:$C,C222,Başvuru!$L:$L,"GERİ ÇEKİLDİ",Başvuru!$A:$A,"&lt;&gt;"&amp;"",Başvuru!$F:$F,"&lt;&gt;"&amp;""))</f>
        <v>0</v>
      </c>
      <c r="Q222" s="166" t="s">
        <v>2531</v>
      </c>
      <c r="R222" s="167">
        <f>COUNTIFS(Başvuru!$C:$C,Q222,Başvuru!$A:$A,"&lt;&gt;"&amp;"",Başvuru!$F:$F,"&lt;&gt;"&amp;"")</f>
        <v>1</v>
      </c>
      <c r="S222" s="167">
        <f>RANK(R222,$R$6:$R$324,0)+COUNTIF($R$6:R222,R222)-1</f>
        <v>254</v>
      </c>
    </row>
    <row r="223" spans="2:19" ht="15" customHeight="1" x14ac:dyDescent="0.25">
      <c r="B223" s="168">
        <v>218</v>
      </c>
      <c r="C223" s="169" t="str">
        <f>IFERROR(INDEX($Q$6:$Q$324,MATCH(218,$S$6:$S$324,0)),"")</f>
        <v>Prof. Dr. Alper AKTAŞ</v>
      </c>
      <c r="D223" s="170">
        <f>IF(C223="","",COUNTIFS(Başvuru!$C:$C,C223,Başvuru!$A:$A,"&lt;&gt;"&amp;"",Başvuru!$F:$F,"&lt;&gt;"&amp;""))</f>
        <v>1</v>
      </c>
      <c r="E223" s="168" t="str">
        <f>IF(C223="","-",IF(D223&gt;0,TEXT(D223/(COUNTIFS(Başvuru!$A:$A,"&lt;&gt;",Başvuru!$F:$F,"&lt;&gt;")-1)*100,"0.0")&amp;"%","-"))</f>
        <v>00%</v>
      </c>
      <c r="F223" s="171">
        <f>IF(C223="","",COUNTIFS(Başvuru!$C:$C,C223,Başvuru!$G:$G,"Bireysel Araştırma",Başvuru!$A:$A,"&lt;&gt;"&amp;"",Başvuru!$F:$F,"&lt;&gt;"&amp;""))</f>
        <v>1</v>
      </c>
      <c r="G223" s="171">
        <f>IF(C223="","",COUNTIFS(Başvuru!$C:$C,C223,Başvuru!$G:$G,"Uzmanlık Tezi",Başvuru!$A:$A,"&lt;&gt;"&amp;"",Başvuru!$F:$F,"&lt;&gt;"&amp;""))</f>
        <v>0</v>
      </c>
      <c r="H223" s="171">
        <f>IF(C223="","",COUNTIFS(Başvuru!$C:$C,C223,Başvuru!$G:$G,"Doktora Tezi",Başvuru!$A:$A,"&lt;&gt;"&amp;"",Başvuru!$F:$F,"&lt;&gt;"&amp;""))</f>
        <v>0</v>
      </c>
      <c r="I223" s="171">
        <f>IF(C223="","",COUNTIFS(Başvuru!$C:$C,C223,Başvuru!$G:$G,"Yüksek Lisans Tezi",Başvuru!$A:$A,"&lt;&gt;"&amp;"",Başvuru!$F:$F,"&lt;&gt;"&amp;""))</f>
        <v>0</v>
      </c>
      <c r="J223" s="172">
        <f>IF(C223="","",COUNTIFS(Başvuru!$C:$C,C223,Başvuru!$L:$L,"ONAY",Başvuru!$A:$A,"&lt;&gt;"&amp;"",Başvuru!$F:$F,"&lt;&gt;"&amp;""))</f>
        <v>1</v>
      </c>
      <c r="K223" s="173">
        <f>IF(C223="","",COUNTIFS(Başvuru!$C:$C,C223,Başvuru!$L:$L,"DÜZELTME",Başvuru!$A:$A,"&lt;&gt;"&amp;"",Başvuru!$F:$F,"&lt;&gt;"&amp;""))</f>
        <v>0</v>
      </c>
      <c r="L223" s="174">
        <f>IF(C223="","",COUNTIFS(Başvuru!$C:$C,C223,Başvuru!$L:$L,"KAEK",Başvuru!$A:$A,"&lt;&gt;"&amp;"",Başvuru!$F:$F,"&lt;&gt;"&amp;""))</f>
        <v>0</v>
      </c>
      <c r="M223" s="175">
        <f>IF(C223="","",COUNTIFS(Başvuru!$C:$C,C223,Başvuru!$L:$L,"GÖRÜŞ",Başvuru!$A:$A,"&lt;&gt;"&amp;"",Başvuru!$F:$F,"&lt;&gt;"&amp;""))</f>
        <v>0</v>
      </c>
      <c r="N223" s="176">
        <f>IF(C223="","",COUNTIFS(Başvuru!$C:$C,C223,Başvuru!$L:$L,"RET",Başvuru!$A:$A,"&lt;&gt;"&amp;"",Başvuru!$F:$F,"&lt;&gt;"&amp;""))</f>
        <v>0</v>
      </c>
      <c r="O223" s="177">
        <f>IF(C223="","",COUNTIFS(Başvuru!$C:$C,C223,Başvuru!$L:$L,"KAPSAM DIŞI",Başvuru!$A:$A,"&lt;&gt;"&amp;"",Başvuru!$F:$F,"&lt;&gt;"&amp;""))</f>
        <v>0</v>
      </c>
      <c r="P223" s="178">
        <f>IF(C223="","",COUNTIFS(Başvuru!$C:$C,C223,Başvuru!$L:$L,"GERİ ÇEKİLDİ",Başvuru!$A:$A,"&lt;&gt;"&amp;"",Başvuru!$F:$F,"&lt;&gt;"&amp;""))</f>
        <v>0</v>
      </c>
      <c r="Q223" s="166" t="s">
        <v>1016</v>
      </c>
      <c r="R223" s="167">
        <f>COUNTIFS(Başvuru!$C:$C,Q223,Başvuru!$A:$A,"&lt;&gt;"&amp;"",Başvuru!$F:$F,"&lt;&gt;"&amp;"")</f>
        <v>1</v>
      </c>
      <c r="S223" s="167">
        <f>RANK(R223,$R$6:$R$324,0)+COUNTIF($R$6:R223,R223)-1</f>
        <v>255</v>
      </c>
    </row>
    <row r="224" spans="2:19" ht="15" customHeight="1" x14ac:dyDescent="0.25">
      <c r="B224" s="155">
        <v>219</v>
      </c>
      <c r="C224" s="156" t="str">
        <f>IFERROR(INDEX($Q$6:$Q$324,MATCH(219,$S$6:$S$324,0)),"")</f>
        <v>Prof. Dr. Bahar GÜÇİZ DOĞAN</v>
      </c>
      <c r="D224" s="157">
        <f>IF(C224="","",COUNTIFS(Başvuru!$C:$C,C224,Başvuru!$A:$A,"&lt;&gt;"&amp;"",Başvuru!$F:$F,"&lt;&gt;"&amp;""))</f>
        <v>1</v>
      </c>
      <c r="E224" s="155" t="str">
        <f>IF(C224="","-",IF(D224&gt;0,TEXT(D224/(COUNTIFS(Başvuru!$A:$A,"&lt;&gt;",Başvuru!$F:$F,"&lt;&gt;")-1)*100,"0.0")&amp;"%","-"))</f>
        <v>00%</v>
      </c>
      <c r="F224" s="158">
        <f>IF(C224="","",COUNTIFS(Başvuru!$C:$C,C224,Başvuru!$G:$G,"Bireysel Araştırma",Başvuru!$A:$A,"&lt;&gt;"&amp;"",Başvuru!$F:$F,"&lt;&gt;"&amp;""))</f>
        <v>1</v>
      </c>
      <c r="G224" s="158">
        <f>IF(C224="","",COUNTIFS(Başvuru!$C:$C,C224,Başvuru!$G:$G,"Uzmanlık Tezi",Başvuru!$A:$A,"&lt;&gt;"&amp;"",Başvuru!$F:$F,"&lt;&gt;"&amp;""))</f>
        <v>0</v>
      </c>
      <c r="H224" s="158">
        <f>IF(C224="","",COUNTIFS(Başvuru!$C:$C,C224,Başvuru!$G:$G,"Doktora Tezi",Başvuru!$A:$A,"&lt;&gt;"&amp;"",Başvuru!$F:$F,"&lt;&gt;"&amp;""))</f>
        <v>0</v>
      </c>
      <c r="I224" s="158">
        <f>IF(C224="","",COUNTIFS(Başvuru!$C:$C,C224,Başvuru!$G:$G,"Yüksek Lisans Tezi",Başvuru!$A:$A,"&lt;&gt;"&amp;"",Başvuru!$F:$F,"&lt;&gt;"&amp;""))</f>
        <v>0</v>
      </c>
      <c r="J224" s="159">
        <f>IF(C224="","",COUNTIFS(Başvuru!$C:$C,C224,Başvuru!$L:$L,"ONAY",Başvuru!$A:$A,"&lt;&gt;"&amp;"",Başvuru!$F:$F,"&lt;&gt;"&amp;""))</f>
        <v>0</v>
      </c>
      <c r="K224" s="160">
        <f>IF(C224="","",COUNTIFS(Başvuru!$C:$C,C224,Başvuru!$L:$L,"DÜZELTME",Başvuru!$A:$A,"&lt;&gt;"&amp;"",Başvuru!$F:$F,"&lt;&gt;"&amp;""))</f>
        <v>1</v>
      </c>
      <c r="L224" s="161">
        <f>IF(C224="","",COUNTIFS(Başvuru!$C:$C,C224,Başvuru!$L:$L,"KAEK",Başvuru!$A:$A,"&lt;&gt;"&amp;"",Başvuru!$F:$F,"&lt;&gt;"&amp;""))</f>
        <v>0</v>
      </c>
      <c r="M224" s="162">
        <f>IF(C224="","",COUNTIFS(Başvuru!$C:$C,C224,Başvuru!$L:$L,"GÖRÜŞ",Başvuru!$A:$A,"&lt;&gt;"&amp;"",Başvuru!$F:$F,"&lt;&gt;"&amp;""))</f>
        <v>0</v>
      </c>
      <c r="N224" s="163">
        <f>IF(C224="","",COUNTIFS(Başvuru!$C:$C,C224,Başvuru!$L:$L,"RET",Başvuru!$A:$A,"&lt;&gt;"&amp;"",Başvuru!$F:$F,"&lt;&gt;"&amp;""))</f>
        <v>0</v>
      </c>
      <c r="O224" s="164">
        <f>IF(C224="","",COUNTIFS(Başvuru!$C:$C,C224,Başvuru!$L:$L,"KAPSAM DIŞI",Başvuru!$A:$A,"&lt;&gt;"&amp;"",Başvuru!$F:$F,"&lt;&gt;"&amp;""))</f>
        <v>0</v>
      </c>
      <c r="P224" s="165">
        <f>IF(C224="","",COUNTIFS(Başvuru!$C:$C,C224,Başvuru!$L:$L,"GERİ ÇEKİLDİ",Başvuru!$A:$A,"&lt;&gt;"&amp;"",Başvuru!$F:$F,"&lt;&gt;"&amp;""))</f>
        <v>0</v>
      </c>
      <c r="Q224" s="166" t="s">
        <v>1083</v>
      </c>
      <c r="R224" s="167">
        <f>COUNTIFS(Başvuru!$C:$C,Q224,Başvuru!$A:$A,"&lt;&gt;"&amp;"",Başvuru!$F:$F,"&lt;&gt;"&amp;"")</f>
        <v>7</v>
      </c>
      <c r="S224" s="167">
        <f>RANK(R224,$R$6:$R$324,0)+COUNTIF($R$6:R224,R224)-1</f>
        <v>14</v>
      </c>
    </row>
    <row r="225" spans="2:19" ht="15" customHeight="1" x14ac:dyDescent="0.25">
      <c r="B225" s="168">
        <v>220</v>
      </c>
      <c r="C225" s="169" t="str">
        <f>IFERROR(INDEX($Q$6:$Q$324,MATCH(220,$S$6:$S$324,0)),"")</f>
        <v>Prof. Dr. Banu KILIÇASLAN</v>
      </c>
      <c r="D225" s="170">
        <f>IF(C225="","",COUNTIFS(Başvuru!$C:$C,C225,Başvuru!$A:$A,"&lt;&gt;"&amp;"",Başvuru!$F:$F,"&lt;&gt;"&amp;""))</f>
        <v>1</v>
      </c>
      <c r="E225" s="168" t="str">
        <f>IF(C225="","-",IF(D225&gt;0,TEXT(D225/(COUNTIFS(Başvuru!$A:$A,"&lt;&gt;",Başvuru!$F:$F,"&lt;&gt;")-1)*100,"0.0")&amp;"%","-"))</f>
        <v>00%</v>
      </c>
      <c r="F225" s="171">
        <f>IF(C225="","",COUNTIFS(Başvuru!$C:$C,C225,Başvuru!$G:$G,"Bireysel Araştırma",Başvuru!$A:$A,"&lt;&gt;"&amp;"",Başvuru!$F:$F,"&lt;&gt;"&amp;""))</f>
        <v>0</v>
      </c>
      <c r="G225" s="171">
        <f>IF(C225="","",COUNTIFS(Başvuru!$C:$C,C225,Başvuru!$G:$G,"Uzmanlık Tezi",Başvuru!$A:$A,"&lt;&gt;"&amp;"",Başvuru!$F:$F,"&lt;&gt;"&amp;""))</f>
        <v>1</v>
      </c>
      <c r="H225" s="171">
        <f>IF(C225="","",COUNTIFS(Başvuru!$C:$C,C225,Başvuru!$G:$G,"Doktora Tezi",Başvuru!$A:$A,"&lt;&gt;"&amp;"",Başvuru!$F:$F,"&lt;&gt;"&amp;""))</f>
        <v>0</v>
      </c>
      <c r="I225" s="171">
        <f>IF(C225="","",COUNTIFS(Başvuru!$C:$C,C225,Başvuru!$G:$G,"Yüksek Lisans Tezi",Başvuru!$A:$A,"&lt;&gt;"&amp;"",Başvuru!$F:$F,"&lt;&gt;"&amp;""))</f>
        <v>0</v>
      </c>
      <c r="J225" s="172">
        <f>IF(C225="","",COUNTIFS(Başvuru!$C:$C,C225,Başvuru!$L:$L,"ONAY",Başvuru!$A:$A,"&lt;&gt;"&amp;"",Başvuru!$F:$F,"&lt;&gt;"&amp;""))</f>
        <v>0</v>
      </c>
      <c r="K225" s="173">
        <f>IF(C225="","",COUNTIFS(Başvuru!$C:$C,C225,Başvuru!$L:$L,"DÜZELTME",Başvuru!$A:$A,"&lt;&gt;"&amp;"",Başvuru!$F:$F,"&lt;&gt;"&amp;""))</f>
        <v>1</v>
      </c>
      <c r="L225" s="174">
        <f>IF(C225="","",COUNTIFS(Başvuru!$C:$C,C225,Başvuru!$L:$L,"KAEK",Başvuru!$A:$A,"&lt;&gt;"&amp;"",Başvuru!$F:$F,"&lt;&gt;"&amp;""))</f>
        <v>0</v>
      </c>
      <c r="M225" s="175">
        <f>IF(C225="","",COUNTIFS(Başvuru!$C:$C,C225,Başvuru!$L:$L,"GÖRÜŞ",Başvuru!$A:$A,"&lt;&gt;"&amp;"",Başvuru!$F:$F,"&lt;&gt;"&amp;""))</f>
        <v>0</v>
      </c>
      <c r="N225" s="176">
        <f>IF(C225="","",COUNTIFS(Başvuru!$C:$C,C225,Başvuru!$L:$L,"RET",Başvuru!$A:$A,"&lt;&gt;"&amp;"",Başvuru!$F:$F,"&lt;&gt;"&amp;""))</f>
        <v>0</v>
      </c>
      <c r="O225" s="177">
        <f>IF(C225="","",COUNTIFS(Başvuru!$C:$C,C225,Başvuru!$L:$L,"KAPSAM DIŞI",Başvuru!$A:$A,"&lt;&gt;"&amp;"",Başvuru!$F:$F,"&lt;&gt;"&amp;""))</f>
        <v>0</v>
      </c>
      <c r="P225" s="178">
        <f>IF(C225="","",COUNTIFS(Başvuru!$C:$C,C225,Başvuru!$L:$L,"GERİ ÇEKİLDİ",Başvuru!$A:$A,"&lt;&gt;"&amp;"",Başvuru!$F:$F,"&lt;&gt;"&amp;""))</f>
        <v>0</v>
      </c>
      <c r="Q225" s="166" t="s">
        <v>306</v>
      </c>
      <c r="R225" s="167">
        <f>COUNTIFS(Başvuru!$C:$C,Q225,Başvuru!$A:$A,"&lt;&gt;"&amp;"",Başvuru!$F:$F,"&lt;&gt;"&amp;"")</f>
        <v>1</v>
      </c>
      <c r="S225" s="167">
        <f>RANK(R225,$R$6:$R$324,0)+COUNTIF($R$6:R225,R225)-1</f>
        <v>256</v>
      </c>
    </row>
    <row r="226" spans="2:19" ht="15" customHeight="1" x14ac:dyDescent="0.25">
      <c r="B226" s="155">
        <v>221</v>
      </c>
      <c r="C226" s="156" t="str">
        <f>IFERROR(INDEX($Q$6:$Q$324,MATCH(221,$S$6:$S$324,0)),"")</f>
        <v>Prof. Dr. Banu SANCAK</v>
      </c>
      <c r="D226" s="157">
        <f>IF(C226="","",COUNTIFS(Başvuru!$C:$C,C226,Başvuru!$A:$A,"&lt;&gt;"&amp;"",Başvuru!$F:$F,"&lt;&gt;"&amp;""))</f>
        <v>1</v>
      </c>
      <c r="E226" s="155" t="str">
        <f>IF(C226="","-",IF(D226&gt;0,TEXT(D226/(COUNTIFS(Başvuru!$A:$A,"&lt;&gt;",Başvuru!$F:$F,"&lt;&gt;")-1)*100,"0.0")&amp;"%","-"))</f>
        <v>00%</v>
      </c>
      <c r="F226" s="158">
        <f>IF(C226="","",COUNTIFS(Başvuru!$C:$C,C226,Başvuru!$G:$G,"Bireysel Araştırma",Başvuru!$A:$A,"&lt;&gt;"&amp;"",Başvuru!$F:$F,"&lt;&gt;"&amp;""))</f>
        <v>1</v>
      </c>
      <c r="G226" s="158">
        <f>IF(C226="","",COUNTIFS(Başvuru!$C:$C,C226,Başvuru!$G:$G,"Uzmanlık Tezi",Başvuru!$A:$A,"&lt;&gt;"&amp;"",Başvuru!$F:$F,"&lt;&gt;"&amp;""))</f>
        <v>0</v>
      </c>
      <c r="H226" s="158">
        <f>IF(C226="","",COUNTIFS(Başvuru!$C:$C,C226,Başvuru!$G:$G,"Doktora Tezi",Başvuru!$A:$A,"&lt;&gt;"&amp;"",Başvuru!$F:$F,"&lt;&gt;"&amp;""))</f>
        <v>0</v>
      </c>
      <c r="I226" s="158">
        <f>IF(C226="","",COUNTIFS(Başvuru!$C:$C,C226,Başvuru!$G:$G,"Yüksek Lisans Tezi",Başvuru!$A:$A,"&lt;&gt;"&amp;"",Başvuru!$F:$F,"&lt;&gt;"&amp;""))</f>
        <v>0</v>
      </c>
      <c r="J226" s="159">
        <f>IF(C226="","",COUNTIFS(Başvuru!$C:$C,C226,Başvuru!$L:$L,"ONAY",Başvuru!$A:$A,"&lt;&gt;"&amp;"",Başvuru!$F:$F,"&lt;&gt;"&amp;""))</f>
        <v>1</v>
      </c>
      <c r="K226" s="160">
        <f>IF(C226="","",COUNTIFS(Başvuru!$C:$C,C226,Başvuru!$L:$L,"DÜZELTME",Başvuru!$A:$A,"&lt;&gt;"&amp;"",Başvuru!$F:$F,"&lt;&gt;"&amp;""))</f>
        <v>0</v>
      </c>
      <c r="L226" s="161">
        <f>IF(C226="","",COUNTIFS(Başvuru!$C:$C,C226,Başvuru!$L:$L,"KAEK",Başvuru!$A:$A,"&lt;&gt;"&amp;"",Başvuru!$F:$F,"&lt;&gt;"&amp;""))</f>
        <v>0</v>
      </c>
      <c r="M226" s="162">
        <f>IF(C226="","",COUNTIFS(Başvuru!$C:$C,C226,Başvuru!$L:$L,"GÖRÜŞ",Başvuru!$A:$A,"&lt;&gt;"&amp;"",Başvuru!$F:$F,"&lt;&gt;"&amp;""))</f>
        <v>0</v>
      </c>
      <c r="N226" s="163">
        <f>IF(C226="","",COUNTIFS(Başvuru!$C:$C,C226,Başvuru!$L:$L,"RET",Başvuru!$A:$A,"&lt;&gt;"&amp;"",Başvuru!$F:$F,"&lt;&gt;"&amp;""))</f>
        <v>0</v>
      </c>
      <c r="O226" s="164">
        <f>IF(C226="","",COUNTIFS(Başvuru!$C:$C,C226,Başvuru!$L:$L,"KAPSAM DIŞI",Başvuru!$A:$A,"&lt;&gt;"&amp;"",Başvuru!$F:$F,"&lt;&gt;"&amp;""))</f>
        <v>0</v>
      </c>
      <c r="P226" s="165">
        <f>IF(C226="","",COUNTIFS(Başvuru!$C:$C,C226,Başvuru!$L:$L,"GERİ ÇEKİLDİ",Başvuru!$A:$A,"&lt;&gt;"&amp;"",Başvuru!$F:$F,"&lt;&gt;"&amp;""))</f>
        <v>0</v>
      </c>
      <c r="Q226" s="166" t="s">
        <v>152</v>
      </c>
      <c r="R226" s="167">
        <f>COUNTIFS(Başvuru!$C:$C,Q226,Başvuru!$A:$A,"&lt;&gt;"&amp;"",Başvuru!$F:$F,"&lt;&gt;"&amp;"")</f>
        <v>1</v>
      </c>
      <c r="S226" s="167">
        <f>RANK(R226,$R$6:$R$324,0)+COUNTIF($R$6:R226,R226)-1</f>
        <v>257</v>
      </c>
    </row>
    <row r="227" spans="2:19" ht="15" customHeight="1" x14ac:dyDescent="0.25">
      <c r="B227" s="168">
        <v>222</v>
      </c>
      <c r="C227" s="169" t="str">
        <f>IFERROR(INDEX($Q$6:$Q$324,MATCH(222,$S$6:$S$324,0)),"")</f>
        <v>Prof. Dr. Bora GÜLHAN</v>
      </c>
      <c r="D227" s="170">
        <f>IF(C227="","",COUNTIFS(Başvuru!$C:$C,C227,Başvuru!$A:$A,"&lt;&gt;"&amp;"",Başvuru!$F:$F,"&lt;&gt;"&amp;""))</f>
        <v>1</v>
      </c>
      <c r="E227" s="168" t="str">
        <f>IF(C227="","-",IF(D227&gt;0,TEXT(D227/(COUNTIFS(Başvuru!$A:$A,"&lt;&gt;",Başvuru!$F:$F,"&lt;&gt;")-1)*100,"0.0")&amp;"%","-"))</f>
        <v>00%</v>
      </c>
      <c r="F227" s="171">
        <f>IF(C227="","",COUNTIFS(Başvuru!$C:$C,C227,Başvuru!$G:$G,"Bireysel Araştırma",Başvuru!$A:$A,"&lt;&gt;"&amp;"",Başvuru!$F:$F,"&lt;&gt;"&amp;""))</f>
        <v>0</v>
      </c>
      <c r="G227" s="171">
        <f>IF(C227="","",COUNTIFS(Başvuru!$C:$C,C227,Başvuru!$G:$G,"Uzmanlık Tezi",Başvuru!$A:$A,"&lt;&gt;"&amp;"",Başvuru!$F:$F,"&lt;&gt;"&amp;""))</f>
        <v>1</v>
      </c>
      <c r="H227" s="171">
        <f>IF(C227="","",COUNTIFS(Başvuru!$C:$C,C227,Başvuru!$G:$G,"Doktora Tezi",Başvuru!$A:$A,"&lt;&gt;"&amp;"",Başvuru!$F:$F,"&lt;&gt;"&amp;""))</f>
        <v>0</v>
      </c>
      <c r="I227" s="171">
        <f>IF(C227="","",COUNTIFS(Başvuru!$C:$C,C227,Başvuru!$G:$G,"Yüksek Lisans Tezi",Başvuru!$A:$A,"&lt;&gt;"&amp;"",Başvuru!$F:$F,"&lt;&gt;"&amp;""))</f>
        <v>0</v>
      </c>
      <c r="J227" s="172">
        <f>IF(C227="","",COUNTIFS(Başvuru!$C:$C,C227,Başvuru!$L:$L,"ONAY",Başvuru!$A:$A,"&lt;&gt;"&amp;"",Başvuru!$F:$F,"&lt;&gt;"&amp;""))</f>
        <v>1</v>
      </c>
      <c r="K227" s="173">
        <f>IF(C227="","",COUNTIFS(Başvuru!$C:$C,C227,Başvuru!$L:$L,"DÜZELTME",Başvuru!$A:$A,"&lt;&gt;"&amp;"",Başvuru!$F:$F,"&lt;&gt;"&amp;""))</f>
        <v>0</v>
      </c>
      <c r="L227" s="174">
        <f>IF(C227="","",COUNTIFS(Başvuru!$C:$C,C227,Başvuru!$L:$L,"KAEK",Başvuru!$A:$A,"&lt;&gt;"&amp;"",Başvuru!$F:$F,"&lt;&gt;"&amp;""))</f>
        <v>0</v>
      </c>
      <c r="M227" s="175">
        <f>IF(C227="","",COUNTIFS(Başvuru!$C:$C,C227,Başvuru!$L:$L,"GÖRÜŞ",Başvuru!$A:$A,"&lt;&gt;"&amp;"",Başvuru!$F:$F,"&lt;&gt;"&amp;""))</f>
        <v>0</v>
      </c>
      <c r="N227" s="176">
        <f>IF(C227="","",COUNTIFS(Başvuru!$C:$C,C227,Başvuru!$L:$L,"RET",Başvuru!$A:$A,"&lt;&gt;"&amp;"",Başvuru!$F:$F,"&lt;&gt;"&amp;""))</f>
        <v>0</v>
      </c>
      <c r="O227" s="177">
        <f>IF(C227="","",COUNTIFS(Başvuru!$C:$C,C227,Başvuru!$L:$L,"KAPSAM DIŞI",Başvuru!$A:$A,"&lt;&gt;"&amp;"",Başvuru!$F:$F,"&lt;&gt;"&amp;""))</f>
        <v>0</v>
      </c>
      <c r="P227" s="178">
        <f>IF(C227="","",COUNTIFS(Başvuru!$C:$C,C227,Başvuru!$L:$L,"GERİ ÇEKİLDİ",Başvuru!$A:$A,"&lt;&gt;"&amp;"",Başvuru!$F:$F,"&lt;&gt;"&amp;""))</f>
        <v>0</v>
      </c>
      <c r="Q227" s="166" t="s">
        <v>840</v>
      </c>
      <c r="R227" s="167">
        <f>COUNTIFS(Başvuru!$C:$C,Q227,Başvuru!$A:$A,"&lt;&gt;"&amp;"",Başvuru!$F:$F,"&lt;&gt;"&amp;"")</f>
        <v>2</v>
      </c>
      <c r="S227" s="167">
        <f>RANK(R227,$R$6:$R$324,0)+COUNTIF($R$6:R227,R227)-1</f>
        <v>123</v>
      </c>
    </row>
    <row r="228" spans="2:19" ht="15" customHeight="1" x14ac:dyDescent="0.25">
      <c r="B228" s="155">
        <v>223</v>
      </c>
      <c r="C228" s="156" t="str">
        <f>IFERROR(INDEX($Q$6:$Q$324,MATCH(223,$S$6:$S$324,0)),"")</f>
        <v>Prof. Dr. Bülent ALTUN</v>
      </c>
      <c r="D228" s="157">
        <f>IF(C228="","",COUNTIFS(Başvuru!$C:$C,C228,Başvuru!$A:$A,"&lt;&gt;"&amp;"",Başvuru!$F:$F,"&lt;&gt;"&amp;""))</f>
        <v>1</v>
      </c>
      <c r="E228" s="155" t="str">
        <f>IF(C228="","-",IF(D228&gt;0,TEXT(D228/(COUNTIFS(Başvuru!$A:$A,"&lt;&gt;",Başvuru!$F:$F,"&lt;&gt;")-1)*100,"0.0")&amp;"%","-"))</f>
        <v>00%</v>
      </c>
      <c r="F228" s="158">
        <f>IF(C228="","",COUNTIFS(Başvuru!$C:$C,C228,Başvuru!$G:$G,"Bireysel Araştırma",Başvuru!$A:$A,"&lt;&gt;"&amp;"",Başvuru!$F:$F,"&lt;&gt;"&amp;""))</f>
        <v>1</v>
      </c>
      <c r="G228" s="158">
        <f>IF(C228="","",COUNTIFS(Başvuru!$C:$C,C228,Başvuru!$G:$G,"Uzmanlık Tezi",Başvuru!$A:$A,"&lt;&gt;"&amp;"",Başvuru!$F:$F,"&lt;&gt;"&amp;""))</f>
        <v>0</v>
      </c>
      <c r="H228" s="158">
        <f>IF(C228="","",COUNTIFS(Başvuru!$C:$C,C228,Başvuru!$G:$G,"Doktora Tezi",Başvuru!$A:$A,"&lt;&gt;"&amp;"",Başvuru!$F:$F,"&lt;&gt;"&amp;""))</f>
        <v>0</v>
      </c>
      <c r="I228" s="158">
        <f>IF(C228="","",COUNTIFS(Başvuru!$C:$C,C228,Başvuru!$G:$G,"Yüksek Lisans Tezi",Başvuru!$A:$A,"&lt;&gt;"&amp;"",Başvuru!$F:$F,"&lt;&gt;"&amp;""))</f>
        <v>0</v>
      </c>
      <c r="J228" s="159">
        <f>IF(C228="","",COUNTIFS(Başvuru!$C:$C,C228,Başvuru!$L:$L,"ONAY",Başvuru!$A:$A,"&lt;&gt;"&amp;"",Başvuru!$F:$F,"&lt;&gt;"&amp;""))</f>
        <v>1</v>
      </c>
      <c r="K228" s="160">
        <f>IF(C228="","",COUNTIFS(Başvuru!$C:$C,C228,Başvuru!$L:$L,"DÜZELTME",Başvuru!$A:$A,"&lt;&gt;"&amp;"",Başvuru!$F:$F,"&lt;&gt;"&amp;""))</f>
        <v>0</v>
      </c>
      <c r="L228" s="161">
        <f>IF(C228="","",COUNTIFS(Başvuru!$C:$C,C228,Başvuru!$L:$L,"KAEK",Başvuru!$A:$A,"&lt;&gt;"&amp;"",Başvuru!$F:$F,"&lt;&gt;"&amp;""))</f>
        <v>0</v>
      </c>
      <c r="M228" s="162">
        <f>IF(C228="","",COUNTIFS(Başvuru!$C:$C,C228,Başvuru!$L:$L,"GÖRÜŞ",Başvuru!$A:$A,"&lt;&gt;"&amp;"",Başvuru!$F:$F,"&lt;&gt;"&amp;""))</f>
        <v>0</v>
      </c>
      <c r="N228" s="163">
        <f>IF(C228="","",COUNTIFS(Başvuru!$C:$C,C228,Başvuru!$L:$L,"RET",Başvuru!$A:$A,"&lt;&gt;"&amp;"",Başvuru!$F:$F,"&lt;&gt;"&amp;""))</f>
        <v>0</v>
      </c>
      <c r="O228" s="164">
        <f>IF(C228="","",COUNTIFS(Başvuru!$C:$C,C228,Başvuru!$L:$L,"KAPSAM DIŞI",Başvuru!$A:$A,"&lt;&gt;"&amp;"",Başvuru!$F:$F,"&lt;&gt;"&amp;""))</f>
        <v>0</v>
      </c>
      <c r="P228" s="165">
        <f>IF(C228="","",COUNTIFS(Başvuru!$C:$C,C228,Başvuru!$L:$L,"GERİ ÇEKİLDİ",Başvuru!$A:$A,"&lt;&gt;"&amp;"",Başvuru!$F:$F,"&lt;&gt;"&amp;""))</f>
        <v>0</v>
      </c>
      <c r="Q228" s="166" t="s">
        <v>550</v>
      </c>
      <c r="R228" s="167">
        <f>COUNTIFS(Başvuru!$C:$C,Q228,Başvuru!$A:$A,"&lt;&gt;"&amp;"",Başvuru!$F:$F,"&lt;&gt;"&amp;"")</f>
        <v>6</v>
      </c>
      <c r="S228" s="167">
        <f>RANK(R228,$R$6:$R$324,0)+COUNTIF($R$6:R228,R228)-1</f>
        <v>16</v>
      </c>
    </row>
    <row r="229" spans="2:19" ht="15" customHeight="1" x14ac:dyDescent="0.25">
      <c r="B229" s="168">
        <v>224</v>
      </c>
      <c r="C229" s="169" t="str">
        <f>IFERROR(INDEX($Q$6:$Q$324,MATCH(224,$S$6:$S$324,0)),"")</f>
        <v>Prof. Dr. Bülent ATİLLA</v>
      </c>
      <c r="D229" s="170">
        <f>IF(C229="","",COUNTIFS(Başvuru!$C:$C,C229,Başvuru!$A:$A,"&lt;&gt;"&amp;"",Başvuru!$F:$F,"&lt;&gt;"&amp;""))</f>
        <v>1</v>
      </c>
      <c r="E229" s="168" t="str">
        <f>IF(C229="","-",IF(D229&gt;0,TEXT(D229/(COUNTIFS(Başvuru!$A:$A,"&lt;&gt;",Başvuru!$F:$F,"&lt;&gt;")-1)*100,"0.0")&amp;"%","-"))</f>
        <v>00%</v>
      </c>
      <c r="F229" s="171">
        <f>IF(C229="","",COUNTIFS(Başvuru!$C:$C,C229,Başvuru!$G:$G,"Bireysel Araştırma",Başvuru!$A:$A,"&lt;&gt;"&amp;"",Başvuru!$F:$F,"&lt;&gt;"&amp;""))</f>
        <v>1</v>
      </c>
      <c r="G229" s="171">
        <f>IF(C229="","",COUNTIFS(Başvuru!$C:$C,C229,Başvuru!$G:$G,"Uzmanlık Tezi",Başvuru!$A:$A,"&lt;&gt;"&amp;"",Başvuru!$F:$F,"&lt;&gt;"&amp;""))</f>
        <v>0</v>
      </c>
      <c r="H229" s="171">
        <f>IF(C229="","",COUNTIFS(Başvuru!$C:$C,C229,Başvuru!$G:$G,"Doktora Tezi",Başvuru!$A:$A,"&lt;&gt;"&amp;"",Başvuru!$F:$F,"&lt;&gt;"&amp;""))</f>
        <v>0</v>
      </c>
      <c r="I229" s="171">
        <f>IF(C229="","",COUNTIFS(Başvuru!$C:$C,C229,Başvuru!$G:$G,"Yüksek Lisans Tezi",Başvuru!$A:$A,"&lt;&gt;"&amp;"",Başvuru!$F:$F,"&lt;&gt;"&amp;""))</f>
        <v>0</v>
      </c>
      <c r="J229" s="172">
        <f>IF(C229="","",COUNTIFS(Başvuru!$C:$C,C229,Başvuru!$L:$L,"ONAY",Başvuru!$A:$A,"&lt;&gt;"&amp;"",Başvuru!$F:$F,"&lt;&gt;"&amp;""))</f>
        <v>0</v>
      </c>
      <c r="K229" s="173">
        <f>IF(C229="","",COUNTIFS(Başvuru!$C:$C,C229,Başvuru!$L:$L,"DÜZELTME",Başvuru!$A:$A,"&lt;&gt;"&amp;"",Başvuru!$F:$F,"&lt;&gt;"&amp;""))</f>
        <v>1</v>
      </c>
      <c r="L229" s="174">
        <f>IF(C229="","",COUNTIFS(Başvuru!$C:$C,C229,Başvuru!$L:$L,"KAEK",Başvuru!$A:$A,"&lt;&gt;"&amp;"",Başvuru!$F:$F,"&lt;&gt;"&amp;""))</f>
        <v>0</v>
      </c>
      <c r="M229" s="175">
        <f>IF(C229="","",COUNTIFS(Başvuru!$C:$C,C229,Başvuru!$L:$L,"GÖRÜŞ",Başvuru!$A:$A,"&lt;&gt;"&amp;"",Başvuru!$F:$F,"&lt;&gt;"&amp;""))</f>
        <v>0</v>
      </c>
      <c r="N229" s="176">
        <f>IF(C229="","",COUNTIFS(Başvuru!$C:$C,C229,Başvuru!$L:$L,"RET",Başvuru!$A:$A,"&lt;&gt;"&amp;"",Başvuru!$F:$F,"&lt;&gt;"&amp;""))</f>
        <v>0</v>
      </c>
      <c r="O229" s="177">
        <f>IF(C229="","",COUNTIFS(Başvuru!$C:$C,C229,Başvuru!$L:$L,"KAPSAM DIŞI",Başvuru!$A:$A,"&lt;&gt;"&amp;"",Başvuru!$F:$F,"&lt;&gt;"&amp;""))</f>
        <v>0</v>
      </c>
      <c r="P229" s="178">
        <f>IF(C229="","",COUNTIFS(Başvuru!$C:$C,C229,Başvuru!$L:$L,"GERİ ÇEKİLDİ",Başvuru!$A:$A,"&lt;&gt;"&amp;"",Başvuru!$F:$F,"&lt;&gt;"&amp;""))</f>
        <v>0</v>
      </c>
      <c r="Q229" s="166" t="s">
        <v>2363</v>
      </c>
      <c r="R229" s="167">
        <f>COUNTIFS(Başvuru!$C:$C,Q229,Başvuru!$A:$A,"&lt;&gt;"&amp;"",Başvuru!$F:$F,"&lt;&gt;"&amp;"")</f>
        <v>2</v>
      </c>
      <c r="S229" s="167">
        <f>RANK(R229,$R$6:$R$324,0)+COUNTIF($R$6:R229,R229)-1</f>
        <v>124</v>
      </c>
    </row>
    <row r="230" spans="2:19" ht="15" customHeight="1" x14ac:dyDescent="0.25">
      <c r="B230" s="155">
        <v>225</v>
      </c>
      <c r="C230" s="156" t="str">
        <f>IFERROR(INDEX($Q$6:$Q$324,MATCH(225,$S$6:$S$324,0)),"")</f>
        <v>Prof. Dr. Cavit Işık YAVUZ</v>
      </c>
      <c r="D230" s="157">
        <f>IF(C230="","",COUNTIFS(Başvuru!$C:$C,C230,Başvuru!$A:$A,"&lt;&gt;"&amp;"",Başvuru!$F:$F,"&lt;&gt;"&amp;""))</f>
        <v>1</v>
      </c>
      <c r="E230" s="155" t="str">
        <f>IF(C230="","-",IF(D230&gt;0,TEXT(D230/(COUNTIFS(Başvuru!$A:$A,"&lt;&gt;",Başvuru!$F:$F,"&lt;&gt;")-1)*100,"0.0")&amp;"%","-"))</f>
        <v>00%</v>
      </c>
      <c r="F230" s="158">
        <f>IF(C230="","",COUNTIFS(Başvuru!$C:$C,C230,Başvuru!$G:$G,"Bireysel Araştırma",Başvuru!$A:$A,"&lt;&gt;"&amp;"",Başvuru!$F:$F,"&lt;&gt;"&amp;""))</f>
        <v>1</v>
      </c>
      <c r="G230" s="158">
        <f>IF(C230="","",COUNTIFS(Başvuru!$C:$C,C230,Başvuru!$G:$G,"Uzmanlık Tezi",Başvuru!$A:$A,"&lt;&gt;"&amp;"",Başvuru!$F:$F,"&lt;&gt;"&amp;""))</f>
        <v>0</v>
      </c>
      <c r="H230" s="158">
        <f>IF(C230="","",COUNTIFS(Başvuru!$C:$C,C230,Başvuru!$G:$G,"Doktora Tezi",Başvuru!$A:$A,"&lt;&gt;"&amp;"",Başvuru!$F:$F,"&lt;&gt;"&amp;""))</f>
        <v>0</v>
      </c>
      <c r="I230" s="158">
        <f>IF(C230="","",COUNTIFS(Başvuru!$C:$C,C230,Başvuru!$G:$G,"Yüksek Lisans Tezi",Başvuru!$A:$A,"&lt;&gt;"&amp;"",Başvuru!$F:$F,"&lt;&gt;"&amp;""))</f>
        <v>0</v>
      </c>
      <c r="J230" s="159">
        <f>IF(C230="","",COUNTIFS(Başvuru!$C:$C,C230,Başvuru!$L:$L,"ONAY",Başvuru!$A:$A,"&lt;&gt;"&amp;"",Başvuru!$F:$F,"&lt;&gt;"&amp;""))</f>
        <v>1</v>
      </c>
      <c r="K230" s="160">
        <f>IF(C230="","",COUNTIFS(Başvuru!$C:$C,C230,Başvuru!$L:$L,"DÜZELTME",Başvuru!$A:$A,"&lt;&gt;"&amp;"",Başvuru!$F:$F,"&lt;&gt;"&amp;""))</f>
        <v>0</v>
      </c>
      <c r="L230" s="161">
        <f>IF(C230="","",COUNTIFS(Başvuru!$C:$C,C230,Başvuru!$L:$L,"KAEK",Başvuru!$A:$A,"&lt;&gt;"&amp;"",Başvuru!$F:$F,"&lt;&gt;"&amp;""))</f>
        <v>0</v>
      </c>
      <c r="M230" s="162">
        <f>IF(C230="","",COUNTIFS(Başvuru!$C:$C,C230,Başvuru!$L:$L,"GÖRÜŞ",Başvuru!$A:$A,"&lt;&gt;"&amp;"",Başvuru!$F:$F,"&lt;&gt;"&amp;""))</f>
        <v>0</v>
      </c>
      <c r="N230" s="163">
        <f>IF(C230="","",COUNTIFS(Başvuru!$C:$C,C230,Başvuru!$L:$L,"RET",Başvuru!$A:$A,"&lt;&gt;"&amp;"",Başvuru!$F:$F,"&lt;&gt;"&amp;""))</f>
        <v>0</v>
      </c>
      <c r="O230" s="164">
        <f>IF(C230="","",COUNTIFS(Başvuru!$C:$C,C230,Başvuru!$L:$L,"KAPSAM DIŞI",Başvuru!$A:$A,"&lt;&gt;"&amp;"",Başvuru!$F:$F,"&lt;&gt;"&amp;""))</f>
        <v>0</v>
      </c>
      <c r="P230" s="165">
        <f>IF(C230="","",COUNTIFS(Başvuru!$C:$C,C230,Başvuru!$L:$L,"GERİ ÇEKİLDİ",Başvuru!$A:$A,"&lt;&gt;"&amp;"",Başvuru!$F:$F,"&lt;&gt;"&amp;""))</f>
        <v>0</v>
      </c>
      <c r="Q230" s="166" t="s">
        <v>160</v>
      </c>
      <c r="R230" s="167">
        <f>COUNTIFS(Başvuru!$C:$C,Q230,Başvuru!$A:$A,"&lt;&gt;"&amp;"",Başvuru!$F:$F,"&lt;&gt;"&amp;"")</f>
        <v>1</v>
      </c>
      <c r="S230" s="167">
        <f>RANK(R230,$R$6:$R$324,0)+COUNTIF($R$6:R230,R230)-1</f>
        <v>258</v>
      </c>
    </row>
    <row r="231" spans="2:19" ht="15" customHeight="1" x14ac:dyDescent="0.25">
      <c r="B231" s="168">
        <v>226</v>
      </c>
      <c r="C231" s="169" t="str">
        <f>IFERROR(INDEX($Q$6:$Q$324,MATCH(226,$S$6:$S$324,0)),"")</f>
        <v>Prof. Dr. Devrim AKDEMİR</v>
      </c>
      <c r="D231" s="170">
        <f>IF(C231="","",COUNTIFS(Başvuru!$C:$C,C231,Başvuru!$A:$A,"&lt;&gt;"&amp;"",Başvuru!$F:$F,"&lt;&gt;"&amp;""))</f>
        <v>1</v>
      </c>
      <c r="E231" s="168" t="str">
        <f>IF(C231="","-",IF(D231&gt;0,TEXT(D231/(COUNTIFS(Başvuru!$A:$A,"&lt;&gt;",Başvuru!$F:$F,"&lt;&gt;")-1)*100,"0.0")&amp;"%","-"))</f>
        <v>00%</v>
      </c>
      <c r="F231" s="171">
        <f>IF(C231="","",COUNTIFS(Başvuru!$C:$C,C231,Başvuru!$G:$G,"Bireysel Araştırma",Başvuru!$A:$A,"&lt;&gt;"&amp;"",Başvuru!$F:$F,"&lt;&gt;"&amp;""))</f>
        <v>0</v>
      </c>
      <c r="G231" s="171">
        <f>IF(C231="","",COUNTIFS(Başvuru!$C:$C,C231,Başvuru!$G:$G,"Uzmanlık Tezi",Başvuru!$A:$A,"&lt;&gt;"&amp;"",Başvuru!$F:$F,"&lt;&gt;"&amp;""))</f>
        <v>1</v>
      </c>
      <c r="H231" s="171">
        <f>IF(C231="","",COUNTIFS(Başvuru!$C:$C,C231,Başvuru!$G:$G,"Doktora Tezi",Başvuru!$A:$A,"&lt;&gt;"&amp;"",Başvuru!$F:$F,"&lt;&gt;"&amp;""))</f>
        <v>0</v>
      </c>
      <c r="I231" s="171">
        <f>IF(C231="","",COUNTIFS(Başvuru!$C:$C,C231,Başvuru!$G:$G,"Yüksek Lisans Tezi",Başvuru!$A:$A,"&lt;&gt;"&amp;"",Başvuru!$F:$F,"&lt;&gt;"&amp;""))</f>
        <v>0</v>
      </c>
      <c r="J231" s="172">
        <f>IF(C231="","",COUNTIFS(Başvuru!$C:$C,C231,Başvuru!$L:$L,"ONAY",Başvuru!$A:$A,"&lt;&gt;"&amp;"",Başvuru!$F:$F,"&lt;&gt;"&amp;""))</f>
        <v>0</v>
      </c>
      <c r="K231" s="173">
        <f>IF(C231="","",COUNTIFS(Başvuru!$C:$C,C231,Başvuru!$L:$L,"DÜZELTME",Başvuru!$A:$A,"&lt;&gt;"&amp;"",Başvuru!$F:$F,"&lt;&gt;"&amp;""))</f>
        <v>1</v>
      </c>
      <c r="L231" s="174">
        <f>IF(C231="","",COUNTIFS(Başvuru!$C:$C,C231,Başvuru!$L:$L,"KAEK",Başvuru!$A:$A,"&lt;&gt;"&amp;"",Başvuru!$F:$F,"&lt;&gt;"&amp;""))</f>
        <v>0</v>
      </c>
      <c r="M231" s="175">
        <f>IF(C231="","",COUNTIFS(Başvuru!$C:$C,C231,Başvuru!$L:$L,"GÖRÜŞ",Başvuru!$A:$A,"&lt;&gt;"&amp;"",Başvuru!$F:$F,"&lt;&gt;"&amp;""))</f>
        <v>0</v>
      </c>
      <c r="N231" s="176">
        <f>IF(C231="","",COUNTIFS(Başvuru!$C:$C,C231,Başvuru!$L:$L,"RET",Başvuru!$A:$A,"&lt;&gt;"&amp;"",Başvuru!$F:$F,"&lt;&gt;"&amp;""))</f>
        <v>0</v>
      </c>
      <c r="O231" s="177">
        <f>IF(C231="","",COUNTIFS(Başvuru!$C:$C,C231,Başvuru!$L:$L,"KAPSAM DIŞI",Başvuru!$A:$A,"&lt;&gt;"&amp;"",Başvuru!$F:$F,"&lt;&gt;"&amp;""))</f>
        <v>0</v>
      </c>
      <c r="P231" s="178">
        <f>IF(C231="","",COUNTIFS(Başvuru!$C:$C,C231,Başvuru!$L:$L,"GERİ ÇEKİLDİ",Başvuru!$A:$A,"&lt;&gt;"&amp;"",Başvuru!$F:$F,"&lt;&gt;"&amp;""))</f>
        <v>0</v>
      </c>
      <c r="Q231" s="166" t="s">
        <v>377</v>
      </c>
      <c r="R231" s="167">
        <f>COUNTIFS(Başvuru!$C:$C,Q231,Başvuru!$A:$A,"&lt;&gt;"&amp;"",Başvuru!$F:$F,"&lt;&gt;"&amp;"")</f>
        <v>1</v>
      </c>
      <c r="S231" s="167">
        <f>RANK(R231,$R$6:$R$324,0)+COUNTIF($R$6:R231,R231)-1</f>
        <v>259</v>
      </c>
    </row>
    <row r="232" spans="2:19" ht="15" customHeight="1" x14ac:dyDescent="0.25">
      <c r="B232" s="155">
        <v>227</v>
      </c>
      <c r="C232" s="156" t="str">
        <f>IFERROR(INDEX($Q$6:$Q$324,MATCH(227,$S$6:$S$324,0)),"")</f>
        <v>Prof. Dr. Dilşad FOTO ÖZDEMİR</v>
      </c>
      <c r="D232" s="157">
        <f>IF(C232="","",COUNTIFS(Başvuru!$C:$C,C232,Başvuru!$A:$A,"&lt;&gt;"&amp;"",Başvuru!$F:$F,"&lt;&gt;"&amp;""))</f>
        <v>1</v>
      </c>
      <c r="E232" s="155" t="str">
        <f>IF(C232="","-",IF(D232&gt;0,TEXT(D232/(COUNTIFS(Başvuru!$A:$A,"&lt;&gt;",Başvuru!$F:$F,"&lt;&gt;")-1)*100,"0.0")&amp;"%","-"))</f>
        <v>00%</v>
      </c>
      <c r="F232" s="158">
        <f>IF(C232="","",COUNTIFS(Başvuru!$C:$C,C232,Başvuru!$G:$G,"Bireysel Araştırma",Başvuru!$A:$A,"&lt;&gt;"&amp;"",Başvuru!$F:$F,"&lt;&gt;"&amp;""))</f>
        <v>0</v>
      </c>
      <c r="G232" s="158">
        <f>IF(C232="","",COUNTIFS(Başvuru!$C:$C,C232,Başvuru!$G:$G,"Uzmanlık Tezi",Başvuru!$A:$A,"&lt;&gt;"&amp;"",Başvuru!$F:$F,"&lt;&gt;"&amp;""))</f>
        <v>1</v>
      </c>
      <c r="H232" s="158">
        <f>IF(C232="","",COUNTIFS(Başvuru!$C:$C,C232,Başvuru!$G:$G,"Doktora Tezi",Başvuru!$A:$A,"&lt;&gt;"&amp;"",Başvuru!$F:$F,"&lt;&gt;"&amp;""))</f>
        <v>0</v>
      </c>
      <c r="I232" s="158">
        <f>IF(C232="","",COUNTIFS(Başvuru!$C:$C,C232,Başvuru!$G:$G,"Yüksek Lisans Tezi",Başvuru!$A:$A,"&lt;&gt;"&amp;"",Başvuru!$F:$F,"&lt;&gt;"&amp;""))</f>
        <v>0</v>
      </c>
      <c r="J232" s="159">
        <f>IF(C232="","",COUNTIFS(Başvuru!$C:$C,C232,Başvuru!$L:$L,"ONAY",Başvuru!$A:$A,"&lt;&gt;"&amp;"",Başvuru!$F:$F,"&lt;&gt;"&amp;""))</f>
        <v>1</v>
      </c>
      <c r="K232" s="160">
        <f>IF(C232="","",COUNTIFS(Başvuru!$C:$C,C232,Başvuru!$L:$L,"DÜZELTME",Başvuru!$A:$A,"&lt;&gt;"&amp;"",Başvuru!$F:$F,"&lt;&gt;"&amp;""))</f>
        <v>0</v>
      </c>
      <c r="L232" s="161">
        <f>IF(C232="","",COUNTIFS(Başvuru!$C:$C,C232,Başvuru!$L:$L,"KAEK",Başvuru!$A:$A,"&lt;&gt;"&amp;"",Başvuru!$F:$F,"&lt;&gt;"&amp;""))</f>
        <v>0</v>
      </c>
      <c r="M232" s="162">
        <f>IF(C232="","",COUNTIFS(Başvuru!$C:$C,C232,Başvuru!$L:$L,"GÖRÜŞ",Başvuru!$A:$A,"&lt;&gt;"&amp;"",Başvuru!$F:$F,"&lt;&gt;"&amp;""))</f>
        <v>0</v>
      </c>
      <c r="N232" s="163">
        <f>IF(C232="","",COUNTIFS(Başvuru!$C:$C,C232,Başvuru!$L:$L,"RET",Başvuru!$A:$A,"&lt;&gt;"&amp;"",Başvuru!$F:$F,"&lt;&gt;"&amp;""))</f>
        <v>0</v>
      </c>
      <c r="O232" s="164">
        <f>IF(C232="","",COUNTIFS(Başvuru!$C:$C,C232,Başvuru!$L:$L,"KAPSAM DIŞI",Başvuru!$A:$A,"&lt;&gt;"&amp;"",Başvuru!$F:$F,"&lt;&gt;"&amp;""))</f>
        <v>0</v>
      </c>
      <c r="P232" s="165">
        <f>IF(C232="","",COUNTIFS(Başvuru!$C:$C,C232,Başvuru!$L:$L,"GERİ ÇEKİLDİ",Başvuru!$A:$A,"&lt;&gt;"&amp;"",Başvuru!$F:$F,"&lt;&gt;"&amp;""))</f>
        <v>0</v>
      </c>
      <c r="Q232" s="166" t="s">
        <v>214</v>
      </c>
      <c r="R232" s="167">
        <f>COUNTIFS(Başvuru!$C:$C,Q232,Başvuru!$A:$A,"&lt;&gt;"&amp;"",Başvuru!$F:$F,"&lt;&gt;"&amp;"")</f>
        <v>3</v>
      </c>
      <c r="S232" s="167">
        <f>RANK(R232,$R$6:$R$324,0)+COUNTIF($R$6:R232,R232)-1</f>
        <v>63</v>
      </c>
    </row>
    <row r="233" spans="2:19" ht="15" customHeight="1" x14ac:dyDescent="0.25">
      <c r="B233" s="168">
        <v>228</v>
      </c>
      <c r="C233" s="169" t="str">
        <f>IFERROR(INDEX($Q$6:$Q$324,MATCH(228,$S$6:$S$324,0)),"")</f>
        <v>Prof. Dr. Ebru AYPAR</v>
      </c>
      <c r="D233" s="170">
        <f>IF(C233="","",COUNTIFS(Başvuru!$C:$C,C233,Başvuru!$A:$A,"&lt;&gt;"&amp;"",Başvuru!$F:$F,"&lt;&gt;"&amp;""))</f>
        <v>1</v>
      </c>
      <c r="E233" s="168" t="str">
        <f>IF(C233="","-",IF(D233&gt;0,TEXT(D233/(COUNTIFS(Başvuru!$A:$A,"&lt;&gt;",Başvuru!$F:$F,"&lt;&gt;")-1)*100,"0.0")&amp;"%","-"))</f>
        <v>00%</v>
      </c>
      <c r="F233" s="171">
        <f>IF(C233="","",COUNTIFS(Başvuru!$C:$C,C233,Başvuru!$G:$G,"Bireysel Araştırma",Başvuru!$A:$A,"&lt;&gt;"&amp;"",Başvuru!$F:$F,"&lt;&gt;"&amp;""))</f>
        <v>0</v>
      </c>
      <c r="G233" s="171">
        <f>IF(C233="","",COUNTIFS(Başvuru!$C:$C,C233,Başvuru!$G:$G,"Uzmanlık Tezi",Başvuru!$A:$A,"&lt;&gt;"&amp;"",Başvuru!$F:$F,"&lt;&gt;"&amp;""))</f>
        <v>1</v>
      </c>
      <c r="H233" s="171">
        <f>IF(C233="","",COUNTIFS(Başvuru!$C:$C,C233,Başvuru!$G:$G,"Doktora Tezi",Başvuru!$A:$A,"&lt;&gt;"&amp;"",Başvuru!$F:$F,"&lt;&gt;"&amp;""))</f>
        <v>0</v>
      </c>
      <c r="I233" s="171">
        <f>IF(C233="","",COUNTIFS(Başvuru!$C:$C,C233,Başvuru!$G:$G,"Yüksek Lisans Tezi",Başvuru!$A:$A,"&lt;&gt;"&amp;"",Başvuru!$F:$F,"&lt;&gt;"&amp;""))</f>
        <v>0</v>
      </c>
      <c r="J233" s="172">
        <f>IF(C233="","",COUNTIFS(Başvuru!$C:$C,C233,Başvuru!$L:$L,"ONAY",Başvuru!$A:$A,"&lt;&gt;"&amp;"",Başvuru!$F:$F,"&lt;&gt;"&amp;""))</f>
        <v>1</v>
      </c>
      <c r="K233" s="173">
        <f>IF(C233="","",COUNTIFS(Başvuru!$C:$C,C233,Başvuru!$L:$L,"DÜZELTME",Başvuru!$A:$A,"&lt;&gt;"&amp;"",Başvuru!$F:$F,"&lt;&gt;"&amp;""))</f>
        <v>0</v>
      </c>
      <c r="L233" s="174">
        <f>IF(C233="","",COUNTIFS(Başvuru!$C:$C,C233,Başvuru!$L:$L,"KAEK",Başvuru!$A:$A,"&lt;&gt;"&amp;"",Başvuru!$F:$F,"&lt;&gt;"&amp;""))</f>
        <v>0</v>
      </c>
      <c r="M233" s="175">
        <f>IF(C233="","",COUNTIFS(Başvuru!$C:$C,C233,Başvuru!$L:$L,"GÖRÜŞ",Başvuru!$A:$A,"&lt;&gt;"&amp;"",Başvuru!$F:$F,"&lt;&gt;"&amp;""))</f>
        <v>0</v>
      </c>
      <c r="N233" s="176">
        <f>IF(C233="","",COUNTIFS(Başvuru!$C:$C,C233,Başvuru!$L:$L,"RET",Başvuru!$A:$A,"&lt;&gt;"&amp;"",Başvuru!$F:$F,"&lt;&gt;"&amp;""))</f>
        <v>0</v>
      </c>
      <c r="O233" s="177">
        <f>IF(C233="","",COUNTIFS(Başvuru!$C:$C,C233,Başvuru!$L:$L,"KAPSAM DIŞI",Başvuru!$A:$A,"&lt;&gt;"&amp;"",Başvuru!$F:$F,"&lt;&gt;"&amp;""))</f>
        <v>0</v>
      </c>
      <c r="P233" s="178">
        <f>IF(C233="","",COUNTIFS(Başvuru!$C:$C,C233,Başvuru!$L:$L,"GERİ ÇEKİLDİ",Başvuru!$A:$A,"&lt;&gt;"&amp;"",Başvuru!$F:$F,"&lt;&gt;"&amp;""))</f>
        <v>0</v>
      </c>
      <c r="Q233" s="166" t="s">
        <v>2164</v>
      </c>
      <c r="R233" s="167">
        <f>COUNTIFS(Başvuru!$C:$C,Q233,Başvuru!$A:$A,"&lt;&gt;"&amp;"",Başvuru!$F:$F,"&lt;&gt;"&amp;"")</f>
        <v>1</v>
      </c>
      <c r="S233" s="167">
        <f>RANK(R233,$R$6:$R$324,0)+COUNTIF($R$6:R233,R233)-1</f>
        <v>260</v>
      </c>
    </row>
    <row r="234" spans="2:19" ht="15" customHeight="1" x14ac:dyDescent="0.25">
      <c r="B234" s="155">
        <v>229</v>
      </c>
      <c r="C234" s="156" t="str">
        <f>IFERROR(INDEX($Q$6:$Q$324,MATCH(229,$S$6:$S$324,0)),"")</f>
        <v>Prof. Dr. Egemen TURHAN</v>
      </c>
      <c r="D234" s="157">
        <f>IF(C234="","",COUNTIFS(Başvuru!$C:$C,C234,Başvuru!$A:$A,"&lt;&gt;"&amp;"",Başvuru!$F:$F,"&lt;&gt;"&amp;""))</f>
        <v>1</v>
      </c>
      <c r="E234" s="155" t="str">
        <f>IF(C234="","-",IF(D234&gt;0,TEXT(D234/(COUNTIFS(Başvuru!$A:$A,"&lt;&gt;",Başvuru!$F:$F,"&lt;&gt;")-1)*100,"0.0")&amp;"%","-"))</f>
        <v>00%</v>
      </c>
      <c r="F234" s="158">
        <f>IF(C234="","",COUNTIFS(Başvuru!$C:$C,C234,Başvuru!$G:$G,"Bireysel Araştırma",Başvuru!$A:$A,"&lt;&gt;"&amp;"",Başvuru!$F:$F,"&lt;&gt;"&amp;""))</f>
        <v>0</v>
      </c>
      <c r="G234" s="158">
        <f>IF(C234="","",COUNTIFS(Başvuru!$C:$C,C234,Başvuru!$G:$G,"Uzmanlık Tezi",Başvuru!$A:$A,"&lt;&gt;"&amp;"",Başvuru!$F:$F,"&lt;&gt;"&amp;""))</f>
        <v>0</v>
      </c>
      <c r="H234" s="158">
        <f>IF(C234="","",COUNTIFS(Başvuru!$C:$C,C234,Başvuru!$G:$G,"Doktora Tezi",Başvuru!$A:$A,"&lt;&gt;"&amp;"",Başvuru!$F:$F,"&lt;&gt;"&amp;""))</f>
        <v>0</v>
      </c>
      <c r="I234" s="158">
        <f>IF(C234="","",COUNTIFS(Başvuru!$C:$C,C234,Başvuru!$G:$G,"Yüksek Lisans Tezi",Başvuru!$A:$A,"&lt;&gt;"&amp;"",Başvuru!$F:$F,"&lt;&gt;"&amp;""))</f>
        <v>1</v>
      </c>
      <c r="J234" s="159">
        <f>IF(C234="","",COUNTIFS(Başvuru!$C:$C,C234,Başvuru!$L:$L,"ONAY",Başvuru!$A:$A,"&lt;&gt;"&amp;"",Başvuru!$F:$F,"&lt;&gt;"&amp;""))</f>
        <v>0</v>
      </c>
      <c r="K234" s="160">
        <f>IF(C234="","",COUNTIFS(Başvuru!$C:$C,C234,Başvuru!$L:$L,"DÜZELTME",Başvuru!$A:$A,"&lt;&gt;"&amp;"",Başvuru!$F:$F,"&lt;&gt;"&amp;""))</f>
        <v>1</v>
      </c>
      <c r="L234" s="161">
        <f>IF(C234="","",COUNTIFS(Başvuru!$C:$C,C234,Başvuru!$L:$L,"KAEK",Başvuru!$A:$A,"&lt;&gt;"&amp;"",Başvuru!$F:$F,"&lt;&gt;"&amp;""))</f>
        <v>0</v>
      </c>
      <c r="M234" s="162">
        <f>IF(C234="","",COUNTIFS(Başvuru!$C:$C,C234,Başvuru!$L:$L,"GÖRÜŞ",Başvuru!$A:$A,"&lt;&gt;"&amp;"",Başvuru!$F:$F,"&lt;&gt;"&amp;""))</f>
        <v>0</v>
      </c>
      <c r="N234" s="163">
        <f>IF(C234="","",COUNTIFS(Başvuru!$C:$C,C234,Başvuru!$L:$L,"RET",Başvuru!$A:$A,"&lt;&gt;"&amp;"",Başvuru!$F:$F,"&lt;&gt;"&amp;""))</f>
        <v>0</v>
      </c>
      <c r="O234" s="164">
        <f>IF(C234="","",COUNTIFS(Başvuru!$C:$C,C234,Başvuru!$L:$L,"KAPSAM DIŞI",Başvuru!$A:$A,"&lt;&gt;"&amp;"",Başvuru!$F:$F,"&lt;&gt;"&amp;""))</f>
        <v>0</v>
      </c>
      <c r="P234" s="165">
        <f>IF(C234="","",COUNTIFS(Başvuru!$C:$C,C234,Başvuru!$L:$L,"GERİ ÇEKİLDİ",Başvuru!$A:$A,"&lt;&gt;"&amp;"",Başvuru!$F:$F,"&lt;&gt;"&amp;""))</f>
        <v>0</v>
      </c>
      <c r="Q234" s="166" t="s">
        <v>1969</v>
      </c>
      <c r="R234" s="167">
        <f>COUNTIFS(Başvuru!$C:$C,Q234,Başvuru!$A:$A,"&lt;&gt;"&amp;"",Başvuru!$F:$F,"&lt;&gt;"&amp;"")</f>
        <v>1</v>
      </c>
      <c r="S234" s="167">
        <f>RANK(R234,$R$6:$R$324,0)+COUNTIF($R$6:R234,R234)-1</f>
        <v>261</v>
      </c>
    </row>
    <row r="235" spans="2:19" ht="15" customHeight="1" x14ac:dyDescent="0.25">
      <c r="B235" s="168">
        <v>230</v>
      </c>
      <c r="C235" s="169" t="str">
        <f>IFERROR(INDEX($Q$6:$Q$324,MATCH(230,$S$6:$S$324,0)),"")</f>
        <v>Prof. Dr. Elmas Ebru YALÇIN</v>
      </c>
      <c r="D235" s="170">
        <f>IF(C235="","",COUNTIFS(Başvuru!$C:$C,C235,Başvuru!$A:$A,"&lt;&gt;"&amp;"",Başvuru!$F:$F,"&lt;&gt;"&amp;""))</f>
        <v>1</v>
      </c>
      <c r="E235" s="168" t="str">
        <f>IF(C235="","-",IF(D235&gt;0,TEXT(D235/(COUNTIFS(Başvuru!$A:$A,"&lt;&gt;",Başvuru!$F:$F,"&lt;&gt;")-1)*100,"0.0")&amp;"%","-"))</f>
        <v>00%</v>
      </c>
      <c r="F235" s="171">
        <f>IF(C235="","",COUNTIFS(Başvuru!$C:$C,C235,Başvuru!$G:$G,"Bireysel Araştırma",Başvuru!$A:$A,"&lt;&gt;"&amp;"",Başvuru!$F:$F,"&lt;&gt;"&amp;""))</f>
        <v>1</v>
      </c>
      <c r="G235" s="171">
        <f>IF(C235="","",COUNTIFS(Başvuru!$C:$C,C235,Başvuru!$G:$G,"Uzmanlık Tezi",Başvuru!$A:$A,"&lt;&gt;"&amp;"",Başvuru!$F:$F,"&lt;&gt;"&amp;""))</f>
        <v>0</v>
      </c>
      <c r="H235" s="171">
        <f>IF(C235="","",COUNTIFS(Başvuru!$C:$C,C235,Başvuru!$G:$G,"Doktora Tezi",Başvuru!$A:$A,"&lt;&gt;"&amp;"",Başvuru!$F:$F,"&lt;&gt;"&amp;""))</f>
        <v>0</v>
      </c>
      <c r="I235" s="171">
        <f>IF(C235="","",COUNTIFS(Başvuru!$C:$C,C235,Başvuru!$G:$G,"Yüksek Lisans Tezi",Başvuru!$A:$A,"&lt;&gt;"&amp;"",Başvuru!$F:$F,"&lt;&gt;"&amp;""))</f>
        <v>0</v>
      </c>
      <c r="J235" s="172">
        <f>IF(C235="","",COUNTIFS(Başvuru!$C:$C,C235,Başvuru!$L:$L,"ONAY",Başvuru!$A:$A,"&lt;&gt;"&amp;"",Başvuru!$F:$F,"&lt;&gt;"&amp;""))</f>
        <v>1</v>
      </c>
      <c r="K235" s="173">
        <f>IF(C235="","",COUNTIFS(Başvuru!$C:$C,C235,Başvuru!$L:$L,"DÜZELTME",Başvuru!$A:$A,"&lt;&gt;"&amp;"",Başvuru!$F:$F,"&lt;&gt;"&amp;""))</f>
        <v>0</v>
      </c>
      <c r="L235" s="174">
        <f>IF(C235="","",COUNTIFS(Başvuru!$C:$C,C235,Başvuru!$L:$L,"KAEK",Başvuru!$A:$A,"&lt;&gt;"&amp;"",Başvuru!$F:$F,"&lt;&gt;"&amp;""))</f>
        <v>0</v>
      </c>
      <c r="M235" s="175">
        <f>IF(C235="","",COUNTIFS(Başvuru!$C:$C,C235,Başvuru!$L:$L,"GÖRÜŞ",Başvuru!$A:$A,"&lt;&gt;"&amp;"",Başvuru!$F:$F,"&lt;&gt;"&amp;""))</f>
        <v>0</v>
      </c>
      <c r="N235" s="176">
        <f>IF(C235="","",COUNTIFS(Başvuru!$C:$C,C235,Başvuru!$L:$L,"RET",Başvuru!$A:$A,"&lt;&gt;"&amp;"",Başvuru!$F:$F,"&lt;&gt;"&amp;""))</f>
        <v>0</v>
      </c>
      <c r="O235" s="177">
        <f>IF(C235="","",COUNTIFS(Başvuru!$C:$C,C235,Başvuru!$L:$L,"KAPSAM DIŞI",Başvuru!$A:$A,"&lt;&gt;"&amp;"",Başvuru!$F:$F,"&lt;&gt;"&amp;""))</f>
        <v>0</v>
      </c>
      <c r="P235" s="178">
        <f>IF(C235="","",COUNTIFS(Başvuru!$C:$C,C235,Başvuru!$L:$L,"GERİ ÇEKİLDİ",Başvuru!$A:$A,"&lt;&gt;"&amp;"",Başvuru!$F:$F,"&lt;&gt;"&amp;""))</f>
        <v>0</v>
      </c>
      <c r="Q235" s="166" t="s">
        <v>366</v>
      </c>
      <c r="R235" s="167">
        <f>COUNTIFS(Başvuru!$C:$C,Q235,Başvuru!$A:$A,"&lt;&gt;"&amp;"",Başvuru!$F:$F,"&lt;&gt;"&amp;"")</f>
        <v>1</v>
      </c>
      <c r="S235" s="167">
        <f>RANK(R235,$R$6:$R$324,0)+COUNTIF($R$6:R235,R235)-1</f>
        <v>262</v>
      </c>
    </row>
    <row r="236" spans="2:19" ht="15" customHeight="1" x14ac:dyDescent="0.25">
      <c r="B236" s="155">
        <v>231</v>
      </c>
      <c r="C236" s="156" t="str">
        <f>IFERROR(INDEX($Q$6:$Q$324,MATCH(231,$S$6:$S$324,0)),"")</f>
        <v>Prof. Dr. Emel UZUNOĞLU ÖZYÜREK</v>
      </c>
      <c r="D236" s="157">
        <f>IF(C236="","",COUNTIFS(Başvuru!$C:$C,C236,Başvuru!$A:$A,"&lt;&gt;"&amp;"",Başvuru!$F:$F,"&lt;&gt;"&amp;""))</f>
        <v>1</v>
      </c>
      <c r="E236" s="155" t="str">
        <f>IF(C236="","-",IF(D236&gt;0,TEXT(D236/(COUNTIFS(Başvuru!$A:$A,"&lt;&gt;",Başvuru!$F:$F,"&lt;&gt;")-1)*100,"0.0")&amp;"%","-"))</f>
        <v>00%</v>
      </c>
      <c r="F236" s="158">
        <f>IF(C236="","",COUNTIFS(Başvuru!$C:$C,C236,Başvuru!$G:$G,"Bireysel Araştırma",Başvuru!$A:$A,"&lt;&gt;"&amp;"",Başvuru!$F:$F,"&lt;&gt;"&amp;""))</f>
        <v>1</v>
      </c>
      <c r="G236" s="158">
        <f>IF(C236="","",COUNTIFS(Başvuru!$C:$C,C236,Başvuru!$G:$G,"Uzmanlık Tezi",Başvuru!$A:$A,"&lt;&gt;"&amp;"",Başvuru!$F:$F,"&lt;&gt;"&amp;""))</f>
        <v>0</v>
      </c>
      <c r="H236" s="158">
        <f>IF(C236="","",COUNTIFS(Başvuru!$C:$C,C236,Başvuru!$G:$G,"Doktora Tezi",Başvuru!$A:$A,"&lt;&gt;"&amp;"",Başvuru!$F:$F,"&lt;&gt;"&amp;""))</f>
        <v>0</v>
      </c>
      <c r="I236" s="158">
        <f>IF(C236="","",COUNTIFS(Başvuru!$C:$C,C236,Başvuru!$G:$G,"Yüksek Lisans Tezi",Başvuru!$A:$A,"&lt;&gt;"&amp;"",Başvuru!$F:$F,"&lt;&gt;"&amp;""))</f>
        <v>0</v>
      </c>
      <c r="J236" s="159">
        <f>IF(C236="","",COUNTIFS(Başvuru!$C:$C,C236,Başvuru!$L:$L,"ONAY",Başvuru!$A:$A,"&lt;&gt;"&amp;"",Başvuru!$F:$F,"&lt;&gt;"&amp;""))</f>
        <v>1</v>
      </c>
      <c r="K236" s="160">
        <f>IF(C236="","",COUNTIFS(Başvuru!$C:$C,C236,Başvuru!$L:$L,"DÜZELTME",Başvuru!$A:$A,"&lt;&gt;"&amp;"",Başvuru!$F:$F,"&lt;&gt;"&amp;""))</f>
        <v>0</v>
      </c>
      <c r="L236" s="161">
        <f>IF(C236="","",COUNTIFS(Başvuru!$C:$C,C236,Başvuru!$L:$L,"KAEK",Başvuru!$A:$A,"&lt;&gt;"&amp;"",Başvuru!$F:$F,"&lt;&gt;"&amp;""))</f>
        <v>0</v>
      </c>
      <c r="M236" s="162">
        <f>IF(C236="","",COUNTIFS(Başvuru!$C:$C,C236,Başvuru!$L:$L,"GÖRÜŞ",Başvuru!$A:$A,"&lt;&gt;"&amp;"",Başvuru!$F:$F,"&lt;&gt;"&amp;""))</f>
        <v>0</v>
      </c>
      <c r="N236" s="163">
        <f>IF(C236="","",COUNTIFS(Başvuru!$C:$C,C236,Başvuru!$L:$L,"RET",Başvuru!$A:$A,"&lt;&gt;"&amp;"",Başvuru!$F:$F,"&lt;&gt;"&amp;""))</f>
        <v>0</v>
      </c>
      <c r="O236" s="164">
        <f>IF(C236="","",COUNTIFS(Başvuru!$C:$C,C236,Başvuru!$L:$L,"KAPSAM DIŞI",Başvuru!$A:$A,"&lt;&gt;"&amp;"",Başvuru!$F:$F,"&lt;&gt;"&amp;""))</f>
        <v>0</v>
      </c>
      <c r="P236" s="165">
        <f>IF(C236="","",COUNTIFS(Başvuru!$C:$C,C236,Başvuru!$L:$L,"GERİ ÇEKİLDİ",Başvuru!$A:$A,"&lt;&gt;"&amp;"",Başvuru!$F:$F,"&lt;&gt;"&amp;""))</f>
        <v>0</v>
      </c>
      <c r="Q236" s="166" t="s">
        <v>728</v>
      </c>
      <c r="R236" s="167">
        <f>COUNTIFS(Başvuru!$C:$C,Q236,Başvuru!$A:$A,"&lt;&gt;"&amp;"",Başvuru!$F:$F,"&lt;&gt;"&amp;"")</f>
        <v>2</v>
      </c>
      <c r="S236" s="167">
        <f>RANK(R236,$R$6:$R$324,0)+COUNTIF($R$6:R236,R236)-1</f>
        <v>125</v>
      </c>
    </row>
    <row r="237" spans="2:19" ht="15" customHeight="1" x14ac:dyDescent="0.25">
      <c r="B237" s="168">
        <v>232</v>
      </c>
      <c r="C237" s="169" t="str">
        <f>IFERROR(INDEX($Q$6:$Q$324,MATCH(232,$S$6:$S$324,0)),"")</f>
        <v>Prof. Dr. Emre TOSUN</v>
      </c>
      <c r="D237" s="170">
        <f>IF(C237="","",COUNTIFS(Başvuru!$C:$C,C237,Başvuru!$A:$A,"&lt;&gt;"&amp;"",Başvuru!$F:$F,"&lt;&gt;"&amp;""))</f>
        <v>1</v>
      </c>
      <c r="E237" s="168" t="str">
        <f>IF(C237="","-",IF(D237&gt;0,TEXT(D237/(COUNTIFS(Başvuru!$A:$A,"&lt;&gt;",Başvuru!$F:$F,"&lt;&gt;")-1)*100,"0.0")&amp;"%","-"))</f>
        <v>00%</v>
      </c>
      <c r="F237" s="171">
        <f>IF(C237="","",COUNTIFS(Başvuru!$C:$C,C237,Başvuru!$G:$G,"Bireysel Araştırma",Başvuru!$A:$A,"&lt;&gt;"&amp;"",Başvuru!$F:$F,"&lt;&gt;"&amp;""))</f>
        <v>1</v>
      </c>
      <c r="G237" s="171">
        <f>IF(C237="","",COUNTIFS(Başvuru!$C:$C,C237,Başvuru!$G:$G,"Uzmanlık Tezi",Başvuru!$A:$A,"&lt;&gt;"&amp;"",Başvuru!$F:$F,"&lt;&gt;"&amp;""))</f>
        <v>0</v>
      </c>
      <c r="H237" s="171">
        <f>IF(C237="","",COUNTIFS(Başvuru!$C:$C,C237,Başvuru!$G:$G,"Doktora Tezi",Başvuru!$A:$A,"&lt;&gt;"&amp;"",Başvuru!$F:$F,"&lt;&gt;"&amp;""))</f>
        <v>0</v>
      </c>
      <c r="I237" s="171">
        <f>IF(C237="","",COUNTIFS(Başvuru!$C:$C,C237,Başvuru!$G:$G,"Yüksek Lisans Tezi",Başvuru!$A:$A,"&lt;&gt;"&amp;"",Başvuru!$F:$F,"&lt;&gt;"&amp;""))</f>
        <v>0</v>
      </c>
      <c r="J237" s="172">
        <f>IF(C237="","",COUNTIFS(Başvuru!$C:$C,C237,Başvuru!$L:$L,"ONAY",Başvuru!$A:$A,"&lt;&gt;"&amp;"",Başvuru!$F:$F,"&lt;&gt;"&amp;""))</f>
        <v>0</v>
      </c>
      <c r="K237" s="173">
        <f>IF(C237="","",COUNTIFS(Başvuru!$C:$C,C237,Başvuru!$L:$L,"DÜZELTME",Başvuru!$A:$A,"&lt;&gt;"&amp;"",Başvuru!$F:$F,"&lt;&gt;"&amp;""))</f>
        <v>0</v>
      </c>
      <c r="L237" s="174">
        <f>IF(C237="","",COUNTIFS(Başvuru!$C:$C,C237,Başvuru!$L:$L,"KAEK",Başvuru!$A:$A,"&lt;&gt;"&amp;"",Başvuru!$F:$F,"&lt;&gt;"&amp;""))</f>
        <v>0</v>
      </c>
      <c r="M237" s="175">
        <f>IF(C237="","",COUNTIFS(Başvuru!$C:$C,C237,Başvuru!$L:$L,"GÖRÜŞ",Başvuru!$A:$A,"&lt;&gt;"&amp;"",Başvuru!$F:$F,"&lt;&gt;"&amp;""))</f>
        <v>1</v>
      </c>
      <c r="N237" s="176">
        <f>IF(C237="","",COUNTIFS(Başvuru!$C:$C,C237,Başvuru!$L:$L,"RET",Başvuru!$A:$A,"&lt;&gt;"&amp;"",Başvuru!$F:$F,"&lt;&gt;"&amp;""))</f>
        <v>0</v>
      </c>
      <c r="O237" s="177">
        <f>IF(C237="","",COUNTIFS(Başvuru!$C:$C,C237,Başvuru!$L:$L,"KAPSAM DIŞI",Başvuru!$A:$A,"&lt;&gt;"&amp;"",Başvuru!$F:$F,"&lt;&gt;"&amp;""))</f>
        <v>0</v>
      </c>
      <c r="P237" s="178">
        <f>IF(C237="","",COUNTIFS(Başvuru!$C:$C,C237,Başvuru!$L:$L,"GERİ ÇEKİLDİ",Başvuru!$A:$A,"&lt;&gt;"&amp;"",Başvuru!$F:$F,"&lt;&gt;"&amp;""))</f>
        <v>0</v>
      </c>
      <c r="Q237" s="166" t="s">
        <v>564</v>
      </c>
      <c r="R237" s="167">
        <f>COUNTIFS(Başvuru!$C:$C,Q237,Başvuru!$A:$A,"&lt;&gt;"&amp;"",Başvuru!$F:$F,"&lt;&gt;"&amp;"")</f>
        <v>2</v>
      </c>
      <c r="S237" s="167">
        <f>RANK(R237,$R$6:$R$324,0)+COUNTIF($R$6:R237,R237)-1</f>
        <v>126</v>
      </c>
    </row>
    <row r="238" spans="2:19" ht="15" customHeight="1" x14ac:dyDescent="0.25">
      <c r="B238" s="155">
        <v>233</v>
      </c>
      <c r="C238" s="156" t="str">
        <f>IFERROR(INDEX($Q$6:$Q$324,MATCH(233,$S$6:$S$324,0)),"")</f>
        <v>Prof. Dr. Erdem KARABULUT</v>
      </c>
      <c r="D238" s="157">
        <f>IF(C238="","",COUNTIFS(Başvuru!$C:$C,C238,Başvuru!$A:$A,"&lt;&gt;"&amp;"",Başvuru!$F:$F,"&lt;&gt;"&amp;""))</f>
        <v>1</v>
      </c>
      <c r="E238" s="155" t="str">
        <f>IF(C238="","-",IF(D238&gt;0,TEXT(D238/(COUNTIFS(Başvuru!$A:$A,"&lt;&gt;",Başvuru!$F:$F,"&lt;&gt;")-1)*100,"0.0")&amp;"%","-"))</f>
        <v>00%</v>
      </c>
      <c r="F238" s="158">
        <f>IF(C238="","",COUNTIFS(Başvuru!$C:$C,C238,Başvuru!$G:$G,"Bireysel Araştırma",Başvuru!$A:$A,"&lt;&gt;"&amp;"",Başvuru!$F:$F,"&lt;&gt;"&amp;""))</f>
        <v>0</v>
      </c>
      <c r="G238" s="158">
        <f>IF(C238="","",COUNTIFS(Başvuru!$C:$C,C238,Başvuru!$G:$G,"Uzmanlık Tezi",Başvuru!$A:$A,"&lt;&gt;"&amp;"",Başvuru!$F:$F,"&lt;&gt;"&amp;""))</f>
        <v>0</v>
      </c>
      <c r="H238" s="158">
        <f>IF(C238="","",COUNTIFS(Başvuru!$C:$C,C238,Başvuru!$G:$G,"Doktora Tezi",Başvuru!$A:$A,"&lt;&gt;"&amp;"",Başvuru!$F:$F,"&lt;&gt;"&amp;""))</f>
        <v>1</v>
      </c>
      <c r="I238" s="158">
        <f>IF(C238="","",COUNTIFS(Başvuru!$C:$C,C238,Başvuru!$G:$G,"Yüksek Lisans Tezi",Başvuru!$A:$A,"&lt;&gt;"&amp;"",Başvuru!$F:$F,"&lt;&gt;"&amp;""))</f>
        <v>0</v>
      </c>
      <c r="J238" s="159">
        <f>IF(C238="","",COUNTIFS(Başvuru!$C:$C,C238,Başvuru!$L:$L,"ONAY",Başvuru!$A:$A,"&lt;&gt;"&amp;"",Başvuru!$F:$F,"&lt;&gt;"&amp;""))</f>
        <v>1</v>
      </c>
      <c r="K238" s="160">
        <f>IF(C238="","",COUNTIFS(Başvuru!$C:$C,C238,Başvuru!$L:$L,"DÜZELTME",Başvuru!$A:$A,"&lt;&gt;"&amp;"",Başvuru!$F:$F,"&lt;&gt;"&amp;""))</f>
        <v>0</v>
      </c>
      <c r="L238" s="161">
        <f>IF(C238="","",COUNTIFS(Başvuru!$C:$C,C238,Başvuru!$L:$L,"KAEK",Başvuru!$A:$A,"&lt;&gt;"&amp;"",Başvuru!$F:$F,"&lt;&gt;"&amp;""))</f>
        <v>0</v>
      </c>
      <c r="M238" s="162">
        <f>IF(C238="","",COUNTIFS(Başvuru!$C:$C,C238,Başvuru!$L:$L,"GÖRÜŞ",Başvuru!$A:$A,"&lt;&gt;"&amp;"",Başvuru!$F:$F,"&lt;&gt;"&amp;""))</f>
        <v>0</v>
      </c>
      <c r="N238" s="163">
        <f>IF(C238="","",COUNTIFS(Başvuru!$C:$C,C238,Başvuru!$L:$L,"RET",Başvuru!$A:$A,"&lt;&gt;"&amp;"",Başvuru!$F:$F,"&lt;&gt;"&amp;""))</f>
        <v>0</v>
      </c>
      <c r="O238" s="164">
        <f>IF(C238="","",COUNTIFS(Başvuru!$C:$C,C238,Başvuru!$L:$L,"KAPSAM DIŞI",Başvuru!$A:$A,"&lt;&gt;"&amp;"",Başvuru!$F:$F,"&lt;&gt;"&amp;""))</f>
        <v>0</v>
      </c>
      <c r="P238" s="165">
        <f>IF(C238="","",COUNTIFS(Başvuru!$C:$C,C238,Başvuru!$L:$L,"GERİ ÇEKİLDİ",Başvuru!$A:$A,"&lt;&gt;"&amp;"",Başvuru!$F:$F,"&lt;&gt;"&amp;""))</f>
        <v>0</v>
      </c>
      <c r="Q238" s="166" t="s">
        <v>427</v>
      </c>
      <c r="R238" s="167">
        <f>COUNTIFS(Başvuru!$C:$C,Q238,Başvuru!$A:$A,"&lt;&gt;"&amp;"",Başvuru!$F:$F,"&lt;&gt;"&amp;"")</f>
        <v>8</v>
      </c>
      <c r="S238" s="167">
        <f>RANK(R238,$R$6:$R$324,0)+COUNTIF($R$6:R238,R238)-1</f>
        <v>9</v>
      </c>
    </row>
    <row r="239" spans="2:19" ht="15" customHeight="1" x14ac:dyDescent="0.25">
      <c r="B239" s="168">
        <v>234</v>
      </c>
      <c r="C239" s="180" t="str">
        <f>IFERROR(INDEX($Q$6:$Q$324,MATCH(234,$S$6:$S$324,0)),"")</f>
        <v>Prof. Dr. Esra BİRBEN</v>
      </c>
      <c r="D239" s="170">
        <f>IF(C239="","",COUNTIFS(Başvuru!$C:$C,C239,Başvuru!$A:$A,"&lt;&gt;"&amp;"",Başvuru!$F:$F,"&lt;&gt;"&amp;""))</f>
        <v>1</v>
      </c>
      <c r="E239" s="168" t="str">
        <f>IF(C239="","-",IF(D239&gt;0,TEXT(D239/(COUNTIFS(Başvuru!$A:$A,"&lt;&gt;",Başvuru!$F:$F,"&lt;&gt;")-1)*100,"0.0")&amp;"%","-"))</f>
        <v>00%</v>
      </c>
      <c r="F239" s="171">
        <f>IF(C239="","",COUNTIFS(Başvuru!$C:$C,C239,Başvuru!$G:$G,"Bireysel Araştırma",Başvuru!$A:$A,"&lt;&gt;"&amp;"",Başvuru!$F:$F,"&lt;&gt;"&amp;""))</f>
        <v>1</v>
      </c>
      <c r="G239" s="171">
        <f>IF(C239="","",COUNTIFS(Başvuru!$C:$C,C239,Başvuru!$G:$G,"Uzmanlık Tezi",Başvuru!$A:$A,"&lt;&gt;"&amp;"",Başvuru!$F:$F,"&lt;&gt;"&amp;""))</f>
        <v>0</v>
      </c>
      <c r="H239" s="171">
        <f>IF(C239="","",COUNTIFS(Başvuru!$C:$C,C239,Başvuru!$G:$G,"Doktora Tezi",Başvuru!$A:$A,"&lt;&gt;"&amp;"",Başvuru!$F:$F,"&lt;&gt;"&amp;""))</f>
        <v>0</v>
      </c>
      <c r="I239" s="171">
        <f>IF(C239="","",COUNTIFS(Başvuru!$C:$C,C239,Başvuru!$G:$G,"Yüksek Lisans Tezi",Başvuru!$A:$A,"&lt;&gt;"&amp;"",Başvuru!$F:$F,"&lt;&gt;"&amp;""))</f>
        <v>0</v>
      </c>
      <c r="J239" s="172">
        <f>IF(C239="","",COUNTIFS(Başvuru!$C:$C,C239,Başvuru!$L:$L,"ONAY",Başvuru!$A:$A,"&lt;&gt;"&amp;"",Başvuru!$F:$F,"&lt;&gt;"&amp;""))</f>
        <v>1</v>
      </c>
      <c r="K239" s="173">
        <f>IF(C239="","",COUNTIFS(Başvuru!$C:$C,C239,Başvuru!$L:$L,"DÜZELTME",Başvuru!$A:$A,"&lt;&gt;"&amp;"",Başvuru!$F:$F,"&lt;&gt;"&amp;""))</f>
        <v>0</v>
      </c>
      <c r="L239" s="174">
        <f>IF(C239="","",COUNTIFS(Başvuru!$C:$C,C239,Başvuru!$L:$L,"KAEK",Başvuru!$A:$A,"&lt;&gt;"&amp;"",Başvuru!$F:$F,"&lt;&gt;"&amp;""))</f>
        <v>0</v>
      </c>
      <c r="M239" s="175">
        <f>IF(C239="","",COUNTIFS(Başvuru!$C:$C,C239,Başvuru!$L:$L,"GÖRÜŞ",Başvuru!$A:$A,"&lt;&gt;"&amp;"",Başvuru!$F:$F,"&lt;&gt;"&amp;""))</f>
        <v>0</v>
      </c>
      <c r="N239" s="176">
        <f>IF(C239="","",COUNTIFS(Başvuru!$C:$C,C239,Başvuru!$L:$L,"RET",Başvuru!$A:$A,"&lt;&gt;"&amp;"",Başvuru!$F:$F,"&lt;&gt;"&amp;""))</f>
        <v>0</v>
      </c>
      <c r="O239" s="177">
        <f>IF(C239="","",COUNTIFS(Başvuru!$C:$C,C239,Başvuru!$L:$L,"KAPSAM DIŞI",Başvuru!$A:$A,"&lt;&gt;"&amp;"",Başvuru!$F:$F,"&lt;&gt;"&amp;""))</f>
        <v>0</v>
      </c>
      <c r="P239" s="178">
        <f>IF(C239="","",COUNTIFS(Başvuru!$C:$C,C239,Başvuru!$L:$L,"GERİ ÇEKİLDİ",Başvuru!$A:$A,"&lt;&gt;"&amp;"",Başvuru!$F:$F,"&lt;&gt;"&amp;""))</f>
        <v>0</v>
      </c>
      <c r="Q239" s="166" t="s">
        <v>2375</v>
      </c>
      <c r="R239" s="167">
        <f>COUNTIFS(Başvuru!$C:$C,Q239,Başvuru!$A:$A,"&lt;&gt;"&amp;"",Başvuru!$F:$F,"&lt;&gt;"&amp;"")</f>
        <v>2</v>
      </c>
      <c r="S239" s="167">
        <f>RANK(R239,$R$6:$R$324,0)+COUNTIF($R$6:R239,R239)-1</f>
        <v>127</v>
      </c>
    </row>
    <row r="240" spans="2:19" ht="15" customHeight="1" x14ac:dyDescent="0.25">
      <c r="B240" s="155">
        <v>235</v>
      </c>
      <c r="C240" s="156" t="str">
        <f>IFERROR(INDEX($Q$6:$Q$324,MATCH(235,$S$6:$S$324,0)),"")</f>
        <v>Prof. Dr. Fatma Visal OKUR</v>
      </c>
      <c r="D240" s="157">
        <f>IF(C240="","",COUNTIFS(Başvuru!$C:$C,C240,Başvuru!$A:$A,"&lt;&gt;"&amp;"",Başvuru!$F:$F,"&lt;&gt;"&amp;""))</f>
        <v>1</v>
      </c>
      <c r="E240" s="155" t="str">
        <f>IF(C240="","-",IF(D240&gt;0,TEXT(D240/(COUNTIFS(Başvuru!$A:$A,"&lt;&gt;",Başvuru!$F:$F,"&lt;&gt;")-1)*100,"0.0")&amp;"%","-"))</f>
        <v>00%</v>
      </c>
      <c r="F240" s="158">
        <f>IF(C240="","",COUNTIFS(Başvuru!$C:$C,C240,Başvuru!$G:$G,"Bireysel Araştırma",Başvuru!$A:$A,"&lt;&gt;"&amp;"",Başvuru!$F:$F,"&lt;&gt;"&amp;""))</f>
        <v>1</v>
      </c>
      <c r="G240" s="158">
        <f>IF(C240="","",COUNTIFS(Başvuru!$C:$C,C240,Başvuru!$G:$G,"Uzmanlık Tezi",Başvuru!$A:$A,"&lt;&gt;"&amp;"",Başvuru!$F:$F,"&lt;&gt;"&amp;""))</f>
        <v>0</v>
      </c>
      <c r="H240" s="158">
        <f>IF(C240="","",COUNTIFS(Başvuru!$C:$C,C240,Başvuru!$G:$G,"Doktora Tezi",Başvuru!$A:$A,"&lt;&gt;"&amp;"",Başvuru!$F:$F,"&lt;&gt;"&amp;""))</f>
        <v>0</v>
      </c>
      <c r="I240" s="158">
        <f>IF(C240="","",COUNTIFS(Başvuru!$C:$C,C240,Başvuru!$G:$G,"Yüksek Lisans Tezi",Başvuru!$A:$A,"&lt;&gt;"&amp;"",Başvuru!$F:$F,"&lt;&gt;"&amp;""))</f>
        <v>0</v>
      </c>
      <c r="J240" s="159">
        <f>IF(C240="","",COUNTIFS(Başvuru!$C:$C,C240,Başvuru!$L:$L,"ONAY",Başvuru!$A:$A,"&lt;&gt;"&amp;"",Başvuru!$F:$F,"&lt;&gt;"&amp;""))</f>
        <v>0</v>
      </c>
      <c r="K240" s="160">
        <f>IF(C240="","",COUNTIFS(Başvuru!$C:$C,C240,Başvuru!$L:$L,"DÜZELTME",Başvuru!$A:$A,"&lt;&gt;"&amp;"",Başvuru!$F:$F,"&lt;&gt;"&amp;""))</f>
        <v>1</v>
      </c>
      <c r="L240" s="161">
        <f>IF(C240="","",COUNTIFS(Başvuru!$C:$C,C240,Başvuru!$L:$L,"KAEK",Başvuru!$A:$A,"&lt;&gt;"&amp;"",Başvuru!$F:$F,"&lt;&gt;"&amp;""))</f>
        <v>0</v>
      </c>
      <c r="M240" s="162">
        <f>IF(C240="","",COUNTIFS(Başvuru!$C:$C,C240,Başvuru!$L:$L,"GÖRÜŞ",Başvuru!$A:$A,"&lt;&gt;"&amp;"",Başvuru!$F:$F,"&lt;&gt;"&amp;""))</f>
        <v>0</v>
      </c>
      <c r="N240" s="163">
        <f>IF(C240="","",COUNTIFS(Başvuru!$C:$C,C240,Başvuru!$L:$L,"RET",Başvuru!$A:$A,"&lt;&gt;"&amp;"",Başvuru!$F:$F,"&lt;&gt;"&amp;""))</f>
        <v>0</v>
      </c>
      <c r="O240" s="164">
        <f>IF(C240="","",COUNTIFS(Başvuru!$C:$C,C240,Başvuru!$L:$L,"KAPSAM DIŞI",Başvuru!$A:$A,"&lt;&gt;"&amp;"",Başvuru!$F:$F,"&lt;&gt;"&amp;""))</f>
        <v>0</v>
      </c>
      <c r="P240" s="165">
        <f>IF(C240="","",COUNTIFS(Başvuru!$C:$C,C240,Başvuru!$L:$L,"GERİ ÇEKİLDİ",Başvuru!$A:$A,"&lt;&gt;"&amp;"",Başvuru!$F:$F,"&lt;&gt;"&amp;""))</f>
        <v>0</v>
      </c>
      <c r="Q240" s="166" t="s">
        <v>1291</v>
      </c>
      <c r="R240" s="167">
        <f>COUNTIFS(Başvuru!$C:$C,Q240,Başvuru!$A:$A,"&lt;&gt;"&amp;"",Başvuru!$F:$F,"&lt;&gt;"&amp;"")</f>
        <v>2</v>
      </c>
      <c r="S240" s="167">
        <f>RANK(R240,$R$6:$R$324,0)+COUNTIF($R$6:R240,R240)-1</f>
        <v>128</v>
      </c>
    </row>
    <row r="241" spans="2:19" ht="15" customHeight="1" x14ac:dyDescent="0.25">
      <c r="B241" s="168">
        <v>236</v>
      </c>
      <c r="C241" s="169" t="str">
        <f>IFERROR(INDEX($Q$6:$Q$324,MATCH(236,$S$6:$S$324,0)),"")</f>
        <v>Prof. Dr. Filiz YALÇIN</v>
      </c>
      <c r="D241" s="170">
        <f>IF(C241="","",COUNTIFS(Başvuru!$C:$C,C241,Başvuru!$A:$A,"&lt;&gt;"&amp;"",Başvuru!$F:$F,"&lt;&gt;"&amp;""))</f>
        <v>1</v>
      </c>
      <c r="E241" s="168" t="str">
        <f>IF(C241="","-",IF(D241&gt;0,TEXT(D241/(COUNTIFS(Başvuru!$A:$A,"&lt;&gt;",Başvuru!$F:$F,"&lt;&gt;")-1)*100,"0.0")&amp;"%","-"))</f>
        <v>00%</v>
      </c>
      <c r="F241" s="171">
        <f>IF(C241="","",COUNTIFS(Başvuru!$C:$C,C241,Başvuru!$G:$G,"Bireysel Araştırma",Başvuru!$A:$A,"&lt;&gt;"&amp;"",Başvuru!$F:$F,"&lt;&gt;"&amp;""))</f>
        <v>1</v>
      </c>
      <c r="G241" s="171">
        <f>IF(C241="","",COUNTIFS(Başvuru!$C:$C,C241,Başvuru!$G:$G,"Uzmanlık Tezi",Başvuru!$A:$A,"&lt;&gt;"&amp;"",Başvuru!$F:$F,"&lt;&gt;"&amp;""))</f>
        <v>0</v>
      </c>
      <c r="H241" s="171">
        <f>IF(C241="","",COUNTIFS(Başvuru!$C:$C,C241,Başvuru!$G:$G,"Doktora Tezi",Başvuru!$A:$A,"&lt;&gt;"&amp;"",Başvuru!$F:$F,"&lt;&gt;"&amp;""))</f>
        <v>0</v>
      </c>
      <c r="I241" s="171">
        <f>IF(C241="","",COUNTIFS(Başvuru!$C:$C,C241,Başvuru!$G:$G,"Yüksek Lisans Tezi",Başvuru!$A:$A,"&lt;&gt;"&amp;"",Başvuru!$F:$F,"&lt;&gt;"&amp;""))</f>
        <v>0</v>
      </c>
      <c r="J241" s="172">
        <f>IF(C241="","",COUNTIFS(Başvuru!$C:$C,C241,Başvuru!$L:$L,"ONAY",Başvuru!$A:$A,"&lt;&gt;"&amp;"",Başvuru!$F:$F,"&lt;&gt;"&amp;""))</f>
        <v>0</v>
      </c>
      <c r="K241" s="173">
        <f>IF(C241="","",COUNTIFS(Başvuru!$C:$C,C241,Başvuru!$L:$L,"DÜZELTME",Başvuru!$A:$A,"&lt;&gt;"&amp;"",Başvuru!$F:$F,"&lt;&gt;"&amp;""))</f>
        <v>1</v>
      </c>
      <c r="L241" s="174">
        <f>IF(C241="","",COUNTIFS(Başvuru!$C:$C,C241,Başvuru!$L:$L,"KAEK",Başvuru!$A:$A,"&lt;&gt;"&amp;"",Başvuru!$F:$F,"&lt;&gt;"&amp;""))</f>
        <v>0</v>
      </c>
      <c r="M241" s="175">
        <f>IF(C241="","",COUNTIFS(Başvuru!$C:$C,C241,Başvuru!$L:$L,"GÖRÜŞ",Başvuru!$A:$A,"&lt;&gt;"&amp;"",Başvuru!$F:$F,"&lt;&gt;"&amp;""))</f>
        <v>0</v>
      </c>
      <c r="N241" s="176">
        <f>IF(C241="","",COUNTIFS(Başvuru!$C:$C,C241,Başvuru!$L:$L,"RET",Başvuru!$A:$A,"&lt;&gt;"&amp;"",Başvuru!$F:$F,"&lt;&gt;"&amp;""))</f>
        <v>0</v>
      </c>
      <c r="O241" s="177">
        <f>IF(C241="","",COUNTIFS(Başvuru!$C:$C,C241,Başvuru!$L:$L,"KAPSAM DIŞI",Başvuru!$A:$A,"&lt;&gt;"&amp;"",Başvuru!$F:$F,"&lt;&gt;"&amp;""))</f>
        <v>0</v>
      </c>
      <c r="P241" s="178">
        <f>IF(C241="","",COUNTIFS(Başvuru!$C:$C,C241,Başvuru!$L:$L,"GERİ ÇEKİLDİ",Başvuru!$A:$A,"&lt;&gt;"&amp;"",Başvuru!$F:$F,"&lt;&gt;"&amp;""))</f>
        <v>0</v>
      </c>
      <c r="Q241" s="166" t="s">
        <v>649</v>
      </c>
      <c r="R241" s="167">
        <f>COUNTIFS(Başvuru!$C:$C,Q241,Başvuru!$A:$A,"&lt;&gt;"&amp;"",Başvuru!$F:$F,"&lt;&gt;"&amp;"")</f>
        <v>1</v>
      </c>
      <c r="S241" s="167">
        <f>RANK(R241,$R$6:$R$324,0)+COUNTIF($R$6:R241,R241)-1</f>
        <v>263</v>
      </c>
    </row>
    <row r="242" spans="2:19" ht="15" customHeight="1" x14ac:dyDescent="0.25">
      <c r="B242" s="155">
        <v>237</v>
      </c>
      <c r="C242" s="156" t="str">
        <f>IFERROR(INDEX($Q$6:$Q$324,MATCH(237,$S$6:$S$324,0)),"")</f>
        <v>Prof. Dr. Gökçen ÇOBAN ÇİFÇİ</v>
      </c>
      <c r="D242" s="157">
        <f>IF(C242="","",COUNTIFS(Başvuru!$C:$C,C242,Başvuru!$A:$A,"&lt;&gt;"&amp;"",Başvuru!$F:$F,"&lt;&gt;"&amp;""))</f>
        <v>1</v>
      </c>
      <c r="E242" s="155" t="str">
        <f>IF(C242="","-",IF(D242&gt;0,TEXT(D242/(COUNTIFS(Başvuru!$A:$A,"&lt;&gt;",Başvuru!$F:$F,"&lt;&gt;")-1)*100,"0.0")&amp;"%","-"))</f>
        <v>00%</v>
      </c>
      <c r="F242" s="158">
        <f>IF(C242="","",COUNTIFS(Başvuru!$C:$C,C242,Başvuru!$G:$G,"Bireysel Araştırma",Başvuru!$A:$A,"&lt;&gt;"&amp;"",Başvuru!$F:$F,"&lt;&gt;"&amp;""))</f>
        <v>0</v>
      </c>
      <c r="G242" s="158">
        <f>IF(C242="","",COUNTIFS(Başvuru!$C:$C,C242,Başvuru!$G:$G,"Uzmanlık Tezi",Başvuru!$A:$A,"&lt;&gt;"&amp;"",Başvuru!$F:$F,"&lt;&gt;"&amp;""))</f>
        <v>1</v>
      </c>
      <c r="H242" s="158">
        <f>IF(C242="","",COUNTIFS(Başvuru!$C:$C,C242,Başvuru!$G:$G,"Doktora Tezi",Başvuru!$A:$A,"&lt;&gt;"&amp;"",Başvuru!$F:$F,"&lt;&gt;"&amp;""))</f>
        <v>0</v>
      </c>
      <c r="I242" s="158">
        <f>IF(C242="","",COUNTIFS(Başvuru!$C:$C,C242,Başvuru!$G:$G,"Yüksek Lisans Tezi",Başvuru!$A:$A,"&lt;&gt;"&amp;"",Başvuru!$F:$F,"&lt;&gt;"&amp;""))</f>
        <v>0</v>
      </c>
      <c r="J242" s="159">
        <f>IF(C242="","",COUNTIFS(Başvuru!$C:$C,C242,Başvuru!$L:$L,"ONAY",Başvuru!$A:$A,"&lt;&gt;"&amp;"",Başvuru!$F:$F,"&lt;&gt;"&amp;""))</f>
        <v>0</v>
      </c>
      <c r="K242" s="160">
        <f>IF(C242="","",COUNTIFS(Başvuru!$C:$C,C242,Başvuru!$L:$L,"DÜZELTME",Başvuru!$A:$A,"&lt;&gt;"&amp;"",Başvuru!$F:$F,"&lt;&gt;"&amp;""))</f>
        <v>1</v>
      </c>
      <c r="L242" s="161">
        <f>IF(C242="","",COUNTIFS(Başvuru!$C:$C,C242,Başvuru!$L:$L,"KAEK",Başvuru!$A:$A,"&lt;&gt;"&amp;"",Başvuru!$F:$F,"&lt;&gt;"&amp;""))</f>
        <v>0</v>
      </c>
      <c r="M242" s="162">
        <f>IF(C242="","",COUNTIFS(Başvuru!$C:$C,C242,Başvuru!$L:$L,"GÖRÜŞ",Başvuru!$A:$A,"&lt;&gt;"&amp;"",Başvuru!$F:$F,"&lt;&gt;"&amp;""))</f>
        <v>0</v>
      </c>
      <c r="N242" s="163">
        <f>IF(C242="","",COUNTIFS(Başvuru!$C:$C,C242,Başvuru!$L:$L,"RET",Başvuru!$A:$A,"&lt;&gt;"&amp;"",Başvuru!$F:$F,"&lt;&gt;"&amp;""))</f>
        <v>0</v>
      </c>
      <c r="O242" s="164">
        <f>IF(C242="","",COUNTIFS(Başvuru!$C:$C,C242,Başvuru!$L:$L,"KAPSAM DIŞI",Başvuru!$A:$A,"&lt;&gt;"&amp;"",Başvuru!$F:$F,"&lt;&gt;"&amp;""))</f>
        <v>0</v>
      </c>
      <c r="P242" s="165">
        <f>IF(C242="","",COUNTIFS(Başvuru!$C:$C,C242,Başvuru!$L:$L,"GERİ ÇEKİLDİ",Başvuru!$A:$A,"&lt;&gt;"&amp;"",Başvuru!$F:$F,"&lt;&gt;"&amp;""))</f>
        <v>0</v>
      </c>
      <c r="Q242" s="166" t="s">
        <v>983</v>
      </c>
      <c r="R242" s="167">
        <f>COUNTIFS(Başvuru!$C:$C,Q242,Başvuru!$A:$A,"&lt;&gt;"&amp;"",Başvuru!$F:$F,"&lt;&gt;"&amp;"")</f>
        <v>2</v>
      </c>
      <c r="S242" s="167">
        <f>RANK(R242,$R$6:$R$324,0)+COUNTIF($R$6:R242,R242)-1</f>
        <v>129</v>
      </c>
    </row>
    <row r="243" spans="2:19" ht="15" customHeight="1" x14ac:dyDescent="0.25">
      <c r="B243" s="168">
        <v>238</v>
      </c>
      <c r="C243" s="169" t="str">
        <f>IFERROR(INDEX($Q$6:$Q$324,MATCH(238,$S$6:$S$324,0)),"")</f>
        <v>Prof. Dr. Gülay SAİN GÜVEN</v>
      </c>
      <c r="D243" s="170">
        <f>IF(C243="","",COUNTIFS(Başvuru!$C:$C,C243,Başvuru!$A:$A,"&lt;&gt;"&amp;"",Başvuru!$F:$F,"&lt;&gt;"&amp;""))</f>
        <v>1</v>
      </c>
      <c r="E243" s="168" t="str">
        <f>IF(C243="","-",IF(D243&gt;0,TEXT(D243/(COUNTIFS(Başvuru!$A:$A,"&lt;&gt;",Başvuru!$F:$F,"&lt;&gt;")-1)*100,"0.0")&amp;"%","-"))</f>
        <v>00%</v>
      </c>
      <c r="F243" s="171">
        <f>IF(C243="","",COUNTIFS(Başvuru!$C:$C,C243,Başvuru!$G:$G,"Bireysel Araştırma",Başvuru!$A:$A,"&lt;&gt;"&amp;"",Başvuru!$F:$F,"&lt;&gt;"&amp;""))</f>
        <v>1</v>
      </c>
      <c r="G243" s="171">
        <f>IF(C243="","",COUNTIFS(Başvuru!$C:$C,C243,Başvuru!$G:$G,"Uzmanlık Tezi",Başvuru!$A:$A,"&lt;&gt;"&amp;"",Başvuru!$F:$F,"&lt;&gt;"&amp;""))</f>
        <v>0</v>
      </c>
      <c r="H243" s="171">
        <f>IF(C243="","",COUNTIFS(Başvuru!$C:$C,C243,Başvuru!$G:$G,"Doktora Tezi",Başvuru!$A:$A,"&lt;&gt;"&amp;"",Başvuru!$F:$F,"&lt;&gt;"&amp;""))</f>
        <v>0</v>
      </c>
      <c r="I243" s="171">
        <f>IF(C243="","",COUNTIFS(Başvuru!$C:$C,C243,Başvuru!$G:$G,"Yüksek Lisans Tezi",Başvuru!$A:$A,"&lt;&gt;"&amp;"",Başvuru!$F:$F,"&lt;&gt;"&amp;""))</f>
        <v>0</v>
      </c>
      <c r="J243" s="172">
        <f>IF(C243="","",COUNTIFS(Başvuru!$C:$C,C243,Başvuru!$L:$L,"ONAY",Başvuru!$A:$A,"&lt;&gt;"&amp;"",Başvuru!$F:$F,"&lt;&gt;"&amp;""))</f>
        <v>1</v>
      </c>
      <c r="K243" s="173">
        <f>IF(C243="","",COUNTIFS(Başvuru!$C:$C,C243,Başvuru!$L:$L,"DÜZELTME",Başvuru!$A:$A,"&lt;&gt;"&amp;"",Başvuru!$F:$F,"&lt;&gt;"&amp;""))</f>
        <v>0</v>
      </c>
      <c r="L243" s="174">
        <f>IF(C243="","",COUNTIFS(Başvuru!$C:$C,C243,Başvuru!$L:$L,"KAEK",Başvuru!$A:$A,"&lt;&gt;"&amp;"",Başvuru!$F:$F,"&lt;&gt;"&amp;""))</f>
        <v>0</v>
      </c>
      <c r="M243" s="175">
        <f>IF(C243="","",COUNTIFS(Başvuru!$C:$C,C243,Başvuru!$L:$L,"GÖRÜŞ",Başvuru!$A:$A,"&lt;&gt;"&amp;"",Başvuru!$F:$F,"&lt;&gt;"&amp;""))</f>
        <v>0</v>
      </c>
      <c r="N243" s="176">
        <f>IF(C243="","",COUNTIFS(Başvuru!$C:$C,C243,Başvuru!$L:$L,"RET",Başvuru!$A:$A,"&lt;&gt;"&amp;"",Başvuru!$F:$F,"&lt;&gt;"&amp;""))</f>
        <v>0</v>
      </c>
      <c r="O243" s="177">
        <f>IF(C243="","",COUNTIFS(Başvuru!$C:$C,C243,Başvuru!$L:$L,"KAPSAM DIŞI",Başvuru!$A:$A,"&lt;&gt;"&amp;"",Başvuru!$F:$F,"&lt;&gt;"&amp;""))</f>
        <v>0</v>
      </c>
      <c r="P243" s="178">
        <f>IF(C243="","",COUNTIFS(Başvuru!$C:$C,C243,Başvuru!$L:$L,"GERİ ÇEKİLDİ",Başvuru!$A:$A,"&lt;&gt;"&amp;"",Başvuru!$F:$F,"&lt;&gt;"&amp;""))</f>
        <v>0</v>
      </c>
      <c r="Q243" s="166" t="s">
        <v>775</v>
      </c>
      <c r="R243" s="167">
        <f>COUNTIFS(Başvuru!$C:$C,Q243,Başvuru!$A:$A,"&lt;&gt;"&amp;"",Başvuru!$F:$F,"&lt;&gt;"&amp;"")</f>
        <v>2</v>
      </c>
      <c r="S243" s="167">
        <f>RANK(R243,$R$6:$R$324,0)+COUNTIF($R$6:R243,R243)-1</f>
        <v>130</v>
      </c>
    </row>
    <row r="244" spans="2:19" ht="15" customHeight="1" x14ac:dyDescent="0.25">
      <c r="B244" s="155">
        <v>239</v>
      </c>
      <c r="C244" s="181" t="str">
        <f>IFERROR(INDEX($Q$6:$Q$324,MATCH(239,$S$6:$S$324,0)),"")</f>
        <v>Prof. Dr. Gülen Eda ÜTİNE</v>
      </c>
      <c r="D244" s="157">
        <f>IF(C244="","",COUNTIFS(Başvuru!$C:$C,C244,Başvuru!$A:$A,"&lt;&gt;"&amp;"",Başvuru!$F:$F,"&lt;&gt;"&amp;""))</f>
        <v>1</v>
      </c>
      <c r="E244" s="155" t="str">
        <f>IF(C244="","-",IF(D244&gt;0,TEXT(D244/(COUNTIFS(Başvuru!$A:$A,"&lt;&gt;",Başvuru!$F:$F,"&lt;&gt;")-1)*100,"0.0")&amp;"%","-"))</f>
        <v>00%</v>
      </c>
      <c r="F244" s="158">
        <f>IF(C244="","",COUNTIFS(Başvuru!$C:$C,C244,Başvuru!$G:$G,"Bireysel Araştırma",Başvuru!$A:$A,"&lt;&gt;"&amp;"",Başvuru!$F:$F,"&lt;&gt;"&amp;""))</f>
        <v>0</v>
      </c>
      <c r="G244" s="158">
        <f>IF(C244="","",COUNTIFS(Başvuru!$C:$C,C244,Başvuru!$G:$G,"Uzmanlık Tezi",Başvuru!$A:$A,"&lt;&gt;"&amp;"",Başvuru!$F:$F,"&lt;&gt;"&amp;""))</f>
        <v>1</v>
      </c>
      <c r="H244" s="158">
        <f>IF(C244="","",COUNTIFS(Başvuru!$C:$C,C244,Başvuru!$G:$G,"Doktora Tezi",Başvuru!$A:$A,"&lt;&gt;"&amp;"",Başvuru!$F:$F,"&lt;&gt;"&amp;""))</f>
        <v>0</v>
      </c>
      <c r="I244" s="158">
        <f>IF(C244="","",COUNTIFS(Başvuru!$C:$C,C244,Başvuru!$G:$G,"Yüksek Lisans Tezi",Başvuru!$A:$A,"&lt;&gt;"&amp;"",Başvuru!$F:$F,"&lt;&gt;"&amp;""))</f>
        <v>0</v>
      </c>
      <c r="J244" s="159">
        <f>IF(C244="","",COUNTIFS(Başvuru!$C:$C,C244,Başvuru!$L:$L,"ONAY",Başvuru!$A:$A,"&lt;&gt;"&amp;"",Başvuru!$F:$F,"&lt;&gt;"&amp;""))</f>
        <v>1</v>
      </c>
      <c r="K244" s="160">
        <f>IF(C244="","",COUNTIFS(Başvuru!$C:$C,C244,Başvuru!$L:$L,"DÜZELTME",Başvuru!$A:$A,"&lt;&gt;"&amp;"",Başvuru!$F:$F,"&lt;&gt;"&amp;""))</f>
        <v>0</v>
      </c>
      <c r="L244" s="161">
        <f>IF(C244="","",COUNTIFS(Başvuru!$C:$C,C244,Başvuru!$L:$L,"KAEK",Başvuru!$A:$A,"&lt;&gt;"&amp;"",Başvuru!$F:$F,"&lt;&gt;"&amp;""))</f>
        <v>0</v>
      </c>
      <c r="M244" s="162">
        <f>IF(C244="","",COUNTIFS(Başvuru!$C:$C,C244,Başvuru!$L:$L,"GÖRÜŞ",Başvuru!$A:$A,"&lt;&gt;"&amp;"",Başvuru!$F:$F,"&lt;&gt;"&amp;""))</f>
        <v>0</v>
      </c>
      <c r="N244" s="163">
        <f>IF(C244="","",COUNTIFS(Başvuru!$C:$C,C244,Başvuru!$L:$L,"RET",Başvuru!$A:$A,"&lt;&gt;"&amp;"",Başvuru!$F:$F,"&lt;&gt;"&amp;""))</f>
        <v>0</v>
      </c>
      <c r="O244" s="164">
        <f>IF(C244="","",COUNTIFS(Başvuru!$C:$C,C244,Başvuru!$L:$L,"KAPSAM DIŞI",Başvuru!$A:$A,"&lt;&gt;"&amp;"",Başvuru!$F:$F,"&lt;&gt;"&amp;""))</f>
        <v>0</v>
      </c>
      <c r="P244" s="165">
        <f>IF(C244="","",COUNTIFS(Başvuru!$C:$C,C244,Başvuru!$L:$L,"GERİ ÇEKİLDİ",Başvuru!$A:$A,"&lt;&gt;"&amp;"",Başvuru!$F:$F,"&lt;&gt;"&amp;""))</f>
        <v>0</v>
      </c>
      <c r="Q244" s="166" t="s">
        <v>978</v>
      </c>
      <c r="R244" s="167">
        <f>COUNTIFS(Başvuru!$C:$C,Q244,Başvuru!$A:$A,"&lt;&gt;"&amp;"",Başvuru!$F:$F,"&lt;&gt;"&amp;"")</f>
        <v>1</v>
      </c>
      <c r="S244" s="167">
        <f>RANK(R244,$R$6:$R$324,0)+COUNTIF($R$6:R244,R244)-1</f>
        <v>264</v>
      </c>
    </row>
    <row r="245" spans="2:19" ht="15" customHeight="1" x14ac:dyDescent="0.25">
      <c r="B245" s="168">
        <v>240</v>
      </c>
      <c r="C245" s="169" t="str">
        <f>IFERROR(INDEX($Q$6:$Q$324,MATCH(240,$S$6:$S$324,0)),"")</f>
        <v>Prof. Dr. Güliz Nigar GÜNCÜ</v>
      </c>
      <c r="D245" s="170">
        <f>IF(C245="","",COUNTIFS(Başvuru!$C:$C,C245,Başvuru!$A:$A,"&lt;&gt;"&amp;"",Başvuru!$F:$F,"&lt;&gt;"&amp;""))</f>
        <v>1</v>
      </c>
      <c r="E245" s="168" t="str">
        <f>IF(C245="","-",IF(D245&gt;0,TEXT(D245/(COUNTIFS(Başvuru!$A:$A,"&lt;&gt;",Başvuru!$F:$F,"&lt;&gt;")-1)*100,"0.0")&amp;"%","-"))</f>
        <v>00%</v>
      </c>
      <c r="F245" s="171">
        <f>IF(C245="","",COUNTIFS(Başvuru!$C:$C,C245,Başvuru!$G:$G,"Bireysel Araştırma",Başvuru!$A:$A,"&lt;&gt;"&amp;"",Başvuru!$F:$F,"&lt;&gt;"&amp;""))</f>
        <v>0</v>
      </c>
      <c r="G245" s="171">
        <f>IF(C245="","",COUNTIFS(Başvuru!$C:$C,C245,Başvuru!$G:$G,"Uzmanlık Tezi",Başvuru!$A:$A,"&lt;&gt;"&amp;"",Başvuru!$F:$F,"&lt;&gt;"&amp;""))</f>
        <v>1</v>
      </c>
      <c r="H245" s="171">
        <f>IF(C245="","",COUNTIFS(Başvuru!$C:$C,C245,Başvuru!$G:$G,"Doktora Tezi",Başvuru!$A:$A,"&lt;&gt;"&amp;"",Başvuru!$F:$F,"&lt;&gt;"&amp;""))</f>
        <v>0</v>
      </c>
      <c r="I245" s="171">
        <f>IF(C245="","",COUNTIFS(Başvuru!$C:$C,C245,Başvuru!$G:$G,"Yüksek Lisans Tezi",Başvuru!$A:$A,"&lt;&gt;"&amp;"",Başvuru!$F:$F,"&lt;&gt;"&amp;""))</f>
        <v>0</v>
      </c>
      <c r="J245" s="172">
        <f>IF(C245="","",COUNTIFS(Başvuru!$C:$C,C245,Başvuru!$L:$L,"ONAY",Başvuru!$A:$A,"&lt;&gt;"&amp;"",Başvuru!$F:$F,"&lt;&gt;"&amp;""))</f>
        <v>0</v>
      </c>
      <c r="K245" s="173">
        <f>IF(C245="","",COUNTIFS(Başvuru!$C:$C,C245,Başvuru!$L:$L,"DÜZELTME",Başvuru!$A:$A,"&lt;&gt;"&amp;"",Başvuru!$F:$F,"&lt;&gt;"&amp;""))</f>
        <v>1</v>
      </c>
      <c r="L245" s="174">
        <f>IF(C245="","",COUNTIFS(Başvuru!$C:$C,C245,Başvuru!$L:$L,"KAEK",Başvuru!$A:$A,"&lt;&gt;"&amp;"",Başvuru!$F:$F,"&lt;&gt;"&amp;""))</f>
        <v>0</v>
      </c>
      <c r="M245" s="175">
        <f>IF(C245="","",COUNTIFS(Başvuru!$C:$C,C245,Başvuru!$L:$L,"GÖRÜŞ",Başvuru!$A:$A,"&lt;&gt;"&amp;"",Başvuru!$F:$F,"&lt;&gt;"&amp;""))</f>
        <v>0</v>
      </c>
      <c r="N245" s="176">
        <f>IF(C245="","",COUNTIFS(Başvuru!$C:$C,C245,Başvuru!$L:$L,"RET",Başvuru!$A:$A,"&lt;&gt;"&amp;"",Başvuru!$F:$F,"&lt;&gt;"&amp;""))</f>
        <v>0</v>
      </c>
      <c r="O245" s="177">
        <f>IF(C245="","",COUNTIFS(Başvuru!$C:$C,C245,Başvuru!$L:$L,"KAPSAM DIŞI",Başvuru!$A:$A,"&lt;&gt;"&amp;"",Başvuru!$F:$F,"&lt;&gt;"&amp;""))</f>
        <v>0</v>
      </c>
      <c r="P245" s="178">
        <f>IF(C245="","",COUNTIFS(Başvuru!$C:$C,C245,Başvuru!$L:$L,"GERİ ÇEKİLDİ",Başvuru!$A:$A,"&lt;&gt;"&amp;"",Başvuru!$F:$F,"&lt;&gt;"&amp;""))</f>
        <v>0</v>
      </c>
      <c r="Q245" s="166" t="s">
        <v>236</v>
      </c>
      <c r="R245" s="167">
        <f>COUNTIFS(Başvuru!$C:$C,Q245,Başvuru!$A:$A,"&lt;&gt;"&amp;"",Başvuru!$F:$F,"&lt;&gt;"&amp;"")</f>
        <v>3</v>
      </c>
      <c r="S245" s="167">
        <f>RANK(R245,$R$6:$R$324,0)+COUNTIF($R$6:R245,R245)-1</f>
        <v>64</v>
      </c>
    </row>
    <row r="246" spans="2:19" ht="15" customHeight="1" x14ac:dyDescent="0.25">
      <c r="B246" s="155">
        <v>241</v>
      </c>
      <c r="C246" s="181" t="str">
        <f>IFERROR(INDEX($Q$6:$Q$324,MATCH(241,$S$6:$S$324,0)),"")</f>
        <v>Prof. Dr. Gülten GÜVENÇ
Doç. Dr. Gölşah KÖK</v>
      </c>
      <c r="D246" s="157">
        <f>IF(C246="","",COUNTIFS(Başvuru!$C:$C,C246,Başvuru!$A:$A,"&lt;&gt;"&amp;"",Başvuru!$F:$F,"&lt;&gt;"&amp;""))</f>
        <v>1</v>
      </c>
      <c r="E246" s="155" t="str">
        <f>IF(C246="","-",IF(D246&gt;0,TEXT(D246/(COUNTIFS(Başvuru!$A:$A,"&lt;&gt;",Başvuru!$F:$F,"&lt;&gt;")-1)*100,"0.0")&amp;"%","-"))</f>
        <v>00%</v>
      </c>
      <c r="F246" s="158">
        <f>IF(C246="","",COUNTIFS(Başvuru!$C:$C,C246,Başvuru!$G:$G,"Bireysel Araştırma",Başvuru!$A:$A,"&lt;&gt;"&amp;"",Başvuru!$F:$F,"&lt;&gt;"&amp;""))</f>
        <v>1</v>
      </c>
      <c r="G246" s="158">
        <f>IF(C246="","",COUNTIFS(Başvuru!$C:$C,C246,Başvuru!$G:$G,"Uzmanlık Tezi",Başvuru!$A:$A,"&lt;&gt;"&amp;"",Başvuru!$F:$F,"&lt;&gt;"&amp;""))</f>
        <v>0</v>
      </c>
      <c r="H246" s="158">
        <f>IF(C246="","",COUNTIFS(Başvuru!$C:$C,C246,Başvuru!$G:$G,"Doktora Tezi",Başvuru!$A:$A,"&lt;&gt;"&amp;"",Başvuru!$F:$F,"&lt;&gt;"&amp;""))</f>
        <v>0</v>
      </c>
      <c r="I246" s="158">
        <f>IF(C246="","",COUNTIFS(Başvuru!$C:$C,C246,Başvuru!$G:$G,"Yüksek Lisans Tezi",Başvuru!$A:$A,"&lt;&gt;"&amp;"",Başvuru!$F:$F,"&lt;&gt;"&amp;""))</f>
        <v>0</v>
      </c>
      <c r="J246" s="159">
        <f>IF(C246="","",COUNTIFS(Başvuru!$C:$C,C246,Başvuru!$L:$L,"ONAY",Başvuru!$A:$A,"&lt;&gt;"&amp;"",Başvuru!$F:$F,"&lt;&gt;"&amp;""))</f>
        <v>0</v>
      </c>
      <c r="K246" s="160">
        <f>IF(C246="","",COUNTIFS(Başvuru!$C:$C,C246,Başvuru!$L:$L,"DÜZELTME",Başvuru!$A:$A,"&lt;&gt;"&amp;"",Başvuru!$F:$F,"&lt;&gt;"&amp;""))</f>
        <v>1</v>
      </c>
      <c r="L246" s="161">
        <f>IF(C246="","",COUNTIFS(Başvuru!$C:$C,C246,Başvuru!$L:$L,"KAEK",Başvuru!$A:$A,"&lt;&gt;"&amp;"",Başvuru!$F:$F,"&lt;&gt;"&amp;""))</f>
        <v>0</v>
      </c>
      <c r="M246" s="162">
        <f>IF(C246="","",COUNTIFS(Başvuru!$C:$C,C246,Başvuru!$L:$L,"GÖRÜŞ",Başvuru!$A:$A,"&lt;&gt;"&amp;"",Başvuru!$F:$F,"&lt;&gt;"&amp;""))</f>
        <v>0</v>
      </c>
      <c r="N246" s="163">
        <f>IF(C246="","",COUNTIFS(Başvuru!$C:$C,C246,Başvuru!$L:$L,"RET",Başvuru!$A:$A,"&lt;&gt;"&amp;"",Başvuru!$F:$F,"&lt;&gt;"&amp;""))</f>
        <v>0</v>
      </c>
      <c r="O246" s="164">
        <f>IF(C246="","",COUNTIFS(Başvuru!$C:$C,C246,Başvuru!$L:$L,"KAPSAM DIŞI",Başvuru!$A:$A,"&lt;&gt;"&amp;"",Başvuru!$F:$F,"&lt;&gt;"&amp;""))</f>
        <v>0</v>
      </c>
      <c r="P246" s="165">
        <f>IF(C246="","",COUNTIFS(Başvuru!$C:$C,C246,Başvuru!$L:$L,"GERİ ÇEKİLDİ",Başvuru!$A:$A,"&lt;&gt;"&amp;"",Başvuru!$F:$F,"&lt;&gt;"&amp;""))</f>
        <v>0</v>
      </c>
      <c r="Q246" s="166" t="s">
        <v>1621</v>
      </c>
      <c r="R246" s="167">
        <f>COUNTIFS(Başvuru!$C:$C,Q246,Başvuru!$A:$A,"&lt;&gt;"&amp;"",Başvuru!$F:$F,"&lt;&gt;"&amp;"")</f>
        <v>3</v>
      </c>
      <c r="S246" s="167">
        <f>RANK(R246,$R$6:$R$324,0)+COUNTIF($R$6:R246,R246)-1</f>
        <v>65</v>
      </c>
    </row>
    <row r="247" spans="2:19" ht="15" customHeight="1" x14ac:dyDescent="0.25">
      <c r="B247" s="168">
        <v>242</v>
      </c>
      <c r="C247" s="169" t="str">
        <f>IFERROR(INDEX($Q$6:$Q$324,MATCH(242,$S$6:$S$324,0)),"")</f>
        <v>Prof. Dr. Hande TAYLAN ŞEKEROĞLU</v>
      </c>
      <c r="D247" s="170">
        <f>IF(C247="","",COUNTIFS(Başvuru!$C:$C,C247,Başvuru!$A:$A,"&lt;&gt;"&amp;"",Başvuru!$F:$F,"&lt;&gt;"&amp;""))</f>
        <v>1</v>
      </c>
      <c r="E247" s="168" t="str">
        <f>IF(C247="","-",IF(D247&gt;0,TEXT(D247/(COUNTIFS(Başvuru!$A:$A,"&lt;&gt;",Başvuru!$F:$F,"&lt;&gt;")-1)*100,"0.0")&amp;"%","-"))</f>
        <v>00%</v>
      </c>
      <c r="F247" s="171">
        <f>IF(C247="","",COUNTIFS(Başvuru!$C:$C,C247,Başvuru!$G:$G,"Bireysel Araştırma",Başvuru!$A:$A,"&lt;&gt;"&amp;"",Başvuru!$F:$F,"&lt;&gt;"&amp;""))</f>
        <v>1</v>
      </c>
      <c r="G247" s="171">
        <f>IF(C247="","",COUNTIFS(Başvuru!$C:$C,C247,Başvuru!$G:$G,"Uzmanlık Tezi",Başvuru!$A:$A,"&lt;&gt;"&amp;"",Başvuru!$F:$F,"&lt;&gt;"&amp;""))</f>
        <v>0</v>
      </c>
      <c r="H247" s="171">
        <f>IF(C247="","",COUNTIFS(Başvuru!$C:$C,C247,Başvuru!$G:$G,"Doktora Tezi",Başvuru!$A:$A,"&lt;&gt;"&amp;"",Başvuru!$F:$F,"&lt;&gt;"&amp;""))</f>
        <v>0</v>
      </c>
      <c r="I247" s="171">
        <f>IF(C247="","",COUNTIFS(Başvuru!$C:$C,C247,Başvuru!$G:$G,"Yüksek Lisans Tezi",Başvuru!$A:$A,"&lt;&gt;"&amp;"",Başvuru!$F:$F,"&lt;&gt;"&amp;""))</f>
        <v>0</v>
      </c>
      <c r="J247" s="172">
        <f>IF(C247="","",COUNTIFS(Başvuru!$C:$C,C247,Başvuru!$L:$L,"ONAY",Başvuru!$A:$A,"&lt;&gt;"&amp;"",Başvuru!$F:$F,"&lt;&gt;"&amp;""))</f>
        <v>0</v>
      </c>
      <c r="K247" s="173">
        <f>IF(C247="","",COUNTIFS(Başvuru!$C:$C,C247,Başvuru!$L:$L,"DÜZELTME",Başvuru!$A:$A,"&lt;&gt;"&amp;"",Başvuru!$F:$F,"&lt;&gt;"&amp;""))</f>
        <v>0</v>
      </c>
      <c r="L247" s="174">
        <f>IF(C247="","",COUNTIFS(Başvuru!$C:$C,C247,Başvuru!$L:$L,"KAEK",Başvuru!$A:$A,"&lt;&gt;"&amp;"",Başvuru!$F:$F,"&lt;&gt;"&amp;""))</f>
        <v>1</v>
      </c>
      <c r="M247" s="175">
        <f>IF(C247="","",COUNTIFS(Başvuru!$C:$C,C247,Başvuru!$L:$L,"GÖRÜŞ",Başvuru!$A:$A,"&lt;&gt;"&amp;"",Başvuru!$F:$F,"&lt;&gt;"&amp;""))</f>
        <v>0</v>
      </c>
      <c r="N247" s="176">
        <f>IF(C247="","",COUNTIFS(Başvuru!$C:$C,C247,Başvuru!$L:$L,"RET",Başvuru!$A:$A,"&lt;&gt;"&amp;"",Başvuru!$F:$F,"&lt;&gt;"&amp;""))</f>
        <v>0</v>
      </c>
      <c r="O247" s="177">
        <f>IF(C247="","",COUNTIFS(Başvuru!$C:$C,C247,Başvuru!$L:$L,"KAPSAM DIŞI",Başvuru!$A:$A,"&lt;&gt;"&amp;"",Başvuru!$F:$F,"&lt;&gt;"&amp;""))</f>
        <v>0</v>
      </c>
      <c r="P247" s="178">
        <f>IF(C247="","",COUNTIFS(Başvuru!$C:$C,C247,Başvuru!$L:$L,"GERİ ÇEKİLDİ",Başvuru!$A:$A,"&lt;&gt;"&amp;"",Başvuru!$F:$F,"&lt;&gt;"&amp;""))</f>
        <v>0</v>
      </c>
      <c r="Q247" s="166" t="s">
        <v>371</v>
      </c>
      <c r="R247" s="167">
        <f>COUNTIFS(Başvuru!$C:$C,Q247,Başvuru!$A:$A,"&lt;&gt;"&amp;"",Başvuru!$F:$F,"&lt;&gt;"&amp;"")</f>
        <v>1</v>
      </c>
      <c r="S247" s="167">
        <f>RANK(R247,$R$6:$R$324,0)+COUNTIF($R$6:R247,R247)-1</f>
        <v>265</v>
      </c>
    </row>
    <row r="248" spans="2:19" ht="15" customHeight="1" x14ac:dyDescent="0.25">
      <c r="B248" s="155">
        <v>243</v>
      </c>
      <c r="C248" s="156" t="str">
        <f>IFERROR(INDEX($Q$6:$Q$324,MATCH(243,$S$6:$S$324,0)),"")</f>
        <v>Prof. Dr. Hatice DOĞAN BUZOĞLU</v>
      </c>
      <c r="D248" s="157">
        <f>IF(C248="","",COUNTIFS(Başvuru!$C:$C,C248,Başvuru!$A:$A,"&lt;&gt;"&amp;"",Başvuru!$F:$F,"&lt;&gt;"&amp;""))</f>
        <v>1</v>
      </c>
      <c r="E248" s="155" t="str">
        <f>IF(C248="","-",IF(D248&gt;0,TEXT(D248/(COUNTIFS(Başvuru!$A:$A,"&lt;&gt;",Başvuru!$F:$F,"&lt;&gt;")-1)*100,"0.0")&amp;"%","-"))</f>
        <v>00%</v>
      </c>
      <c r="F248" s="158">
        <f>IF(C248="","",COUNTIFS(Başvuru!$C:$C,C248,Başvuru!$G:$G,"Bireysel Araştırma",Başvuru!$A:$A,"&lt;&gt;"&amp;"",Başvuru!$F:$F,"&lt;&gt;"&amp;""))</f>
        <v>0</v>
      </c>
      <c r="G248" s="158">
        <f>IF(C248="","",COUNTIFS(Başvuru!$C:$C,C248,Başvuru!$G:$G,"Uzmanlık Tezi",Başvuru!$A:$A,"&lt;&gt;"&amp;"",Başvuru!$F:$F,"&lt;&gt;"&amp;""))</f>
        <v>0</v>
      </c>
      <c r="H248" s="158">
        <f>IF(C248="","",COUNTIFS(Başvuru!$C:$C,C248,Başvuru!$G:$G,"Doktora Tezi",Başvuru!$A:$A,"&lt;&gt;"&amp;"",Başvuru!$F:$F,"&lt;&gt;"&amp;""))</f>
        <v>1</v>
      </c>
      <c r="I248" s="158">
        <f>IF(C248="","",COUNTIFS(Başvuru!$C:$C,C248,Başvuru!$G:$G,"Yüksek Lisans Tezi",Başvuru!$A:$A,"&lt;&gt;"&amp;"",Başvuru!$F:$F,"&lt;&gt;"&amp;""))</f>
        <v>0</v>
      </c>
      <c r="J248" s="159">
        <f>IF(C248="","",COUNTIFS(Başvuru!$C:$C,C248,Başvuru!$L:$L,"ONAY",Başvuru!$A:$A,"&lt;&gt;"&amp;"",Başvuru!$F:$F,"&lt;&gt;"&amp;""))</f>
        <v>1</v>
      </c>
      <c r="K248" s="160">
        <f>IF(C248="","",COUNTIFS(Başvuru!$C:$C,C248,Başvuru!$L:$L,"DÜZELTME",Başvuru!$A:$A,"&lt;&gt;"&amp;"",Başvuru!$F:$F,"&lt;&gt;"&amp;""))</f>
        <v>0</v>
      </c>
      <c r="L248" s="161">
        <f>IF(C248="","",COUNTIFS(Başvuru!$C:$C,C248,Başvuru!$L:$L,"KAEK",Başvuru!$A:$A,"&lt;&gt;"&amp;"",Başvuru!$F:$F,"&lt;&gt;"&amp;""))</f>
        <v>0</v>
      </c>
      <c r="M248" s="162">
        <f>IF(C248="","",COUNTIFS(Başvuru!$C:$C,C248,Başvuru!$L:$L,"GÖRÜŞ",Başvuru!$A:$A,"&lt;&gt;"&amp;"",Başvuru!$F:$F,"&lt;&gt;"&amp;""))</f>
        <v>0</v>
      </c>
      <c r="N248" s="163">
        <f>IF(C248="","",COUNTIFS(Başvuru!$C:$C,C248,Başvuru!$L:$L,"RET",Başvuru!$A:$A,"&lt;&gt;"&amp;"",Başvuru!$F:$F,"&lt;&gt;"&amp;""))</f>
        <v>0</v>
      </c>
      <c r="O248" s="164">
        <f>IF(C248="","",COUNTIFS(Başvuru!$C:$C,C248,Başvuru!$L:$L,"KAPSAM DIŞI",Başvuru!$A:$A,"&lt;&gt;"&amp;"",Başvuru!$F:$F,"&lt;&gt;"&amp;""))</f>
        <v>0</v>
      </c>
      <c r="P248" s="165">
        <f>IF(C248="","",COUNTIFS(Başvuru!$C:$C,C248,Başvuru!$L:$L,"GERİ ÇEKİLDİ",Başvuru!$A:$A,"&lt;&gt;"&amp;"",Başvuru!$F:$F,"&lt;&gt;"&amp;""))</f>
        <v>0</v>
      </c>
      <c r="Q248" s="166" t="s">
        <v>1534</v>
      </c>
      <c r="R248" s="167">
        <f>COUNTIFS(Başvuru!$C:$C,Q248,Başvuru!$A:$A,"&lt;&gt;"&amp;"",Başvuru!$F:$F,"&lt;&gt;"&amp;"")</f>
        <v>3</v>
      </c>
      <c r="S248" s="167">
        <f>RANK(R248,$R$6:$R$324,0)+COUNTIF($R$6:R248,R248)-1</f>
        <v>66</v>
      </c>
    </row>
    <row r="249" spans="2:19" ht="15" customHeight="1" x14ac:dyDescent="0.25">
      <c r="B249" s="168">
        <v>244</v>
      </c>
      <c r="C249" s="169" t="str">
        <f>IFERROR(INDEX($Q$6:$Q$324,MATCH(244,$S$6:$S$324,0)),"")</f>
        <v>Prof. Dr. Hülya DEMİR</v>
      </c>
      <c r="D249" s="170">
        <f>IF(C249="","",COUNTIFS(Başvuru!$C:$C,C249,Başvuru!$A:$A,"&lt;&gt;"&amp;"",Başvuru!$F:$F,"&lt;&gt;"&amp;""))</f>
        <v>1</v>
      </c>
      <c r="E249" s="168" t="str">
        <f>IF(C249="","-",IF(D249&gt;0,TEXT(D249/(COUNTIFS(Başvuru!$A:$A,"&lt;&gt;",Başvuru!$F:$F,"&lt;&gt;")-1)*100,"0.0")&amp;"%","-"))</f>
        <v>00%</v>
      </c>
      <c r="F249" s="171">
        <f>IF(C249="","",COUNTIFS(Başvuru!$C:$C,C249,Başvuru!$G:$G,"Bireysel Araştırma",Başvuru!$A:$A,"&lt;&gt;"&amp;"",Başvuru!$F:$F,"&lt;&gt;"&amp;""))</f>
        <v>1</v>
      </c>
      <c r="G249" s="171">
        <f>IF(C249="","",COUNTIFS(Başvuru!$C:$C,C249,Başvuru!$G:$G,"Uzmanlık Tezi",Başvuru!$A:$A,"&lt;&gt;"&amp;"",Başvuru!$F:$F,"&lt;&gt;"&amp;""))</f>
        <v>0</v>
      </c>
      <c r="H249" s="171">
        <f>IF(C249="","",COUNTIFS(Başvuru!$C:$C,C249,Başvuru!$G:$G,"Doktora Tezi",Başvuru!$A:$A,"&lt;&gt;"&amp;"",Başvuru!$F:$F,"&lt;&gt;"&amp;""))</f>
        <v>0</v>
      </c>
      <c r="I249" s="171">
        <f>IF(C249="","",COUNTIFS(Başvuru!$C:$C,C249,Başvuru!$G:$G,"Yüksek Lisans Tezi",Başvuru!$A:$A,"&lt;&gt;"&amp;"",Başvuru!$F:$F,"&lt;&gt;"&amp;""))</f>
        <v>0</v>
      </c>
      <c r="J249" s="172">
        <f>IF(C249="","",COUNTIFS(Başvuru!$C:$C,C249,Başvuru!$L:$L,"ONAY",Başvuru!$A:$A,"&lt;&gt;"&amp;"",Başvuru!$F:$F,"&lt;&gt;"&amp;""))</f>
        <v>1</v>
      </c>
      <c r="K249" s="173">
        <f>IF(C249="","",COUNTIFS(Başvuru!$C:$C,C249,Başvuru!$L:$L,"DÜZELTME",Başvuru!$A:$A,"&lt;&gt;"&amp;"",Başvuru!$F:$F,"&lt;&gt;"&amp;""))</f>
        <v>0</v>
      </c>
      <c r="L249" s="174">
        <f>IF(C249="","",COUNTIFS(Başvuru!$C:$C,C249,Başvuru!$L:$L,"KAEK",Başvuru!$A:$A,"&lt;&gt;"&amp;"",Başvuru!$F:$F,"&lt;&gt;"&amp;""))</f>
        <v>0</v>
      </c>
      <c r="M249" s="175">
        <f>IF(C249="","",COUNTIFS(Başvuru!$C:$C,C249,Başvuru!$L:$L,"GÖRÜŞ",Başvuru!$A:$A,"&lt;&gt;"&amp;"",Başvuru!$F:$F,"&lt;&gt;"&amp;""))</f>
        <v>0</v>
      </c>
      <c r="N249" s="176">
        <f>IF(C249="","",COUNTIFS(Başvuru!$C:$C,C249,Başvuru!$L:$L,"RET",Başvuru!$A:$A,"&lt;&gt;"&amp;"",Başvuru!$F:$F,"&lt;&gt;"&amp;""))</f>
        <v>0</v>
      </c>
      <c r="O249" s="177">
        <f>IF(C249="","",COUNTIFS(Başvuru!$C:$C,C249,Başvuru!$L:$L,"KAPSAM DIŞI",Başvuru!$A:$A,"&lt;&gt;"&amp;"",Başvuru!$F:$F,"&lt;&gt;"&amp;""))</f>
        <v>0</v>
      </c>
      <c r="P249" s="178">
        <f>IF(C249="","",COUNTIFS(Başvuru!$C:$C,C249,Başvuru!$L:$L,"GERİ ÇEKİLDİ",Başvuru!$A:$A,"&lt;&gt;"&amp;"",Başvuru!$F:$F,"&lt;&gt;"&amp;""))</f>
        <v>0</v>
      </c>
      <c r="Q249" s="166" t="s">
        <v>508</v>
      </c>
      <c r="R249" s="167">
        <f>COUNTIFS(Başvuru!$C:$C,Q249,Başvuru!$A:$A,"&lt;&gt;"&amp;"",Başvuru!$F:$F,"&lt;&gt;"&amp;"")</f>
        <v>3</v>
      </c>
      <c r="S249" s="167">
        <f>RANK(R249,$R$6:$R$324,0)+COUNTIF($R$6:R249,R249)-1</f>
        <v>67</v>
      </c>
    </row>
    <row r="250" spans="2:19" ht="15" customHeight="1" x14ac:dyDescent="0.25">
      <c r="B250" s="155">
        <v>245</v>
      </c>
      <c r="C250" s="156" t="str">
        <f>IFERROR(INDEX($Q$6:$Q$324,MATCH(245,$S$6:$S$324,0)),"")</f>
        <v>Prof. Dr. Jale KARAKAYA</v>
      </c>
      <c r="D250" s="157">
        <f>IF(C250="","",COUNTIFS(Başvuru!$C:$C,C250,Başvuru!$A:$A,"&lt;&gt;"&amp;"",Başvuru!$F:$F,"&lt;&gt;"&amp;""))</f>
        <v>1</v>
      </c>
      <c r="E250" s="155" t="str">
        <f>IF(C250="","-",IF(D250&gt;0,TEXT(D250/(COUNTIFS(Başvuru!$A:$A,"&lt;&gt;",Başvuru!$F:$F,"&lt;&gt;")-1)*100,"0.0")&amp;"%","-"))</f>
        <v>00%</v>
      </c>
      <c r="F250" s="158">
        <f>IF(C250="","",COUNTIFS(Başvuru!$C:$C,C250,Başvuru!$G:$G,"Bireysel Araştırma",Başvuru!$A:$A,"&lt;&gt;"&amp;"",Başvuru!$F:$F,"&lt;&gt;"&amp;""))</f>
        <v>1</v>
      </c>
      <c r="G250" s="158">
        <f>IF(C250="","",COUNTIFS(Başvuru!$C:$C,C250,Başvuru!$G:$G,"Uzmanlık Tezi",Başvuru!$A:$A,"&lt;&gt;"&amp;"",Başvuru!$F:$F,"&lt;&gt;"&amp;""))</f>
        <v>0</v>
      </c>
      <c r="H250" s="158">
        <f>IF(C250="","",COUNTIFS(Başvuru!$C:$C,C250,Başvuru!$G:$G,"Doktora Tezi",Başvuru!$A:$A,"&lt;&gt;"&amp;"",Başvuru!$F:$F,"&lt;&gt;"&amp;""))</f>
        <v>0</v>
      </c>
      <c r="I250" s="158">
        <f>IF(C250="","",COUNTIFS(Başvuru!$C:$C,C250,Başvuru!$G:$G,"Yüksek Lisans Tezi",Başvuru!$A:$A,"&lt;&gt;"&amp;"",Başvuru!$F:$F,"&lt;&gt;"&amp;""))</f>
        <v>0</v>
      </c>
      <c r="J250" s="159">
        <f>IF(C250="","",COUNTIFS(Başvuru!$C:$C,C250,Başvuru!$L:$L,"ONAY",Başvuru!$A:$A,"&lt;&gt;"&amp;"",Başvuru!$F:$F,"&lt;&gt;"&amp;""))</f>
        <v>0</v>
      </c>
      <c r="K250" s="160">
        <f>IF(C250="","",COUNTIFS(Başvuru!$C:$C,C250,Başvuru!$L:$L,"DÜZELTME",Başvuru!$A:$A,"&lt;&gt;"&amp;"",Başvuru!$F:$F,"&lt;&gt;"&amp;""))</f>
        <v>0</v>
      </c>
      <c r="L250" s="161">
        <f>IF(C250="","",COUNTIFS(Başvuru!$C:$C,C250,Başvuru!$L:$L,"KAEK",Başvuru!$A:$A,"&lt;&gt;"&amp;"",Başvuru!$F:$F,"&lt;&gt;"&amp;""))</f>
        <v>0</v>
      </c>
      <c r="M250" s="162">
        <f>IF(C250="","",COUNTIFS(Başvuru!$C:$C,C250,Başvuru!$L:$L,"GÖRÜŞ",Başvuru!$A:$A,"&lt;&gt;"&amp;"",Başvuru!$F:$F,"&lt;&gt;"&amp;""))</f>
        <v>1</v>
      </c>
      <c r="N250" s="163">
        <f>IF(C250="","",COUNTIFS(Başvuru!$C:$C,C250,Başvuru!$L:$L,"RET",Başvuru!$A:$A,"&lt;&gt;"&amp;"",Başvuru!$F:$F,"&lt;&gt;"&amp;""))</f>
        <v>0</v>
      </c>
      <c r="O250" s="164">
        <f>IF(C250="","",COUNTIFS(Başvuru!$C:$C,C250,Başvuru!$L:$L,"KAPSAM DIŞI",Başvuru!$A:$A,"&lt;&gt;"&amp;"",Başvuru!$F:$F,"&lt;&gt;"&amp;""))</f>
        <v>0</v>
      </c>
      <c r="P250" s="165">
        <f>IF(C250="","",COUNTIFS(Başvuru!$C:$C,C250,Başvuru!$L:$L,"GERİ ÇEKİLDİ",Başvuru!$A:$A,"&lt;&gt;"&amp;"",Başvuru!$F:$F,"&lt;&gt;"&amp;""))</f>
        <v>0</v>
      </c>
      <c r="Q250" s="166" t="s">
        <v>545</v>
      </c>
      <c r="R250" s="167">
        <f>COUNTIFS(Başvuru!$C:$C,Q250,Başvuru!$A:$A,"&lt;&gt;"&amp;"",Başvuru!$F:$F,"&lt;&gt;"&amp;"")</f>
        <v>2</v>
      </c>
      <c r="S250" s="167">
        <f>RANK(R250,$R$6:$R$324,0)+COUNTIF($R$6:R250,R250)-1</f>
        <v>131</v>
      </c>
    </row>
    <row r="251" spans="2:19" ht="15" customHeight="1" x14ac:dyDescent="0.25">
      <c r="B251" s="168">
        <v>246</v>
      </c>
      <c r="C251" s="169" t="str">
        <f>IFERROR(INDEX($Q$6:$Q$324,MATCH(246,$S$6:$S$324,0)),"")</f>
        <v>Prof. Dr. Kasım KARATAŞ</v>
      </c>
      <c r="D251" s="170">
        <f>IF(C251="","",COUNTIFS(Başvuru!$C:$C,C251,Başvuru!$A:$A,"&lt;&gt;"&amp;"",Başvuru!$F:$F,"&lt;&gt;"&amp;""))</f>
        <v>1</v>
      </c>
      <c r="E251" s="168" t="str">
        <f>IF(C251="","-",IF(D251&gt;0,TEXT(D251/(COUNTIFS(Başvuru!$A:$A,"&lt;&gt;",Başvuru!$F:$F,"&lt;&gt;")-1)*100,"0.0")&amp;"%","-"))</f>
        <v>00%</v>
      </c>
      <c r="F251" s="171">
        <f>IF(C251="","",COUNTIFS(Başvuru!$C:$C,C251,Başvuru!$G:$G,"Bireysel Araştırma",Başvuru!$A:$A,"&lt;&gt;"&amp;"",Başvuru!$F:$F,"&lt;&gt;"&amp;""))</f>
        <v>1</v>
      </c>
      <c r="G251" s="171">
        <f>IF(C251="","",COUNTIFS(Başvuru!$C:$C,C251,Başvuru!$G:$G,"Uzmanlık Tezi",Başvuru!$A:$A,"&lt;&gt;"&amp;"",Başvuru!$F:$F,"&lt;&gt;"&amp;""))</f>
        <v>0</v>
      </c>
      <c r="H251" s="171">
        <f>IF(C251="","",COUNTIFS(Başvuru!$C:$C,C251,Başvuru!$G:$G,"Doktora Tezi",Başvuru!$A:$A,"&lt;&gt;"&amp;"",Başvuru!$F:$F,"&lt;&gt;"&amp;""))</f>
        <v>0</v>
      </c>
      <c r="I251" s="171">
        <f>IF(C251="","",COUNTIFS(Başvuru!$C:$C,C251,Başvuru!$G:$G,"Yüksek Lisans Tezi",Başvuru!$A:$A,"&lt;&gt;"&amp;"",Başvuru!$F:$F,"&lt;&gt;"&amp;""))</f>
        <v>0</v>
      </c>
      <c r="J251" s="172">
        <f>IF(C251="","",COUNTIFS(Başvuru!$C:$C,C251,Başvuru!$L:$L,"ONAY",Başvuru!$A:$A,"&lt;&gt;"&amp;"",Başvuru!$F:$F,"&lt;&gt;"&amp;""))</f>
        <v>0</v>
      </c>
      <c r="K251" s="173">
        <f>IF(C251="","",COUNTIFS(Başvuru!$C:$C,C251,Başvuru!$L:$L,"DÜZELTME",Başvuru!$A:$A,"&lt;&gt;"&amp;"",Başvuru!$F:$F,"&lt;&gt;"&amp;""))</f>
        <v>1</v>
      </c>
      <c r="L251" s="174">
        <f>IF(C251="","",COUNTIFS(Başvuru!$C:$C,C251,Başvuru!$L:$L,"KAEK",Başvuru!$A:$A,"&lt;&gt;"&amp;"",Başvuru!$F:$F,"&lt;&gt;"&amp;""))</f>
        <v>0</v>
      </c>
      <c r="M251" s="175">
        <f>IF(C251="","",COUNTIFS(Başvuru!$C:$C,C251,Başvuru!$L:$L,"GÖRÜŞ",Başvuru!$A:$A,"&lt;&gt;"&amp;"",Başvuru!$F:$F,"&lt;&gt;"&amp;""))</f>
        <v>0</v>
      </c>
      <c r="N251" s="176">
        <f>IF(C251="","",COUNTIFS(Başvuru!$C:$C,C251,Başvuru!$L:$L,"RET",Başvuru!$A:$A,"&lt;&gt;"&amp;"",Başvuru!$F:$F,"&lt;&gt;"&amp;""))</f>
        <v>0</v>
      </c>
      <c r="O251" s="177">
        <f>IF(C251="","",COUNTIFS(Başvuru!$C:$C,C251,Başvuru!$L:$L,"KAPSAM DIŞI",Başvuru!$A:$A,"&lt;&gt;"&amp;"",Başvuru!$F:$F,"&lt;&gt;"&amp;""))</f>
        <v>0</v>
      </c>
      <c r="P251" s="178">
        <f>IF(C251="","",COUNTIFS(Başvuru!$C:$C,C251,Başvuru!$L:$L,"GERİ ÇEKİLDİ",Başvuru!$A:$A,"&lt;&gt;"&amp;"",Başvuru!$F:$F,"&lt;&gt;"&amp;""))</f>
        <v>0</v>
      </c>
      <c r="Q251" s="166" t="s">
        <v>2132</v>
      </c>
      <c r="R251" s="167">
        <f>COUNTIFS(Başvuru!$C:$C,Q251,Başvuru!$A:$A,"&lt;&gt;"&amp;"",Başvuru!$F:$F,"&lt;&gt;"&amp;"")</f>
        <v>1</v>
      </c>
      <c r="S251" s="167">
        <f>RANK(R251,$R$6:$R$324,0)+COUNTIF($R$6:R251,R251)-1</f>
        <v>266</v>
      </c>
    </row>
    <row r="252" spans="2:19" ht="15" customHeight="1" x14ac:dyDescent="0.25">
      <c r="B252" s="155">
        <v>247</v>
      </c>
      <c r="C252" s="156" t="str">
        <f>IFERROR(INDEX($Q$6:$Q$324,MATCH(247,$S$6:$S$324,0)),"")</f>
        <v>Prof. Dr. Lale KARAKOÇ SÖKMENSÜER</v>
      </c>
      <c r="D252" s="157">
        <f>IF(C252="","",COUNTIFS(Başvuru!$C:$C,C252,Başvuru!$A:$A,"&lt;&gt;"&amp;"",Başvuru!$F:$F,"&lt;&gt;"&amp;""))</f>
        <v>1</v>
      </c>
      <c r="E252" s="155" t="str">
        <f>IF(C252="","-",IF(D252&gt;0,TEXT(D252/(COUNTIFS(Başvuru!$A:$A,"&lt;&gt;",Başvuru!$F:$F,"&lt;&gt;")-1)*100,"0.0")&amp;"%","-"))</f>
        <v>00%</v>
      </c>
      <c r="F252" s="158">
        <f>IF(C252="","",COUNTIFS(Başvuru!$C:$C,C252,Başvuru!$G:$G,"Bireysel Araştırma",Başvuru!$A:$A,"&lt;&gt;"&amp;"",Başvuru!$F:$F,"&lt;&gt;"&amp;""))</f>
        <v>0</v>
      </c>
      <c r="G252" s="158">
        <f>IF(C252="","",COUNTIFS(Başvuru!$C:$C,C252,Başvuru!$G:$G,"Uzmanlık Tezi",Başvuru!$A:$A,"&lt;&gt;"&amp;"",Başvuru!$F:$F,"&lt;&gt;"&amp;""))</f>
        <v>1</v>
      </c>
      <c r="H252" s="158">
        <f>IF(C252="","",COUNTIFS(Başvuru!$C:$C,C252,Başvuru!$G:$G,"Doktora Tezi",Başvuru!$A:$A,"&lt;&gt;"&amp;"",Başvuru!$F:$F,"&lt;&gt;"&amp;""))</f>
        <v>0</v>
      </c>
      <c r="I252" s="158">
        <f>IF(C252="","",COUNTIFS(Başvuru!$C:$C,C252,Başvuru!$G:$G,"Yüksek Lisans Tezi",Başvuru!$A:$A,"&lt;&gt;"&amp;"",Başvuru!$F:$F,"&lt;&gt;"&amp;""))</f>
        <v>0</v>
      </c>
      <c r="J252" s="159">
        <f>IF(C252="","",COUNTIFS(Başvuru!$C:$C,C252,Başvuru!$L:$L,"ONAY",Başvuru!$A:$A,"&lt;&gt;"&amp;"",Başvuru!$F:$F,"&lt;&gt;"&amp;""))</f>
        <v>0</v>
      </c>
      <c r="K252" s="160">
        <f>IF(C252="","",COUNTIFS(Başvuru!$C:$C,C252,Başvuru!$L:$L,"DÜZELTME",Başvuru!$A:$A,"&lt;&gt;"&amp;"",Başvuru!$F:$F,"&lt;&gt;"&amp;""))</f>
        <v>1</v>
      </c>
      <c r="L252" s="161">
        <f>IF(C252="","",COUNTIFS(Başvuru!$C:$C,C252,Başvuru!$L:$L,"KAEK",Başvuru!$A:$A,"&lt;&gt;"&amp;"",Başvuru!$F:$F,"&lt;&gt;"&amp;""))</f>
        <v>0</v>
      </c>
      <c r="M252" s="162">
        <f>IF(C252="","",COUNTIFS(Başvuru!$C:$C,C252,Başvuru!$L:$L,"GÖRÜŞ",Başvuru!$A:$A,"&lt;&gt;"&amp;"",Başvuru!$F:$F,"&lt;&gt;"&amp;""))</f>
        <v>0</v>
      </c>
      <c r="N252" s="163">
        <f>IF(C252="","",COUNTIFS(Başvuru!$C:$C,C252,Başvuru!$L:$L,"RET",Başvuru!$A:$A,"&lt;&gt;"&amp;"",Başvuru!$F:$F,"&lt;&gt;"&amp;""))</f>
        <v>0</v>
      </c>
      <c r="O252" s="164">
        <f>IF(C252="","",COUNTIFS(Başvuru!$C:$C,C252,Başvuru!$L:$L,"KAPSAM DIŞI",Başvuru!$A:$A,"&lt;&gt;"&amp;"",Başvuru!$F:$F,"&lt;&gt;"&amp;""))</f>
        <v>0</v>
      </c>
      <c r="P252" s="165">
        <f>IF(C252="","",COUNTIFS(Başvuru!$C:$C,C252,Başvuru!$L:$L,"GERİ ÇEKİLDİ",Başvuru!$A:$A,"&lt;&gt;"&amp;"",Başvuru!$F:$F,"&lt;&gt;"&amp;""))</f>
        <v>0</v>
      </c>
      <c r="Q252" s="166" t="s">
        <v>1463</v>
      </c>
      <c r="R252" s="167">
        <f>COUNTIFS(Başvuru!$C:$C,Q252,Başvuru!$A:$A,"&lt;&gt;"&amp;"",Başvuru!$F:$F,"&lt;&gt;"&amp;"")</f>
        <v>10</v>
      </c>
      <c r="S252" s="167">
        <f>RANK(R252,$R$6:$R$324,0)+COUNTIF($R$6:R252,R252)-1</f>
        <v>4</v>
      </c>
    </row>
    <row r="253" spans="2:19" ht="15" customHeight="1" x14ac:dyDescent="0.25">
      <c r="B253" s="168">
        <v>248</v>
      </c>
      <c r="C253" s="169" t="str">
        <f>IFERROR(INDEX($Q$6:$Q$324,MATCH(248,$S$6:$S$324,0)),"")</f>
        <v>Prof. Dr. M. Özgür UYANIK</v>
      </c>
      <c r="D253" s="170">
        <f>IF(C253="","",COUNTIFS(Başvuru!$C:$C,C253,Başvuru!$A:$A,"&lt;&gt;"&amp;"",Başvuru!$F:$F,"&lt;&gt;"&amp;""))</f>
        <v>1</v>
      </c>
      <c r="E253" s="168" t="str">
        <f>IF(C253="","-",IF(D253&gt;0,TEXT(D253/(COUNTIFS(Başvuru!$A:$A,"&lt;&gt;",Başvuru!$F:$F,"&lt;&gt;")-1)*100,"0.0")&amp;"%","-"))</f>
        <v>00%</v>
      </c>
      <c r="F253" s="171">
        <f>IF(C253="","",COUNTIFS(Başvuru!$C:$C,C253,Başvuru!$G:$G,"Bireysel Araştırma",Başvuru!$A:$A,"&lt;&gt;"&amp;"",Başvuru!$F:$F,"&lt;&gt;"&amp;""))</f>
        <v>1</v>
      </c>
      <c r="G253" s="171">
        <f>IF(C253="","",COUNTIFS(Başvuru!$C:$C,C253,Başvuru!$G:$G,"Uzmanlık Tezi",Başvuru!$A:$A,"&lt;&gt;"&amp;"",Başvuru!$F:$F,"&lt;&gt;"&amp;""))</f>
        <v>0</v>
      </c>
      <c r="H253" s="171">
        <f>IF(C253="","",COUNTIFS(Başvuru!$C:$C,C253,Başvuru!$G:$G,"Doktora Tezi",Başvuru!$A:$A,"&lt;&gt;"&amp;"",Başvuru!$F:$F,"&lt;&gt;"&amp;""))</f>
        <v>0</v>
      </c>
      <c r="I253" s="171">
        <f>IF(C253="","",COUNTIFS(Başvuru!$C:$C,C253,Başvuru!$G:$G,"Yüksek Lisans Tezi",Başvuru!$A:$A,"&lt;&gt;"&amp;"",Başvuru!$F:$F,"&lt;&gt;"&amp;""))</f>
        <v>0</v>
      </c>
      <c r="J253" s="172">
        <f>IF(C253="","",COUNTIFS(Başvuru!$C:$C,C253,Başvuru!$L:$L,"ONAY",Başvuru!$A:$A,"&lt;&gt;"&amp;"",Başvuru!$F:$F,"&lt;&gt;"&amp;""))</f>
        <v>1</v>
      </c>
      <c r="K253" s="173">
        <f>IF(C253="","",COUNTIFS(Başvuru!$C:$C,C253,Başvuru!$L:$L,"DÜZELTME",Başvuru!$A:$A,"&lt;&gt;"&amp;"",Başvuru!$F:$F,"&lt;&gt;"&amp;""))</f>
        <v>0</v>
      </c>
      <c r="L253" s="174">
        <f>IF(C253="","",COUNTIFS(Başvuru!$C:$C,C253,Başvuru!$L:$L,"KAEK",Başvuru!$A:$A,"&lt;&gt;"&amp;"",Başvuru!$F:$F,"&lt;&gt;"&amp;""))</f>
        <v>0</v>
      </c>
      <c r="M253" s="175">
        <f>IF(C253="","",COUNTIFS(Başvuru!$C:$C,C253,Başvuru!$L:$L,"GÖRÜŞ",Başvuru!$A:$A,"&lt;&gt;"&amp;"",Başvuru!$F:$F,"&lt;&gt;"&amp;""))</f>
        <v>0</v>
      </c>
      <c r="N253" s="176">
        <f>IF(C253="","",COUNTIFS(Başvuru!$C:$C,C253,Başvuru!$L:$L,"RET",Başvuru!$A:$A,"&lt;&gt;"&amp;"",Başvuru!$F:$F,"&lt;&gt;"&amp;""))</f>
        <v>0</v>
      </c>
      <c r="O253" s="177">
        <f>IF(C253="","",COUNTIFS(Başvuru!$C:$C,C253,Başvuru!$L:$L,"KAPSAM DIŞI",Başvuru!$A:$A,"&lt;&gt;"&amp;"",Başvuru!$F:$F,"&lt;&gt;"&amp;""))</f>
        <v>0</v>
      </c>
      <c r="P253" s="178">
        <f>IF(C253="","",COUNTIFS(Başvuru!$C:$C,C253,Başvuru!$L:$L,"GERİ ÇEKİLDİ",Başvuru!$A:$A,"&lt;&gt;"&amp;"",Başvuru!$F:$F,"&lt;&gt;"&amp;""))</f>
        <v>0</v>
      </c>
      <c r="Q253" s="166" t="s">
        <v>415</v>
      </c>
      <c r="R253" s="167">
        <f>COUNTIFS(Başvuru!$C:$C,Q253,Başvuru!$A:$A,"&lt;&gt;"&amp;"",Başvuru!$F:$F,"&lt;&gt;"&amp;"")</f>
        <v>6</v>
      </c>
      <c r="S253" s="167">
        <f>RANK(R253,$R$6:$R$324,0)+COUNTIF($R$6:R253,R253)-1</f>
        <v>17</v>
      </c>
    </row>
    <row r="254" spans="2:19" ht="15" customHeight="1" x14ac:dyDescent="0.25">
      <c r="B254" s="155">
        <v>249</v>
      </c>
      <c r="C254" s="156" t="str">
        <f>IFERROR(INDEX($Q$6:$Q$324,MATCH(249,$S$6:$S$324,0)),"")</f>
        <v>Prof. Dr. Mehmet Akif TOPÇUOĞLU</v>
      </c>
      <c r="D254" s="157">
        <f>IF(C254="","",COUNTIFS(Başvuru!$C:$C,C254,Başvuru!$A:$A,"&lt;&gt;"&amp;"",Başvuru!$F:$F,"&lt;&gt;"&amp;""))</f>
        <v>1</v>
      </c>
      <c r="E254" s="155" t="str">
        <f>IF(C254="","-",IF(D254&gt;0,TEXT(D254/(COUNTIFS(Başvuru!$A:$A,"&lt;&gt;",Başvuru!$F:$F,"&lt;&gt;")-1)*100,"0.0")&amp;"%","-"))</f>
        <v>00%</v>
      </c>
      <c r="F254" s="158">
        <f>IF(C254="","",COUNTIFS(Başvuru!$C:$C,C254,Başvuru!$G:$G,"Bireysel Araştırma",Başvuru!$A:$A,"&lt;&gt;"&amp;"",Başvuru!$F:$F,"&lt;&gt;"&amp;""))</f>
        <v>1</v>
      </c>
      <c r="G254" s="158">
        <f>IF(C254="","",COUNTIFS(Başvuru!$C:$C,C254,Başvuru!$G:$G,"Uzmanlık Tezi",Başvuru!$A:$A,"&lt;&gt;"&amp;"",Başvuru!$F:$F,"&lt;&gt;"&amp;""))</f>
        <v>0</v>
      </c>
      <c r="H254" s="158">
        <f>IF(C254="","",COUNTIFS(Başvuru!$C:$C,C254,Başvuru!$G:$G,"Doktora Tezi",Başvuru!$A:$A,"&lt;&gt;"&amp;"",Başvuru!$F:$F,"&lt;&gt;"&amp;""))</f>
        <v>0</v>
      </c>
      <c r="I254" s="158">
        <f>IF(C254="","",COUNTIFS(Başvuru!$C:$C,C254,Başvuru!$G:$G,"Yüksek Lisans Tezi",Başvuru!$A:$A,"&lt;&gt;"&amp;"",Başvuru!$F:$F,"&lt;&gt;"&amp;""))</f>
        <v>0</v>
      </c>
      <c r="J254" s="159">
        <f>IF(C254="","",COUNTIFS(Başvuru!$C:$C,C254,Başvuru!$L:$L,"ONAY",Başvuru!$A:$A,"&lt;&gt;"&amp;"",Başvuru!$F:$F,"&lt;&gt;"&amp;""))</f>
        <v>1</v>
      </c>
      <c r="K254" s="160">
        <f>IF(C254="","",COUNTIFS(Başvuru!$C:$C,C254,Başvuru!$L:$L,"DÜZELTME",Başvuru!$A:$A,"&lt;&gt;"&amp;"",Başvuru!$F:$F,"&lt;&gt;"&amp;""))</f>
        <v>0</v>
      </c>
      <c r="L254" s="161">
        <f>IF(C254="","",COUNTIFS(Başvuru!$C:$C,C254,Başvuru!$L:$L,"KAEK",Başvuru!$A:$A,"&lt;&gt;"&amp;"",Başvuru!$F:$F,"&lt;&gt;"&amp;""))</f>
        <v>0</v>
      </c>
      <c r="M254" s="162">
        <f>IF(C254="","",COUNTIFS(Başvuru!$C:$C,C254,Başvuru!$L:$L,"GÖRÜŞ",Başvuru!$A:$A,"&lt;&gt;"&amp;"",Başvuru!$F:$F,"&lt;&gt;"&amp;""))</f>
        <v>0</v>
      </c>
      <c r="N254" s="163">
        <f>IF(C254="","",COUNTIFS(Başvuru!$C:$C,C254,Başvuru!$L:$L,"RET",Başvuru!$A:$A,"&lt;&gt;"&amp;"",Başvuru!$F:$F,"&lt;&gt;"&amp;""))</f>
        <v>0</v>
      </c>
      <c r="O254" s="164">
        <f>IF(C254="","",COUNTIFS(Başvuru!$C:$C,C254,Başvuru!$L:$L,"KAPSAM DIŞI",Başvuru!$A:$A,"&lt;&gt;"&amp;"",Başvuru!$F:$F,"&lt;&gt;"&amp;""))</f>
        <v>0</v>
      </c>
      <c r="P254" s="165">
        <f>IF(C254="","",COUNTIFS(Başvuru!$C:$C,C254,Başvuru!$L:$L,"GERİ ÇEKİLDİ",Başvuru!$A:$A,"&lt;&gt;"&amp;"",Başvuru!$F:$F,"&lt;&gt;"&amp;""))</f>
        <v>0</v>
      </c>
      <c r="Q254" s="166" t="s">
        <v>1827</v>
      </c>
      <c r="R254" s="167">
        <f>COUNTIFS(Başvuru!$C:$C,Q254,Başvuru!$A:$A,"&lt;&gt;"&amp;"",Başvuru!$F:$F,"&lt;&gt;"&amp;"")</f>
        <v>4</v>
      </c>
      <c r="S254" s="167">
        <f>RANK(R254,$R$6:$R$324,0)+COUNTIF($R$6:R254,R254)-1</f>
        <v>43</v>
      </c>
    </row>
    <row r="255" spans="2:19" ht="15" customHeight="1" x14ac:dyDescent="0.25">
      <c r="B255" s="168">
        <v>250</v>
      </c>
      <c r="C255" s="169" t="str">
        <f>IFERROR(INDEX($Q$6:$Q$324,MATCH(250,$S$6:$S$324,0)),"")</f>
        <v>Prof. Dr. Mehmet Cemalettin AKSOY</v>
      </c>
      <c r="D255" s="170">
        <f>IF(C255="","",COUNTIFS(Başvuru!$C:$C,C255,Başvuru!$A:$A,"&lt;&gt;"&amp;"",Başvuru!$F:$F,"&lt;&gt;"&amp;""))</f>
        <v>1</v>
      </c>
      <c r="E255" s="168" t="str">
        <f>IF(C255="","-",IF(D255&gt;0,TEXT(D255/(COUNTIFS(Başvuru!$A:$A,"&lt;&gt;",Başvuru!$F:$F,"&lt;&gt;")-1)*100,"0.0")&amp;"%","-"))</f>
        <v>00%</v>
      </c>
      <c r="F255" s="171">
        <f>IF(C255="","",COUNTIFS(Başvuru!$C:$C,C255,Başvuru!$G:$G,"Bireysel Araştırma",Başvuru!$A:$A,"&lt;&gt;"&amp;"",Başvuru!$F:$F,"&lt;&gt;"&amp;""))</f>
        <v>1</v>
      </c>
      <c r="G255" s="171">
        <f>IF(C255="","",COUNTIFS(Başvuru!$C:$C,C255,Başvuru!$G:$G,"Uzmanlık Tezi",Başvuru!$A:$A,"&lt;&gt;"&amp;"",Başvuru!$F:$F,"&lt;&gt;"&amp;""))</f>
        <v>0</v>
      </c>
      <c r="H255" s="171">
        <f>IF(C255="","",COUNTIFS(Başvuru!$C:$C,C255,Başvuru!$G:$G,"Doktora Tezi",Başvuru!$A:$A,"&lt;&gt;"&amp;"",Başvuru!$F:$F,"&lt;&gt;"&amp;""))</f>
        <v>0</v>
      </c>
      <c r="I255" s="171">
        <f>IF(C255="","",COUNTIFS(Başvuru!$C:$C,C255,Başvuru!$G:$G,"Yüksek Lisans Tezi",Başvuru!$A:$A,"&lt;&gt;"&amp;"",Başvuru!$F:$F,"&lt;&gt;"&amp;""))</f>
        <v>0</v>
      </c>
      <c r="J255" s="172">
        <f>IF(C255="","",COUNTIFS(Başvuru!$C:$C,C255,Başvuru!$L:$L,"ONAY",Başvuru!$A:$A,"&lt;&gt;"&amp;"",Başvuru!$F:$F,"&lt;&gt;"&amp;""))</f>
        <v>0</v>
      </c>
      <c r="K255" s="173">
        <f>IF(C255="","",COUNTIFS(Başvuru!$C:$C,C255,Başvuru!$L:$L,"DÜZELTME",Başvuru!$A:$A,"&lt;&gt;"&amp;"",Başvuru!$F:$F,"&lt;&gt;"&amp;""))</f>
        <v>1</v>
      </c>
      <c r="L255" s="174">
        <f>IF(C255="","",COUNTIFS(Başvuru!$C:$C,C255,Başvuru!$L:$L,"KAEK",Başvuru!$A:$A,"&lt;&gt;"&amp;"",Başvuru!$F:$F,"&lt;&gt;"&amp;""))</f>
        <v>0</v>
      </c>
      <c r="M255" s="175">
        <f>IF(C255="","",COUNTIFS(Başvuru!$C:$C,C255,Başvuru!$L:$L,"GÖRÜŞ",Başvuru!$A:$A,"&lt;&gt;"&amp;"",Başvuru!$F:$F,"&lt;&gt;"&amp;""))</f>
        <v>0</v>
      </c>
      <c r="N255" s="176">
        <f>IF(C255="","",COUNTIFS(Başvuru!$C:$C,C255,Başvuru!$L:$L,"RET",Başvuru!$A:$A,"&lt;&gt;"&amp;"",Başvuru!$F:$F,"&lt;&gt;"&amp;""))</f>
        <v>0</v>
      </c>
      <c r="O255" s="177">
        <f>IF(C255="","",COUNTIFS(Başvuru!$C:$C,C255,Başvuru!$L:$L,"KAPSAM DIŞI",Başvuru!$A:$A,"&lt;&gt;"&amp;"",Başvuru!$F:$F,"&lt;&gt;"&amp;""))</f>
        <v>0</v>
      </c>
      <c r="P255" s="178">
        <f>IF(C255="","",COUNTIFS(Başvuru!$C:$C,C255,Başvuru!$L:$L,"GERİ ÇEKİLDİ",Başvuru!$A:$A,"&lt;&gt;"&amp;"",Başvuru!$F:$F,"&lt;&gt;"&amp;""))</f>
        <v>0</v>
      </c>
      <c r="Q255" s="166" t="s">
        <v>2436</v>
      </c>
      <c r="R255" s="167">
        <f>COUNTIFS(Başvuru!$C:$C,Q255,Başvuru!$A:$A,"&lt;&gt;"&amp;"",Başvuru!$F:$F,"&lt;&gt;"&amp;"")</f>
        <v>2</v>
      </c>
      <c r="S255" s="167">
        <f>RANK(R255,$R$6:$R$324,0)+COUNTIF($R$6:R255,R255)-1</f>
        <v>132</v>
      </c>
    </row>
    <row r="256" spans="2:19" ht="15" customHeight="1" x14ac:dyDescent="0.25">
      <c r="B256" s="155">
        <v>251</v>
      </c>
      <c r="C256" s="156" t="str">
        <f>IFERROR(INDEX($Q$6:$Q$324,MATCH(251,$S$6:$S$324,0)),"")</f>
        <v>Prof. Dr. Melek Dilek TURGUT</v>
      </c>
      <c r="D256" s="157">
        <f>IF(C256="","",COUNTIFS(Başvuru!$C:$C,C256,Başvuru!$A:$A,"&lt;&gt;"&amp;"",Başvuru!$F:$F,"&lt;&gt;"&amp;""))</f>
        <v>1</v>
      </c>
      <c r="E256" s="155" t="str">
        <f>IF(C256="","-",IF(D256&gt;0,TEXT(D256/(COUNTIFS(Başvuru!$A:$A,"&lt;&gt;",Başvuru!$F:$F,"&lt;&gt;")-1)*100,"0.0")&amp;"%","-"))</f>
        <v>00%</v>
      </c>
      <c r="F256" s="158">
        <f>IF(C256="","",COUNTIFS(Başvuru!$C:$C,C256,Başvuru!$G:$G,"Bireysel Araştırma",Başvuru!$A:$A,"&lt;&gt;"&amp;"",Başvuru!$F:$F,"&lt;&gt;"&amp;""))</f>
        <v>1</v>
      </c>
      <c r="G256" s="158">
        <f>IF(C256="","",COUNTIFS(Başvuru!$C:$C,C256,Başvuru!$G:$G,"Uzmanlık Tezi",Başvuru!$A:$A,"&lt;&gt;"&amp;"",Başvuru!$F:$F,"&lt;&gt;"&amp;""))</f>
        <v>0</v>
      </c>
      <c r="H256" s="158">
        <f>IF(C256="","",COUNTIFS(Başvuru!$C:$C,C256,Başvuru!$G:$G,"Doktora Tezi",Başvuru!$A:$A,"&lt;&gt;"&amp;"",Başvuru!$F:$F,"&lt;&gt;"&amp;""))</f>
        <v>0</v>
      </c>
      <c r="I256" s="158">
        <f>IF(C256="","",COUNTIFS(Başvuru!$C:$C,C256,Başvuru!$G:$G,"Yüksek Lisans Tezi",Başvuru!$A:$A,"&lt;&gt;"&amp;"",Başvuru!$F:$F,"&lt;&gt;"&amp;""))</f>
        <v>0</v>
      </c>
      <c r="J256" s="159">
        <f>IF(C256="","",COUNTIFS(Başvuru!$C:$C,C256,Başvuru!$L:$L,"ONAY",Başvuru!$A:$A,"&lt;&gt;"&amp;"",Başvuru!$F:$F,"&lt;&gt;"&amp;""))</f>
        <v>1</v>
      </c>
      <c r="K256" s="160">
        <f>IF(C256="","",COUNTIFS(Başvuru!$C:$C,C256,Başvuru!$L:$L,"DÜZELTME",Başvuru!$A:$A,"&lt;&gt;"&amp;"",Başvuru!$F:$F,"&lt;&gt;"&amp;""))</f>
        <v>0</v>
      </c>
      <c r="L256" s="161">
        <f>IF(C256="","",COUNTIFS(Başvuru!$C:$C,C256,Başvuru!$L:$L,"KAEK",Başvuru!$A:$A,"&lt;&gt;"&amp;"",Başvuru!$F:$F,"&lt;&gt;"&amp;""))</f>
        <v>0</v>
      </c>
      <c r="M256" s="162">
        <f>IF(C256="","",COUNTIFS(Başvuru!$C:$C,C256,Başvuru!$L:$L,"GÖRÜŞ",Başvuru!$A:$A,"&lt;&gt;"&amp;"",Başvuru!$F:$F,"&lt;&gt;"&amp;""))</f>
        <v>0</v>
      </c>
      <c r="N256" s="163">
        <f>IF(C256="","",COUNTIFS(Başvuru!$C:$C,C256,Başvuru!$L:$L,"RET",Başvuru!$A:$A,"&lt;&gt;"&amp;"",Başvuru!$F:$F,"&lt;&gt;"&amp;""))</f>
        <v>0</v>
      </c>
      <c r="O256" s="164">
        <f>IF(C256="","",COUNTIFS(Başvuru!$C:$C,C256,Başvuru!$L:$L,"KAPSAM DIŞI",Başvuru!$A:$A,"&lt;&gt;"&amp;"",Başvuru!$F:$F,"&lt;&gt;"&amp;""))</f>
        <v>0</v>
      </c>
      <c r="P256" s="165">
        <f>IF(C256="","",COUNTIFS(Başvuru!$C:$C,C256,Başvuru!$L:$L,"GERİ ÇEKİLDİ",Başvuru!$A:$A,"&lt;&gt;"&amp;"",Başvuru!$F:$F,"&lt;&gt;"&amp;""))</f>
        <v>0</v>
      </c>
      <c r="Q256" s="166" t="s">
        <v>783</v>
      </c>
      <c r="R256" s="167">
        <f>COUNTIFS(Başvuru!$C:$C,Q256,Başvuru!$A:$A,"&lt;&gt;"&amp;"",Başvuru!$F:$F,"&lt;&gt;"&amp;"")</f>
        <v>2</v>
      </c>
      <c r="S256" s="167">
        <f>RANK(R256,$R$6:$R$324,0)+COUNTIF($R$6:R256,R256)-1</f>
        <v>133</v>
      </c>
    </row>
    <row r="257" spans="2:19" ht="15" customHeight="1" x14ac:dyDescent="0.25">
      <c r="B257" s="168">
        <v>252</v>
      </c>
      <c r="C257" s="169" t="str">
        <f>IFERROR(INDEX($Q$6:$Q$324,MATCH(252,$S$6:$S$324,0)),"")</f>
        <v>Prof. Dr. Melih Önder BABAOĞLU</v>
      </c>
      <c r="D257" s="170">
        <f>IF(C257="","",COUNTIFS(Başvuru!$C:$C,C257,Başvuru!$A:$A,"&lt;&gt;"&amp;"",Başvuru!$F:$F,"&lt;&gt;"&amp;""))</f>
        <v>1</v>
      </c>
      <c r="E257" s="168" t="str">
        <f>IF(C257="","-",IF(D257&gt;0,TEXT(D257/(COUNTIFS(Başvuru!$A:$A,"&lt;&gt;",Başvuru!$F:$F,"&lt;&gt;")-1)*100,"0.0")&amp;"%","-"))</f>
        <v>00%</v>
      </c>
      <c r="F257" s="171">
        <f>IF(C257="","",COUNTIFS(Başvuru!$C:$C,C257,Başvuru!$G:$G,"Bireysel Araştırma",Başvuru!$A:$A,"&lt;&gt;"&amp;"",Başvuru!$F:$F,"&lt;&gt;"&amp;""))</f>
        <v>0</v>
      </c>
      <c r="G257" s="171">
        <f>IF(C257="","",COUNTIFS(Başvuru!$C:$C,C257,Başvuru!$G:$G,"Uzmanlık Tezi",Başvuru!$A:$A,"&lt;&gt;"&amp;"",Başvuru!$F:$F,"&lt;&gt;"&amp;""))</f>
        <v>1</v>
      </c>
      <c r="H257" s="171">
        <f>IF(C257="","",COUNTIFS(Başvuru!$C:$C,C257,Başvuru!$G:$G,"Doktora Tezi",Başvuru!$A:$A,"&lt;&gt;"&amp;"",Başvuru!$F:$F,"&lt;&gt;"&amp;""))</f>
        <v>0</v>
      </c>
      <c r="I257" s="171">
        <f>IF(C257="","",COUNTIFS(Başvuru!$C:$C,C257,Başvuru!$G:$G,"Yüksek Lisans Tezi",Başvuru!$A:$A,"&lt;&gt;"&amp;"",Başvuru!$F:$F,"&lt;&gt;"&amp;""))</f>
        <v>0</v>
      </c>
      <c r="J257" s="172">
        <f>IF(C257="","",COUNTIFS(Başvuru!$C:$C,C257,Başvuru!$L:$L,"ONAY",Başvuru!$A:$A,"&lt;&gt;"&amp;"",Başvuru!$F:$F,"&lt;&gt;"&amp;""))</f>
        <v>1</v>
      </c>
      <c r="K257" s="173">
        <f>IF(C257="","",COUNTIFS(Başvuru!$C:$C,C257,Başvuru!$L:$L,"DÜZELTME",Başvuru!$A:$A,"&lt;&gt;"&amp;"",Başvuru!$F:$F,"&lt;&gt;"&amp;""))</f>
        <v>0</v>
      </c>
      <c r="L257" s="174">
        <f>IF(C257="","",COUNTIFS(Başvuru!$C:$C,C257,Başvuru!$L:$L,"KAEK",Başvuru!$A:$A,"&lt;&gt;"&amp;"",Başvuru!$F:$F,"&lt;&gt;"&amp;""))</f>
        <v>0</v>
      </c>
      <c r="M257" s="175">
        <f>IF(C257="","",COUNTIFS(Başvuru!$C:$C,C257,Başvuru!$L:$L,"GÖRÜŞ",Başvuru!$A:$A,"&lt;&gt;"&amp;"",Başvuru!$F:$F,"&lt;&gt;"&amp;""))</f>
        <v>0</v>
      </c>
      <c r="N257" s="176">
        <f>IF(C257="","",COUNTIFS(Başvuru!$C:$C,C257,Başvuru!$L:$L,"RET",Başvuru!$A:$A,"&lt;&gt;"&amp;"",Başvuru!$F:$F,"&lt;&gt;"&amp;""))</f>
        <v>0</v>
      </c>
      <c r="O257" s="177">
        <f>IF(C257="","",COUNTIFS(Başvuru!$C:$C,C257,Başvuru!$L:$L,"KAPSAM DIŞI",Başvuru!$A:$A,"&lt;&gt;"&amp;"",Başvuru!$F:$F,"&lt;&gt;"&amp;""))</f>
        <v>0</v>
      </c>
      <c r="P257" s="178">
        <f>IF(C257="","",COUNTIFS(Başvuru!$C:$C,C257,Başvuru!$L:$L,"GERİ ÇEKİLDİ",Başvuru!$A:$A,"&lt;&gt;"&amp;"",Başvuru!$F:$F,"&lt;&gt;"&amp;""))</f>
        <v>0</v>
      </c>
      <c r="Q257" s="166" t="s">
        <v>139</v>
      </c>
      <c r="R257" s="167">
        <f>COUNTIFS(Başvuru!$C:$C,Q257,Başvuru!$A:$A,"&lt;&gt;"&amp;"",Başvuru!$F:$F,"&lt;&gt;"&amp;"")</f>
        <v>1</v>
      </c>
      <c r="S257" s="167">
        <f>RANK(R257,$R$6:$R$324,0)+COUNTIF($R$6:R257,R257)-1</f>
        <v>267</v>
      </c>
    </row>
    <row r="258" spans="2:19" ht="15" customHeight="1" x14ac:dyDescent="0.25">
      <c r="B258" s="155">
        <v>253</v>
      </c>
      <c r="C258" s="156" t="str">
        <f>IFERROR(INDEX($Q$6:$Q$324,MATCH(253,$S$6:$S$324,0)),"")</f>
        <v>Prof. Dr. Mert ÇALIŞ</v>
      </c>
      <c r="D258" s="157">
        <f>IF(C258="","",COUNTIFS(Başvuru!$C:$C,C258,Başvuru!$A:$A,"&lt;&gt;"&amp;"",Başvuru!$F:$F,"&lt;&gt;"&amp;""))</f>
        <v>1</v>
      </c>
      <c r="E258" s="155" t="str">
        <f>IF(C258="","-",IF(D258&gt;0,TEXT(D258/(COUNTIFS(Başvuru!$A:$A,"&lt;&gt;",Başvuru!$F:$F,"&lt;&gt;")-1)*100,"0.0")&amp;"%","-"))</f>
        <v>00%</v>
      </c>
      <c r="F258" s="158">
        <f>IF(C258="","",COUNTIFS(Başvuru!$C:$C,C258,Başvuru!$G:$G,"Bireysel Araştırma",Başvuru!$A:$A,"&lt;&gt;"&amp;"",Başvuru!$F:$F,"&lt;&gt;"&amp;""))</f>
        <v>0</v>
      </c>
      <c r="G258" s="158">
        <f>IF(C258="","",COUNTIFS(Başvuru!$C:$C,C258,Başvuru!$G:$G,"Uzmanlık Tezi",Başvuru!$A:$A,"&lt;&gt;"&amp;"",Başvuru!$F:$F,"&lt;&gt;"&amp;""))</f>
        <v>1</v>
      </c>
      <c r="H258" s="158">
        <f>IF(C258="","",COUNTIFS(Başvuru!$C:$C,C258,Başvuru!$G:$G,"Doktora Tezi",Başvuru!$A:$A,"&lt;&gt;"&amp;"",Başvuru!$F:$F,"&lt;&gt;"&amp;""))</f>
        <v>0</v>
      </c>
      <c r="I258" s="158">
        <f>IF(C258="","",COUNTIFS(Başvuru!$C:$C,C258,Başvuru!$G:$G,"Yüksek Lisans Tezi",Başvuru!$A:$A,"&lt;&gt;"&amp;"",Başvuru!$F:$F,"&lt;&gt;"&amp;""))</f>
        <v>0</v>
      </c>
      <c r="J258" s="159">
        <f>IF(C258="","",COUNTIFS(Başvuru!$C:$C,C258,Başvuru!$L:$L,"ONAY",Başvuru!$A:$A,"&lt;&gt;"&amp;"",Başvuru!$F:$F,"&lt;&gt;"&amp;""))</f>
        <v>1</v>
      </c>
      <c r="K258" s="160">
        <f>IF(C258="","",COUNTIFS(Başvuru!$C:$C,C258,Başvuru!$L:$L,"DÜZELTME",Başvuru!$A:$A,"&lt;&gt;"&amp;"",Başvuru!$F:$F,"&lt;&gt;"&amp;""))</f>
        <v>0</v>
      </c>
      <c r="L258" s="161">
        <f>IF(C258="","",COUNTIFS(Başvuru!$C:$C,C258,Başvuru!$L:$L,"KAEK",Başvuru!$A:$A,"&lt;&gt;"&amp;"",Başvuru!$F:$F,"&lt;&gt;"&amp;""))</f>
        <v>0</v>
      </c>
      <c r="M258" s="162">
        <f>IF(C258="","",COUNTIFS(Başvuru!$C:$C,C258,Başvuru!$L:$L,"GÖRÜŞ",Başvuru!$A:$A,"&lt;&gt;"&amp;"",Başvuru!$F:$F,"&lt;&gt;"&amp;""))</f>
        <v>0</v>
      </c>
      <c r="N258" s="163">
        <f>IF(C258="","",COUNTIFS(Başvuru!$C:$C,C258,Başvuru!$L:$L,"RET",Başvuru!$A:$A,"&lt;&gt;"&amp;"",Başvuru!$F:$F,"&lt;&gt;"&amp;""))</f>
        <v>0</v>
      </c>
      <c r="O258" s="164">
        <f>IF(C258="","",COUNTIFS(Başvuru!$C:$C,C258,Başvuru!$L:$L,"KAPSAM DIŞI",Başvuru!$A:$A,"&lt;&gt;"&amp;"",Başvuru!$F:$F,"&lt;&gt;"&amp;""))</f>
        <v>0</v>
      </c>
      <c r="P258" s="165">
        <f>IF(C258="","",COUNTIFS(Başvuru!$C:$C,C258,Başvuru!$L:$L,"GERİ ÇEKİLDİ",Başvuru!$A:$A,"&lt;&gt;"&amp;"",Başvuru!$F:$F,"&lt;&gt;"&amp;""))</f>
        <v>0</v>
      </c>
      <c r="Q258" s="166" t="s">
        <v>313</v>
      </c>
      <c r="R258" s="167">
        <f>COUNTIFS(Başvuru!$C:$C,Q258,Başvuru!$A:$A,"&lt;&gt;"&amp;"",Başvuru!$F:$F,"&lt;&gt;"&amp;"")</f>
        <v>9</v>
      </c>
      <c r="S258" s="167">
        <f>RANK(R258,$R$6:$R$324,0)+COUNTIF($R$6:R258,R258)-1</f>
        <v>5</v>
      </c>
    </row>
    <row r="259" spans="2:19" ht="15" customHeight="1" x14ac:dyDescent="0.25">
      <c r="B259" s="168">
        <v>254</v>
      </c>
      <c r="C259" s="169" t="str">
        <f>IFERROR(INDEX($Q$6:$Q$324,MATCH(254,$S$6:$S$324,0)),"")</f>
        <v>Prof. Dr. Mustafa BERKER</v>
      </c>
      <c r="D259" s="170">
        <f>IF(C259="","",COUNTIFS(Başvuru!$C:$C,C259,Başvuru!$A:$A,"&lt;&gt;"&amp;"",Başvuru!$F:$F,"&lt;&gt;"&amp;""))</f>
        <v>1</v>
      </c>
      <c r="E259" s="168" t="str">
        <f>IF(C259="","-",IF(D259&gt;0,TEXT(D259/(COUNTIFS(Başvuru!$A:$A,"&lt;&gt;",Başvuru!$F:$F,"&lt;&gt;")-1)*100,"0.0")&amp;"%","-"))</f>
        <v>00%</v>
      </c>
      <c r="F259" s="171">
        <f>IF(C259="","",COUNTIFS(Başvuru!$C:$C,C259,Başvuru!$G:$G,"Bireysel Araştırma",Başvuru!$A:$A,"&lt;&gt;"&amp;"",Başvuru!$F:$F,"&lt;&gt;"&amp;""))</f>
        <v>0</v>
      </c>
      <c r="G259" s="171">
        <f>IF(C259="","",COUNTIFS(Başvuru!$C:$C,C259,Başvuru!$G:$G,"Uzmanlık Tezi",Başvuru!$A:$A,"&lt;&gt;"&amp;"",Başvuru!$F:$F,"&lt;&gt;"&amp;""))</f>
        <v>0</v>
      </c>
      <c r="H259" s="171">
        <f>IF(C259="","",COUNTIFS(Başvuru!$C:$C,C259,Başvuru!$G:$G,"Doktora Tezi",Başvuru!$A:$A,"&lt;&gt;"&amp;"",Başvuru!$F:$F,"&lt;&gt;"&amp;""))</f>
        <v>0</v>
      </c>
      <c r="I259" s="171">
        <f>IF(C259="","",COUNTIFS(Başvuru!$C:$C,C259,Başvuru!$G:$G,"Yüksek Lisans Tezi",Başvuru!$A:$A,"&lt;&gt;"&amp;"",Başvuru!$F:$F,"&lt;&gt;"&amp;""))</f>
        <v>1</v>
      </c>
      <c r="J259" s="172">
        <f>IF(C259="","",COUNTIFS(Başvuru!$C:$C,C259,Başvuru!$L:$L,"ONAY",Başvuru!$A:$A,"&lt;&gt;"&amp;"",Başvuru!$F:$F,"&lt;&gt;"&amp;""))</f>
        <v>1</v>
      </c>
      <c r="K259" s="173">
        <f>IF(C259="","",COUNTIFS(Başvuru!$C:$C,C259,Başvuru!$L:$L,"DÜZELTME",Başvuru!$A:$A,"&lt;&gt;"&amp;"",Başvuru!$F:$F,"&lt;&gt;"&amp;""))</f>
        <v>0</v>
      </c>
      <c r="L259" s="174">
        <f>IF(C259="","",COUNTIFS(Başvuru!$C:$C,C259,Başvuru!$L:$L,"KAEK",Başvuru!$A:$A,"&lt;&gt;"&amp;"",Başvuru!$F:$F,"&lt;&gt;"&amp;""))</f>
        <v>0</v>
      </c>
      <c r="M259" s="175">
        <f>IF(C259="","",COUNTIFS(Başvuru!$C:$C,C259,Başvuru!$L:$L,"GÖRÜŞ",Başvuru!$A:$A,"&lt;&gt;"&amp;"",Başvuru!$F:$F,"&lt;&gt;"&amp;""))</f>
        <v>0</v>
      </c>
      <c r="N259" s="176">
        <f>IF(C259="","",COUNTIFS(Başvuru!$C:$C,C259,Başvuru!$L:$L,"RET",Başvuru!$A:$A,"&lt;&gt;"&amp;"",Başvuru!$F:$F,"&lt;&gt;"&amp;""))</f>
        <v>0</v>
      </c>
      <c r="O259" s="177">
        <f>IF(C259="","",COUNTIFS(Başvuru!$C:$C,C259,Başvuru!$L:$L,"KAPSAM DIŞI",Başvuru!$A:$A,"&lt;&gt;"&amp;"",Başvuru!$F:$F,"&lt;&gt;"&amp;""))</f>
        <v>0</v>
      </c>
      <c r="P259" s="178">
        <f>IF(C259="","",COUNTIFS(Başvuru!$C:$C,C259,Başvuru!$L:$L,"GERİ ÇEKİLDİ",Başvuru!$A:$A,"&lt;&gt;"&amp;"",Başvuru!$F:$F,"&lt;&gt;"&amp;""))</f>
        <v>0</v>
      </c>
      <c r="Q259" s="166" t="s">
        <v>104</v>
      </c>
      <c r="R259" s="167">
        <f>COUNTIFS(Başvuru!$C:$C,Q259,Başvuru!$A:$A,"&lt;&gt;"&amp;"",Başvuru!$F:$F,"&lt;&gt;"&amp;"")</f>
        <v>1</v>
      </c>
      <c r="S259" s="167">
        <f>RANK(R259,$R$6:$R$324,0)+COUNTIF($R$6:R259,R259)-1</f>
        <v>268</v>
      </c>
    </row>
    <row r="260" spans="2:19" ht="15" customHeight="1" x14ac:dyDescent="0.25">
      <c r="B260" s="155">
        <v>255</v>
      </c>
      <c r="C260" s="156" t="str">
        <f>IFERROR(INDEX($Q$6:$Q$324,MATCH(255,$S$6:$S$324,0)),"")</f>
        <v>Prof. Dr. Mustafa Barış GÜNCÜ</v>
      </c>
      <c r="D260" s="157">
        <f>IF(C260="","",COUNTIFS(Başvuru!$C:$C,C260,Başvuru!$A:$A,"&lt;&gt;"&amp;"",Başvuru!$F:$F,"&lt;&gt;"&amp;""))</f>
        <v>1</v>
      </c>
      <c r="E260" s="155" t="str">
        <f>IF(C260="","-",IF(D260&gt;0,TEXT(D260/(COUNTIFS(Başvuru!$A:$A,"&lt;&gt;",Başvuru!$F:$F,"&lt;&gt;")-1)*100,"0.0")&amp;"%","-"))</f>
        <v>00%</v>
      </c>
      <c r="F260" s="158">
        <f>IF(C260="","",COUNTIFS(Başvuru!$C:$C,C260,Başvuru!$G:$G,"Bireysel Araştırma",Başvuru!$A:$A,"&lt;&gt;"&amp;"",Başvuru!$F:$F,"&lt;&gt;"&amp;""))</f>
        <v>0</v>
      </c>
      <c r="G260" s="158">
        <f>IF(C260="","",COUNTIFS(Başvuru!$C:$C,C260,Başvuru!$G:$G,"Uzmanlık Tezi",Başvuru!$A:$A,"&lt;&gt;"&amp;"",Başvuru!$F:$F,"&lt;&gt;"&amp;""))</f>
        <v>1</v>
      </c>
      <c r="H260" s="158">
        <f>IF(C260="","",COUNTIFS(Başvuru!$C:$C,C260,Başvuru!$G:$G,"Doktora Tezi",Başvuru!$A:$A,"&lt;&gt;"&amp;"",Başvuru!$F:$F,"&lt;&gt;"&amp;""))</f>
        <v>0</v>
      </c>
      <c r="I260" s="158">
        <f>IF(C260="","",COUNTIFS(Başvuru!$C:$C,C260,Başvuru!$G:$G,"Yüksek Lisans Tezi",Başvuru!$A:$A,"&lt;&gt;"&amp;"",Başvuru!$F:$F,"&lt;&gt;"&amp;""))</f>
        <v>0</v>
      </c>
      <c r="J260" s="159">
        <f>IF(C260="","",COUNTIFS(Başvuru!$C:$C,C260,Başvuru!$L:$L,"ONAY",Başvuru!$A:$A,"&lt;&gt;"&amp;"",Başvuru!$F:$F,"&lt;&gt;"&amp;""))</f>
        <v>0</v>
      </c>
      <c r="K260" s="160">
        <f>IF(C260="","",COUNTIFS(Başvuru!$C:$C,C260,Başvuru!$L:$L,"DÜZELTME",Başvuru!$A:$A,"&lt;&gt;"&amp;"",Başvuru!$F:$F,"&lt;&gt;"&amp;""))</f>
        <v>0</v>
      </c>
      <c r="L260" s="161">
        <f>IF(C260="","",COUNTIFS(Başvuru!$C:$C,C260,Başvuru!$L:$L,"KAEK",Başvuru!$A:$A,"&lt;&gt;"&amp;"",Başvuru!$F:$F,"&lt;&gt;"&amp;""))</f>
        <v>0</v>
      </c>
      <c r="M260" s="162">
        <f>IF(C260="","",COUNTIFS(Başvuru!$C:$C,C260,Başvuru!$L:$L,"GÖRÜŞ",Başvuru!$A:$A,"&lt;&gt;"&amp;"",Başvuru!$F:$F,"&lt;&gt;"&amp;""))</f>
        <v>1</v>
      </c>
      <c r="N260" s="163">
        <f>IF(C260="","",COUNTIFS(Başvuru!$C:$C,C260,Başvuru!$L:$L,"RET",Başvuru!$A:$A,"&lt;&gt;"&amp;"",Başvuru!$F:$F,"&lt;&gt;"&amp;""))</f>
        <v>0</v>
      </c>
      <c r="O260" s="164">
        <f>IF(C260="","",COUNTIFS(Başvuru!$C:$C,C260,Başvuru!$L:$L,"KAPSAM DIŞI",Başvuru!$A:$A,"&lt;&gt;"&amp;"",Başvuru!$F:$F,"&lt;&gt;"&amp;""))</f>
        <v>0</v>
      </c>
      <c r="P260" s="165">
        <f>IF(C260="","",COUNTIFS(Başvuru!$C:$C,C260,Başvuru!$L:$L,"GERİ ÇEKİLDİ",Başvuru!$A:$A,"&lt;&gt;"&amp;"",Başvuru!$F:$F,"&lt;&gt;"&amp;""))</f>
        <v>0</v>
      </c>
      <c r="Q260" s="166" t="s">
        <v>1472</v>
      </c>
      <c r="R260" s="167">
        <f>COUNTIFS(Başvuru!$C:$C,Q260,Başvuru!$A:$A,"&lt;&gt;"&amp;"",Başvuru!$F:$F,"&lt;&gt;"&amp;"")</f>
        <v>1</v>
      </c>
      <c r="S260" s="167">
        <f>RANK(R260,$R$6:$R$324,0)+COUNTIF($R$6:R260,R260)-1</f>
        <v>269</v>
      </c>
    </row>
    <row r="261" spans="2:19" ht="15" customHeight="1" x14ac:dyDescent="0.25">
      <c r="B261" s="168">
        <v>256</v>
      </c>
      <c r="C261" s="169" t="str">
        <f>IFERROR(INDEX($Q$6:$Q$324,MATCH(256,$S$6:$S$324,0)),"")</f>
        <v>Prof. Dr. Müzeyyen Pınar ÖZGEN KIRATLI</v>
      </c>
      <c r="D261" s="170">
        <f>IF(C261="","",COUNTIFS(Başvuru!$C:$C,C261,Başvuru!$A:$A,"&lt;&gt;"&amp;"",Başvuru!$F:$F,"&lt;&gt;"&amp;""))</f>
        <v>1</v>
      </c>
      <c r="E261" s="168" t="str">
        <f>IF(C261="","-",IF(D261&gt;0,TEXT(D261/(COUNTIFS(Başvuru!$A:$A,"&lt;&gt;",Başvuru!$F:$F,"&lt;&gt;")-1)*100,"0.0")&amp;"%","-"))</f>
        <v>00%</v>
      </c>
      <c r="F261" s="171">
        <f>IF(C261="","",COUNTIFS(Başvuru!$C:$C,C261,Başvuru!$G:$G,"Bireysel Araştırma",Başvuru!$A:$A,"&lt;&gt;"&amp;"",Başvuru!$F:$F,"&lt;&gt;"&amp;""))</f>
        <v>1</v>
      </c>
      <c r="G261" s="171">
        <f>IF(C261="","",COUNTIFS(Başvuru!$C:$C,C261,Başvuru!$G:$G,"Uzmanlık Tezi",Başvuru!$A:$A,"&lt;&gt;"&amp;"",Başvuru!$F:$F,"&lt;&gt;"&amp;""))</f>
        <v>0</v>
      </c>
      <c r="H261" s="171">
        <f>IF(C261="","",COUNTIFS(Başvuru!$C:$C,C261,Başvuru!$G:$G,"Doktora Tezi",Başvuru!$A:$A,"&lt;&gt;"&amp;"",Başvuru!$F:$F,"&lt;&gt;"&amp;""))</f>
        <v>0</v>
      </c>
      <c r="I261" s="171">
        <f>IF(C261="","",COUNTIFS(Başvuru!$C:$C,C261,Başvuru!$G:$G,"Yüksek Lisans Tezi",Başvuru!$A:$A,"&lt;&gt;"&amp;"",Başvuru!$F:$F,"&lt;&gt;"&amp;""))</f>
        <v>0</v>
      </c>
      <c r="J261" s="172">
        <f>IF(C261="","",COUNTIFS(Başvuru!$C:$C,C261,Başvuru!$L:$L,"ONAY",Başvuru!$A:$A,"&lt;&gt;"&amp;"",Başvuru!$F:$F,"&lt;&gt;"&amp;""))</f>
        <v>1</v>
      </c>
      <c r="K261" s="173">
        <f>IF(C261="","",COUNTIFS(Başvuru!$C:$C,C261,Başvuru!$L:$L,"DÜZELTME",Başvuru!$A:$A,"&lt;&gt;"&amp;"",Başvuru!$F:$F,"&lt;&gt;"&amp;""))</f>
        <v>0</v>
      </c>
      <c r="L261" s="174">
        <f>IF(C261="","",COUNTIFS(Başvuru!$C:$C,C261,Başvuru!$L:$L,"KAEK",Başvuru!$A:$A,"&lt;&gt;"&amp;"",Başvuru!$F:$F,"&lt;&gt;"&amp;""))</f>
        <v>0</v>
      </c>
      <c r="M261" s="175">
        <f>IF(C261="","",COUNTIFS(Başvuru!$C:$C,C261,Başvuru!$L:$L,"GÖRÜŞ",Başvuru!$A:$A,"&lt;&gt;"&amp;"",Başvuru!$F:$F,"&lt;&gt;"&amp;""))</f>
        <v>0</v>
      </c>
      <c r="N261" s="176">
        <f>IF(C261="","",COUNTIFS(Başvuru!$C:$C,C261,Başvuru!$L:$L,"RET",Başvuru!$A:$A,"&lt;&gt;"&amp;"",Başvuru!$F:$F,"&lt;&gt;"&amp;""))</f>
        <v>0</v>
      </c>
      <c r="O261" s="177">
        <f>IF(C261="","",COUNTIFS(Başvuru!$C:$C,C261,Başvuru!$L:$L,"KAPSAM DIŞI",Başvuru!$A:$A,"&lt;&gt;"&amp;"",Başvuru!$F:$F,"&lt;&gt;"&amp;""))</f>
        <v>0</v>
      </c>
      <c r="P261" s="178">
        <f>IF(C261="","",COUNTIFS(Başvuru!$C:$C,C261,Başvuru!$L:$L,"GERİ ÇEKİLDİ",Başvuru!$A:$A,"&lt;&gt;"&amp;"",Başvuru!$F:$F,"&lt;&gt;"&amp;""))</f>
        <v>0</v>
      </c>
      <c r="Q261" s="166" t="s">
        <v>683</v>
      </c>
      <c r="R261" s="167">
        <f>COUNTIFS(Başvuru!$C:$C,Q261,Başvuru!$A:$A,"&lt;&gt;"&amp;"",Başvuru!$F:$F,"&lt;&gt;"&amp;"")</f>
        <v>4</v>
      </c>
      <c r="S261" s="167">
        <f>RANK(R261,$R$6:$R$324,0)+COUNTIF($R$6:R261,R261)-1</f>
        <v>44</v>
      </c>
    </row>
    <row r="262" spans="2:19" ht="15" customHeight="1" x14ac:dyDescent="0.25">
      <c r="B262" s="155">
        <v>257</v>
      </c>
      <c r="C262" s="156" t="str">
        <f>IFERROR(INDEX($Q$6:$Q$324,MATCH(257,$S$6:$S$324,0)),"")</f>
        <v>Prof. Dr. N. Dilara ZEYBEK</v>
      </c>
      <c r="D262" s="157">
        <f>IF(C262="","",COUNTIFS(Başvuru!$C:$C,C262,Başvuru!$A:$A,"&lt;&gt;"&amp;"",Başvuru!$F:$F,"&lt;&gt;"&amp;""))</f>
        <v>1</v>
      </c>
      <c r="E262" s="155" t="str">
        <f>IF(C262="","-",IF(D262&gt;0,TEXT(D262/(COUNTIFS(Başvuru!$A:$A,"&lt;&gt;",Başvuru!$F:$F,"&lt;&gt;")-1)*100,"0.0")&amp;"%","-"))</f>
        <v>00%</v>
      </c>
      <c r="F262" s="158">
        <f>IF(C262="","",COUNTIFS(Başvuru!$C:$C,C262,Başvuru!$G:$G,"Bireysel Araştırma",Başvuru!$A:$A,"&lt;&gt;"&amp;"",Başvuru!$F:$F,"&lt;&gt;"&amp;""))</f>
        <v>0</v>
      </c>
      <c r="G262" s="158">
        <f>IF(C262="","",COUNTIFS(Başvuru!$C:$C,C262,Başvuru!$G:$G,"Uzmanlık Tezi",Başvuru!$A:$A,"&lt;&gt;"&amp;"",Başvuru!$F:$F,"&lt;&gt;"&amp;""))</f>
        <v>1</v>
      </c>
      <c r="H262" s="158">
        <f>IF(C262="","",COUNTIFS(Başvuru!$C:$C,C262,Başvuru!$G:$G,"Doktora Tezi",Başvuru!$A:$A,"&lt;&gt;"&amp;"",Başvuru!$F:$F,"&lt;&gt;"&amp;""))</f>
        <v>0</v>
      </c>
      <c r="I262" s="158">
        <f>IF(C262="","",COUNTIFS(Başvuru!$C:$C,C262,Başvuru!$G:$G,"Yüksek Lisans Tezi",Başvuru!$A:$A,"&lt;&gt;"&amp;"",Başvuru!$F:$F,"&lt;&gt;"&amp;""))</f>
        <v>0</v>
      </c>
      <c r="J262" s="159">
        <f>IF(C262="","",COUNTIFS(Başvuru!$C:$C,C262,Başvuru!$L:$L,"ONAY",Başvuru!$A:$A,"&lt;&gt;"&amp;"",Başvuru!$F:$F,"&lt;&gt;"&amp;""))</f>
        <v>0</v>
      </c>
      <c r="K262" s="160">
        <f>IF(C262="","",COUNTIFS(Başvuru!$C:$C,C262,Başvuru!$L:$L,"DÜZELTME",Başvuru!$A:$A,"&lt;&gt;"&amp;"",Başvuru!$F:$F,"&lt;&gt;"&amp;""))</f>
        <v>0</v>
      </c>
      <c r="L262" s="161">
        <f>IF(C262="","",COUNTIFS(Başvuru!$C:$C,C262,Başvuru!$L:$L,"KAEK",Başvuru!$A:$A,"&lt;&gt;"&amp;"",Başvuru!$F:$F,"&lt;&gt;"&amp;""))</f>
        <v>0</v>
      </c>
      <c r="M262" s="162">
        <f>IF(C262="","",COUNTIFS(Başvuru!$C:$C,C262,Başvuru!$L:$L,"GÖRÜŞ",Başvuru!$A:$A,"&lt;&gt;"&amp;"",Başvuru!$F:$F,"&lt;&gt;"&amp;""))</f>
        <v>0</v>
      </c>
      <c r="N262" s="163">
        <f>IF(C262="","",COUNTIFS(Başvuru!$C:$C,C262,Başvuru!$L:$L,"RET",Başvuru!$A:$A,"&lt;&gt;"&amp;"",Başvuru!$F:$F,"&lt;&gt;"&amp;""))</f>
        <v>0</v>
      </c>
      <c r="O262" s="164">
        <f>IF(C262="","",COUNTIFS(Başvuru!$C:$C,C262,Başvuru!$L:$L,"KAPSAM DIŞI",Başvuru!$A:$A,"&lt;&gt;"&amp;"",Başvuru!$F:$F,"&lt;&gt;"&amp;""))</f>
        <v>1</v>
      </c>
      <c r="P262" s="165">
        <f>IF(C262="","",COUNTIFS(Başvuru!$C:$C,C262,Başvuru!$L:$L,"GERİ ÇEKİLDİ",Başvuru!$A:$A,"&lt;&gt;"&amp;"",Başvuru!$F:$F,"&lt;&gt;"&amp;""))</f>
        <v>0</v>
      </c>
      <c r="Q262" s="166" t="s">
        <v>2542</v>
      </c>
      <c r="R262" s="167">
        <f>COUNTIFS(Başvuru!$C:$C,Q262,Başvuru!$A:$A,"&lt;&gt;"&amp;"",Başvuru!$F:$F,"&lt;&gt;"&amp;"")</f>
        <v>1</v>
      </c>
      <c r="S262" s="167">
        <f>RANK(R262,$R$6:$R$324,0)+COUNTIF($R$6:R262,R262)-1</f>
        <v>270</v>
      </c>
    </row>
    <row r="263" spans="2:19" ht="15" customHeight="1" x14ac:dyDescent="0.25">
      <c r="B263" s="168">
        <v>258</v>
      </c>
      <c r="C263" s="169" t="str">
        <f>IFERROR(INDEX($Q$6:$Q$324,MATCH(258,$S$6:$S$324,0)),"")</f>
        <v>Prof. Dr. Orhan ODABAŞI</v>
      </c>
      <c r="D263" s="170">
        <f>IF(C263="","",COUNTIFS(Başvuru!$C:$C,C263,Başvuru!$A:$A,"&lt;&gt;"&amp;"",Başvuru!$F:$F,"&lt;&gt;"&amp;""))</f>
        <v>1</v>
      </c>
      <c r="E263" s="168" t="str">
        <f>IF(C263="","-",IF(D263&gt;0,TEXT(D263/(COUNTIFS(Başvuru!$A:$A,"&lt;&gt;",Başvuru!$F:$F,"&lt;&gt;")-1)*100,"0.0")&amp;"%","-"))</f>
        <v>00%</v>
      </c>
      <c r="F263" s="171">
        <f>IF(C263="","",COUNTIFS(Başvuru!$C:$C,C263,Başvuru!$G:$G,"Bireysel Araştırma",Başvuru!$A:$A,"&lt;&gt;"&amp;"",Başvuru!$F:$F,"&lt;&gt;"&amp;""))</f>
        <v>0</v>
      </c>
      <c r="G263" s="171">
        <f>IF(C263="","",COUNTIFS(Başvuru!$C:$C,C263,Başvuru!$G:$G,"Uzmanlık Tezi",Başvuru!$A:$A,"&lt;&gt;"&amp;"",Başvuru!$F:$F,"&lt;&gt;"&amp;""))</f>
        <v>0</v>
      </c>
      <c r="H263" s="171">
        <f>IF(C263="","",COUNTIFS(Başvuru!$C:$C,C263,Başvuru!$G:$G,"Doktora Tezi",Başvuru!$A:$A,"&lt;&gt;"&amp;"",Başvuru!$F:$F,"&lt;&gt;"&amp;""))</f>
        <v>0</v>
      </c>
      <c r="I263" s="171">
        <f>IF(C263="","",COUNTIFS(Başvuru!$C:$C,C263,Başvuru!$G:$G,"Yüksek Lisans Tezi",Başvuru!$A:$A,"&lt;&gt;"&amp;"",Başvuru!$F:$F,"&lt;&gt;"&amp;""))</f>
        <v>1</v>
      </c>
      <c r="J263" s="172">
        <f>IF(C263="","",COUNTIFS(Başvuru!$C:$C,C263,Başvuru!$L:$L,"ONAY",Başvuru!$A:$A,"&lt;&gt;"&amp;"",Başvuru!$F:$F,"&lt;&gt;"&amp;""))</f>
        <v>0</v>
      </c>
      <c r="K263" s="173">
        <f>IF(C263="","",COUNTIFS(Başvuru!$C:$C,C263,Başvuru!$L:$L,"DÜZELTME",Başvuru!$A:$A,"&lt;&gt;"&amp;"",Başvuru!$F:$F,"&lt;&gt;"&amp;""))</f>
        <v>1</v>
      </c>
      <c r="L263" s="174">
        <f>IF(C263="","",COUNTIFS(Başvuru!$C:$C,C263,Başvuru!$L:$L,"KAEK",Başvuru!$A:$A,"&lt;&gt;"&amp;"",Başvuru!$F:$F,"&lt;&gt;"&amp;""))</f>
        <v>0</v>
      </c>
      <c r="M263" s="175">
        <f>IF(C263="","",COUNTIFS(Başvuru!$C:$C,C263,Başvuru!$L:$L,"GÖRÜŞ",Başvuru!$A:$A,"&lt;&gt;"&amp;"",Başvuru!$F:$F,"&lt;&gt;"&amp;""))</f>
        <v>0</v>
      </c>
      <c r="N263" s="176">
        <f>IF(C263="","",COUNTIFS(Başvuru!$C:$C,C263,Başvuru!$L:$L,"RET",Başvuru!$A:$A,"&lt;&gt;"&amp;"",Başvuru!$F:$F,"&lt;&gt;"&amp;""))</f>
        <v>0</v>
      </c>
      <c r="O263" s="177">
        <f>IF(C263="","",COUNTIFS(Başvuru!$C:$C,C263,Başvuru!$L:$L,"KAPSAM DIŞI",Başvuru!$A:$A,"&lt;&gt;"&amp;"",Başvuru!$F:$F,"&lt;&gt;"&amp;""))</f>
        <v>0</v>
      </c>
      <c r="P263" s="178">
        <f>IF(C263="","",COUNTIFS(Başvuru!$C:$C,C263,Başvuru!$L:$L,"GERİ ÇEKİLDİ",Başvuru!$A:$A,"&lt;&gt;"&amp;"",Başvuru!$F:$F,"&lt;&gt;"&amp;""))</f>
        <v>0</v>
      </c>
      <c r="Q263" s="166" t="s">
        <v>146</v>
      </c>
      <c r="R263" s="167">
        <f>COUNTIFS(Başvuru!$C:$C,Q263,Başvuru!$A:$A,"&lt;&gt;"&amp;"",Başvuru!$F:$F,"&lt;&gt;"&amp;"")</f>
        <v>4</v>
      </c>
      <c r="S263" s="167">
        <f>RANK(R263,$R$6:$R$324,0)+COUNTIF($R$6:R263,R263)-1</f>
        <v>45</v>
      </c>
    </row>
    <row r="264" spans="2:19" ht="15" customHeight="1" x14ac:dyDescent="0.25">
      <c r="B264" s="155">
        <v>259</v>
      </c>
      <c r="C264" s="156" t="str">
        <f>IFERROR(INDEX($Q$6:$Q$324,MATCH(259,$S$6:$S$324,0)),"")</f>
        <v>Prof. Dr. Oya ÖZDEMİR</v>
      </c>
      <c r="D264" s="157">
        <f>IF(C264="","",COUNTIFS(Başvuru!$C:$C,C264,Başvuru!$A:$A,"&lt;&gt;"&amp;"",Başvuru!$F:$F,"&lt;&gt;"&amp;""))</f>
        <v>1</v>
      </c>
      <c r="E264" s="155" t="str">
        <f>IF(C264="","-",IF(D264&gt;0,TEXT(D264/(COUNTIFS(Başvuru!$A:$A,"&lt;&gt;",Başvuru!$F:$F,"&lt;&gt;")-1)*100,"0.0")&amp;"%","-"))</f>
        <v>00%</v>
      </c>
      <c r="F264" s="158">
        <f>IF(C264="","",COUNTIFS(Başvuru!$C:$C,C264,Başvuru!$G:$G,"Bireysel Araştırma",Başvuru!$A:$A,"&lt;&gt;"&amp;"",Başvuru!$F:$F,"&lt;&gt;"&amp;""))</f>
        <v>0</v>
      </c>
      <c r="G264" s="158">
        <f>IF(C264="","",COUNTIFS(Başvuru!$C:$C,C264,Başvuru!$G:$G,"Uzmanlık Tezi",Başvuru!$A:$A,"&lt;&gt;"&amp;"",Başvuru!$F:$F,"&lt;&gt;"&amp;""))</f>
        <v>1</v>
      </c>
      <c r="H264" s="158">
        <f>IF(C264="","",COUNTIFS(Başvuru!$C:$C,C264,Başvuru!$G:$G,"Doktora Tezi",Başvuru!$A:$A,"&lt;&gt;"&amp;"",Başvuru!$F:$F,"&lt;&gt;"&amp;""))</f>
        <v>0</v>
      </c>
      <c r="I264" s="158">
        <f>IF(C264="","",COUNTIFS(Başvuru!$C:$C,C264,Başvuru!$G:$G,"Yüksek Lisans Tezi",Başvuru!$A:$A,"&lt;&gt;"&amp;"",Başvuru!$F:$F,"&lt;&gt;"&amp;""))</f>
        <v>0</v>
      </c>
      <c r="J264" s="159">
        <f>IF(C264="","",COUNTIFS(Başvuru!$C:$C,C264,Başvuru!$L:$L,"ONAY",Başvuru!$A:$A,"&lt;&gt;"&amp;"",Başvuru!$F:$F,"&lt;&gt;"&amp;""))</f>
        <v>1</v>
      </c>
      <c r="K264" s="160">
        <f>IF(C264="","",COUNTIFS(Başvuru!$C:$C,C264,Başvuru!$L:$L,"DÜZELTME",Başvuru!$A:$A,"&lt;&gt;"&amp;"",Başvuru!$F:$F,"&lt;&gt;"&amp;""))</f>
        <v>0</v>
      </c>
      <c r="L264" s="161">
        <f>IF(C264="","",COUNTIFS(Başvuru!$C:$C,C264,Başvuru!$L:$L,"KAEK",Başvuru!$A:$A,"&lt;&gt;"&amp;"",Başvuru!$F:$F,"&lt;&gt;"&amp;""))</f>
        <v>0</v>
      </c>
      <c r="M264" s="162">
        <f>IF(C264="","",COUNTIFS(Başvuru!$C:$C,C264,Başvuru!$L:$L,"GÖRÜŞ",Başvuru!$A:$A,"&lt;&gt;"&amp;"",Başvuru!$F:$F,"&lt;&gt;"&amp;""))</f>
        <v>0</v>
      </c>
      <c r="N264" s="163">
        <f>IF(C264="","",COUNTIFS(Başvuru!$C:$C,C264,Başvuru!$L:$L,"RET",Başvuru!$A:$A,"&lt;&gt;"&amp;"",Başvuru!$F:$F,"&lt;&gt;"&amp;""))</f>
        <v>0</v>
      </c>
      <c r="O264" s="164">
        <f>IF(C264="","",COUNTIFS(Başvuru!$C:$C,C264,Başvuru!$L:$L,"KAPSAM DIŞI",Başvuru!$A:$A,"&lt;&gt;"&amp;"",Başvuru!$F:$F,"&lt;&gt;"&amp;""))</f>
        <v>0</v>
      </c>
      <c r="P264" s="165">
        <f>IF(C264="","",COUNTIFS(Başvuru!$C:$C,C264,Başvuru!$L:$L,"GERİ ÇEKİLDİ",Başvuru!$A:$A,"&lt;&gt;"&amp;"",Başvuru!$F:$F,"&lt;&gt;"&amp;""))</f>
        <v>0</v>
      </c>
      <c r="Q264" s="166" t="s">
        <v>488</v>
      </c>
      <c r="R264" s="167">
        <f>COUNTIFS(Başvuru!$C:$C,Q264,Başvuru!$A:$A,"&lt;&gt;"&amp;"",Başvuru!$F:$F,"&lt;&gt;"&amp;"")</f>
        <v>1</v>
      </c>
      <c r="S264" s="167">
        <f>RANK(R264,$R$6:$R$324,0)+COUNTIF($R$6:R264,R264)-1</f>
        <v>271</v>
      </c>
    </row>
    <row r="265" spans="2:19" ht="15" customHeight="1" x14ac:dyDescent="0.25">
      <c r="B265" s="168">
        <v>260</v>
      </c>
      <c r="C265" s="169" t="str">
        <f>IFERROR(INDEX($Q$6:$Q$324,MATCH(260,$S$6:$S$324,0)),"")</f>
        <v>Prof. Dr. Pelin Özlem ŞİMŞEK KİPER</v>
      </c>
      <c r="D265" s="170">
        <f>IF(C265="","",COUNTIFS(Başvuru!$C:$C,C265,Başvuru!$A:$A,"&lt;&gt;"&amp;"",Başvuru!$F:$F,"&lt;&gt;"&amp;""))</f>
        <v>1</v>
      </c>
      <c r="E265" s="168" t="str">
        <f>IF(C265="","-",IF(D265&gt;0,TEXT(D265/(COUNTIFS(Başvuru!$A:$A,"&lt;&gt;",Başvuru!$F:$F,"&lt;&gt;")-1)*100,"0.0")&amp;"%","-"))</f>
        <v>00%</v>
      </c>
      <c r="F265" s="171">
        <f>IF(C265="","",COUNTIFS(Başvuru!$C:$C,C265,Başvuru!$G:$G,"Bireysel Araştırma",Başvuru!$A:$A,"&lt;&gt;"&amp;"",Başvuru!$F:$F,"&lt;&gt;"&amp;""))</f>
        <v>1</v>
      </c>
      <c r="G265" s="171">
        <f>IF(C265="","",COUNTIFS(Başvuru!$C:$C,C265,Başvuru!$G:$G,"Uzmanlık Tezi",Başvuru!$A:$A,"&lt;&gt;"&amp;"",Başvuru!$F:$F,"&lt;&gt;"&amp;""))</f>
        <v>0</v>
      </c>
      <c r="H265" s="171">
        <f>IF(C265="","",COUNTIFS(Başvuru!$C:$C,C265,Başvuru!$G:$G,"Doktora Tezi",Başvuru!$A:$A,"&lt;&gt;"&amp;"",Başvuru!$F:$F,"&lt;&gt;"&amp;""))</f>
        <v>0</v>
      </c>
      <c r="I265" s="171">
        <f>IF(C265="","",COUNTIFS(Başvuru!$C:$C,C265,Başvuru!$G:$G,"Yüksek Lisans Tezi",Başvuru!$A:$A,"&lt;&gt;"&amp;"",Başvuru!$F:$F,"&lt;&gt;"&amp;""))</f>
        <v>0</v>
      </c>
      <c r="J265" s="172">
        <f>IF(C265="","",COUNTIFS(Başvuru!$C:$C,C265,Başvuru!$L:$L,"ONAY",Başvuru!$A:$A,"&lt;&gt;"&amp;"",Başvuru!$F:$F,"&lt;&gt;"&amp;""))</f>
        <v>1</v>
      </c>
      <c r="K265" s="173">
        <f>IF(C265="","",COUNTIFS(Başvuru!$C:$C,C265,Başvuru!$L:$L,"DÜZELTME",Başvuru!$A:$A,"&lt;&gt;"&amp;"",Başvuru!$F:$F,"&lt;&gt;"&amp;""))</f>
        <v>0</v>
      </c>
      <c r="L265" s="174">
        <f>IF(C265="","",COUNTIFS(Başvuru!$C:$C,C265,Başvuru!$L:$L,"KAEK",Başvuru!$A:$A,"&lt;&gt;"&amp;"",Başvuru!$F:$F,"&lt;&gt;"&amp;""))</f>
        <v>0</v>
      </c>
      <c r="M265" s="175">
        <f>IF(C265="","",COUNTIFS(Başvuru!$C:$C,C265,Başvuru!$L:$L,"GÖRÜŞ",Başvuru!$A:$A,"&lt;&gt;"&amp;"",Başvuru!$F:$F,"&lt;&gt;"&amp;""))</f>
        <v>0</v>
      </c>
      <c r="N265" s="176">
        <f>IF(C265="","",COUNTIFS(Başvuru!$C:$C,C265,Başvuru!$L:$L,"RET",Başvuru!$A:$A,"&lt;&gt;"&amp;"",Başvuru!$F:$F,"&lt;&gt;"&amp;""))</f>
        <v>0</v>
      </c>
      <c r="O265" s="177">
        <f>IF(C265="","",COUNTIFS(Başvuru!$C:$C,C265,Başvuru!$L:$L,"KAPSAM DIŞI",Başvuru!$A:$A,"&lt;&gt;"&amp;"",Başvuru!$F:$F,"&lt;&gt;"&amp;""))</f>
        <v>0</v>
      </c>
      <c r="P265" s="178">
        <f>IF(C265="","",COUNTIFS(Başvuru!$C:$C,C265,Başvuru!$L:$L,"GERİ ÇEKİLDİ",Başvuru!$A:$A,"&lt;&gt;"&amp;"",Başvuru!$F:$F,"&lt;&gt;"&amp;""))</f>
        <v>0</v>
      </c>
      <c r="Q265" s="166" t="s">
        <v>1896</v>
      </c>
      <c r="R265" s="167">
        <f>COUNTIFS(Başvuru!$C:$C,Q265,Başvuru!$A:$A,"&lt;&gt;"&amp;"",Başvuru!$F:$F,"&lt;&gt;"&amp;"")</f>
        <v>1</v>
      </c>
      <c r="S265" s="167">
        <f>RANK(R265,$R$6:$R$324,0)+COUNTIF($R$6:R265,R265)-1</f>
        <v>272</v>
      </c>
    </row>
    <row r="266" spans="2:19" ht="15" customHeight="1" x14ac:dyDescent="0.25">
      <c r="B266" s="155">
        <v>261</v>
      </c>
      <c r="C266" s="156" t="str">
        <f>IFERROR(INDEX($Q$6:$Q$324,MATCH(261,$S$6:$S$324,0)),"")</f>
        <v>Prof. Dr. Pergin ATİLLA</v>
      </c>
      <c r="D266" s="157">
        <f>IF(C266="","",COUNTIFS(Başvuru!$C:$C,C266,Başvuru!$A:$A,"&lt;&gt;"&amp;"",Başvuru!$F:$F,"&lt;&gt;"&amp;""))</f>
        <v>1</v>
      </c>
      <c r="E266" s="155" t="str">
        <f>IF(C266="","-",IF(D266&gt;0,TEXT(D266/(COUNTIFS(Başvuru!$A:$A,"&lt;&gt;",Başvuru!$F:$F,"&lt;&gt;")-1)*100,"0.0")&amp;"%","-"))</f>
        <v>00%</v>
      </c>
      <c r="F266" s="158">
        <f>IF(C266="","",COUNTIFS(Başvuru!$C:$C,C266,Başvuru!$G:$G,"Bireysel Araştırma",Başvuru!$A:$A,"&lt;&gt;"&amp;"",Başvuru!$F:$F,"&lt;&gt;"&amp;""))</f>
        <v>0</v>
      </c>
      <c r="G266" s="158">
        <f>IF(C266="","",COUNTIFS(Başvuru!$C:$C,C266,Başvuru!$G:$G,"Uzmanlık Tezi",Başvuru!$A:$A,"&lt;&gt;"&amp;"",Başvuru!$F:$F,"&lt;&gt;"&amp;""))</f>
        <v>1</v>
      </c>
      <c r="H266" s="158">
        <f>IF(C266="","",COUNTIFS(Başvuru!$C:$C,C266,Başvuru!$G:$G,"Doktora Tezi",Başvuru!$A:$A,"&lt;&gt;"&amp;"",Başvuru!$F:$F,"&lt;&gt;"&amp;""))</f>
        <v>0</v>
      </c>
      <c r="I266" s="158">
        <f>IF(C266="","",COUNTIFS(Başvuru!$C:$C,C266,Başvuru!$G:$G,"Yüksek Lisans Tezi",Başvuru!$A:$A,"&lt;&gt;"&amp;"",Başvuru!$F:$F,"&lt;&gt;"&amp;""))</f>
        <v>0</v>
      </c>
      <c r="J266" s="159">
        <f>IF(C266="","",COUNTIFS(Başvuru!$C:$C,C266,Başvuru!$L:$L,"ONAY",Başvuru!$A:$A,"&lt;&gt;"&amp;"",Başvuru!$F:$F,"&lt;&gt;"&amp;""))</f>
        <v>0</v>
      </c>
      <c r="K266" s="160">
        <f>IF(C266="","",COUNTIFS(Başvuru!$C:$C,C266,Başvuru!$L:$L,"DÜZELTME",Başvuru!$A:$A,"&lt;&gt;"&amp;"",Başvuru!$F:$F,"&lt;&gt;"&amp;""))</f>
        <v>1</v>
      </c>
      <c r="L266" s="161">
        <f>IF(C266="","",COUNTIFS(Başvuru!$C:$C,C266,Başvuru!$L:$L,"KAEK",Başvuru!$A:$A,"&lt;&gt;"&amp;"",Başvuru!$F:$F,"&lt;&gt;"&amp;""))</f>
        <v>0</v>
      </c>
      <c r="M266" s="162">
        <f>IF(C266="","",COUNTIFS(Başvuru!$C:$C,C266,Başvuru!$L:$L,"GÖRÜŞ",Başvuru!$A:$A,"&lt;&gt;"&amp;"",Başvuru!$F:$F,"&lt;&gt;"&amp;""))</f>
        <v>0</v>
      </c>
      <c r="N266" s="163">
        <f>IF(C266="","",COUNTIFS(Başvuru!$C:$C,C266,Başvuru!$L:$L,"RET",Başvuru!$A:$A,"&lt;&gt;"&amp;"",Başvuru!$F:$F,"&lt;&gt;"&amp;""))</f>
        <v>0</v>
      </c>
      <c r="O266" s="164">
        <f>IF(C266="","",COUNTIFS(Başvuru!$C:$C,C266,Başvuru!$L:$L,"KAPSAM DIŞI",Başvuru!$A:$A,"&lt;&gt;"&amp;"",Başvuru!$F:$F,"&lt;&gt;"&amp;""))</f>
        <v>0</v>
      </c>
      <c r="P266" s="165">
        <f>IF(C266="","",COUNTIFS(Başvuru!$C:$C,C266,Başvuru!$L:$L,"GERİ ÇEKİLDİ",Başvuru!$A:$A,"&lt;&gt;"&amp;"",Başvuru!$F:$F,"&lt;&gt;"&amp;""))</f>
        <v>0</v>
      </c>
      <c r="Q266" s="166" t="s">
        <v>2295</v>
      </c>
      <c r="R266" s="167">
        <f>COUNTIFS(Başvuru!$C:$C,Q266,Başvuru!$A:$A,"&lt;&gt;"&amp;"",Başvuru!$F:$F,"&lt;&gt;"&amp;"")</f>
        <v>1</v>
      </c>
      <c r="S266" s="167">
        <f>RANK(R266,$R$6:$R$324,0)+COUNTIF($R$6:R266,R266)-1</f>
        <v>273</v>
      </c>
    </row>
    <row r="267" spans="2:19" ht="15" customHeight="1" x14ac:dyDescent="0.25">
      <c r="B267" s="168">
        <v>262</v>
      </c>
      <c r="C267" s="169" t="str">
        <f>IFERROR(INDEX($Q$6:$Q$324,MATCH(262,$S$6:$S$324,0)),"")</f>
        <v>Prof. Dr. Petek KORKUSUZ</v>
      </c>
      <c r="D267" s="170">
        <f>IF(C267="","",COUNTIFS(Başvuru!$C:$C,C267,Başvuru!$A:$A,"&lt;&gt;"&amp;"",Başvuru!$F:$F,"&lt;&gt;"&amp;""))</f>
        <v>1</v>
      </c>
      <c r="E267" s="168" t="str">
        <f>IF(C267="","-",IF(D267&gt;0,TEXT(D267/(COUNTIFS(Başvuru!$A:$A,"&lt;&gt;",Başvuru!$F:$F,"&lt;&gt;")-1)*100,"0.0")&amp;"%","-"))</f>
        <v>00%</v>
      </c>
      <c r="F267" s="171">
        <f>IF(C267="","",COUNTIFS(Başvuru!$C:$C,C267,Başvuru!$G:$G,"Bireysel Araştırma",Başvuru!$A:$A,"&lt;&gt;"&amp;"",Başvuru!$F:$F,"&lt;&gt;"&amp;""))</f>
        <v>1</v>
      </c>
      <c r="G267" s="171">
        <f>IF(C267="","",COUNTIFS(Başvuru!$C:$C,C267,Başvuru!$G:$G,"Uzmanlık Tezi",Başvuru!$A:$A,"&lt;&gt;"&amp;"",Başvuru!$F:$F,"&lt;&gt;"&amp;""))</f>
        <v>0</v>
      </c>
      <c r="H267" s="171">
        <f>IF(C267="","",COUNTIFS(Başvuru!$C:$C,C267,Başvuru!$G:$G,"Doktora Tezi",Başvuru!$A:$A,"&lt;&gt;"&amp;"",Başvuru!$F:$F,"&lt;&gt;"&amp;""))</f>
        <v>0</v>
      </c>
      <c r="I267" s="171">
        <f>IF(C267="","",COUNTIFS(Başvuru!$C:$C,C267,Başvuru!$G:$G,"Yüksek Lisans Tezi",Başvuru!$A:$A,"&lt;&gt;"&amp;"",Başvuru!$F:$F,"&lt;&gt;"&amp;""))</f>
        <v>0</v>
      </c>
      <c r="J267" s="172">
        <f>IF(C267="","",COUNTIFS(Başvuru!$C:$C,C267,Başvuru!$L:$L,"ONAY",Başvuru!$A:$A,"&lt;&gt;"&amp;"",Başvuru!$F:$F,"&lt;&gt;"&amp;""))</f>
        <v>0</v>
      </c>
      <c r="K267" s="173">
        <f>IF(C267="","",COUNTIFS(Başvuru!$C:$C,C267,Başvuru!$L:$L,"DÜZELTME",Başvuru!$A:$A,"&lt;&gt;"&amp;"",Başvuru!$F:$F,"&lt;&gt;"&amp;""))</f>
        <v>1</v>
      </c>
      <c r="L267" s="174">
        <f>IF(C267="","",COUNTIFS(Başvuru!$C:$C,C267,Başvuru!$L:$L,"KAEK",Başvuru!$A:$A,"&lt;&gt;"&amp;"",Başvuru!$F:$F,"&lt;&gt;"&amp;""))</f>
        <v>0</v>
      </c>
      <c r="M267" s="175">
        <f>IF(C267="","",COUNTIFS(Başvuru!$C:$C,C267,Başvuru!$L:$L,"GÖRÜŞ",Başvuru!$A:$A,"&lt;&gt;"&amp;"",Başvuru!$F:$F,"&lt;&gt;"&amp;""))</f>
        <v>0</v>
      </c>
      <c r="N267" s="176">
        <f>IF(C267="","",COUNTIFS(Başvuru!$C:$C,C267,Başvuru!$L:$L,"RET",Başvuru!$A:$A,"&lt;&gt;"&amp;"",Başvuru!$F:$F,"&lt;&gt;"&amp;""))</f>
        <v>0</v>
      </c>
      <c r="O267" s="177">
        <f>IF(C267="","",COUNTIFS(Başvuru!$C:$C,C267,Başvuru!$L:$L,"KAPSAM DIŞI",Başvuru!$A:$A,"&lt;&gt;"&amp;"",Başvuru!$F:$F,"&lt;&gt;"&amp;""))</f>
        <v>0</v>
      </c>
      <c r="P267" s="178">
        <f>IF(C267="","",COUNTIFS(Başvuru!$C:$C,C267,Başvuru!$L:$L,"GERİ ÇEKİLDİ",Başvuru!$A:$A,"&lt;&gt;"&amp;"",Başvuru!$F:$F,"&lt;&gt;"&amp;""))</f>
        <v>0</v>
      </c>
      <c r="Q267" s="166" t="s">
        <v>100</v>
      </c>
      <c r="R267" s="167">
        <f>COUNTIFS(Başvuru!$C:$C,Q267,Başvuru!$A:$A,"&lt;&gt;"&amp;"",Başvuru!$F:$F,"&lt;&gt;"&amp;"")</f>
        <v>1</v>
      </c>
      <c r="S267" s="167">
        <f>RANK(R267,$R$6:$R$324,0)+COUNTIF($R$6:R267,R267)-1</f>
        <v>274</v>
      </c>
    </row>
    <row r="268" spans="2:19" ht="15" customHeight="1" x14ac:dyDescent="0.25">
      <c r="B268" s="155">
        <v>263</v>
      </c>
      <c r="C268" s="156" t="str">
        <f>IFERROR(INDEX($Q$6:$Q$324,MATCH(263,$S$6:$S$324,0)),"")</f>
        <v>Prof. Dr. Selçuk DAĞDELEN</v>
      </c>
      <c r="D268" s="157">
        <f>IF(C268="","",COUNTIFS(Başvuru!$C:$C,C268,Başvuru!$A:$A,"&lt;&gt;"&amp;"",Başvuru!$F:$F,"&lt;&gt;"&amp;""))</f>
        <v>1</v>
      </c>
      <c r="E268" s="155" t="str">
        <f>IF(C268="","-",IF(D268&gt;0,TEXT(D268/(COUNTIFS(Başvuru!$A:$A,"&lt;&gt;",Başvuru!$F:$F,"&lt;&gt;")-1)*100,"0.0")&amp;"%","-"))</f>
        <v>00%</v>
      </c>
      <c r="F268" s="158">
        <f>IF(C268="","",COUNTIFS(Başvuru!$C:$C,C268,Başvuru!$G:$G,"Bireysel Araştırma",Başvuru!$A:$A,"&lt;&gt;"&amp;"",Başvuru!$F:$F,"&lt;&gt;"&amp;""))</f>
        <v>1</v>
      </c>
      <c r="G268" s="158">
        <f>IF(C268="","",COUNTIFS(Başvuru!$C:$C,C268,Başvuru!$G:$G,"Uzmanlık Tezi",Başvuru!$A:$A,"&lt;&gt;"&amp;"",Başvuru!$F:$F,"&lt;&gt;"&amp;""))</f>
        <v>0</v>
      </c>
      <c r="H268" s="158">
        <f>IF(C268="","",COUNTIFS(Başvuru!$C:$C,C268,Başvuru!$G:$G,"Doktora Tezi",Başvuru!$A:$A,"&lt;&gt;"&amp;"",Başvuru!$F:$F,"&lt;&gt;"&amp;""))</f>
        <v>0</v>
      </c>
      <c r="I268" s="158">
        <f>IF(C268="","",COUNTIFS(Başvuru!$C:$C,C268,Başvuru!$G:$G,"Yüksek Lisans Tezi",Başvuru!$A:$A,"&lt;&gt;"&amp;"",Başvuru!$F:$F,"&lt;&gt;"&amp;""))</f>
        <v>0</v>
      </c>
      <c r="J268" s="159">
        <f>IF(C268="","",COUNTIFS(Başvuru!$C:$C,C268,Başvuru!$L:$L,"ONAY",Başvuru!$A:$A,"&lt;&gt;"&amp;"",Başvuru!$F:$F,"&lt;&gt;"&amp;""))</f>
        <v>1</v>
      </c>
      <c r="K268" s="160">
        <f>IF(C268="","",COUNTIFS(Başvuru!$C:$C,C268,Başvuru!$L:$L,"DÜZELTME",Başvuru!$A:$A,"&lt;&gt;"&amp;"",Başvuru!$F:$F,"&lt;&gt;"&amp;""))</f>
        <v>0</v>
      </c>
      <c r="L268" s="161">
        <f>IF(C268="","",COUNTIFS(Başvuru!$C:$C,C268,Başvuru!$L:$L,"KAEK",Başvuru!$A:$A,"&lt;&gt;"&amp;"",Başvuru!$F:$F,"&lt;&gt;"&amp;""))</f>
        <v>0</v>
      </c>
      <c r="M268" s="162">
        <f>IF(C268="","",COUNTIFS(Başvuru!$C:$C,C268,Başvuru!$L:$L,"GÖRÜŞ",Başvuru!$A:$A,"&lt;&gt;"&amp;"",Başvuru!$F:$F,"&lt;&gt;"&amp;""))</f>
        <v>0</v>
      </c>
      <c r="N268" s="163">
        <f>IF(C268="","",COUNTIFS(Başvuru!$C:$C,C268,Başvuru!$L:$L,"RET",Başvuru!$A:$A,"&lt;&gt;"&amp;"",Başvuru!$F:$F,"&lt;&gt;"&amp;""))</f>
        <v>0</v>
      </c>
      <c r="O268" s="164">
        <f>IF(C268="","",COUNTIFS(Başvuru!$C:$C,C268,Başvuru!$L:$L,"KAPSAM DIŞI",Başvuru!$A:$A,"&lt;&gt;"&amp;"",Başvuru!$F:$F,"&lt;&gt;"&amp;""))</f>
        <v>0</v>
      </c>
      <c r="P268" s="165">
        <f>IF(C268="","",COUNTIFS(Başvuru!$C:$C,C268,Başvuru!$L:$L,"GERİ ÇEKİLDİ",Başvuru!$A:$A,"&lt;&gt;"&amp;"",Başvuru!$F:$F,"&lt;&gt;"&amp;""))</f>
        <v>0</v>
      </c>
      <c r="Q268" s="166" t="s">
        <v>1123</v>
      </c>
      <c r="R268" s="167">
        <f>COUNTIFS(Başvuru!$C:$C,Q268,Başvuru!$A:$A,"&lt;&gt;"&amp;"",Başvuru!$F:$F,"&lt;&gt;"&amp;"")</f>
        <v>3</v>
      </c>
      <c r="S268" s="167">
        <f>RANK(R268,$R$6:$R$324,0)+COUNTIF($R$6:R268,R268)-1</f>
        <v>68</v>
      </c>
    </row>
    <row r="269" spans="2:19" ht="15" customHeight="1" x14ac:dyDescent="0.25">
      <c r="B269" s="168">
        <v>264</v>
      </c>
      <c r="C269" s="169" t="str">
        <f>IFERROR(INDEX($Q$6:$Q$324,MATCH(264,$S$6:$S$324,0)),"")</f>
        <v>Prof. Dr. Sevinç SARINÇ</v>
      </c>
      <c r="D269" s="170">
        <f>IF(C269="","",COUNTIFS(Başvuru!$C:$C,C269,Başvuru!$A:$A,"&lt;&gt;"&amp;"",Başvuru!$F:$F,"&lt;&gt;"&amp;""))</f>
        <v>1</v>
      </c>
      <c r="E269" s="168" t="str">
        <f>IF(C269="","-",IF(D269&gt;0,TEXT(D269/(COUNTIFS(Başvuru!$A:$A,"&lt;&gt;",Başvuru!$F:$F,"&lt;&gt;")-1)*100,"0.0")&amp;"%","-"))</f>
        <v>00%</v>
      </c>
      <c r="F269" s="171">
        <f>IF(C269="","",COUNTIFS(Başvuru!$C:$C,C269,Başvuru!$G:$G,"Bireysel Araştırma",Başvuru!$A:$A,"&lt;&gt;"&amp;"",Başvuru!$F:$F,"&lt;&gt;"&amp;""))</f>
        <v>0</v>
      </c>
      <c r="G269" s="171">
        <f>IF(C269="","",COUNTIFS(Başvuru!$C:$C,C269,Başvuru!$G:$G,"Uzmanlık Tezi",Başvuru!$A:$A,"&lt;&gt;"&amp;"",Başvuru!$F:$F,"&lt;&gt;"&amp;""))</f>
        <v>1</v>
      </c>
      <c r="H269" s="171">
        <f>IF(C269="","",COUNTIFS(Başvuru!$C:$C,C269,Başvuru!$G:$G,"Doktora Tezi",Başvuru!$A:$A,"&lt;&gt;"&amp;"",Başvuru!$F:$F,"&lt;&gt;"&amp;""))</f>
        <v>0</v>
      </c>
      <c r="I269" s="171">
        <f>IF(C269="","",COUNTIFS(Başvuru!$C:$C,C269,Başvuru!$G:$G,"Yüksek Lisans Tezi",Başvuru!$A:$A,"&lt;&gt;"&amp;"",Başvuru!$F:$F,"&lt;&gt;"&amp;""))</f>
        <v>0</v>
      </c>
      <c r="J269" s="172">
        <f>IF(C269="","",COUNTIFS(Başvuru!$C:$C,C269,Başvuru!$L:$L,"ONAY",Başvuru!$A:$A,"&lt;&gt;"&amp;"",Başvuru!$F:$F,"&lt;&gt;"&amp;""))</f>
        <v>0</v>
      </c>
      <c r="K269" s="173">
        <f>IF(C269="","",COUNTIFS(Başvuru!$C:$C,C269,Başvuru!$L:$L,"DÜZELTME",Başvuru!$A:$A,"&lt;&gt;"&amp;"",Başvuru!$F:$F,"&lt;&gt;"&amp;""))</f>
        <v>1</v>
      </c>
      <c r="L269" s="174">
        <f>IF(C269="","",COUNTIFS(Başvuru!$C:$C,C269,Başvuru!$L:$L,"KAEK",Başvuru!$A:$A,"&lt;&gt;"&amp;"",Başvuru!$F:$F,"&lt;&gt;"&amp;""))</f>
        <v>0</v>
      </c>
      <c r="M269" s="175">
        <f>IF(C269="","",COUNTIFS(Başvuru!$C:$C,C269,Başvuru!$L:$L,"GÖRÜŞ",Başvuru!$A:$A,"&lt;&gt;"&amp;"",Başvuru!$F:$F,"&lt;&gt;"&amp;""))</f>
        <v>0</v>
      </c>
      <c r="N269" s="176">
        <f>IF(C269="","",COUNTIFS(Başvuru!$C:$C,C269,Başvuru!$L:$L,"RET",Başvuru!$A:$A,"&lt;&gt;"&amp;"",Başvuru!$F:$F,"&lt;&gt;"&amp;""))</f>
        <v>0</v>
      </c>
      <c r="O269" s="177">
        <f>IF(C269="","",COUNTIFS(Başvuru!$C:$C,C269,Başvuru!$L:$L,"KAPSAM DIŞI",Başvuru!$A:$A,"&lt;&gt;"&amp;"",Başvuru!$F:$F,"&lt;&gt;"&amp;""))</f>
        <v>0</v>
      </c>
      <c r="P269" s="178">
        <f>IF(C269="","",COUNTIFS(Başvuru!$C:$C,C269,Başvuru!$L:$L,"GERİ ÇEKİLDİ",Başvuru!$A:$A,"&lt;&gt;"&amp;"",Başvuru!$F:$F,"&lt;&gt;"&amp;""))</f>
        <v>0</v>
      </c>
      <c r="Q269" s="166" t="s">
        <v>525</v>
      </c>
      <c r="R269" s="167">
        <f>COUNTIFS(Başvuru!$C:$C,Q269,Başvuru!$A:$A,"&lt;&gt;"&amp;"",Başvuru!$F:$F,"&lt;&gt;"&amp;"")</f>
        <v>1</v>
      </c>
      <c r="S269" s="167">
        <f>RANK(R269,$R$6:$R$324,0)+COUNTIF($R$6:R269,R269)-1</f>
        <v>275</v>
      </c>
    </row>
    <row r="270" spans="2:19" ht="15" customHeight="1" x14ac:dyDescent="0.25">
      <c r="B270" s="155">
        <v>265</v>
      </c>
      <c r="C270" s="156" t="str">
        <f>IFERROR(INDEX($Q$6:$Q$324,MATCH(265,$S$6:$S$324,0)),"")</f>
        <v>Prof. Dr. Sibel ERSOY EVANS</v>
      </c>
      <c r="D270" s="157">
        <f>IF(C270="","",COUNTIFS(Başvuru!$C:$C,C270,Başvuru!$A:$A,"&lt;&gt;"&amp;"",Başvuru!$F:$F,"&lt;&gt;"&amp;""))</f>
        <v>1</v>
      </c>
      <c r="E270" s="155" t="str">
        <f>IF(C270="","-",IF(D270&gt;0,TEXT(D270/(COUNTIFS(Başvuru!$A:$A,"&lt;&gt;",Başvuru!$F:$F,"&lt;&gt;")-1)*100,"0.0")&amp;"%","-"))</f>
        <v>00%</v>
      </c>
      <c r="F270" s="158">
        <f>IF(C270="","",COUNTIFS(Başvuru!$C:$C,C270,Başvuru!$G:$G,"Bireysel Araştırma",Başvuru!$A:$A,"&lt;&gt;"&amp;"",Başvuru!$F:$F,"&lt;&gt;"&amp;""))</f>
        <v>1</v>
      </c>
      <c r="G270" s="158">
        <f>IF(C270="","",COUNTIFS(Başvuru!$C:$C,C270,Başvuru!$G:$G,"Uzmanlık Tezi",Başvuru!$A:$A,"&lt;&gt;"&amp;"",Başvuru!$F:$F,"&lt;&gt;"&amp;""))</f>
        <v>0</v>
      </c>
      <c r="H270" s="158">
        <f>IF(C270="","",COUNTIFS(Başvuru!$C:$C,C270,Başvuru!$G:$G,"Doktora Tezi",Başvuru!$A:$A,"&lt;&gt;"&amp;"",Başvuru!$F:$F,"&lt;&gt;"&amp;""))</f>
        <v>0</v>
      </c>
      <c r="I270" s="158">
        <f>IF(C270="","",COUNTIFS(Başvuru!$C:$C,C270,Başvuru!$G:$G,"Yüksek Lisans Tezi",Başvuru!$A:$A,"&lt;&gt;"&amp;"",Başvuru!$F:$F,"&lt;&gt;"&amp;""))</f>
        <v>0</v>
      </c>
      <c r="J270" s="159">
        <f>IF(C270="","",COUNTIFS(Başvuru!$C:$C,C270,Başvuru!$L:$L,"ONAY",Başvuru!$A:$A,"&lt;&gt;"&amp;"",Başvuru!$F:$F,"&lt;&gt;"&amp;""))</f>
        <v>0</v>
      </c>
      <c r="K270" s="160">
        <f>IF(C270="","",COUNTIFS(Başvuru!$C:$C,C270,Başvuru!$L:$L,"DÜZELTME",Başvuru!$A:$A,"&lt;&gt;"&amp;"",Başvuru!$F:$F,"&lt;&gt;"&amp;""))</f>
        <v>0</v>
      </c>
      <c r="L270" s="161">
        <f>IF(C270="","",COUNTIFS(Başvuru!$C:$C,C270,Başvuru!$L:$L,"KAEK",Başvuru!$A:$A,"&lt;&gt;"&amp;"",Başvuru!$F:$F,"&lt;&gt;"&amp;""))</f>
        <v>0</v>
      </c>
      <c r="M270" s="162">
        <f>IF(C270="","",COUNTIFS(Başvuru!$C:$C,C270,Başvuru!$L:$L,"GÖRÜŞ",Başvuru!$A:$A,"&lt;&gt;"&amp;"",Başvuru!$F:$F,"&lt;&gt;"&amp;""))</f>
        <v>1</v>
      </c>
      <c r="N270" s="163">
        <f>IF(C270="","",COUNTIFS(Başvuru!$C:$C,C270,Başvuru!$L:$L,"RET",Başvuru!$A:$A,"&lt;&gt;"&amp;"",Başvuru!$F:$F,"&lt;&gt;"&amp;""))</f>
        <v>0</v>
      </c>
      <c r="O270" s="164">
        <f>IF(C270="","",COUNTIFS(Başvuru!$C:$C,C270,Başvuru!$L:$L,"KAPSAM DIŞI",Başvuru!$A:$A,"&lt;&gt;"&amp;"",Başvuru!$F:$F,"&lt;&gt;"&amp;""))</f>
        <v>0</v>
      </c>
      <c r="P270" s="165">
        <f>IF(C270="","",COUNTIFS(Başvuru!$C:$C,C270,Başvuru!$L:$L,"GERİ ÇEKİLDİ",Başvuru!$A:$A,"&lt;&gt;"&amp;"",Başvuru!$F:$F,"&lt;&gt;"&amp;""))</f>
        <v>0</v>
      </c>
      <c r="Q270" s="166" t="s">
        <v>1238</v>
      </c>
      <c r="R270" s="167">
        <f>COUNTIFS(Başvuru!$C:$C,Q270,Başvuru!$A:$A,"&lt;&gt;"&amp;"",Başvuru!$F:$F,"&lt;&gt;"&amp;"")</f>
        <v>6</v>
      </c>
      <c r="S270" s="167">
        <f>RANK(R270,$R$6:$R$324,0)+COUNTIF($R$6:R270,R270)-1</f>
        <v>18</v>
      </c>
    </row>
    <row r="271" spans="2:19" ht="15" customHeight="1" x14ac:dyDescent="0.25">
      <c r="B271" s="168">
        <v>266</v>
      </c>
      <c r="C271" s="169" t="str">
        <f>IFERROR(INDEX($Q$6:$Q$324,MATCH(266,$S$6:$S$324,0)),"")</f>
        <v>Prof. Dr. Tarık TUNCAY</v>
      </c>
      <c r="D271" s="170">
        <f>IF(C271="","",COUNTIFS(Başvuru!$C:$C,C271,Başvuru!$A:$A,"&lt;&gt;"&amp;"",Başvuru!$F:$F,"&lt;&gt;"&amp;""))</f>
        <v>1</v>
      </c>
      <c r="E271" s="168" t="str">
        <f>IF(C271="","-",IF(D271&gt;0,TEXT(D271/(COUNTIFS(Başvuru!$A:$A,"&lt;&gt;",Başvuru!$F:$F,"&lt;&gt;")-1)*100,"0.0")&amp;"%","-"))</f>
        <v>00%</v>
      </c>
      <c r="F271" s="171">
        <f>IF(C271="","",COUNTIFS(Başvuru!$C:$C,C271,Başvuru!$G:$G,"Bireysel Araştırma",Başvuru!$A:$A,"&lt;&gt;"&amp;"",Başvuru!$F:$F,"&lt;&gt;"&amp;""))</f>
        <v>1</v>
      </c>
      <c r="G271" s="171">
        <f>IF(C271="","",COUNTIFS(Başvuru!$C:$C,C271,Başvuru!$G:$G,"Uzmanlık Tezi",Başvuru!$A:$A,"&lt;&gt;"&amp;"",Başvuru!$F:$F,"&lt;&gt;"&amp;""))</f>
        <v>0</v>
      </c>
      <c r="H271" s="171">
        <f>IF(C271="","",COUNTIFS(Başvuru!$C:$C,C271,Başvuru!$G:$G,"Doktora Tezi",Başvuru!$A:$A,"&lt;&gt;"&amp;"",Başvuru!$F:$F,"&lt;&gt;"&amp;""))</f>
        <v>0</v>
      </c>
      <c r="I271" s="171">
        <f>IF(C271="","",COUNTIFS(Başvuru!$C:$C,C271,Başvuru!$G:$G,"Yüksek Lisans Tezi",Başvuru!$A:$A,"&lt;&gt;"&amp;"",Başvuru!$F:$F,"&lt;&gt;"&amp;""))</f>
        <v>0</v>
      </c>
      <c r="J271" s="172">
        <f>IF(C271="","",COUNTIFS(Başvuru!$C:$C,C271,Başvuru!$L:$L,"ONAY",Başvuru!$A:$A,"&lt;&gt;"&amp;"",Başvuru!$F:$F,"&lt;&gt;"&amp;""))</f>
        <v>0</v>
      </c>
      <c r="K271" s="173">
        <f>IF(C271="","",COUNTIFS(Başvuru!$C:$C,C271,Başvuru!$L:$L,"DÜZELTME",Başvuru!$A:$A,"&lt;&gt;"&amp;"",Başvuru!$F:$F,"&lt;&gt;"&amp;""))</f>
        <v>1</v>
      </c>
      <c r="L271" s="174">
        <f>IF(C271="","",COUNTIFS(Başvuru!$C:$C,C271,Başvuru!$L:$L,"KAEK",Başvuru!$A:$A,"&lt;&gt;"&amp;"",Başvuru!$F:$F,"&lt;&gt;"&amp;""))</f>
        <v>0</v>
      </c>
      <c r="M271" s="175">
        <f>IF(C271="","",COUNTIFS(Başvuru!$C:$C,C271,Başvuru!$L:$L,"GÖRÜŞ",Başvuru!$A:$A,"&lt;&gt;"&amp;"",Başvuru!$F:$F,"&lt;&gt;"&amp;""))</f>
        <v>0</v>
      </c>
      <c r="N271" s="176">
        <f>IF(C271="","",COUNTIFS(Başvuru!$C:$C,C271,Başvuru!$L:$L,"RET",Başvuru!$A:$A,"&lt;&gt;"&amp;"",Başvuru!$F:$F,"&lt;&gt;"&amp;""))</f>
        <v>0</v>
      </c>
      <c r="O271" s="177">
        <f>IF(C271="","",COUNTIFS(Başvuru!$C:$C,C271,Başvuru!$L:$L,"KAPSAM DIŞI",Başvuru!$A:$A,"&lt;&gt;"&amp;"",Başvuru!$F:$F,"&lt;&gt;"&amp;""))</f>
        <v>0</v>
      </c>
      <c r="P271" s="178">
        <f>IF(C271="","",COUNTIFS(Başvuru!$C:$C,C271,Başvuru!$L:$L,"GERİ ÇEKİLDİ",Başvuru!$A:$A,"&lt;&gt;"&amp;"",Başvuru!$F:$F,"&lt;&gt;"&amp;""))</f>
        <v>0</v>
      </c>
      <c r="Q271" s="166" t="s">
        <v>2278</v>
      </c>
      <c r="R271" s="167">
        <f>COUNTIFS(Başvuru!$C:$C,Q271,Başvuru!$A:$A,"&lt;&gt;"&amp;"",Başvuru!$F:$F,"&lt;&gt;"&amp;"")</f>
        <v>1</v>
      </c>
      <c r="S271" s="167">
        <f>RANK(R271,$R$6:$R$324,0)+COUNTIF($R$6:R271,R271)-1</f>
        <v>276</v>
      </c>
    </row>
    <row r="272" spans="2:19" ht="15" customHeight="1" x14ac:dyDescent="0.25">
      <c r="B272" s="155">
        <v>267</v>
      </c>
      <c r="C272" s="156" t="str">
        <f>IFERROR(INDEX($Q$6:$Q$324,MATCH(267,$S$6:$S$324,0)),"")</f>
        <v>Prof. Dr. Yakut AKYÖN YILMAZ</v>
      </c>
      <c r="D272" s="157">
        <f>IF(C272="","",COUNTIFS(Başvuru!$C:$C,C272,Başvuru!$A:$A,"&lt;&gt;"&amp;"",Başvuru!$F:$F,"&lt;&gt;"&amp;""))</f>
        <v>1</v>
      </c>
      <c r="E272" s="155" t="str">
        <f>IF(C272="","-",IF(D272&gt;0,TEXT(D272/(COUNTIFS(Başvuru!$A:$A,"&lt;&gt;",Başvuru!$F:$F,"&lt;&gt;")-1)*100,"0.0")&amp;"%","-"))</f>
        <v>00%</v>
      </c>
      <c r="F272" s="158">
        <f>IF(C272="","",COUNTIFS(Başvuru!$C:$C,C272,Başvuru!$G:$G,"Bireysel Araştırma",Başvuru!$A:$A,"&lt;&gt;"&amp;"",Başvuru!$F:$F,"&lt;&gt;"&amp;""))</f>
        <v>0</v>
      </c>
      <c r="G272" s="158">
        <f>IF(C272="","",COUNTIFS(Başvuru!$C:$C,C272,Başvuru!$G:$G,"Uzmanlık Tezi",Başvuru!$A:$A,"&lt;&gt;"&amp;"",Başvuru!$F:$F,"&lt;&gt;"&amp;""))</f>
        <v>0</v>
      </c>
      <c r="H272" s="158">
        <f>IF(C272="","",COUNTIFS(Başvuru!$C:$C,C272,Başvuru!$G:$G,"Doktora Tezi",Başvuru!$A:$A,"&lt;&gt;"&amp;"",Başvuru!$F:$F,"&lt;&gt;"&amp;""))</f>
        <v>1</v>
      </c>
      <c r="I272" s="158">
        <f>IF(C272="","",COUNTIFS(Başvuru!$C:$C,C272,Başvuru!$G:$G,"Yüksek Lisans Tezi",Başvuru!$A:$A,"&lt;&gt;"&amp;"",Başvuru!$F:$F,"&lt;&gt;"&amp;""))</f>
        <v>0</v>
      </c>
      <c r="J272" s="159">
        <f>IF(C272="","",COUNTIFS(Başvuru!$C:$C,C272,Başvuru!$L:$L,"ONAY",Başvuru!$A:$A,"&lt;&gt;"&amp;"",Başvuru!$F:$F,"&lt;&gt;"&amp;""))</f>
        <v>0</v>
      </c>
      <c r="K272" s="160">
        <f>IF(C272="","",COUNTIFS(Başvuru!$C:$C,C272,Başvuru!$L:$L,"DÜZELTME",Başvuru!$A:$A,"&lt;&gt;"&amp;"",Başvuru!$F:$F,"&lt;&gt;"&amp;""))</f>
        <v>1</v>
      </c>
      <c r="L272" s="161">
        <f>IF(C272="","",COUNTIFS(Başvuru!$C:$C,C272,Başvuru!$L:$L,"KAEK",Başvuru!$A:$A,"&lt;&gt;"&amp;"",Başvuru!$F:$F,"&lt;&gt;"&amp;""))</f>
        <v>0</v>
      </c>
      <c r="M272" s="162">
        <f>IF(C272="","",COUNTIFS(Başvuru!$C:$C,C272,Başvuru!$L:$L,"GÖRÜŞ",Başvuru!$A:$A,"&lt;&gt;"&amp;"",Başvuru!$F:$F,"&lt;&gt;"&amp;""))</f>
        <v>0</v>
      </c>
      <c r="N272" s="163">
        <f>IF(C272="","",COUNTIFS(Başvuru!$C:$C,C272,Başvuru!$L:$L,"RET",Başvuru!$A:$A,"&lt;&gt;"&amp;"",Başvuru!$F:$F,"&lt;&gt;"&amp;""))</f>
        <v>0</v>
      </c>
      <c r="O272" s="164">
        <f>IF(C272="","",COUNTIFS(Başvuru!$C:$C,C272,Başvuru!$L:$L,"KAPSAM DIŞI",Başvuru!$A:$A,"&lt;&gt;"&amp;"",Başvuru!$F:$F,"&lt;&gt;"&amp;""))</f>
        <v>0</v>
      </c>
      <c r="P272" s="165">
        <f>IF(C272="","",COUNTIFS(Başvuru!$C:$C,C272,Başvuru!$L:$L,"GERİ ÇEKİLDİ",Başvuru!$A:$A,"&lt;&gt;"&amp;"",Başvuru!$F:$F,"&lt;&gt;"&amp;""))</f>
        <v>0</v>
      </c>
      <c r="Q272" s="166" t="s">
        <v>534</v>
      </c>
      <c r="R272" s="167">
        <f>COUNTIFS(Başvuru!$C:$C,Q272,Başvuru!$A:$A,"&lt;&gt;"&amp;"",Başvuru!$F:$F,"&lt;&gt;"&amp;"")</f>
        <v>1</v>
      </c>
      <c r="S272" s="167">
        <f>RANK(R272,$R$6:$R$324,0)+COUNTIF($R$6:R272,R272)-1</f>
        <v>277</v>
      </c>
    </row>
    <row r="273" spans="2:19" ht="15" customHeight="1" x14ac:dyDescent="0.25">
      <c r="B273" s="168">
        <v>268</v>
      </c>
      <c r="C273" s="169" t="str">
        <f>IFERROR(INDEX($Q$6:$Q$324,MATCH(268,$S$6:$S$324,0)),"")</f>
        <v>Prof. Dr. Yavuz AYHAN</v>
      </c>
      <c r="D273" s="170">
        <f>IF(C273="","",COUNTIFS(Başvuru!$C:$C,C273,Başvuru!$A:$A,"&lt;&gt;"&amp;"",Başvuru!$F:$F,"&lt;&gt;"&amp;""))</f>
        <v>1</v>
      </c>
      <c r="E273" s="168" t="str">
        <f>IF(C273="","-",IF(D273&gt;0,TEXT(D273/(COUNTIFS(Başvuru!$A:$A,"&lt;&gt;",Başvuru!$F:$F,"&lt;&gt;")-1)*100,"0.0")&amp;"%","-"))</f>
        <v>00%</v>
      </c>
      <c r="F273" s="171">
        <f>IF(C273="","",COUNTIFS(Başvuru!$C:$C,C273,Başvuru!$G:$G,"Bireysel Araştırma",Başvuru!$A:$A,"&lt;&gt;"&amp;"",Başvuru!$F:$F,"&lt;&gt;"&amp;""))</f>
        <v>1</v>
      </c>
      <c r="G273" s="171">
        <f>IF(C273="","",COUNTIFS(Başvuru!$C:$C,C273,Başvuru!$G:$G,"Uzmanlık Tezi",Başvuru!$A:$A,"&lt;&gt;"&amp;"",Başvuru!$F:$F,"&lt;&gt;"&amp;""))</f>
        <v>0</v>
      </c>
      <c r="H273" s="171">
        <f>IF(C273="","",COUNTIFS(Başvuru!$C:$C,C273,Başvuru!$G:$G,"Doktora Tezi",Başvuru!$A:$A,"&lt;&gt;"&amp;"",Başvuru!$F:$F,"&lt;&gt;"&amp;""))</f>
        <v>0</v>
      </c>
      <c r="I273" s="171">
        <f>IF(C273="","",COUNTIFS(Başvuru!$C:$C,C273,Başvuru!$G:$G,"Yüksek Lisans Tezi",Başvuru!$A:$A,"&lt;&gt;"&amp;"",Başvuru!$F:$F,"&lt;&gt;"&amp;""))</f>
        <v>0</v>
      </c>
      <c r="J273" s="172">
        <f>IF(C273="","",COUNTIFS(Başvuru!$C:$C,C273,Başvuru!$L:$L,"ONAY",Başvuru!$A:$A,"&lt;&gt;"&amp;"",Başvuru!$F:$F,"&lt;&gt;"&amp;""))</f>
        <v>0</v>
      </c>
      <c r="K273" s="173">
        <f>IF(C273="","",COUNTIFS(Başvuru!$C:$C,C273,Başvuru!$L:$L,"DÜZELTME",Başvuru!$A:$A,"&lt;&gt;"&amp;"",Başvuru!$F:$F,"&lt;&gt;"&amp;""))</f>
        <v>1</v>
      </c>
      <c r="L273" s="174">
        <f>IF(C273="","",COUNTIFS(Başvuru!$C:$C,C273,Başvuru!$L:$L,"KAEK",Başvuru!$A:$A,"&lt;&gt;"&amp;"",Başvuru!$F:$F,"&lt;&gt;"&amp;""))</f>
        <v>0</v>
      </c>
      <c r="M273" s="175">
        <f>IF(C273="","",COUNTIFS(Başvuru!$C:$C,C273,Başvuru!$L:$L,"GÖRÜŞ",Başvuru!$A:$A,"&lt;&gt;"&amp;"",Başvuru!$F:$F,"&lt;&gt;"&amp;""))</f>
        <v>0</v>
      </c>
      <c r="N273" s="176">
        <f>IF(C273="","",COUNTIFS(Başvuru!$C:$C,C273,Başvuru!$L:$L,"RET",Başvuru!$A:$A,"&lt;&gt;"&amp;"",Başvuru!$F:$F,"&lt;&gt;"&amp;""))</f>
        <v>0</v>
      </c>
      <c r="O273" s="177">
        <f>IF(C273="","",COUNTIFS(Başvuru!$C:$C,C273,Başvuru!$L:$L,"KAPSAM DIŞI",Başvuru!$A:$A,"&lt;&gt;"&amp;"",Başvuru!$F:$F,"&lt;&gt;"&amp;""))</f>
        <v>0</v>
      </c>
      <c r="P273" s="178">
        <f>IF(C273="","",COUNTIFS(Başvuru!$C:$C,C273,Başvuru!$L:$L,"GERİ ÇEKİLDİ",Başvuru!$A:$A,"&lt;&gt;"&amp;"",Başvuru!$F:$F,"&lt;&gt;"&amp;""))</f>
        <v>0</v>
      </c>
      <c r="Q273" s="166" t="s">
        <v>2110</v>
      </c>
      <c r="R273" s="167">
        <f>COUNTIFS(Başvuru!$C:$C,Q273,Başvuru!$A:$A,"&lt;&gt;"&amp;"",Başvuru!$F:$F,"&lt;&gt;"&amp;"")</f>
        <v>4</v>
      </c>
      <c r="S273" s="167">
        <f>RANK(R273,$R$6:$R$324,0)+COUNTIF($R$6:R273,R273)-1</f>
        <v>46</v>
      </c>
    </row>
    <row r="274" spans="2:19" ht="15" customHeight="1" x14ac:dyDescent="0.25">
      <c r="B274" s="155">
        <v>269</v>
      </c>
      <c r="C274" s="156" t="str">
        <f>IFERROR(INDEX($Q$6:$Q$324,MATCH(269,$S$6:$S$324,0)),"")</f>
        <v>Prof. Dr. Zafer Selçuk TUNCER</v>
      </c>
      <c r="D274" s="157">
        <f>IF(C274="","",COUNTIFS(Başvuru!$C:$C,C274,Başvuru!$A:$A,"&lt;&gt;"&amp;"",Başvuru!$F:$F,"&lt;&gt;"&amp;""))</f>
        <v>1</v>
      </c>
      <c r="E274" s="155" t="str">
        <f>IF(C274="","-",IF(D274&gt;0,TEXT(D274/(COUNTIFS(Başvuru!$A:$A,"&lt;&gt;",Başvuru!$F:$F,"&lt;&gt;")-1)*100,"0.0")&amp;"%","-"))</f>
        <v>00%</v>
      </c>
      <c r="F274" s="158">
        <f>IF(C274="","",COUNTIFS(Başvuru!$C:$C,C274,Başvuru!$G:$G,"Bireysel Araştırma",Başvuru!$A:$A,"&lt;&gt;"&amp;"",Başvuru!$F:$F,"&lt;&gt;"&amp;""))</f>
        <v>1</v>
      </c>
      <c r="G274" s="158">
        <f>IF(C274="","",COUNTIFS(Başvuru!$C:$C,C274,Başvuru!$G:$G,"Uzmanlık Tezi",Başvuru!$A:$A,"&lt;&gt;"&amp;"",Başvuru!$F:$F,"&lt;&gt;"&amp;""))</f>
        <v>0</v>
      </c>
      <c r="H274" s="158">
        <f>IF(C274="","",COUNTIFS(Başvuru!$C:$C,C274,Başvuru!$G:$G,"Doktora Tezi",Başvuru!$A:$A,"&lt;&gt;"&amp;"",Başvuru!$F:$F,"&lt;&gt;"&amp;""))</f>
        <v>0</v>
      </c>
      <c r="I274" s="158">
        <f>IF(C274="","",COUNTIFS(Başvuru!$C:$C,C274,Başvuru!$G:$G,"Yüksek Lisans Tezi",Başvuru!$A:$A,"&lt;&gt;"&amp;"",Başvuru!$F:$F,"&lt;&gt;"&amp;""))</f>
        <v>0</v>
      </c>
      <c r="J274" s="159">
        <f>IF(C274="","",COUNTIFS(Başvuru!$C:$C,C274,Başvuru!$L:$L,"ONAY",Başvuru!$A:$A,"&lt;&gt;"&amp;"",Başvuru!$F:$F,"&lt;&gt;"&amp;""))</f>
        <v>0</v>
      </c>
      <c r="K274" s="160">
        <f>IF(C274="","",COUNTIFS(Başvuru!$C:$C,C274,Başvuru!$L:$L,"DÜZELTME",Başvuru!$A:$A,"&lt;&gt;"&amp;"",Başvuru!$F:$F,"&lt;&gt;"&amp;""))</f>
        <v>0</v>
      </c>
      <c r="L274" s="161">
        <f>IF(C274="","",COUNTIFS(Başvuru!$C:$C,C274,Başvuru!$L:$L,"KAEK",Başvuru!$A:$A,"&lt;&gt;"&amp;"",Başvuru!$F:$F,"&lt;&gt;"&amp;""))</f>
        <v>0</v>
      </c>
      <c r="M274" s="162">
        <f>IF(C274="","",COUNTIFS(Başvuru!$C:$C,C274,Başvuru!$L:$L,"GÖRÜŞ",Başvuru!$A:$A,"&lt;&gt;"&amp;"",Başvuru!$F:$F,"&lt;&gt;"&amp;""))</f>
        <v>0</v>
      </c>
      <c r="N274" s="163">
        <f>IF(C274="","",COUNTIFS(Başvuru!$C:$C,C274,Başvuru!$L:$L,"RET",Başvuru!$A:$A,"&lt;&gt;"&amp;"",Başvuru!$F:$F,"&lt;&gt;"&amp;""))</f>
        <v>1</v>
      </c>
      <c r="O274" s="164">
        <f>IF(C274="","",COUNTIFS(Başvuru!$C:$C,C274,Başvuru!$L:$L,"KAPSAM DIŞI",Başvuru!$A:$A,"&lt;&gt;"&amp;"",Başvuru!$F:$F,"&lt;&gt;"&amp;""))</f>
        <v>0</v>
      </c>
      <c r="P274" s="165">
        <f>IF(C274="","",COUNTIFS(Başvuru!$C:$C,C274,Başvuru!$L:$L,"GERİ ÇEKİLDİ",Başvuru!$A:$A,"&lt;&gt;"&amp;"",Başvuru!$F:$F,"&lt;&gt;"&amp;""))</f>
        <v>0</v>
      </c>
      <c r="Q274" s="166" t="s">
        <v>1445</v>
      </c>
      <c r="R274" s="167">
        <f>COUNTIFS(Başvuru!$C:$C,Q274,Başvuru!$A:$A,"&lt;&gt;"&amp;"",Başvuru!$F:$F,"&lt;&gt;"&amp;"")</f>
        <v>2</v>
      </c>
      <c r="S274" s="167">
        <f>RANK(R274,$R$6:$R$324,0)+COUNTIF($R$6:R274,R274)-1</f>
        <v>134</v>
      </c>
    </row>
    <row r="275" spans="2:19" ht="15" customHeight="1" x14ac:dyDescent="0.25">
      <c r="B275" s="168">
        <v>270</v>
      </c>
      <c r="C275" s="169" t="str">
        <f>IFERROR(INDEX($Q$6:$Q$324,MATCH(270,$S$6:$S$324,0)),"")</f>
        <v>Prof. Dr. Ömer Alper GÜRLEK</v>
      </c>
      <c r="D275" s="170">
        <f>IF(C275="","",COUNTIFS(Başvuru!$C:$C,C275,Başvuru!$A:$A,"&lt;&gt;"&amp;"",Başvuru!$F:$F,"&lt;&gt;"&amp;""))</f>
        <v>1</v>
      </c>
      <c r="E275" s="168" t="str">
        <f>IF(C275="","-",IF(D275&gt;0,TEXT(D275/(COUNTIFS(Başvuru!$A:$A,"&lt;&gt;",Başvuru!$F:$F,"&lt;&gt;")-1)*100,"0.0")&amp;"%","-"))</f>
        <v>00%</v>
      </c>
      <c r="F275" s="171">
        <f>IF(C275="","",COUNTIFS(Başvuru!$C:$C,C275,Başvuru!$G:$G,"Bireysel Araştırma",Başvuru!$A:$A,"&lt;&gt;"&amp;"",Başvuru!$F:$F,"&lt;&gt;"&amp;""))</f>
        <v>1</v>
      </c>
      <c r="G275" s="171">
        <f>IF(C275="","",COUNTIFS(Başvuru!$C:$C,C275,Başvuru!$G:$G,"Uzmanlık Tezi",Başvuru!$A:$A,"&lt;&gt;"&amp;"",Başvuru!$F:$F,"&lt;&gt;"&amp;""))</f>
        <v>0</v>
      </c>
      <c r="H275" s="171">
        <f>IF(C275="","",COUNTIFS(Başvuru!$C:$C,C275,Başvuru!$G:$G,"Doktora Tezi",Başvuru!$A:$A,"&lt;&gt;"&amp;"",Başvuru!$F:$F,"&lt;&gt;"&amp;""))</f>
        <v>0</v>
      </c>
      <c r="I275" s="171">
        <f>IF(C275="","",COUNTIFS(Başvuru!$C:$C,C275,Başvuru!$G:$G,"Yüksek Lisans Tezi",Başvuru!$A:$A,"&lt;&gt;"&amp;"",Başvuru!$F:$F,"&lt;&gt;"&amp;""))</f>
        <v>0</v>
      </c>
      <c r="J275" s="172">
        <f>IF(C275="","",COUNTIFS(Başvuru!$C:$C,C275,Başvuru!$L:$L,"ONAY",Başvuru!$A:$A,"&lt;&gt;"&amp;"",Başvuru!$F:$F,"&lt;&gt;"&amp;""))</f>
        <v>0</v>
      </c>
      <c r="K275" s="173">
        <f>IF(C275="","",COUNTIFS(Başvuru!$C:$C,C275,Başvuru!$L:$L,"DÜZELTME",Başvuru!$A:$A,"&lt;&gt;"&amp;"",Başvuru!$F:$F,"&lt;&gt;"&amp;""))</f>
        <v>1</v>
      </c>
      <c r="L275" s="174">
        <f>IF(C275="","",COUNTIFS(Başvuru!$C:$C,C275,Başvuru!$L:$L,"KAEK",Başvuru!$A:$A,"&lt;&gt;"&amp;"",Başvuru!$F:$F,"&lt;&gt;"&amp;""))</f>
        <v>0</v>
      </c>
      <c r="M275" s="175">
        <f>IF(C275="","",COUNTIFS(Başvuru!$C:$C,C275,Başvuru!$L:$L,"GÖRÜŞ",Başvuru!$A:$A,"&lt;&gt;"&amp;"",Başvuru!$F:$F,"&lt;&gt;"&amp;""))</f>
        <v>0</v>
      </c>
      <c r="N275" s="176">
        <f>IF(C275="","",COUNTIFS(Başvuru!$C:$C,C275,Başvuru!$L:$L,"RET",Başvuru!$A:$A,"&lt;&gt;"&amp;"",Başvuru!$F:$F,"&lt;&gt;"&amp;""))</f>
        <v>0</v>
      </c>
      <c r="O275" s="177">
        <f>IF(C275="","",COUNTIFS(Başvuru!$C:$C,C275,Başvuru!$L:$L,"KAPSAM DIŞI",Başvuru!$A:$A,"&lt;&gt;"&amp;"",Başvuru!$F:$F,"&lt;&gt;"&amp;""))</f>
        <v>0</v>
      </c>
      <c r="P275" s="178">
        <f>IF(C275="","",COUNTIFS(Başvuru!$C:$C,C275,Başvuru!$L:$L,"GERİ ÇEKİLDİ",Başvuru!$A:$A,"&lt;&gt;"&amp;"",Başvuru!$F:$F,"&lt;&gt;"&amp;""))</f>
        <v>0</v>
      </c>
      <c r="Q275" s="166" t="s">
        <v>2001</v>
      </c>
      <c r="R275" s="167">
        <f>COUNTIFS(Başvuru!$C:$C,Q275,Başvuru!$A:$A,"&lt;&gt;"&amp;"",Başvuru!$F:$F,"&lt;&gt;"&amp;"")</f>
        <v>1</v>
      </c>
      <c r="S275" s="167">
        <f>RANK(R275,$R$6:$R$324,0)+COUNTIF($R$6:R275,R275)-1</f>
        <v>278</v>
      </c>
    </row>
    <row r="276" spans="2:19" ht="15" customHeight="1" x14ac:dyDescent="0.25">
      <c r="B276" s="155">
        <v>271</v>
      </c>
      <c r="C276" s="156" t="str">
        <f>IFERROR(INDEX($Q$6:$Q$324,MATCH(271,$S$6:$S$324,0)),"")</f>
        <v>Prof. Dr. Ömer UĞUR</v>
      </c>
      <c r="D276" s="157">
        <f>IF(C276="","",COUNTIFS(Başvuru!$C:$C,C276,Başvuru!$A:$A,"&lt;&gt;"&amp;"",Başvuru!$F:$F,"&lt;&gt;"&amp;""))</f>
        <v>1</v>
      </c>
      <c r="E276" s="155" t="str">
        <f>IF(C276="","-",IF(D276&gt;0,TEXT(D276/(COUNTIFS(Başvuru!$A:$A,"&lt;&gt;",Başvuru!$F:$F,"&lt;&gt;")-1)*100,"0.0")&amp;"%","-"))</f>
        <v>00%</v>
      </c>
      <c r="F276" s="158">
        <f>IF(C276="","",COUNTIFS(Başvuru!$C:$C,C276,Başvuru!$G:$G,"Bireysel Araştırma",Başvuru!$A:$A,"&lt;&gt;"&amp;"",Başvuru!$F:$F,"&lt;&gt;"&amp;""))</f>
        <v>1</v>
      </c>
      <c r="G276" s="158">
        <f>IF(C276="","",COUNTIFS(Başvuru!$C:$C,C276,Başvuru!$G:$G,"Uzmanlık Tezi",Başvuru!$A:$A,"&lt;&gt;"&amp;"",Başvuru!$F:$F,"&lt;&gt;"&amp;""))</f>
        <v>0</v>
      </c>
      <c r="H276" s="158">
        <f>IF(C276="","",COUNTIFS(Başvuru!$C:$C,C276,Başvuru!$G:$G,"Doktora Tezi",Başvuru!$A:$A,"&lt;&gt;"&amp;"",Başvuru!$F:$F,"&lt;&gt;"&amp;""))</f>
        <v>0</v>
      </c>
      <c r="I276" s="158">
        <f>IF(C276="","",COUNTIFS(Başvuru!$C:$C,C276,Başvuru!$G:$G,"Yüksek Lisans Tezi",Başvuru!$A:$A,"&lt;&gt;"&amp;"",Başvuru!$F:$F,"&lt;&gt;"&amp;""))</f>
        <v>0</v>
      </c>
      <c r="J276" s="159">
        <f>IF(C276="","",COUNTIFS(Başvuru!$C:$C,C276,Başvuru!$L:$L,"ONAY",Başvuru!$A:$A,"&lt;&gt;"&amp;"",Başvuru!$F:$F,"&lt;&gt;"&amp;""))</f>
        <v>1</v>
      </c>
      <c r="K276" s="160">
        <f>IF(C276="","",COUNTIFS(Başvuru!$C:$C,C276,Başvuru!$L:$L,"DÜZELTME",Başvuru!$A:$A,"&lt;&gt;"&amp;"",Başvuru!$F:$F,"&lt;&gt;"&amp;""))</f>
        <v>0</v>
      </c>
      <c r="L276" s="161">
        <f>IF(C276="","",COUNTIFS(Başvuru!$C:$C,C276,Başvuru!$L:$L,"KAEK",Başvuru!$A:$A,"&lt;&gt;"&amp;"",Başvuru!$F:$F,"&lt;&gt;"&amp;""))</f>
        <v>0</v>
      </c>
      <c r="M276" s="162">
        <f>IF(C276="","",COUNTIFS(Başvuru!$C:$C,C276,Başvuru!$L:$L,"GÖRÜŞ",Başvuru!$A:$A,"&lt;&gt;"&amp;"",Başvuru!$F:$F,"&lt;&gt;"&amp;""))</f>
        <v>0</v>
      </c>
      <c r="N276" s="163">
        <f>IF(C276="","",COUNTIFS(Başvuru!$C:$C,C276,Başvuru!$L:$L,"RET",Başvuru!$A:$A,"&lt;&gt;"&amp;"",Başvuru!$F:$F,"&lt;&gt;"&amp;""))</f>
        <v>0</v>
      </c>
      <c r="O276" s="164">
        <f>IF(C276="","",COUNTIFS(Başvuru!$C:$C,C276,Başvuru!$L:$L,"KAPSAM DIŞI",Başvuru!$A:$A,"&lt;&gt;"&amp;"",Başvuru!$F:$F,"&lt;&gt;"&amp;""))</f>
        <v>0</v>
      </c>
      <c r="P276" s="165">
        <f>IF(C276="","",COUNTIFS(Başvuru!$C:$C,C276,Başvuru!$L:$L,"GERİ ÇEKİLDİ",Başvuru!$A:$A,"&lt;&gt;"&amp;"",Başvuru!$F:$F,"&lt;&gt;"&amp;""))</f>
        <v>0</v>
      </c>
      <c r="Q276" s="166" t="s">
        <v>1198</v>
      </c>
      <c r="R276" s="167">
        <f>COUNTIFS(Başvuru!$C:$C,Q276,Başvuru!$A:$A,"&lt;&gt;"&amp;"",Başvuru!$F:$F,"&lt;&gt;"&amp;"")</f>
        <v>1</v>
      </c>
      <c r="S276" s="167">
        <f>RANK(R276,$R$6:$R$324,0)+COUNTIF($R$6:R276,R276)-1</f>
        <v>279</v>
      </c>
    </row>
    <row r="277" spans="2:19" ht="15" customHeight="1" x14ac:dyDescent="0.25">
      <c r="B277" s="168">
        <v>272</v>
      </c>
      <c r="C277" s="169" t="str">
        <f>IFERROR(INDEX($Q$6:$Q$324,MATCH(272,$S$6:$S$324,0)),"")</f>
        <v>Prof. Dr. Ömrüm UZUN</v>
      </c>
      <c r="D277" s="170">
        <f>IF(C277="","",COUNTIFS(Başvuru!$C:$C,C277,Başvuru!$A:$A,"&lt;&gt;"&amp;"",Başvuru!$F:$F,"&lt;&gt;"&amp;""))</f>
        <v>1</v>
      </c>
      <c r="E277" s="168" t="str">
        <f>IF(C277="","-",IF(D277&gt;0,TEXT(D277/(COUNTIFS(Başvuru!$A:$A,"&lt;&gt;",Başvuru!$F:$F,"&lt;&gt;")-1)*100,"0.0")&amp;"%","-"))</f>
        <v>00%</v>
      </c>
      <c r="F277" s="171">
        <f>IF(C277="","",COUNTIFS(Başvuru!$C:$C,C277,Başvuru!$G:$G,"Bireysel Araştırma",Başvuru!$A:$A,"&lt;&gt;"&amp;"",Başvuru!$F:$F,"&lt;&gt;"&amp;""))</f>
        <v>1</v>
      </c>
      <c r="G277" s="171">
        <f>IF(C277="","",COUNTIFS(Başvuru!$C:$C,C277,Başvuru!$G:$G,"Uzmanlık Tezi",Başvuru!$A:$A,"&lt;&gt;"&amp;"",Başvuru!$F:$F,"&lt;&gt;"&amp;""))</f>
        <v>0</v>
      </c>
      <c r="H277" s="171">
        <f>IF(C277="","",COUNTIFS(Başvuru!$C:$C,C277,Başvuru!$G:$G,"Doktora Tezi",Başvuru!$A:$A,"&lt;&gt;"&amp;"",Başvuru!$F:$F,"&lt;&gt;"&amp;""))</f>
        <v>0</v>
      </c>
      <c r="I277" s="171">
        <f>IF(C277="","",COUNTIFS(Başvuru!$C:$C,C277,Başvuru!$G:$G,"Yüksek Lisans Tezi",Başvuru!$A:$A,"&lt;&gt;"&amp;"",Başvuru!$F:$F,"&lt;&gt;"&amp;""))</f>
        <v>0</v>
      </c>
      <c r="J277" s="172">
        <f>IF(C277="","",COUNTIFS(Başvuru!$C:$C,C277,Başvuru!$L:$L,"ONAY",Başvuru!$A:$A,"&lt;&gt;"&amp;"",Başvuru!$F:$F,"&lt;&gt;"&amp;""))</f>
        <v>1</v>
      </c>
      <c r="K277" s="173">
        <f>IF(C277="","",COUNTIFS(Başvuru!$C:$C,C277,Başvuru!$L:$L,"DÜZELTME",Başvuru!$A:$A,"&lt;&gt;"&amp;"",Başvuru!$F:$F,"&lt;&gt;"&amp;""))</f>
        <v>0</v>
      </c>
      <c r="L277" s="174">
        <f>IF(C277="","",COUNTIFS(Başvuru!$C:$C,C277,Başvuru!$L:$L,"KAEK",Başvuru!$A:$A,"&lt;&gt;"&amp;"",Başvuru!$F:$F,"&lt;&gt;"&amp;""))</f>
        <v>0</v>
      </c>
      <c r="M277" s="175">
        <f>IF(C277="","",COUNTIFS(Başvuru!$C:$C,C277,Başvuru!$L:$L,"GÖRÜŞ",Başvuru!$A:$A,"&lt;&gt;"&amp;"",Başvuru!$F:$F,"&lt;&gt;"&amp;""))</f>
        <v>0</v>
      </c>
      <c r="N277" s="176">
        <f>IF(C277="","",COUNTIFS(Başvuru!$C:$C,C277,Başvuru!$L:$L,"RET",Başvuru!$A:$A,"&lt;&gt;"&amp;"",Başvuru!$F:$F,"&lt;&gt;"&amp;""))</f>
        <v>0</v>
      </c>
      <c r="O277" s="177">
        <f>IF(C277="","",COUNTIFS(Başvuru!$C:$C,C277,Başvuru!$L:$L,"KAPSAM DIŞI",Başvuru!$A:$A,"&lt;&gt;"&amp;"",Başvuru!$F:$F,"&lt;&gt;"&amp;""))</f>
        <v>0</v>
      </c>
      <c r="P277" s="178">
        <f>IF(C277="","",COUNTIFS(Başvuru!$C:$C,C277,Başvuru!$L:$L,"GERİ ÇEKİLDİ",Başvuru!$A:$A,"&lt;&gt;"&amp;"",Başvuru!$F:$F,"&lt;&gt;"&amp;""))</f>
        <v>0</v>
      </c>
      <c r="Q277" s="166" t="s">
        <v>2263</v>
      </c>
      <c r="R277" s="167">
        <f>COUNTIFS(Başvuru!$C:$C,Q277,Başvuru!$A:$A,"&lt;&gt;"&amp;"",Başvuru!$F:$F,"&lt;&gt;"&amp;"")</f>
        <v>2</v>
      </c>
      <c r="S277" s="167">
        <f>RANK(R277,$R$6:$R$324,0)+COUNTIF($R$6:R277,R277)-1</f>
        <v>135</v>
      </c>
    </row>
    <row r="278" spans="2:19" ht="15" customHeight="1" x14ac:dyDescent="0.25">
      <c r="B278" s="155">
        <v>273</v>
      </c>
      <c r="C278" s="156" t="str">
        <f>IFERROR(INDEX($Q$6:$Q$324,MATCH(273,$S$6:$S$324,0)),"")</f>
        <v>Prof. Dr. Ömür ÇAĞLAR</v>
      </c>
      <c r="D278" s="157">
        <f>IF(C278="","",COUNTIFS(Başvuru!$C:$C,C278,Başvuru!$A:$A,"&lt;&gt;"&amp;"",Başvuru!$F:$F,"&lt;&gt;"&amp;""))</f>
        <v>1</v>
      </c>
      <c r="E278" s="155" t="str">
        <f>IF(C278="","-",IF(D278&gt;0,TEXT(D278/(COUNTIFS(Başvuru!$A:$A,"&lt;&gt;",Başvuru!$F:$F,"&lt;&gt;")-1)*100,"0.0")&amp;"%","-"))</f>
        <v>00%</v>
      </c>
      <c r="F278" s="158">
        <f>IF(C278="","",COUNTIFS(Başvuru!$C:$C,C278,Başvuru!$G:$G,"Bireysel Araştırma",Başvuru!$A:$A,"&lt;&gt;"&amp;"",Başvuru!$F:$F,"&lt;&gt;"&amp;""))</f>
        <v>1</v>
      </c>
      <c r="G278" s="158">
        <f>IF(C278="","",COUNTIFS(Başvuru!$C:$C,C278,Başvuru!$G:$G,"Uzmanlık Tezi",Başvuru!$A:$A,"&lt;&gt;"&amp;"",Başvuru!$F:$F,"&lt;&gt;"&amp;""))</f>
        <v>0</v>
      </c>
      <c r="H278" s="158">
        <f>IF(C278="","",COUNTIFS(Başvuru!$C:$C,C278,Başvuru!$G:$G,"Doktora Tezi",Başvuru!$A:$A,"&lt;&gt;"&amp;"",Başvuru!$F:$F,"&lt;&gt;"&amp;""))</f>
        <v>0</v>
      </c>
      <c r="I278" s="158">
        <f>IF(C278="","",COUNTIFS(Başvuru!$C:$C,C278,Başvuru!$G:$G,"Yüksek Lisans Tezi",Başvuru!$A:$A,"&lt;&gt;"&amp;"",Başvuru!$F:$F,"&lt;&gt;"&amp;""))</f>
        <v>0</v>
      </c>
      <c r="J278" s="159">
        <f>IF(C278="","",COUNTIFS(Başvuru!$C:$C,C278,Başvuru!$L:$L,"ONAY",Başvuru!$A:$A,"&lt;&gt;"&amp;"",Başvuru!$F:$F,"&lt;&gt;"&amp;""))</f>
        <v>1</v>
      </c>
      <c r="K278" s="160">
        <f>IF(C278="","",COUNTIFS(Başvuru!$C:$C,C278,Başvuru!$L:$L,"DÜZELTME",Başvuru!$A:$A,"&lt;&gt;"&amp;"",Başvuru!$F:$F,"&lt;&gt;"&amp;""))</f>
        <v>0</v>
      </c>
      <c r="L278" s="161">
        <f>IF(C278="","",COUNTIFS(Başvuru!$C:$C,C278,Başvuru!$L:$L,"KAEK",Başvuru!$A:$A,"&lt;&gt;"&amp;"",Başvuru!$F:$F,"&lt;&gt;"&amp;""))</f>
        <v>0</v>
      </c>
      <c r="M278" s="162">
        <f>IF(C278="","",COUNTIFS(Başvuru!$C:$C,C278,Başvuru!$L:$L,"GÖRÜŞ",Başvuru!$A:$A,"&lt;&gt;"&amp;"",Başvuru!$F:$F,"&lt;&gt;"&amp;""))</f>
        <v>0</v>
      </c>
      <c r="N278" s="163">
        <f>IF(C278="","",COUNTIFS(Başvuru!$C:$C,C278,Başvuru!$L:$L,"RET",Başvuru!$A:$A,"&lt;&gt;"&amp;"",Başvuru!$F:$F,"&lt;&gt;"&amp;""))</f>
        <v>0</v>
      </c>
      <c r="O278" s="164">
        <f>IF(C278="","",COUNTIFS(Başvuru!$C:$C,C278,Başvuru!$L:$L,"KAPSAM DIŞI",Başvuru!$A:$A,"&lt;&gt;"&amp;"",Başvuru!$F:$F,"&lt;&gt;"&amp;""))</f>
        <v>0</v>
      </c>
      <c r="P278" s="165">
        <f>IF(C278="","",COUNTIFS(Başvuru!$C:$C,C278,Başvuru!$L:$L,"GERİ ÇEKİLDİ",Başvuru!$A:$A,"&lt;&gt;"&amp;"",Başvuru!$F:$F,"&lt;&gt;"&amp;""))</f>
        <v>0</v>
      </c>
      <c r="Q278" s="166" t="s">
        <v>2049</v>
      </c>
      <c r="R278" s="167">
        <f>COUNTIFS(Başvuru!$C:$C,Q278,Başvuru!$A:$A,"&lt;&gt;"&amp;"",Başvuru!$F:$F,"&lt;&gt;"&amp;"")</f>
        <v>1</v>
      </c>
      <c r="S278" s="167">
        <f>RANK(R278,$R$6:$R$324,0)+COUNTIF($R$6:R278,R278)-1</f>
        <v>280</v>
      </c>
    </row>
    <row r="279" spans="2:19" ht="15" customHeight="1" x14ac:dyDescent="0.25">
      <c r="B279" s="168">
        <v>274</v>
      </c>
      <c r="C279" s="169" t="str">
        <f>IFERROR(INDEX($Q$6:$Q$324,MATCH(274,$S$6:$S$324,0)),"")</f>
        <v>Prof. Dr. Ömür ÇELİKBIÇAK</v>
      </c>
      <c r="D279" s="170">
        <f>IF(C279="","",COUNTIFS(Başvuru!$C:$C,C279,Başvuru!$A:$A,"&lt;&gt;"&amp;"",Başvuru!$F:$F,"&lt;&gt;"&amp;""))</f>
        <v>1</v>
      </c>
      <c r="E279" s="168" t="str">
        <f>IF(C279="","-",IF(D279&gt;0,TEXT(D279/(COUNTIFS(Başvuru!$A:$A,"&lt;&gt;",Başvuru!$F:$F,"&lt;&gt;")-1)*100,"0.0")&amp;"%","-"))</f>
        <v>00%</v>
      </c>
      <c r="F279" s="171">
        <f>IF(C279="","",COUNTIFS(Başvuru!$C:$C,C279,Başvuru!$G:$G,"Bireysel Araştırma",Başvuru!$A:$A,"&lt;&gt;"&amp;"",Başvuru!$F:$F,"&lt;&gt;"&amp;""))</f>
        <v>0</v>
      </c>
      <c r="G279" s="171">
        <f>IF(C279="","",COUNTIFS(Başvuru!$C:$C,C279,Başvuru!$G:$G,"Uzmanlık Tezi",Başvuru!$A:$A,"&lt;&gt;"&amp;"",Başvuru!$F:$F,"&lt;&gt;"&amp;""))</f>
        <v>0</v>
      </c>
      <c r="H279" s="171">
        <f>IF(C279="","",COUNTIFS(Başvuru!$C:$C,C279,Başvuru!$G:$G,"Doktora Tezi",Başvuru!$A:$A,"&lt;&gt;"&amp;"",Başvuru!$F:$F,"&lt;&gt;"&amp;""))</f>
        <v>1</v>
      </c>
      <c r="I279" s="171">
        <f>IF(C279="","",COUNTIFS(Başvuru!$C:$C,C279,Başvuru!$G:$G,"Yüksek Lisans Tezi",Başvuru!$A:$A,"&lt;&gt;"&amp;"",Başvuru!$F:$F,"&lt;&gt;"&amp;""))</f>
        <v>0</v>
      </c>
      <c r="J279" s="172">
        <f>IF(C279="","",COUNTIFS(Başvuru!$C:$C,C279,Başvuru!$L:$L,"ONAY",Başvuru!$A:$A,"&lt;&gt;"&amp;"",Başvuru!$F:$F,"&lt;&gt;"&amp;""))</f>
        <v>0</v>
      </c>
      <c r="K279" s="173">
        <f>IF(C279="","",COUNTIFS(Başvuru!$C:$C,C279,Başvuru!$L:$L,"DÜZELTME",Başvuru!$A:$A,"&lt;&gt;"&amp;"",Başvuru!$F:$F,"&lt;&gt;"&amp;""))</f>
        <v>1</v>
      </c>
      <c r="L279" s="174">
        <f>IF(C279="","",COUNTIFS(Başvuru!$C:$C,C279,Başvuru!$L:$L,"KAEK",Başvuru!$A:$A,"&lt;&gt;"&amp;"",Başvuru!$F:$F,"&lt;&gt;"&amp;""))</f>
        <v>0</v>
      </c>
      <c r="M279" s="175">
        <f>IF(C279="","",COUNTIFS(Başvuru!$C:$C,C279,Başvuru!$L:$L,"GÖRÜŞ",Başvuru!$A:$A,"&lt;&gt;"&amp;"",Başvuru!$F:$F,"&lt;&gt;"&amp;""))</f>
        <v>0</v>
      </c>
      <c r="N279" s="176">
        <f>IF(C279="","",COUNTIFS(Başvuru!$C:$C,C279,Başvuru!$L:$L,"RET",Başvuru!$A:$A,"&lt;&gt;"&amp;"",Başvuru!$F:$F,"&lt;&gt;"&amp;""))</f>
        <v>0</v>
      </c>
      <c r="O279" s="177">
        <f>IF(C279="","",COUNTIFS(Başvuru!$C:$C,C279,Başvuru!$L:$L,"KAPSAM DIŞI",Başvuru!$A:$A,"&lt;&gt;"&amp;"",Başvuru!$F:$F,"&lt;&gt;"&amp;""))</f>
        <v>0</v>
      </c>
      <c r="P279" s="178">
        <f>IF(C279="","",COUNTIFS(Başvuru!$C:$C,C279,Başvuru!$L:$L,"GERİ ÇEKİLDİ",Başvuru!$A:$A,"&lt;&gt;"&amp;"",Başvuru!$F:$F,"&lt;&gt;"&amp;""))</f>
        <v>0</v>
      </c>
      <c r="Q279" s="166" t="s">
        <v>1278</v>
      </c>
      <c r="R279" s="167">
        <f>COUNTIFS(Başvuru!$C:$C,Q279,Başvuru!$A:$A,"&lt;&gt;"&amp;"",Başvuru!$F:$F,"&lt;&gt;"&amp;"")</f>
        <v>5</v>
      </c>
      <c r="S279" s="167">
        <f>RANK(R279,$R$6:$R$324,0)+COUNTIF($R$6:R279,R279)-1</f>
        <v>27</v>
      </c>
    </row>
    <row r="280" spans="2:19" ht="15" customHeight="1" x14ac:dyDescent="0.25">
      <c r="B280" s="155">
        <v>275</v>
      </c>
      <c r="C280" s="156" t="str">
        <f>IFERROR(INDEX($Q$6:$Q$324,MATCH(275,$S$6:$S$324,0)),"")</f>
        <v>Prof. Dr. Özlem BOYBEYİ</v>
      </c>
      <c r="D280" s="157">
        <f>IF(C280="","",COUNTIFS(Başvuru!$C:$C,C280,Başvuru!$A:$A,"&lt;&gt;"&amp;"",Başvuru!$F:$F,"&lt;&gt;"&amp;""))</f>
        <v>1</v>
      </c>
      <c r="E280" s="155" t="str">
        <f>IF(C280="","-",IF(D280&gt;0,TEXT(D280/(COUNTIFS(Başvuru!$A:$A,"&lt;&gt;",Başvuru!$F:$F,"&lt;&gt;")-1)*100,"0.0")&amp;"%","-"))</f>
        <v>00%</v>
      </c>
      <c r="F280" s="158">
        <f>IF(C280="","",COUNTIFS(Başvuru!$C:$C,C280,Başvuru!$G:$G,"Bireysel Araştırma",Başvuru!$A:$A,"&lt;&gt;"&amp;"",Başvuru!$F:$F,"&lt;&gt;"&amp;""))</f>
        <v>1</v>
      </c>
      <c r="G280" s="158">
        <f>IF(C280="","",COUNTIFS(Başvuru!$C:$C,C280,Başvuru!$G:$G,"Uzmanlık Tezi",Başvuru!$A:$A,"&lt;&gt;"&amp;"",Başvuru!$F:$F,"&lt;&gt;"&amp;""))</f>
        <v>0</v>
      </c>
      <c r="H280" s="158">
        <f>IF(C280="","",COUNTIFS(Başvuru!$C:$C,C280,Başvuru!$G:$G,"Doktora Tezi",Başvuru!$A:$A,"&lt;&gt;"&amp;"",Başvuru!$F:$F,"&lt;&gt;"&amp;""))</f>
        <v>0</v>
      </c>
      <c r="I280" s="158">
        <f>IF(C280="","",COUNTIFS(Başvuru!$C:$C,C280,Başvuru!$G:$G,"Yüksek Lisans Tezi",Başvuru!$A:$A,"&lt;&gt;"&amp;"",Başvuru!$F:$F,"&lt;&gt;"&amp;""))</f>
        <v>0</v>
      </c>
      <c r="J280" s="159">
        <f>IF(C280="","",COUNTIFS(Başvuru!$C:$C,C280,Başvuru!$L:$L,"ONAY",Başvuru!$A:$A,"&lt;&gt;"&amp;"",Başvuru!$F:$F,"&lt;&gt;"&amp;""))</f>
        <v>0</v>
      </c>
      <c r="K280" s="160">
        <f>IF(C280="","",COUNTIFS(Başvuru!$C:$C,C280,Başvuru!$L:$L,"DÜZELTME",Başvuru!$A:$A,"&lt;&gt;"&amp;"",Başvuru!$F:$F,"&lt;&gt;"&amp;""))</f>
        <v>1</v>
      </c>
      <c r="L280" s="161">
        <f>IF(C280="","",COUNTIFS(Başvuru!$C:$C,C280,Başvuru!$L:$L,"KAEK",Başvuru!$A:$A,"&lt;&gt;"&amp;"",Başvuru!$F:$F,"&lt;&gt;"&amp;""))</f>
        <v>0</v>
      </c>
      <c r="M280" s="162">
        <f>IF(C280="","",COUNTIFS(Başvuru!$C:$C,C280,Başvuru!$L:$L,"GÖRÜŞ",Başvuru!$A:$A,"&lt;&gt;"&amp;"",Başvuru!$F:$F,"&lt;&gt;"&amp;""))</f>
        <v>0</v>
      </c>
      <c r="N280" s="163">
        <f>IF(C280="","",COUNTIFS(Başvuru!$C:$C,C280,Başvuru!$L:$L,"RET",Başvuru!$A:$A,"&lt;&gt;"&amp;"",Başvuru!$F:$F,"&lt;&gt;"&amp;""))</f>
        <v>0</v>
      </c>
      <c r="O280" s="164">
        <f>IF(C280="","",COUNTIFS(Başvuru!$C:$C,C280,Başvuru!$L:$L,"KAPSAM DIŞI",Başvuru!$A:$A,"&lt;&gt;"&amp;"",Başvuru!$F:$F,"&lt;&gt;"&amp;""))</f>
        <v>0</v>
      </c>
      <c r="P280" s="165">
        <f>IF(C280="","",COUNTIFS(Başvuru!$C:$C,C280,Başvuru!$L:$L,"GERİ ÇEKİLDİ",Başvuru!$A:$A,"&lt;&gt;"&amp;"",Başvuru!$F:$F,"&lt;&gt;"&amp;""))</f>
        <v>0</v>
      </c>
      <c r="Q280" s="166" t="s">
        <v>654</v>
      </c>
      <c r="R280" s="167">
        <f>COUNTIFS(Başvuru!$C:$C,Q280,Başvuru!$A:$A,"&lt;&gt;"&amp;"",Başvuru!$F:$F,"&lt;&gt;"&amp;"")</f>
        <v>2</v>
      </c>
      <c r="S280" s="167">
        <f>RANK(R280,$R$6:$R$324,0)+COUNTIF($R$6:R280,R280)-1</f>
        <v>136</v>
      </c>
    </row>
    <row r="281" spans="2:19" ht="15" customHeight="1" x14ac:dyDescent="0.25">
      <c r="B281" s="168">
        <v>276</v>
      </c>
      <c r="C281" s="169" t="str">
        <f>IFERROR(INDEX($Q$6:$Q$324,MATCH(276,$S$6:$S$324,0)),"")</f>
        <v>Prof. Dr. Ülfet Pınar ERKEKOĞLU</v>
      </c>
      <c r="D281" s="170">
        <f>IF(C281="","",COUNTIFS(Başvuru!$C:$C,C281,Başvuru!$A:$A,"&lt;&gt;"&amp;"",Başvuru!$F:$F,"&lt;&gt;"&amp;""))</f>
        <v>1</v>
      </c>
      <c r="E281" s="168" t="str">
        <f>IF(C281="","-",IF(D281&gt;0,TEXT(D281/(COUNTIFS(Başvuru!$A:$A,"&lt;&gt;",Başvuru!$F:$F,"&lt;&gt;")-1)*100,"0.0")&amp;"%","-"))</f>
        <v>00%</v>
      </c>
      <c r="F281" s="171">
        <f>IF(C281="","",COUNTIFS(Başvuru!$C:$C,C281,Başvuru!$G:$G,"Bireysel Araştırma",Başvuru!$A:$A,"&lt;&gt;"&amp;"",Başvuru!$F:$F,"&lt;&gt;"&amp;""))</f>
        <v>1</v>
      </c>
      <c r="G281" s="171">
        <f>IF(C281="","",COUNTIFS(Başvuru!$C:$C,C281,Başvuru!$G:$G,"Uzmanlık Tezi",Başvuru!$A:$A,"&lt;&gt;"&amp;"",Başvuru!$F:$F,"&lt;&gt;"&amp;""))</f>
        <v>0</v>
      </c>
      <c r="H281" s="171">
        <f>IF(C281="","",COUNTIFS(Başvuru!$C:$C,C281,Başvuru!$G:$G,"Doktora Tezi",Başvuru!$A:$A,"&lt;&gt;"&amp;"",Başvuru!$F:$F,"&lt;&gt;"&amp;""))</f>
        <v>0</v>
      </c>
      <c r="I281" s="171">
        <f>IF(C281="","",COUNTIFS(Başvuru!$C:$C,C281,Başvuru!$G:$G,"Yüksek Lisans Tezi",Başvuru!$A:$A,"&lt;&gt;"&amp;"",Başvuru!$F:$F,"&lt;&gt;"&amp;""))</f>
        <v>0</v>
      </c>
      <c r="J281" s="172">
        <f>IF(C281="","",COUNTIFS(Başvuru!$C:$C,C281,Başvuru!$L:$L,"ONAY",Başvuru!$A:$A,"&lt;&gt;"&amp;"",Başvuru!$F:$F,"&lt;&gt;"&amp;""))</f>
        <v>0</v>
      </c>
      <c r="K281" s="173">
        <f>IF(C281="","",COUNTIFS(Başvuru!$C:$C,C281,Başvuru!$L:$L,"DÜZELTME",Başvuru!$A:$A,"&lt;&gt;"&amp;"",Başvuru!$F:$F,"&lt;&gt;"&amp;""))</f>
        <v>0</v>
      </c>
      <c r="L281" s="174">
        <f>IF(C281="","",COUNTIFS(Başvuru!$C:$C,C281,Başvuru!$L:$L,"KAEK",Başvuru!$A:$A,"&lt;&gt;"&amp;"",Başvuru!$F:$F,"&lt;&gt;"&amp;""))</f>
        <v>0</v>
      </c>
      <c r="M281" s="175">
        <f>IF(C281="","",COUNTIFS(Başvuru!$C:$C,C281,Başvuru!$L:$L,"GÖRÜŞ",Başvuru!$A:$A,"&lt;&gt;"&amp;"",Başvuru!$F:$F,"&lt;&gt;"&amp;""))</f>
        <v>1</v>
      </c>
      <c r="N281" s="176">
        <f>IF(C281="","",COUNTIFS(Başvuru!$C:$C,C281,Başvuru!$L:$L,"RET",Başvuru!$A:$A,"&lt;&gt;"&amp;"",Başvuru!$F:$F,"&lt;&gt;"&amp;""))</f>
        <v>0</v>
      </c>
      <c r="O281" s="177">
        <f>IF(C281="","",COUNTIFS(Başvuru!$C:$C,C281,Başvuru!$L:$L,"KAPSAM DIŞI",Başvuru!$A:$A,"&lt;&gt;"&amp;"",Başvuru!$F:$F,"&lt;&gt;"&amp;""))</f>
        <v>0</v>
      </c>
      <c r="P281" s="178">
        <f>IF(C281="","",COUNTIFS(Başvuru!$C:$C,C281,Başvuru!$L:$L,"GERİ ÇEKİLDİ",Başvuru!$A:$A,"&lt;&gt;"&amp;"",Başvuru!$F:$F,"&lt;&gt;"&amp;""))</f>
        <v>0</v>
      </c>
      <c r="Q281" s="166" t="s">
        <v>294</v>
      </c>
      <c r="R281" s="167">
        <f>COUNTIFS(Başvuru!$C:$C,Q281,Başvuru!$A:$A,"&lt;&gt;"&amp;"",Başvuru!$F:$F,"&lt;&gt;"&amp;"")</f>
        <v>2</v>
      </c>
      <c r="S281" s="167">
        <f>RANK(R281,$R$6:$R$324,0)+COUNTIF($R$6:R281,R281)-1</f>
        <v>137</v>
      </c>
    </row>
    <row r="282" spans="2:19" ht="15" customHeight="1" x14ac:dyDescent="0.25">
      <c r="B282" s="155">
        <v>277</v>
      </c>
      <c r="C282" s="156" t="str">
        <f>IFERROR(INDEX($Q$6:$Q$324,MATCH(277,$S$6:$S$324,0)),"")</f>
        <v>Prof. Dr. Ülkü ÜNDEĞER BUCURGAT</v>
      </c>
      <c r="D282" s="157">
        <f>IF(C282="","",COUNTIFS(Başvuru!$C:$C,C282,Başvuru!$A:$A,"&lt;&gt;"&amp;"",Başvuru!$F:$F,"&lt;&gt;"&amp;""))</f>
        <v>1</v>
      </c>
      <c r="E282" s="155" t="str">
        <f>IF(C282="","-",IF(D282&gt;0,TEXT(D282/(COUNTIFS(Başvuru!$A:$A,"&lt;&gt;",Başvuru!$F:$F,"&lt;&gt;")-1)*100,"0.0")&amp;"%","-"))</f>
        <v>00%</v>
      </c>
      <c r="F282" s="158">
        <f>IF(C282="","",COUNTIFS(Başvuru!$C:$C,C282,Başvuru!$G:$G,"Bireysel Araştırma",Başvuru!$A:$A,"&lt;&gt;"&amp;"",Başvuru!$F:$F,"&lt;&gt;"&amp;""))</f>
        <v>0</v>
      </c>
      <c r="G282" s="158">
        <f>IF(C282="","",COUNTIFS(Başvuru!$C:$C,C282,Başvuru!$G:$G,"Uzmanlık Tezi",Başvuru!$A:$A,"&lt;&gt;"&amp;"",Başvuru!$F:$F,"&lt;&gt;"&amp;""))</f>
        <v>0</v>
      </c>
      <c r="H282" s="158">
        <f>IF(C282="","",COUNTIFS(Başvuru!$C:$C,C282,Başvuru!$G:$G,"Doktora Tezi",Başvuru!$A:$A,"&lt;&gt;"&amp;"",Başvuru!$F:$F,"&lt;&gt;"&amp;""))</f>
        <v>1</v>
      </c>
      <c r="I282" s="158">
        <f>IF(C282="","",COUNTIFS(Başvuru!$C:$C,C282,Başvuru!$G:$G,"Yüksek Lisans Tezi",Başvuru!$A:$A,"&lt;&gt;"&amp;"",Başvuru!$F:$F,"&lt;&gt;"&amp;""))</f>
        <v>0</v>
      </c>
      <c r="J282" s="159">
        <f>IF(C282="","",COUNTIFS(Başvuru!$C:$C,C282,Başvuru!$L:$L,"ONAY",Başvuru!$A:$A,"&lt;&gt;"&amp;"",Başvuru!$F:$F,"&lt;&gt;"&amp;""))</f>
        <v>0</v>
      </c>
      <c r="K282" s="160">
        <f>IF(C282="","",COUNTIFS(Başvuru!$C:$C,C282,Başvuru!$L:$L,"DÜZELTME",Başvuru!$A:$A,"&lt;&gt;"&amp;"",Başvuru!$F:$F,"&lt;&gt;"&amp;""))</f>
        <v>1</v>
      </c>
      <c r="L282" s="161">
        <f>IF(C282="","",COUNTIFS(Başvuru!$C:$C,C282,Başvuru!$L:$L,"KAEK",Başvuru!$A:$A,"&lt;&gt;"&amp;"",Başvuru!$F:$F,"&lt;&gt;"&amp;""))</f>
        <v>0</v>
      </c>
      <c r="M282" s="162">
        <f>IF(C282="","",COUNTIFS(Başvuru!$C:$C,C282,Başvuru!$L:$L,"GÖRÜŞ",Başvuru!$A:$A,"&lt;&gt;"&amp;"",Başvuru!$F:$F,"&lt;&gt;"&amp;""))</f>
        <v>0</v>
      </c>
      <c r="N282" s="163">
        <f>IF(C282="","",COUNTIFS(Başvuru!$C:$C,C282,Başvuru!$L:$L,"RET",Başvuru!$A:$A,"&lt;&gt;"&amp;"",Başvuru!$F:$F,"&lt;&gt;"&amp;""))</f>
        <v>0</v>
      </c>
      <c r="O282" s="164">
        <f>IF(C282="","",COUNTIFS(Başvuru!$C:$C,C282,Başvuru!$L:$L,"KAPSAM DIŞI",Başvuru!$A:$A,"&lt;&gt;"&amp;"",Başvuru!$F:$F,"&lt;&gt;"&amp;""))</f>
        <v>0</v>
      </c>
      <c r="P282" s="165">
        <f>IF(C282="","",COUNTIFS(Başvuru!$C:$C,C282,Başvuru!$L:$L,"GERİ ÇEKİLDİ",Başvuru!$A:$A,"&lt;&gt;"&amp;"",Başvuru!$F:$F,"&lt;&gt;"&amp;""))</f>
        <v>0</v>
      </c>
      <c r="Q282" s="166" t="s">
        <v>1523</v>
      </c>
      <c r="R282" s="167">
        <f>COUNTIFS(Başvuru!$C:$C,Q282,Başvuru!$A:$A,"&lt;&gt;"&amp;"",Başvuru!$F:$F,"&lt;&gt;"&amp;"")</f>
        <v>1</v>
      </c>
      <c r="S282" s="167">
        <f>RANK(R282,$R$6:$R$324,0)+COUNTIF($R$6:R282,R282)-1</f>
        <v>281</v>
      </c>
    </row>
    <row r="283" spans="2:19" ht="15" customHeight="1" x14ac:dyDescent="0.25">
      <c r="B283" s="168">
        <v>278</v>
      </c>
      <c r="C283" s="169" t="str">
        <f>IFERROR(INDEX($Q$6:$Q$324,MATCH(278,$S$6:$S$324,0)),"")</f>
        <v>Prof. Dr. İncilay LAY</v>
      </c>
      <c r="D283" s="170">
        <f>IF(C283="","",COUNTIFS(Başvuru!$C:$C,C283,Başvuru!$A:$A,"&lt;&gt;"&amp;"",Başvuru!$F:$F,"&lt;&gt;"&amp;""))</f>
        <v>1</v>
      </c>
      <c r="E283" s="168" t="str">
        <f>IF(C283="","-",IF(D283&gt;0,TEXT(D283/(COUNTIFS(Başvuru!$A:$A,"&lt;&gt;",Başvuru!$F:$F,"&lt;&gt;")-1)*100,"0.0")&amp;"%","-"))</f>
        <v>00%</v>
      </c>
      <c r="F283" s="171">
        <f>IF(C283="","",COUNTIFS(Başvuru!$C:$C,C283,Başvuru!$G:$G,"Bireysel Araştırma",Başvuru!$A:$A,"&lt;&gt;"&amp;"",Başvuru!$F:$F,"&lt;&gt;"&amp;""))</f>
        <v>0</v>
      </c>
      <c r="G283" s="171">
        <f>IF(C283="","",COUNTIFS(Başvuru!$C:$C,C283,Başvuru!$G:$G,"Uzmanlık Tezi",Başvuru!$A:$A,"&lt;&gt;"&amp;"",Başvuru!$F:$F,"&lt;&gt;"&amp;""))</f>
        <v>1</v>
      </c>
      <c r="H283" s="171">
        <f>IF(C283="","",COUNTIFS(Başvuru!$C:$C,C283,Başvuru!$G:$G,"Doktora Tezi",Başvuru!$A:$A,"&lt;&gt;"&amp;"",Başvuru!$F:$F,"&lt;&gt;"&amp;""))</f>
        <v>0</v>
      </c>
      <c r="I283" s="171">
        <f>IF(C283="","",COUNTIFS(Başvuru!$C:$C,C283,Başvuru!$G:$G,"Yüksek Lisans Tezi",Başvuru!$A:$A,"&lt;&gt;"&amp;"",Başvuru!$F:$F,"&lt;&gt;"&amp;""))</f>
        <v>0</v>
      </c>
      <c r="J283" s="172">
        <f>IF(C283="","",COUNTIFS(Başvuru!$C:$C,C283,Başvuru!$L:$L,"ONAY",Başvuru!$A:$A,"&lt;&gt;"&amp;"",Başvuru!$F:$F,"&lt;&gt;"&amp;""))</f>
        <v>0</v>
      </c>
      <c r="K283" s="173">
        <f>IF(C283="","",COUNTIFS(Başvuru!$C:$C,C283,Başvuru!$L:$L,"DÜZELTME",Başvuru!$A:$A,"&lt;&gt;"&amp;"",Başvuru!$F:$F,"&lt;&gt;"&amp;""))</f>
        <v>1</v>
      </c>
      <c r="L283" s="174">
        <f>IF(C283="","",COUNTIFS(Başvuru!$C:$C,C283,Başvuru!$L:$L,"KAEK",Başvuru!$A:$A,"&lt;&gt;"&amp;"",Başvuru!$F:$F,"&lt;&gt;"&amp;""))</f>
        <v>0</v>
      </c>
      <c r="M283" s="175">
        <f>IF(C283="","",COUNTIFS(Başvuru!$C:$C,C283,Başvuru!$L:$L,"GÖRÜŞ",Başvuru!$A:$A,"&lt;&gt;"&amp;"",Başvuru!$F:$F,"&lt;&gt;"&amp;""))</f>
        <v>0</v>
      </c>
      <c r="N283" s="176">
        <f>IF(C283="","",COUNTIFS(Başvuru!$C:$C,C283,Başvuru!$L:$L,"RET",Başvuru!$A:$A,"&lt;&gt;"&amp;"",Başvuru!$F:$F,"&lt;&gt;"&amp;""))</f>
        <v>0</v>
      </c>
      <c r="O283" s="177">
        <f>IF(C283="","",COUNTIFS(Başvuru!$C:$C,C283,Başvuru!$L:$L,"KAPSAM DIŞI",Başvuru!$A:$A,"&lt;&gt;"&amp;"",Başvuru!$F:$F,"&lt;&gt;"&amp;""))</f>
        <v>0</v>
      </c>
      <c r="P283" s="178">
        <f>IF(C283="","",COUNTIFS(Başvuru!$C:$C,C283,Başvuru!$L:$L,"GERİ ÇEKİLDİ",Başvuru!$A:$A,"&lt;&gt;"&amp;"",Başvuru!$F:$F,"&lt;&gt;"&amp;""))</f>
        <v>0</v>
      </c>
      <c r="Q283" s="166" t="s">
        <v>132</v>
      </c>
      <c r="R283" s="167">
        <f>COUNTIFS(Başvuru!$C:$C,Q283,Başvuru!$A:$A,"&lt;&gt;"&amp;"",Başvuru!$F:$F,"&lt;&gt;"&amp;"")</f>
        <v>2</v>
      </c>
      <c r="S283" s="167">
        <f>RANK(R283,$R$6:$R$324,0)+COUNTIF($R$6:R283,R283)-1</f>
        <v>138</v>
      </c>
    </row>
    <row r="284" spans="2:19" ht="15" customHeight="1" x14ac:dyDescent="0.25">
      <c r="B284" s="155">
        <v>279</v>
      </c>
      <c r="C284" s="156" t="str">
        <f>IFERROR(INDEX($Q$6:$Q$324,MATCH(279,$S$6:$S$324,0)),"")</f>
        <v>Prof. Dr. Şehnaz ALP</v>
      </c>
      <c r="D284" s="157">
        <f>IF(C284="","",COUNTIFS(Başvuru!$C:$C,C284,Başvuru!$A:$A,"&lt;&gt;"&amp;"",Başvuru!$F:$F,"&lt;&gt;"&amp;""))</f>
        <v>1</v>
      </c>
      <c r="E284" s="155" t="str">
        <f>IF(C284="","-",IF(D284&gt;0,TEXT(D284/(COUNTIFS(Başvuru!$A:$A,"&lt;&gt;",Başvuru!$F:$F,"&lt;&gt;")-1)*100,"0.0")&amp;"%","-"))</f>
        <v>00%</v>
      </c>
      <c r="F284" s="158">
        <f>IF(C284="","",COUNTIFS(Başvuru!$C:$C,C284,Başvuru!$G:$G,"Bireysel Araştırma",Başvuru!$A:$A,"&lt;&gt;"&amp;"",Başvuru!$F:$F,"&lt;&gt;"&amp;""))</f>
        <v>0</v>
      </c>
      <c r="G284" s="158">
        <f>IF(C284="","",COUNTIFS(Başvuru!$C:$C,C284,Başvuru!$G:$G,"Uzmanlık Tezi",Başvuru!$A:$A,"&lt;&gt;"&amp;"",Başvuru!$F:$F,"&lt;&gt;"&amp;""))</f>
        <v>1</v>
      </c>
      <c r="H284" s="158">
        <f>IF(C284="","",COUNTIFS(Başvuru!$C:$C,C284,Başvuru!$G:$G,"Doktora Tezi",Başvuru!$A:$A,"&lt;&gt;"&amp;"",Başvuru!$F:$F,"&lt;&gt;"&amp;""))</f>
        <v>0</v>
      </c>
      <c r="I284" s="158">
        <f>IF(C284="","",COUNTIFS(Başvuru!$C:$C,C284,Başvuru!$G:$G,"Yüksek Lisans Tezi",Başvuru!$A:$A,"&lt;&gt;"&amp;"",Başvuru!$F:$F,"&lt;&gt;"&amp;""))</f>
        <v>0</v>
      </c>
      <c r="J284" s="159">
        <f>IF(C284="","",COUNTIFS(Başvuru!$C:$C,C284,Başvuru!$L:$L,"ONAY",Başvuru!$A:$A,"&lt;&gt;"&amp;"",Başvuru!$F:$F,"&lt;&gt;"&amp;""))</f>
        <v>1</v>
      </c>
      <c r="K284" s="160">
        <f>IF(C284="","",COUNTIFS(Başvuru!$C:$C,C284,Başvuru!$L:$L,"DÜZELTME",Başvuru!$A:$A,"&lt;&gt;"&amp;"",Başvuru!$F:$F,"&lt;&gt;"&amp;""))</f>
        <v>0</v>
      </c>
      <c r="L284" s="161">
        <f>IF(C284="","",COUNTIFS(Başvuru!$C:$C,C284,Başvuru!$L:$L,"KAEK",Başvuru!$A:$A,"&lt;&gt;"&amp;"",Başvuru!$F:$F,"&lt;&gt;"&amp;""))</f>
        <v>0</v>
      </c>
      <c r="M284" s="162">
        <f>IF(C284="","",COUNTIFS(Başvuru!$C:$C,C284,Başvuru!$L:$L,"GÖRÜŞ",Başvuru!$A:$A,"&lt;&gt;"&amp;"",Başvuru!$F:$F,"&lt;&gt;"&amp;""))</f>
        <v>0</v>
      </c>
      <c r="N284" s="163">
        <f>IF(C284="","",COUNTIFS(Başvuru!$C:$C,C284,Başvuru!$L:$L,"RET",Başvuru!$A:$A,"&lt;&gt;"&amp;"",Başvuru!$F:$F,"&lt;&gt;"&amp;""))</f>
        <v>0</v>
      </c>
      <c r="O284" s="164">
        <f>IF(C284="","",COUNTIFS(Başvuru!$C:$C,C284,Başvuru!$L:$L,"KAPSAM DIŞI",Başvuru!$A:$A,"&lt;&gt;"&amp;"",Başvuru!$F:$F,"&lt;&gt;"&amp;""))</f>
        <v>0</v>
      </c>
      <c r="P284" s="165">
        <f>IF(C284="","",COUNTIFS(Başvuru!$C:$C,C284,Başvuru!$L:$L,"GERİ ÇEKİLDİ",Başvuru!$A:$A,"&lt;&gt;"&amp;"",Başvuru!$F:$F,"&lt;&gt;"&amp;""))</f>
        <v>0</v>
      </c>
      <c r="Q284" s="166" t="s">
        <v>319</v>
      </c>
      <c r="R284" s="167">
        <f>COUNTIFS(Başvuru!$C:$C,Q284,Başvuru!$A:$A,"&lt;&gt;"&amp;"",Başvuru!$F:$F,"&lt;&gt;"&amp;"")</f>
        <v>1</v>
      </c>
      <c r="S284" s="167">
        <f>RANK(R284,$R$6:$R$324,0)+COUNTIF($R$6:R284,R284)-1</f>
        <v>282</v>
      </c>
    </row>
    <row r="285" spans="2:19" ht="15" customHeight="1" x14ac:dyDescent="0.25">
      <c r="B285" s="168">
        <v>280</v>
      </c>
      <c r="C285" s="169" t="str">
        <f>IFERROR(INDEX($Q$6:$Q$324,MATCH(280,$S$6:$S$324,0)),"")</f>
        <v>Prof. Dr. Şevkiye Selin AYTAÇ EYÜPOĞLU</v>
      </c>
      <c r="D285" s="170">
        <f>IF(C285="","",COUNTIFS(Başvuru!$C:$C,C285,Başvuru!$A:$A,"&lt;&gt;"&amp;"",Başvuru!$F:$F,"&lt;&gt;"&amp;""))</f>
        <v>1</v>
      </c>
      <c r="E285" s="168" t="str">
        <f>IF(C285="","-",IF(D285&gt;0,TEXT(D285/(COUNTIFS(Başvuru!$A:$A,"&lt;&gt;",Başvuru!$F:$F,"&lt;&gt;")-1)*100,"0.0")&amp;"%","-"))</f>
        <v>00%</v>
      </c>
      <c r="F285" s="171">
        <f>IF(C285="","",COUNTIFS(Başvuru!$C:$C,C285,Başvuru!$G:$G,"Bireysel Araştırma",Başvuru!$A:$A,"&lt;&gt;"&amp;"",Başvuru!$F:$F,"&lt;&gt;"&amp;""))</f>
        <v>0</v>
      </c>
      <c r="G285" s="171">
        <f>IF(C285="","",COUNTIFS(Başvuru!$C:$C,C285,Başvuru!$G:$G,"Uzmanlık Tezi",Başvuru!$A:$A,"&lt;&gt;"&amp;"",Başvuru!$F:$F,"&lt;&gt;"&amp;""))</f>
        <v>1</v>
      </c>
      <c r="H285" s="171">
        <f>IF(C285="","",COUNTIFS(Başvuru!$C:$C,C285,Başvuru!$G:$G,"Doktora Tezi",Başvuru!$A:$A,"&lt;&gt;"&amp;"",Başvuru!$F:$F,"&lt;&gt;"&amp;""))</f>
        <v>0</v>
      </c>
      <c r="I285" s="171">
        <f>IF(C285="","",COUNTIFS(Başvuru!$C:$C,C285,Başvuru!$G:$G,"Yüksek Lisans Tezi",Başvuru!$A:$A,"&lt;&gt;"&amp;"",Başvuru!$F:$F,"&lt;&gt;"&amp;""))</f>
        <v>0</v>
      </c>
      <c r="J285" s="172">
        <f>IF(C285="","",COUNTIFS(Başvuru!$C:$C,C285,Başvuru!$L:$L,"ONAY",Başvuru!$A:$A,"&lt;&gt;"&amp;"",Başvuru!$F:$F,"&lt;&gt;"&amp;""))</f>
        <v>1</v>
      </c>
      <c r="K285" s="173">
        <f>IF(C285="","",COUNTIFS(Başvuru!$C:$C,C285,Başvuru!$L:$L,"DÜZELTME",Başvuru!$A:$A,"&lt;&gt;"&amp;"",Başvuru!$F:$F,"&lt;&gt;"&amp;""))</f>
        <v>0</v>
      </c>
      <c r="L285" s="174">
        <f>IF(C285="","",COUNTIFS(Başvuru!$C:$C,C285,Başvuru!$L:$L,"KAEK",Başvuru!$A:$A,"&lt;&gt;"&amp;"",Başvuru!$F:$F,"&lt;&gt;"&amp;""))</f>
        <v>0</v>
      </c>
      <c r="M285" s="175">
        <f>IF(C285="","",COUNTIFS(Başvuru!$C:$C,C285,Başvuru!$L:$L,"GÖRÜŞ",Başvuru!$A:$A,"&lt;&gt;"&amp;"",Başvuru!$F:$F,"&lt;&gt;"&amp;""))</f>
        <v>0</v>
      </c>
      <c r="N285" s="176">
        <f>IF(C285="","",COUNTIFS(Başvuru!$C:$C,C285,Başvuru!$L:$L,"RET",Başvuru!$A:$A,"&lt;&gt;"&amp;"",Başvuru!$F:$F,"&lt;&gt;"&amp;""))</f>
        <v>0</v>
      </c>
      <c r="O285" s="177">
        <f>IF(C285="","",COUNTIFS(Başvuru!$C:$C,C285,Başvuru!$L:$L,"KAPSAM DIŞI",Başvuru!$A:$A,"&lt;&gt;"&amp;"",Başvuru!$F:$F,"&lt;&gt;"&amp;""))</f>
        <v>0</v>
      </c>
      <c r="P285" s="178">
        <f>IF(C285="","",COUNTIFS(Başvuru!$C:$C,C285,Başvuru!$L:$L,"GERİ ÇEKİLDİ",Başvuru!$A:$A,"&lt;&gt;"&amp;"",Başvuru!$F:$F,"&lt;&gt;"&amp;""))</f>
        <v>0</v>
      </c>
      <c r="Q285" s="166" t="s">
        <v>1264</v>
      </c>
      <c r="R285" s="167">
        <f>COUNTIFS(Başvuru!$C:$C,Q285,Başvuru!$A:$A,"&lt;&gt;"&amp;"",Başvuru!$F:$F,"&lt;&gt;"&amp;"")</f>
        <v>1</v>
      </c>
      <c r="S285" s="167">
        <f>RANK(R285,$R$6:$R$324,0)+COUNTIF($R$6:R285,R285)-1</f>
        <v>283</v>
      </c>
    </row>
    <row r="286" spans="2:19" ht="15" customHeight="1" x14ac:dyDescent="0.25">
      <c r="B286" s="155">
        <v>281</v>
      </c>
      <c r="C286" s="156" t="str">
        <f>IFERROR(INDEX($Q$6:$Q$324,MATCH(281,$S$6:$S$324,0)),"")</f>
        <v>Öğr. Gör. Dr. Berrin BABAOĞLU</v>
      </c>
      <c r="D286" s="157">
        <f>IF(C286="","",COUNTIFS(Başvuru!$C:$C,C286,Başvuru!$A:$A,"&lt;&gt;"&amp;"",Başvuru!$F:$F,"&lt;&gt;"&amp;""))</f>
        <v>1</v>
      </c>
      <c r="E286" s="155" t="str">
        <f>IF(C286="","-",IF(D286&gt;0,TEXT(D286/(COUNTIFS(Başvuru!$A:$A,"&lt;&gt;",Başvuru!$F:$F,"&lt;&gt;")-1)*100,"0.0")&amp;"%","-"))</f>
        <v>00%</v>
      </c>
      <c r="F286" s="158">
        <f>IF(C286="","",COUNTIFS(Başvuru!$C:$C,C286,Başvuru!$G:$G,"Bireysel Araştırma",Başvuru!$A:$A,"&lt;&gt;"&amp;"",Başvuru!$F:$F,"&lt;&gt;"&amp;""))</f>
        <v>0</v>
      </c>
      <c r="G286" s="158">
        <f>IF(C286="","",COUNTIFS(Başvuru!$C:$C,C286,Başvuru!$G:$G,"Uzmanlık Tezi",Başvuru!$A:$A,"&lt;&gt;"&amp;"",Başvuru!$F:$F,"&lt;&gt;"&amp;""))</f>
        <v>1</v>
      </c>
      <c r="H286" s="158">
        <f>IF(C286="","",COUNTIFS(Başvuru!$C:$C,C286,Başvuru!$G:$G,"Doktora Tezi",Başvuru!$A:$A,"&lt;&gt;"&amp;"",Başvuru!$F:$F,"&lt;&gt;"&amp;""))</f>
        <v>0</v>
      </c>
      <c r="I286" s="158">
        <f>IF(C286="","",COUNTIFS(Başvuru!$C:$C,C286,Başvuru!$G:$G,"Yüksek Lisans Tezi",Başvuru!$A:$A,"&lt;&gt;"&amp;"",Başvuru!$F:$F,"&lt;&gt;"&amp;""))</f>
        <v>0</v>
      </c>
      <c r="J286" s="159">
        <f>IF(C286="","",COUNTIFS(Başvuru!$C:$C,C286,Başvuru!$L:$L,"ONAY",Başvuru!$A:$A,"&lt;&gt;"&amp;"",Başvuru!$F:$F,"&lt;&gt;"&amp;""))</f>
        <v>0</v>
      </c>
      <c r="K286" s="160">
        <f>IF(C286="","",COUNTIFS(Başvuru!$C:$C,C286,Başvuru!$L:$L,"DÜZELTME",Başvuru!$A:$A,"&lt;&gt;"&amp;"",Başvuru!$F:$F,"&lt;&gt;"&amp;""))</f>
        <v>1</v>
      </c>
      <c r="L286" s="161">
        <f>IF(C286="","",COUNTIFS(Başvuru!$C:$C,C286,Başvuru!$L:$L,"KAEK",Başvuru!$A:$A,"&lt;&gt;"&amp;"",Başvuru!$F:$F,"&lt;&gt;"&amp;""))</f>
        <v>0</v>
      </c>
      <c r="M286" s="162">
        <f>IF(C286="","",COUNTIFS(Başvuru!$C:$C,C286,Başvuru!$L:$L,"GÖRÜŞ",Başvuru!$A:$A,"&lt;&gt;"&amp;"",Başvuru!$F:$F,"&lt;&gt;"&amp;""))</f>
        <v>0</v>
      </c>
      <c r="N286" s="163">
        <f>IF(C286="","",COUNTIFS(Başvuru!$C:$C,C286,Başvuru!$L:$L,"RET",Başvuru!$A:$A,"&lt;&gt;"&amp;"",Başvuru!$F:$F,"&lt;&gt;"&amp;""))</f>
        <v>0</v>
      </c>
      <c r="O286" s="164">
        <f>IF(C286="","",COUNTIFS(Başvuru!$C:$C,C286,Başvuru!$L:$L,"KAPSAM DIŞI",Başvuru!$A:$A,"&lt;&gt;"&amp;"",Başvuru!$F:$F,"&lt;&gt;"&amp;""))</f>
        <v>0</v>
      </c>
      <c r="P286" s="165">
        <f>IF(C286="","",COUNTIFS(Başvuru!$C:$C,C286,Başvuru!$L:$L,"GERİ ÇEKİLDİ",Başvuru!$A:$A,"&lt;&gt;"&amp;"",Başvuru!$F:$F,"&lt;&gt;"&amp;""))</f>
        <v>0</v>
      </c>
      <c r="Q286" s="166" t="s">
        <v>1045</v>
      </c>
      <c r="R286" s="167">
        <f>COUNTIFS(Başvuru!$C:$C,Q286,Başvuru!$A:$A,"&lt;&gt;"&amp;"",Başvuru!$F:$F,"&lt;&gt;"&amp;"")</f>
        <v>1</v>
      </c>
      <c r="S286" s="167">
        <f>RANK(R286,$R$6:$R$324,0)+COUNTIF($R$6:R286,R286)-1</f>
        <v>284</v>
      </c>
    </row>
    <row r="287" spans="2:19" ht="15" customHeight="1" x14ac:dyDescent="0.25">
      <c r="B287" s="168">
        <v>282</v>
      </c>
      <c r="C287" s="169" t="str">
        <f>IFERROR(INDEX($Q$6:$Q$324,MATCH(282,$S$6:$S$324,0)),"")</f>
        <v>Öğr. Gör. Dr. Burçay TELLİOĞLU</v>
      </c>
      <c r="D287" s="170">
        <f>IF(C287="","",COUNTIFS(Başvuru!$C:$C,C287,Başvuru!$A:$A,"&lt;&gt;"&amp;"",Başvuru!$F:$F,"&lt;&gt;"&amp;""))</f>
        <v>1</v>
      </c>
      <c r="E287" s="168" t="str">
        <f>IF(C287="","-",IF(D287&gt;0,TEXT(D287/(COUNTIFS(Başvuru!$A:$A,"&lt;&gt;",Başvuru!$F:$F,"&lt;&gt;")-1)*100,"0.0")&amp;"%","-"))</f>
        <v>00%</v>
      </c>
      <c r="F287" s="171">
        <f>IF(C287="","",COUNTIFS(Başvuru!$C:$C,C287,Başvuru!$G:$G,"Bireysel Araştırma",Başvuru!$A:$A,"&lt;&gt;"&amp;"",Başvuru!$F:$F,"&lt;&gt;"&amp;""))</f>
        <v>1</v>
      </c>
      <c r="G287" s="171">
        <f>IF(C287="","",COUNTIFS(Başvuru!$C:$C,C287,Başvuru!$G:$G,"Uzmanlık Tezi",Başvuru!$A:$A,"&lt;&gt;"&amp;"",Başvuru!$F:$F,"&lt;&gt;"&amp;""))</f>
        <v>0</v>
      </c>
      <c r="H287" s="171">
        <f>IF(C287="","",COUNTIFS(Başvuru!$C:$C,C287,Başvuru!$G:$G,"Doktora Tezi",Başvuru!$A:$A,"&lt;&gt;"&amp;"",Başvuru!$F:$F,"&lt;&gt;"&amp;""))</f>
        <v>0</v>
      </c>
      <c r="I287" s="171">
        <f>IF(C287="","",COUNTIFS(Başvuru!$C:$C,C287,Başvuru!$G:$G,"Yüksek Lisans Tezi",Başvuru!$A:$A,"&lt;&gt;"&amp;"",Başvuru!$F:$F,"&lt;&gt;"&amp;""))</f>
        <v>0</v>
      </c>
      <c r="J287" s="172">
        <f>IF(C287="","",COUNTIFS(Başvuru!$C:$C,C287,Başvuru!$L:$L,"ONAY",Başvuru!$A:$A,"&lt;&gt;"&amp;"",Başvuru!$F:$F,"&lt;&gt;"&amp;""))</f>
        <v>0</v>
      </c>
      <c r="K287" s="173">
        <f>IF(C287="","",COUNTIFS(Başvuru!$C:$C,C287,Başvuru!$L:$L,"DÜZELTME",Başvuru!$A:$A,"&lt;&gt;"&amp;"",Başvuru!$F:$F,"&lt;&gt;"&amp;""))</f>
        <v>0</v>
      </c>
      <c r="L287" s="174">
        <f>IF(C287="","",COUNTIFS(Başvuru!$C:$C,C287,Başvuru!$L:$L,"KAEK",Başvuru!$A:$A,"&lt;&gt;"&amp;"",Başvuru!$F:$F,"&lt;&gt;"&amp;""))</f>
        <v>0</v>
      </c>
      <c r="M287" s="175">
        <f>IF(C287="","",COUNTIFS(Başvuru!$C:$C,C287,Başvuru!$L:$L,"GÖRÜŞ",Başvuru!$A:$A,"&lt;&gt;"&amp;"",Başvuru!$F:$F,"&lt;&gt;"&amp;""))</f>
        <v>1</v>
      </c>
      <c r="N287" s="176">
        <f>IF(C287="","",COUNTIFS(Başvuru!$C:$C,C287,Başvuru!$L:$L,"RET",Başvuru!$A:$A,"&lt;&gt;"&amp;"",Başvuru!$F:$F,"&lt;&gt;"&amp;""))</f>
        <v>0</v>
      </c>
      <c r="O287" s="177">
        <f>IF(C287="","",COUNTIFS(Başvuru!$C:$C,C287,Başvuru!$L:$L,"KAPSAM DIŞI",Başvuru!$A:$A,"&lt;&gt;"&amp;"",Başvuru!$F:$F,"&lt;&gt;"&amp;""))</f>
        <v>0</v>
      </c>
      <c r="P287" s="178">
        <f>IF(C287="","",COUNTIFS(Başvuru!$C:$C,C287,Başvuru!$L:$L,"GERİ ÇEKİLDİ",Başvuru!$A:$A,"&lt;&gt;"&amp;"",Başvuru!$F:$F,"&lt;&gt;"&amp;""))</f>
        <v>0</v>
      </c>
      <c r="Q287" s="166" t="s">
        <v>2556</v>
      </c>
      <c r="R287" s="167">
        <f>COUNTIFS(Başvuru!$C:$C,Q287,Başvuru!$A:$A,"&lt;&gt;"&amp;"",Başvuru!$F:$F,"&lt;&gt;"&amp;"")</f>
        <v>1</v>
      </c>
      <c r="S287" s="167">
        <f>RANK(R287,$R$6:$R$324,0)+COUNTIF($R$6:R287,R287)-1</f>
        <v>285</v>
      </c>
    </row>
    <row r="288" spans="2:19" ht="15" customHeight="1" x14ac:dyDescent="0.25">
      <c r="B288" s="155">
        <v>283</v>
      </c>
      <c r="C288" s="156" t="str">
        <f>IFERROR(INDEX($Q$6:$Q$324,MATCH(283,$S$6:$S$324,0)),"")</f>
        <v>Öğr. Gör. Dr. Esin ALPDÜNDAR BULUT</v>
      </c>
      <c r="D288" s="157">
        <f>IF(C288="","",COUNTIFS(Başvuru!$C:$C,C288,Başvuru!$A:$A,"&lt;&gt;"&amp;"",Başvuru!$F:$F,"&lt;&gt;"&amp;""))</f>
        <v>1</v>
      </c>
      <c r="E288" s="155" t="str">
        <f>IF(C288="","-",IF(D288&gt;0,TEXT(D288/(COUNTIFS(Başvuru!$A:$A,"&lt;&gt;",Başvuru!$F:$F,"&lt;&gt;")-1)*100,"0.0")&amp;"%","-"))</f>
        <v>00%</v>
      </c>
      <c r="F288" s="158">
        <f>IF(C288="","",COUNTIFS(Başvuru!$C:$C,C288,Başvuru!$G:$G,"Bireysel Araştırma",Başvuru!$A:$A,"&lt;&gt;"&amp;"",Başvuru!$F:$F,"&lt;&gt;"&amp;""))</f>
        <v>1</v>
      </c>
      <c r="G288" s="158">
        <f>IF(C288="","",COUNTIFS(Başvuru!$C:$C,C288,Başvuru!$G:$G,"Uzmanlık Tezi",Başvuru!$A:$A,"&lt;&gt;"&amp;"",Başvuru!$F:$F,"&lt;&gt;"&amp;""))</f>
        <v>0</v>
      </c>
      <c r="H288" s="158">
        <f>IF(C288="","",COUNTIFS(Başvuru!$C:$C,C288,Başvuru!$G:$G,"Doktora Tezi",Başvuru!$A:$A,"&lt;&gt;"&amp;"",Başvuru!$F:$F,"&lt;&gt;"&amp;""))</f>
        <v>0</v>
      </c>
      <c r="I288" s="158">
        <f>IF(C288="","",COUNTIFS(Başvuru!$C:$C,C288,Başvuru!$G:$G,"Yüksek Lisans Tezi",Başvuru!$A:$A,"&lt;&gt;"&amp;"",Başvuru!$F:$F,"&lt;&gt;"&amp;""))</f>
        <v>0</v>
      </c>
      <c r="J288" s="159">
        <f>IF(C288="","",COUNTIFS(Başvuru!$C:$C,C288,Başvuru!$L:$L,"ONAY",Başvuru!$A:$A,"&lt;&gt;"&amp;"",Başvuru!$F:$F,"&lt;&gt;"&amp;""))</f>
        <v>0</v>
      </c>
      <c r="K288" s="160">
        <f>IF(C288="","",COUNTIFS(Başvuru!$C:$C,C288,Başvuru!$L:$L,"DÜZELTME",Başvuru!$A:$A,"&lt;&gt;"&amp;"",Başvuru!$F:$F,"&lt;&gt;"&amp;""))</f>
        <v>1</v>
      </c>
      <c r="L288" s="161">
        <f>IF(C288="","",COUNTIFS(Başvuru!$C:$C,C288,Başvuru!$L:$L,"KAEK",Başvuru!$A:$A,"&lt;&gt;"&amp;"",Başvuru!$F:$F,"&lt;&gt;"&amp;""))</f>
        <v>0</v>
      </c>
      <c r="M288" s="162">
        <f>IF(C288="","",COUNTIFS(Başvuru!$C:$C,C288,Başvuru!$L:$L,"GÖRÜŞ",Başvuru!$A:$A,"&lt;&gt;"&amp;"",Başvuru!$F:$F,"&lt;&gt;"&amp;""))</f>
        <v>0</v>
      </c>
      <c r="N288" s="163">
        <f>IF(C288="","",COUNTIFS(Başvuru!$C:$C,C288,Başvuru!$L:$L,"RET",Başvuru!$A:$A,"&lt;&gt;"&amp;"",Başvuru!$F:$F,"&lt;&gt;"&amp;""))</f>
        <v>0</v>
      </c>
      <c r="O288" s="164">
        <f>IF(C288="","",COUNTIFS(Başvuru!$C:$C,C288,Başvuru!$L:$L,"KAPSAM DIŞI",Başvuru!$A:$A,"&lt;&gt;"&amp;"",Başvuru!$F:$F,"&lt;&gt;"&amp;""))</f>
        <v>0</v>
      </c>
      <c r="P288" s="165">
        <f>IF(C288="","",COUNTIFS(Başvuru!$C:$C,C288,Başvuru!$L:$L,"GERİ ÇEKİLDİ",Başvuru!$A:$A,"&lt;&gt;"&amp;"",Başvuru!$F:$F,"&lt;&gt;"&amp;""))</f>
        <v>0</v>
      </c>
      <c r="Q288" s="166" t="s">
        <v>855</v>
      </c>
      <c r="R288" s="167">
        <f>COUNTIFS(Başvuru!$C:$C,Q288,Başvuru!$A:$A,"&lt;&gt;"&amp;"",Başvuru!$F:$F,"&lt;&gt;"&amp;"")</f>
        <v>1</v>
      </c>
      <c r="S288" s="167">
        <f>RANK(R288,$R$6:$R$324,0)+COUNTIF($R$6:R288,R288)-1</f>
        <v>286</v>
      </c>
    </row>
    <row r="289" spans="2:19" ht="15" customHeight="1" x14ac:dyDescent="0.25">
      <c r="B289" s="168">
        <v>284</v>
      </c>
      <c r="C289" s="169" t="str">
        <f>IFERROR(INDEX($Q$6:$Q$324,MATCH(284,$S$6:$S$324,0)),"")</f>
        <v>Öğr. Gör. Dr. Helin YÜCEDAĞ GÜNDOĞDU</v>
      </c>
      <c r="D289" s="170">
        <f>IF(C289="","",COUNTIFS(Başvuru!$C:$C,C289,Başvuru!$A:$A,"&lt;&gt;"&amp;"",Başvuru!$F:$F,"&lt;&gt;"&amp;""))</f>
        <v>1</v>
      </c>
      <c r="E289" s="168" t="str">
        <f>IF(C289="","-",IF(D289&gt;0,TEXT(D289/(COUNTIFS(Başvuru!$A:$A,"&lt;&gt;",Başvuru!$F:$F,"&lt;&gt;")-1)*100,"0.0")&amp;"%","-"))</f>
        <v>00%</v>
      </c>
      <c r="F289" s="171">
        <f>IF(C289="","",COUNTIFS(Başvuru!$C:$C,C289,Başvuru!$G:$G,"Bireysel Araştırma",Başvuru!$A:$A,"&lt;&gt;"&amp;"",Başvuru!$F:$F,"&lt;&gt;"&amp;""))</f>
        <v>1</v>
      </c>
      <c r="G289" s="171">
        <f>IF(C289="","",COUNTIFS(Başvuru!$C:$C,C289,Başvuru!$G:$G,"Uzmanlık Tezi",Başvuru!$A:$A,"&lt;&gt;"&amp;"",Başvuru!$F:$F,"&lt;&gt;"&amp;""))</f>
        <v>0</v>
      </c>
      <c r="H289" s="171">
        <f>IF(C289="","",COUNTIFS(Başvuru!$C:$C,C289,Başvuru!$G:$G,"Doktora Tezi",Başvuru!$A:$A,"&lt;&gt;"&amp;"",Başvuru!$F:$F,"&lt;&gt;"&amp;""))</f>
        <v>0</v>
      </c>
      <c r="I289" s="171">
        <f>IF(C289="","",COUNTIFS(Başvuru!$C:$C,C289,Başvuru!$G:$G,"Yüksek Lisans Tezi",Başvuru!$A:$A,"&lt;&gt;"&amp;"",Başvuru!$F:$F,"&lt;&gt;"&amp;""))</f>
        <v>0</v>
      </c>
      <c r="J289" s="172">
        <f>IF(C289="","",COUNTIFS(Başvuru!$C:$C,C289,Başvuru!$L:$L,"ONAY",Başvuru!$A:$A,"&lt;&gt;"&amp;"",Başvuru!$F:$F,"&lt;&gt;"&amp;""))</f>
        <v>1</v>
      </c>
      <c r="K289" s="173">
        <f>IF(C289="","",COUNTIFS(Başvuru!$C:$C,C289,Başvuru!$L:$L,"DÜZELTME",Başvuru!$A:$A,"&lt;&gt;"&amp;"",Başvuru!$F:$F,"&lt;&gt;"&amp;""))</f>
        <v>0</v>
      </c>
      <c r="L289" s="174">
        <f>IF(C289="","",COUNTIFS(Başvuru!$C:$C,C289,Başvuru!$L:$L,"KAEK",Başvuru!$A:$A,"&lt;&gt;"&amp;"",Başvuru!$F:$F,"&lt;&gt;"&amp;""))</f>
        <v>0</v>
      </c>
      <c r="M289" s="175">
        <f>IF(C289="","",COUNTIFS(Başvuru!$C:$C,C289,Başvuru!$L:$L,"GÖRÜŞ",Başvuru!$A:$A,"&lt;&gt;"&amp;"",Başvuru!$F:$F,"&lt;&gt;"&amp;""))</f>
        <v>0</v>
      </c>
      <c r="N289" s="176">
        <f>IF(C289="","",COUNTIFS(Başvuru!$C:$C,C289,Başvuru!$L:$L,"RET",Başvuru!$A:$A,"&lt;&gt;"&amp;"",Başvuru!$F:$F,"&lt;&gt;"&amp;""))</f>
        <v>0</v>
      </c>
      <c r="O289" s="177">
        <f>IF(C289="","",COUNTIFS(Başvuru!$C:$C,C289,Başvuru!$L:$L,"KAPSAM DIŞI",Başvuru!$A:$A,"&lt;&gt;"&amp;"",Başvuru!$F:$F,"&lt;&gt;"&amp;""))</f>
        <v>0</v>
      </c>
      <c r="P289" s="178">
        <f>IF(C289="","",COUNTIFS(Başvuru!$C:$C,C289,Başvuru!$L:$L,"GERİ ÇEKİLDİ",Başvuru!$A:$A,"&lt;&gt;"&amp;"",Başvuru!$F:$F,"&lt;&gt;"&amp;""))</f>
        <v>0</v>
      </c>
      <c r="Q289" s="166" t="s">
        <v>1656</v>
      </c>
      <c r="R289" s="167">
        <f>COUNTIFS(Başvuru!$C:$C,Q289,Başvuru!$A:$A,"&lt;&gt;"&amp;"",Başvuru!$F:$F,"&lt;&gt;"&amp;"")</f>
        <v>1</v>
      </c>
      <c r="S289" s="167">
        <f>RANK(R289,$R$6:$R$324,0)+COUNTIF($R$6:R289,R289)-1</f>
        <v>287</v>
      </c>
    </row>
    <row r="290" spans="2:19" ht="15" customHeight="1" x14ac:dyDescent="0.25">
      <c r="B290" s="155">
        <v>285</v>
      </c>
      <c r="C290" s="156" t="str">
        <f>IFERROR(INDEX($Q$6:$Q$324,MATCH(285,$S$6:$S$324,0)),"")</f>
        <v>Öğr. Gör. Dr. Kemal SARUHAN</v>
      </c>
      <c r="D290" s="157">
        <f>IF(C290="","",COUNTIFS(Başvuru!$C:$C,C290,Başvuru!$A:$A,"&lt;&gt;"&amp;"",Başvuru!$F:$F,"&lt;&gt;"&amp;""))</f>
        <v>1</v>
      </c>
      <c r="E290" s="155" t="str">
        <f>IF(C290="","-",IF(D290&gt;0,TEXT(D290/(COUNTIFS(Başvuru!$A:$A,"&lt;&gt;",Başvuru!$F:$F,"&lt;&gt;")-1)*100,"0.0")&amp;"%","-"))</f>
        <v>00%</v>
      </c>
      <c r="F290" s="158">
        <f>IF(C290="","",COUNTIFS(Başvuru!$C:$C,C290,Başvuru!$G:$G,"Bireysel Araştırma",Başvuru!$A:$A,"&lt;&gt;"&amp;"",Başvuru!$F:$F,"&lt;&gt;"&amp;""))</f>
        <v>1</v>
      </c>
      <c r="G290" s="158">
        <f>IF(C290="","",COUNTIFS(Başvuru!$C:$C,C290,Başvuru!$G:$G,"Uzmanlık Tezi",Başvuru!$A:$A,"&lt;&gt;"&amp;"",Başvuru!$F:$F,"&lt;&gt;"&amp;""))</f>
        <v>0</v>
      </c>
      <c r="H290" s="158">
        <f>IF(C290="","",COUNTIFS(Başvuru!$C:$C,C290,Başvuru!$G:$G,"Doktora Tezi",Başvuru!$A:$A,"&lt;&gt;"&amp;"",Başvuru!$F:$F,"&lt;&gt;"&amp;""))</f>
        <v>0</v>
      </c>
      <c r="I290" s="158">
        <f>IF(C290="","",COUNTIFS(Başvuru!$C:$C,C290,Başvuru!$G:$G,"Yüksek Lisans Tezi",Başvuru!$A:$A,"&lt;&gt;"&amp;"",Başvuru!$F:$F,"&lt;&gt;"&amp;""))</f>
        <v>0</v>
      </c>
      <c r="J290" s="159">
        <f>IF(C290="","",COUNTIFS(Başvuru!$C:$C,C290,Başvuru!$L:$L,"ONAY",Başvuru!$A:$A,"&lt;&gt;"&amp;"",Başvuru!$F:$F,"&lt;&gt;"&amp;""))</f>
        <v>1</v>
      </c>
      <c r="K290" s="160">
        <f>IF(C290="","",COUNTIFS(Başvuru!$C:$C,C290,Başvuru!$L:$L,"DÜZELTME",Başvuru!$A:$A,"&lt;&gt;"&amp;"",Başvuru!$F:$F,"&lt;&gt;"&amp;""))</f>
        <v>0</v>
      </c>
      <c r="L290" s="161">
        <f>IF(C290="","",COUNTIFS(Başvuru!$C:$C,C290,Başvuru!$L:$L,"KAEK",Başvuru!$A:$A,"&lt;&gt;"&amp;"",Başvuru!$F:$F,"&lt;&gt;"&amp;""))</f>
        <v>0</v>
      </c>
      <c r="M290" s="162">
        <f>IF(C290="","",COUNTIFS(Başvuru!$C:$C,C290,Başvuru!$L:$L,"GÖRÜŞ",Başvuru!$A:$A,"&lt;&gt;"&amp;"",Başvuru!$F:$F,"&lt;&gt;"&amp;""))</f>
        <v>0</v>
      </c>
      <c r="N290" s="163">
        <f>IF(C290="","",COUNTIFS(Başvuru!$C:$C,C290,Başvuru!$L:$L,"RET",Başvuru!$A:$A,"&lt;&gt;"&amp;"",Başvuru!$F:$F,"&lt;&gt;"&amp;""))</f>
        <v>0</v>
      </c>
      <c r="O290" s="164">
        <f>IF(C290="","",COUNTIFS(Başvuru!$C:$C,C290,Başvuru!$L:$L,"KAPSAM DIŞI",Başvuru!$A:$A,"&lt;&gt;"&amp;"",Başvuru!$F:$F,"&lt;&gt;"&amp;""))</f>
        <v>0</v>
      </c>
      <c r="P290" s="165">
        <f>IF(C290="","",COUNTIFS(Başvuru!$C:$C,C290,Başvuru!$L:$L,"GERİ ÇEKİLDİ",Başvuru!$A:$A,"&lt;&gt;"&amp;"",Başvuru!$F:$F,"&lt;&gt;"&amp;""))</f>
        <v>0</v>
      </c>
      <c r="Q290" s="166" t="s">
        <v>1996</v>
      </c>
      <c r="R290" s="167">
        <f>COUNTIFS(Başvuru!$C:$C,Q290,Başvuru!$A:$A,"&lt;&gt;"&amp;"",Başvuru!$F:$F,"&lt;&gt;"&amp;"")</f>
        <v>1</v>
      </c>
      <c r="S290" s="167">
        <f>RANK(R290,$R$6:$R$324,0)+COUNTIF($R$6:R290,R290)-1</f>
        <v>288</v>
      </c>
    </row>
    <row r="291" spans="2:19" ht="15" customHeight="1" x14ac:dyDescent="0.25">
      <c r="B291" s="155">
        <v>286</v>
      </c>
      <c r="C291" s="156" t="str">
        <f>IFERROR(INDEX($Q$6:$Q$324,MATCH(286,$S$6:$S$324,0)),"")</f>
        <v>Öğr. Gör. Dr. Pınar ÖZDEMİR YAŞAR</v>
      </c>
      <c r="D291" s="157">
        <f>IF(C291="","",COUNTIFS(Başvuru!$C:$C,C291,Başvuru!$A:$A,"&lt;&gt;"&amp;"",Başvuru!$F:$F,"&lt;&gt;"&amp;""))</f>
        <v>1</v>
      </c>
      <c r="E291" s="155" t="str">
        <f>IF(C291="","-",IF(D291&gt;0,TEXT(D291/(COUNTIFS(Başvuru!$A:$A,"&lt;&gt;",Başvuru!$F:$F,"&lt;&gt;")-1)*100,"0.0")&amp;"%","-"))</f>
        <v>00%</v>
      </c>
      <c r="F291" s="158">
        <f>IF(C291="","",COUNTIFS(Başvuru!$C:$C,C291,Başvuru!$G:$G,"Bireysel Araştırma",Başvuru!$A:$A,"&lt;&gt;"&amp;"",Başvuru!$F:$F,"&lt;&gt;"&amp;""))</f>
        <v>1</v>
      </c>
      <c r="G291" s="158">
        <f>IF(C291="","",COUNTIFS(Başvuru!$C:$C,C291,Başvuru!$G:$G,"Uzmanlık Tezi",Başvuru!$A:$A,"&lt;&gt;"&amp;"",Başvuru!$F:$F,"&lt;&gt;"&amp;""))</f>
        <v>0</v>
      </c>
      <c r="H291" s="158">
        <f>IF(C291="","",COUNTIFS(Başvuru!$C:$C,C291,Başvuru!$G:$G,"Doktora Tezi",Başvuru!$A:$A,"&lt;&gt;"&amp;"",Başvuru!$F:$F,"&lt;&gt;"&amp;""))</f>
        <v>0</v>
      </c>
      <c r="I291" s="158">
        <f>IF(C291="","",COUNTIFS(Başvuru!$C:$C,C291,Başvuru!$G:$G,"Yüksek Lisans Tezi",Başvuru!$A:$A,"&lt;&gt;"&amp;"",Başvuru!$F:$F,"&lt;&gt;"&amp;""))</f>
        <v>0</v>
      </c>
      <c r="J291" s="159">
        <f>IF(C291="","",COUNTIFS(Başvuru!$C:$C,C291,Başvuru!$L:$L,"ONAY",Başvuru!$A:$A,"&lt;&gt;"&amp;"",Başvuru!$F:$F,"&lt;&gt;"&amp;""))</f>
        <v>0</v>
      </c>
      <c r="K291" s="160">
        <f>IF(C291="","",COUNTIFS(Başvuru!$C:$C,C291,Başvuru!$L:$L,"DÜZELTME",Başvuru!$A:$A,"&lt;&gt;"&amp;"",Başvuru!$F:$F,"&lt;&gt;"&amp;""))</f>
        <v>0</v>
      </c>
      <c r="L291" s="161">
        <f>IF(C291="","",COUNTIFS(Başvuru!$C:$C,C291,Başvuru!$L:$L,"KAEK",Başvuru!$A:$A,"&lt;&gt;"&amp;"",Başvuru!$F:$F,"&lt;&gt;"&amp;""))</f>
        <v>1</v>
      </c>
      <c r="M291" s="162">
        <f>IF(C291="","",COUNTIFS(Başvuru!$C:$C,C291,Başvuru!$L:$L,"GÖRÜŞ",Başvuru!$A:$A,"&lt;&gt;"&amp;"",Başvuru!$F:$F,"&lt;&gt;"&amp;""))</f>
        <v>0</v>
      </c>
      <c r="N291" s="163">
        <f>IF(C291="","",COUNTIFS(Başvuru!$C:$C,C291,Başvuru!$L:$L,"RET",Başvuru!$A:$A,"&lt;&gt;"&amp;"",Başvuru!$F:$F,"&lt;&gt;"&amp;""))</f>
        <v>0</v>
      </c>
      <c r="O291" s="164">
        <f>IF(C291="","",COUNTIFS(Başvuru!$C:$C,C291,Başvuru!$L:$L,"KAPSAM DIŞI",Başvuru!$A:$A,"&lt;&gt;"&amp;"",Başvuru!$F:$F,"&lt;&gt;"&amp;""))</f>
        <v>0</v>
      </c>
      <c r="P291" s="165">
        <f>IF(C291="","",COUNTIFS(Başvuru!$C:$C,C291,Başvuru!$L:$L,"GERİ ÇEKİLDİ",Başvuru!$A:$A,"&lt;&gt;"&amp;"",Başvuru!$F:$F,"&lt;&gt;"&amp;""))</f>
        <v>0</v>
      </c>
      <c r="Q291" s="166" t="s">
        <v>2628</v>
      </c>
      <c r="R291" s="167">
        <f>COUNTIFS(Başvuru!$C:$C,Q291,Başvuru!$A:$A,"&lt;&gt;"&amp;"",Başvuru!$F:$F,"&lt;&gt;"&amp;"")</f>
        <v>1</v>
      </c>
      <c r="S291" s="167">
        <f>RANK(R291,$R$6:$R$324,0)+COUNTIF($R$6:R291,R291)-1</f>
        <v>289</v>
      </c>
    </row>
    <row r="292" spans="2:19" ht="15" customHeight="1" x14ac:dyDescent="0.25">
      <c r="B292" s="155">
        <v>287</v>
      </c>
      <c r="C292" s="156" t="str">
        <f>IFERROR(INDEX($Q$6:$Q$324,MATCH(287,$S$6:$S$324,0)),"")</f>
        <v>Öğr. Gör. Dr. Tuğçe TAŞKINDERE ABBASOĞLU</v>
      </c>
      <c r="D292" s="157">
        <f>IF(C292="","",COUNTIFS(Başvuru!$C:$C,C292,Başvuru!$A:$A,"&lt;&gt;"&amp;"",Başvuru!$F:$F,"&lt;&gt;"&amp;""))</f>
        <v>1</v>
      </c>
      <c r="E292" s="155" t="str">
        <f>IF(C292="","-",IF(D292&gt;0,TEXT(D292/(COUNTIFS(Başvuru!$A:$A,"&lt;&gt;",Başvuru!$F:$F,"&lt;&gt;")-1)*100,"0.0")&amp;"%","-"))</f>
        <v>00%</v>
      </c>
      <c r="F292" s="158">
        <f>IF(C292="","",COUNTIFS(Başvuru!$C:$C,C292,Başvuru!$G:$G,"Bireysel Araştırma",Başvuru!$A:$A,"&lt;&gt;"&amp;"",Başvuru!$F:$F,"&lt;&gt;"&amp;""))</f>
        <v>1</v>
      </c>
      <c r="G292" s="158">
        <f>IF(C292="","",COUNTIFS(Başvuru!$C:$C,C292,Başvuru!$G:$G,"Uzmanlık Tezi",Başvuru!$A:$A,"&lt;&gt;"&amp;"",Başvuru!$F:$F,"&lt;&gt;"&amp;""))</f>
        <v>0</v>
      </c>
      <c r="H292" s="158">
        <f>IF(C292="","",COUNTIFS(Başvuru!$C:$C,C292,Başvuru!$G:$G,"Doktora Tezi",Başvuru!$A:$A,"&lt;&gt;"&amp;"",Başvuru!$F:$F,"&lt;&gt;"&amp;""))</f>
        <v>0</v>
      </c>
      <c r="I292" s="158">
        <f>IF(C292="","",COUNTIFS(Başvuru!$C:$C,C292,Başvuru!$G:$G,"Yüksek Lisans Tezi",Başvuru!$A:$A,"&lt;&gt;"&amp;"",Başvuru!$F:$F,"&lt;&gt;"&amp;""))</f>
        <v>0</v>
      </c>
      <c r="J292" s="159">
        <f>IF(C292="","",COUNTIFS(Başvuru!$C:$C,C292,Başvuru!$L:$L,"ONAY",Başvuru!$A:$A,"&lt;&gt;"&amp;"",Başvuru!$F:$F,"&lt;&gt;"&amp;""))</f>
        <v>1</v>
      </c>
      <c r="K292" s="160">
        <f>IF(C292="","",COUNTIFS(Başvuru!$C:$C,C292,Başvuru!$L:$L,"DÜZELTME",Başvuru!$A:$A,"&lt;&gt;"&amp;"",Başvuru!$F:$F,"&lt;&gt;"&amp;""))</f>
        <v>0</v>
      </c>
      <c r="L292" s="161">
        <f>IF(C292="","",COUNTIFS(Başvuru!$C:$C,C292,Başvuru!$L:$L,"KAEK",Başvuru!$A:$A,"&lt;&gt;"&amp;"",Başvuru!$F:$F,"&lt;&gt;"&amp;""))</f>
        <v>0</v>
      </c>
      <c r="M292" s="162">
        <f>IF(C292="","",COUNTIFS(Başvuru!$C:$C,C292,Başvuru!$L:$L,"GÖRÜŞ",Başvuru!$A:$A,"&lt;&gt;"&amp;"",Başvuru!$F:$F,"&lt;&gt;"&amp;""))</f>
        <v>0</v>
      </c>
      <c r="N292" s="163">
        <f>IF(C292="","",COUNTIFS(Başvuru!$C:$C,C292,Başvuru!$L:$L,"RET",Başvuru!$A:$A,"&lt;&gt;"&amp;"",Başvuru!$F:$F,"&lt;&gt;"&amp;""))</f>
        <v>0</v>
      </c>
      <c r="O292" s="164">
        <f>IF(C292="","",COUNTIFS(Başvuru!$C:$C,C292,Başvuru!$L:$L,"KAPSAM DIŞI",Başvuru!$A:$A,"&lt;&gt;"&amp;"",Başvuru!$F:$F,"&lt;&gt;"&amp;""))</f>
        <v>0</v>
      </c>
      <c r="P292" s="165">
        <f>IF(C292="","",COUNTIFS(Başvuru!$C:$C,C292,Başvuru!$L:$L,"GERİ ÇEKİLDİ",Başvuru!$A:$A,"&lt;&gt;"&amp;"",Başvuru!$F:$F,"&lt;&gt;"&amp;""))</f>
        <v>0</v>
      </c>
      <c r="Q292" s="166" t="s">
        <v>2666</v>
      </c>
      <c r="R292" s="167">
        <f>COUNTIFS(Başvuru!$C:$C,Q292,Başvuru!$A:$A,"&lt;&gt;"&amp;"",Başvuru!$F:$F,"&lt;&gt;"&amp;"")</f>
        <v>1</v>
      </c>
      <c r="S292" s="167">
        <f>RANK(R292,$R$6:$R$324,0)+COUNTIF($R$6:R292,R292)-1</f>
        <v>290</v>
      </c>
    </row>
    <row r="293" spans="2:19" ht="15" customHeight="1" x14ac:dyDescent="0.25">
      <c r="B293" s="155">
        <v>288</v>
      </c>
      <c r="C293" s="156" t="str">
        <f>IFERROR(INDEX($Q$6:$Q$324,MATCH(288,$S$6:$S$324,0)),"")</f>
        <v>Öğr. Gör. Dt. Diler DENİZ</v>
      </c>
      <c r="D293" s="157">
        <f>IF(C293="","",COUNTIFS(Başvuru!$C:$C,C293,Başvuru!$A:$A,"&lt;&gt;"&amp;"",Başvuru!$F:$F,"&lt;&gt;"&amp;""))</f>
        <v>1</v>
      </c>
      <c r="E293" s="155" t="str">
        <f>IF(C293="","-",IF(D293&gt;0,TEXT(D293/(COUNTIFS(Başvuru!$A:$A,"&lt;&gt;",Başvuru!$F:$F,"&lt;&gt;")-1)*100,"0.0")&amp;"%","-"))</f>
        <v>00%</v>
      </c>
      <c r="F293" s="158">
        <f>IF(C293="","",COUNTIFS(Başvuru!$C:$C,C293,Başvuru!$G:$G,"Bireysel Araştırma",Başvuru!$A:$A,"&lt;&gt;"&amp;"",Başvuru!$F:$F,"&lt;&gt;"&amp;""))</f>
        <v>1</v>
      </c>
      <c r="G293" s="158">
        <f>IF(C293="","",COUNTIFS(Başvuru!$C:$C,C293,Başvuru!$G:$G,"Uzmanlık Tezi",Başvuru!$A:$A,"&lt;&gt;"&amp;"",Başvuru!$F:$F,"&lt;&gt;"&amp;""))</f>
        <v>0</v>
      </c>
      <c r="H293" s="158">
        <f>IF(C293="","",COUNTIFS(Başvuru!$C:$C,C293,Başvuru!$G:$G,"Doktora Tezi",Başvuru!$A:$A,"&lt;&gt;"&amp;"",Başvuru!$F:$F,"&lt;&gt;"&amp;""))</f>
        <v>0</v>
      </c>
      <c r="I293" s="158">
        <f>IF(C293="","",COUNTIFS(Başvuru!$C:$C,C293,Başvuru!$G:$G,"Yüksek Lisans Tezi",Başvuru!$A:$A,"&lt;&gt;"&amp;"",Başvuru!$F:$F,"&lt;&gt;"&amp;""))</f>
        <v>0</v>
      </c>
      <c r="J293" s="159">
        <f>IF(C293="","",COUNTIFS(Başvuru!$C:$C,C293,Başvuru!$L:$L,"ONAY",Başvuru!$A:$A,"&lt;&gt;"&amp;"",Başvuru!$F:$F,"&lt;&gt;"&amp;""))</f>
        <v>1</v>
      </c>
      <c r="K293" s="160">
        <f>IF(C293="","",COUNTIFS(Başvuru!$C:$C,C293,Başvuru!$L:$L,"DÜZELTME",Başvuru!$A:$A,"&lt;&gt;"&amp;"",Başvuru!$F:$F,"&lt;&gt;"&amp;""))</f>
        <v>0</v>
      </c>
      <c r="L293" s="161">
        <f>IF(C293="","",COUNTIFS(Başvuru!$C:$C,C293,Başvuru!$L:$L,"KAEK",Başvuru!$A:$A,"&lt;&gt;"&amp;"",Başvuru!$F:$F,"&lt;&gt;"&amp;""))</f>
        <v>0</v>
      </c>
      <c r="M293" s="162">
        <f>IF(C293="","",COUNTIFS(Başvuru!$C:$C,C293,Başvuru!$L:$L,"GÖRÜŞ",Başvuru!$A:$A,"&lt;&gt;"&amp;"",Başvuru!$F:$F,"&lt;&gt;"&amp;""))</f>
        <v>0</v>
      </c>
      <c r="N293" s="163">
        <f>IF(C293="","",COUNTIFS(Başvuru!$C:$C,C293,Başvuru!$L:$L,"RET",Başvuru!$A:$A,"&lt;&gt;"&amp;"",Başvuru!$F:$F,"&lt;&gt;"&amp;""))</f>
        <v>0</v>
      </c>
      <c r="O293" s="164">
        <f>IF(C293="","",COUNTIFS(Başvuru!$C:$C,C293,Başvuru!$L:$L,"KAPSAM DIŞI",Başvuru!$A:$A,"&lt;&gt;"&amp;"",Başvuru!$F:$F,"&lt;&gt;"&amp;""))</f>
        <v>0</v>
      </c>
      <c r="P293" s="165">
        <f>IF(C293="","",COUNTIFS(Başvuru!$C:$C,C293,Başvuru!$L:$L,"GERİ ÇEKİLDİ",Başvuru!$A:$A,"&lt;&gt;"&amp;"",Başvuru!$F:$F,"&lt;&gt;"&amp;""))</f>
        <v>0</v>
      </c>
      <c r="Q293" s="166" t="s">
        <v>2782</v>
      </c>
      <c r="R293" s="167">
        <f>COUNTIFS(Başvuru!$C:$C,Q293,Başvuru!$A:$A,"&lt;&gt;"&amp;"",Başvuru!$F:$F,"&lt;&gt;"&amp;"")</f>
        <v>2</v>
      </c>
      <c r="S293" s="167">
        <f>RANK(R293,$R$6:$R$324,0)+COUNTIF($R$6:R293,R293)-1</f>
        <v>139</v>
      </c>
    </row>
    <row r="294" spans="2:19" ht="15" customHeight="1" x14ac:dyDescent="0.25">
      <c r="B294" s="155">
        <v>289</v>
      </c>
      <c r="C294" s="156" t="str">
        <f>IFERROR(INDEX($Q$6:$Q$324,MATCH(289,$S$6:$S$324,0)),"")</f>
        <v>Arş. Gör. Dr. Pınar YAVUZ TAZE</v>
      </c>
      <c r="D294" s="157">
        <f>IF(C294="","",COUNTIFS(Başvuru!$C:$C,C294,Başvuru!$A:$A,"&lt;&gt;"&amp;"",Başvuru!$F:$F,"&lt;&gt;"&amp;""))</f>
        <v>1</v>
      </c>
      <c r="E294" s="155" t="str">
        <f>IF(C294="","-",IF(D294&gt;0,TEXT(D294/(COUNTIFS(Başvuru!$A:$A,"&lt;&gt;",Başvuru!$F:$F,"&lt;&gt;")-1)*100,"0.0")&amp;"%","-"))</f>
        <v>00%</v>
      </c>
      <c r="F294" s="158">
        <f>IF(C294="","",COUNTIFS(Başvuru!$C:$C,C294,Başvuru!$G:$G,"Bireysel Araştırma",Başvuru!$A:$A,"&lt;&gt;"&amp;"",Başvuru!$F:$F,"&lt;&gt;"&amp;""))</f>
        <v>1</v>
      </c>
      <c r="G294" s="158">
        <f>IF(C294="","",COUNTIFS(Başvuru!$C:$C,C294,Başvuru!$G:$G,"Uzmanlık Tezi",Başvuru!$A:$A,"&lt;&gt;"&amp;"",Başvuru!$F:$F,"&lt;&gt;"&amp;""))</f>
        <v>0</v>
      </c>
      <c r="H294" s="158">
        <f>IF(C294="","",COUNTIFS(Başvuru!$C:$C,C294,Başvuru!$G:$G,"Doktora Tezi",Başvuru!$A:$A,"&lt;&gt;"&amp;"",Başvuru!$F:$F,"&lt;&gt;"&amp;""))</f>
        <v>0</v>
      </c>
      <c r="I294" s="158">
        <f>IF(C294="","",COUNTIFS(Başvuru!$C:$C,C294,Başvuru!$G:$G,"Yüksek Lisans Tezi",Başvuru!$A:$A,"&lt;&gt;"&amp;"",Başvuru!$F:$F,"&lt;&gt;"&amp;""))</f>
        <v>0</v>
      </c>
      <c r="J294" s="159">
        <f>IF(C294="","",COUNTIFS(Başvuru!$C:$C,C294,Başvuru!$L:$L,"ONAY",Başvuru!$A:$A,"&lt;&gt;"&amp;"",Başvuru!$F:$F,"&lt;&gt;"&amp;""))</f>
        <v>1</v>
      </c>
      <c r="K294" s="160">
        <f>IF(C294="","",COUNTIFS(Başvuru!$C:$C,C294,Başvuru!$L:$L,"DÜZELTME",Başvuru!$A:$A,"&lt;&gt;"&amp;"",Başvuru!$F:$F,"&lt;&gt;"&amp;""))</f>
        <v>0</v>
      </c>
      <c r="L294" s="161">
        <f>IF(C294="","",COUNTIFS(Başvuru!$C:$C,C294,Başvuru!$L:$L,"KAEK",Başvuru!$A:$A,"&lt;&gt;"&amp;"",Başvuru!$F:$F,"&lt;&gt;"&amp;""))</f>
        <v>0</v>
      </c>
      <c r="M294" s="162">
        <f>IF(C294="","",COUNTIFS(Başvuru!$C:$C,C294,Başvuru!$L:$L,"GÖRÜŞ",Başvuru!$A:$A,"&lt;&gt;"&amp;"",Başvuru!$F:$F,"&lt;&gt;"&amp;""))</f>
        <v>0</v>
      </c>
      <c r="N294" s="163">
        <f>IF(C294="","",COUNTIFS(Başvuru!$C:$C,C294,Başvuru!$L:$L,"RET",Başvuru!$A:$A,"&lt;&gt;"&amp;"",Başvuru!$F:$F,"&lt;&gt;"&amp;""))</f>
        <v>0</v>
      </c>
      <c r="O294" s="164">
        <f>IF(C294="","",COUNTIFS(Başvuru!$C:$C,C294,Başvuru!$L:$L,"KAPSAM DIŞI",Başvuru!$A:$A,"&lt;&gt;"&amp;"",Başvuru!$F:$F,"&lt;&gt;"&amp;""))</f>
        <v>0</v>
      </c>
      <c r="P294" s="165">
        <f>IF(C294="","",COUNTIFS(Başvuru!$C:$C,C294,Başvuru!$L:$L,"GERİ ÇEKİLDİ",Başvuru!$A:$A,"&lt;&gt;"&amp;"",Başvuru!$F:$F,"&lt;&gt;"&amp;""))</f>
        <v>0</v>
      </c>
      <c r="Q294" s="166" t="s">
        <v>2620</v>
      </c>
      <c r="R294" s="167">
        <f>COUNTIFS(Başvuru!$C:$C,Q294,Başvuru!$A:$A,"&lt;&gt;"&amp;"",Başvuru!$F:$F,"&lt;&gt;"&amp;"")</f>
        <v>3</v>
      </c>
      <c r="S294" s="167">
        <f>RANK(R294,$R$6:$R$324,0)+COUNTIF($R$6:R294,R294)-1</f>
        <v>69</v>
      </c>
    </row>
    <row r="295" spans="2:19" ht="15" customHeight="1" x14ac:dyDescent="0.25">
      <c r="B295" s="155">
        <v>290</v>
      </c>
      <c r="C295" s="156" t="str">
        <f>IFERROR(INDEX($Q$6:$Q$324,MATCH(290,$S$6:$S$324,0)),"")</f>
        <v>Doç. Dr. Elif Günay BULUT</v>
      </c>
      <c r="D295" s="157">
        <f>IF(C295="","",COUNTIFS(Başvuru!$C:$C,C295,Başvuru!$A:$A,"&lt;&gt;"&amp;"",Başvuru!$F:$F,"&lt;&gt;"&amp;""))</f>
        <v>1</v>
      </c>
      <c r="E295" s="155" t="str">
        <f>IF(C295="","-",IF(D295&gt;0,TEXT(D295/(COUNTIFS(Başvuru!$A:$A,"&lt;&gt;",Başvuru!$F:$F,"&lt;&gt;")-1)*100,"0.0")&amp;"%","-"))</f>
        <v>00%</v>
      </c>
      <c r="F295" s="158">
        <f>IF(C295="","",COUNTIFS(Başvuru!$C:$C,C295,Başvuru!$G:$G,"Bireysel Araştırma",Başvuru!$A:$A,"&lt;&gt;"&amp;"",Başvuru!$F:$F,"&lt;&gt;"&amp;""))</f>
        <v>1</v>
      </c>
      <c r="G295" s="158">
        <f>IF(C295="","",COUNTIFS(Başvuru!$C:$C,C295,Başvuru!$G:$G,"Uzmanlık Tezi",Başvuru!$A:$A,"&lt;&gt;"&amp;"",Başvuru!$F:$F,"&lt;&gt;"&amp;""))</f>
        <v>0</v>
      </c>
      <c r="H295" s="158">
        <f>IF(C295="","",COUNTIFS(Başvuru!$C:$C,C295,Başvuru!$G:$G,"Doktora Tezi",Başvuru!$A:$A,"&lt;&gt;"&amp;"",Başvuru!$F:$F,"&lt;&gt;"&amp;""))</f>
        <v>0</v>
      </c>
      <c r="I295" s="158">
        <f>IF(C295="","",COUNTIFS(Başvuru!$C:$C,C295,Başvuru!$G:$G,"Yüksek Lisans Tezi",Başvuru!$A:$A,"&lt;&gt;"&amp;"",Başvuru!$F:$F,"&lt;&gt;"&amp;""))</f>
        <v>0</v>
      </c>
      <c r="J295" s="159">
        <f>IF(C295="","",COUNTIFS(Başvuru!$C:$C,C295,Başvuru!$L:$L,"ONAY",Başvuru!$A:$A,"&lt;&gt;"&amp;"",Başvuru!$F:$F,"&lt;&gt;"&amp;""))</f>
        <v>0</v>
      </c>
      <c r="K295" s="160">
        <f>IF(C295="","",COUNTIFS(Başvuru!$C:$C,C295,Başvuru!$L:$L,"DÜZELTME",Başvuru!$A:$A,"&lt;&gt;"&amp;"",Başvuru!$F:$F,"&lt;&gt;"&amp;""))</f>
        <v>1</v>
      </c>
      <c r="L295" s="161">
        <f>IF(C295="","",COUNTIFS(Başvuru!$C:$C,C295,Başvuru!$L:$L,"KAEK",Başvuru!$A:$A,"&lt;&gt;"&amp;"",Başvuru!$F:$F,"&lt;&gt;"&amp;""))</f>
        <v>0</v>
      </c>
      <c r="M295" s="162">
        <f>IF(C295="","",COUNTIFS(Başvuru!$C:$C,C295,Başvuru!$L:$L,"GÖRÜŞ",Başvuru!$A:$A,"&lt;&gt;"&amp;"",Başvuru!$F:$F,"&lt;&gt;"&amp;""))</f>
        <v>0</v>
      </c>
      <c r="N295" s="163">
        <f>IF(C295="","",COUNTIFS(Başvuru!$C:$C,C295,Başvuru!$L:$L,"RET",Başvuru!$A:$A,"&lt;&gt;"&amp;"",Başvuru!$F:$F,"&lt;&gt;"&amp;""))</f>
        <v>0</v>
      </c>
      <c r="O295" s="164">
        <f>IF(C295="","",COUNTIFS(Başvuru!$C:$C,C295,Başvuru!$L:$L,"KAPSAM DIŞI",Başvuru!$A:$A,"&lt;&gt;"&amp;"",Başvuru!$F:$F,"&lt;&gt;"&amp;""))</f>
        <v>0</v>
      </c>
      <c r="P295" s="165">
        <f>IF(C295="","",COUNTIFS(Başvuru!$C:$C,C295,Başvuru!$L:$L,"GERİ ÇEKİLDİ",Başvuru!$A:$A,"&lt;&gt;"&amp;"",Başvuru!$F:$F,"&lt;&gt;"&amp;""))</f>
        <v>0</v>
      </c>
      <c r="Q295" s="166" t="s">
        <v>2692</v>
      </c>
      <c r="R295" s="167">
        <f>COUNTIFS(Başvuru!$C:$C,Q295,Başvuru!$A:$A,"&lt;&gt;"&amp;"",Başvuru!$F:$F,"&lt;&gt;"&amp;"")</f>
        <v>1</v>
      </c>
      <c r="S295" s="167">
        <f>RANK(R295,$R$6:$R$324,0)+COUNTIF($R$6:R295,R295)-1</f>
        <v>291</v>
      </c>
    </row>
    <row r="296" spans="2:19" ht="15" customHeight="1" x14ac:dyDescent="0.25">
      <c r="B296" s="155">
        <v>291</v>
      </c>
      <c r="C296" s="156" t="str">
        <f>IFERROR(INDEX($Q$6:$Q$324,MATCH(291,$S$6:$S$324,0)),"")</f>
        <v>Doç. Dr. İsmail UYANIK</v>
      </c>
      <c r="D296" s="157">
        <f>IF(C296="","",COUNTIFS(Başvuru!$C:$C,C296,Başvuru!$A:$A,"&lt;&gt;"&amp;"",Başvuru!$F:$F,"&lt;&gt;"&amp;""))</f>
        <v>1</v>
      </c>
      <c r="E296" s="155" t="str">
        <f>IF(C296="","-",IF(D296&gt;0,TEXT(D296/(COUNTIFS(Başvuru!$A:$A,"&lt;&gt;",Başvuru!$F:$F,"&lt;&gt;")-1)*100,"0.0")&amp;"%","-"))</f>
        <v>00%</v>
      </c>
      <c r="F296" s="158">
        <f>IF(C296="","",COUNTIFS(Başvuru!$C:$C,C296,Başvuru!$G:$G,"Bireysel Araştırma",Başvuru!$A:$A,"&lt;&gt;"&amp;"",Başvuru!$F:$F,"&lt;&gt;"&amp;""))</f>
        <v>1</v>
      </c>
      <c r="G296" s="158">
        <f>IF(C296="","",COUNTIFS(Başvuru!$C:$C,C296,Başvuru!$G:$G,"Uzmanlık Tezi",Başvuru!$A:$A,"&lt;&gt;"&amp;"",Başvuru!$F:$F,"&lt;&gt;"&amp;""))</f>
        <v>0</v>
      </c>
      <c r="H296" s="158">
        <f>IF(C296="","",COUNTIFS(Başvuru!$C:$C,C296,Başvuru!$G:$G,"Doktora Tezi",Başvuru!$A:$A,"&lt;&gt;"&amp;"",Başvuru!$F:$F,"&lt;&gt;"&amp;""))</f>
        <v>0</v>
      </c>
      <c r="I296" s="158">
        <f>IF(C296="","",COUNTIFS(Başvuru!$C:$C,C296,Başvuru!$G:$G,"Yüksek Lisans Tezi",Başvuru!$A:$A,"&lt;&gt;"&amp;"",Başvuru!$F:$F,"&lt;&gt;"&amp;""))</f>
        <v>0</v>
      </c>
      <c r="J296" s="159">
        <f>IF(C296="","",COUNTIFS(Başvuru!$C:$C,C296,Başvuru!$L:$L,"ONAY",Başvuru!$A:$A,"&lt;&gt;"&amp;"",Başvuru!$F:$F,"&lt;&gt;"&amp;""))</f>
        <v>0</v>
      </c>
      <c r="K296" s="160">
        <f>IF(C296="","",COUNTIFS(Başvuru!$C:$C,C296,Başvuru!$L:$L,"DÜZELTME",Başvuru!$A:$A,"&lt;&gt;"&amp;"",Başvuru!$F:$F,"&lt;&gt;"&amp;""))</f>
        <v>1</v>
      </c>
      <c r="L296" s="161">
        <f>IF(C296="","",COUNTIFS(Başvuru!$C:$C,C296,Başvuru!$L:$L,"KAEK",Başvuru!$A:$A,"&lt;&gt;"&amp;"",Başvuru!$F:$F,"&lt;&gt;"&amp;""))</f>
        <v>0</v>
      </c>
      <c r="M296" s="162">
        <f>IF(C296="","",COUNTIFS(Başvuru!$C:$C,C296,Başvuru!$L:$L,"GÖRÜŞ",Başvuru!$A:$A,"&lt;&gt;"&amp;"",Başvuru!$F:$F,"&lt;&gt;"&amp;""))</f>
        <v>0</v>
      </c>
      <c r="N296" s="163">
        <f>IF(C296="","",COUNTIFS(Başvuru!$C:$C,C296,Başvuru!$L:$L,"RET",Başvuru!$A:$A,"&lt;&gt;"&amp;"",Başvuru!$F:$F,"&lt;&gt;"&amp;""))</f>
        <v>0</v>
      </c>
      <c r="O296" s="164">
        <f>IF(C296="","",COUNTIFS(Başvuru!$C:$C,C296,Başvuru!$L:$L,"KAPSAM DIŞI",Başvuru!$A:$A,"&lt;&gt;"&amp;"",Başvuru!$F:$F,"&lt;&gt;"&amp;""))</f>
        <v>0</v>
      </c>
      <c r="P296" s="165">
        <f>IF(C296="","",COUNTIFS(Başvuru!$C:$C,C296,Başvuru!$L:$L,"GERİ ÇEKİLDİ",Başvuru!$A:$A,"&lt;&gt;"&amp;"",Başvuru!$F:$F,"&lt;&gt;"&amp;""))</f>
        <v>0</v>
      </c>
      <c r="Q296" s="166" t="s">
        <v>2753</v>
      </c>
      <c r="R296" s="167">
        <f>COUNTIFS(Başvuru!$C:$C,Q296,Başvuru!$A:$A,"&lt;&gt;"&amp;"",Başvuru!$F:$F,"&lt;&gt;"&amp;"")</f>
        <v>1</v>
      </c>
      <c r="S296" s="167">
        <f>RANK(R296,$R$6:$R$324,0)+COUNTIF($R$6:R296,R296)-1</f>
        <v>292</v>
      </c>
    </row>
    <row r="297" spans="2:19" ht="15" customHeight="1" x14ac:dyDescent="0.25">
      <c r="B297" s="155">
        <v>292</v>
      </c>
      <c r="C297" s="156" t="str">
        <f>IFERROR(INDEX($Q$6:$Q$324,MATCH(292,$S$6:$S$324,0)),"")</f>
        <v>Dr. Öğr. Üyesi Aslı Şan DAĞLI GÜL</v>
      </c>
      <c r="D297" s="157">
        <f>IF(C297="","",COUNTIFS(Başvuru!$C:$C,C297,Başvuru!$A:$A,"&lt;&gt;"&amp;"",Başvuru!$F:$F,"&lt;&gt;"&amp;""))</f>
        <v>1</v>
      </c>
      <c r="E297" s="155" t="str">
        <f>IF(C297="","-",IF(D297&gt;0,TEXT(D297/(COUNTIFS(Başvuru!$A:$A,"&lt;&gt;",Başvuru!$F:$F,"&lt;&gt;")-1)*100,"0.0")&amp;"%","-"))</f>
        <v>00%</v>
      </c>
      <c r="F297" s="158">
        <f>IF(C297="","",COUNTIFS(Başvuru!$C:$C,C297,Başvuru!$G:$G,"Bireysel Araştırma",Başvuru!$A:$A,"&lt;&gt;"&amp;"",Başvuru!$F:$F,"&lt;&gt;"&amp;""))</f>
        <v>1</v>
      </c>
      <c r="G297" s="158">
        <f>IF(C297="","",COUNTIFS(Başvuru!$C:$C,C297,Başvuru!$G:$G,"Uzmanlık Tezi",Başvuru!$A:$A,"&lt;&gt;"&amp;"",Başvuru!$F:$F,"&lt;&gt;"&amp;""))</f>
        <v>0</v>
      </c>
      <c r="H297" s="158">
        <f>IF(C297="","",COUNTIFS(Başvuru!$C:$C,C297,Başvuru!$G:$G,"Doktora Tezi",Başvuru!$A:$A,"&lt;&gt;"&amp;"",Başvuru!$F:$F,"&lt;&gt;"&amp;""))</f>
        <v>0</v>
      </c>
      <c r="I297" s="158">
        <f>IF(C297="","",COUNTIFS(Başvuru!$C:$C,C297,Başvuru!$G:$G,"Yüksek Lisans Tezi",Başvuru!$A:$A,"&lt;&gt;"&amp;"",Başvuru!$F:$F,"&lt;&gt;"&amp;""))</f>
        <v>0</v>
      </c>
      <c r="J297" s="159">
        <f>IF(C297="","",COUNTIFS(Başvuru!$C:$C,C297,Başvuru!$L:$L,"ONAY",Başvuru!$A:$A,"&lt;&gt;"&amp;"",Başvuru!$F:$F,"&lt;&gt;"&amp;""))</f>
        <v>0</v>
      </c>
      <c r="K297" s="160">
        <f>IF(C297="","",COUNTIFS(Başvuru!$C:$C,C297,Başvuru!$L:$L,"DÜZELTME",Başvuru!$A:$A,"&lt;&gt;"&amp;"",Başvuru!$F:$F,"&lt;&gt;"&amp;""))</f>
        <v>1</v>
      </c>
      <c r="L297" s="161">
        <f>IF(C297="","",COUNTIFS(Başvuru!$C:$C,C297,Başvuru!$L:$L,"KAEK",Başvuru!$A:$A,"&lt;&gt;"&amp;"",Başvuru!$F:$F,"&lt;&gt;"&amp;""))</f>
        <v>0</v>
      </c>
      <c r="M297" s="162">
        <f>IF(C297="","",COUNTIFS(Başvuru!$C:$C,C297,Başvuru!$L:$L,"GÖRÜŞ",Başvuru!$A:$A,"&lt;&gt;"&amp;"",Başvuru!$F:$F,"&lt;&gt;"&amp;""))</f>
        <v>0</v>
      </c>
      <c r="N297" s="163">
        <f>IF(C297="","",COUNTIFS(Başvuru!$C:$C,C297,Başvuru!$L:$L,"RET",Başvuru!$A:$A,"&lt;&gt;"&amp;"",Başvuru!$F:$F,"&lt;&gt;"&amp;""))</f>
        <v>0</v>
      </c>
      <c r="O297" s="164">
        <f>IF(C297="","",COUNTIFS(Başvuru!$C:$C,C297,Başvuru!$L:$L,"KAPSAM DIŞI",Başvuru!$A:$A,"&lt;&gt;"&amp;"",Başvuru!$F:$F,"&lt;&gt;"&amp;""))</f>
        <v>0</v>
      </c>
      <c r="P297" s="165">
        <f>IF(C297="","",COUNTIFS(Başvuru!$C:$C,C297,Başvuru!$L:$L,"GERİ ÇEKİLDİ",Başvuru!$A:$A,"&lt;&gt;"&amp;"",Başvuru!$F:$F,"&lt;&gt;"&amp;""))</f>
        <v>0</v>
      </c>
      <c r="Q297" s="166" t="s">
        <v>2687</v>
      </c>
      <c r="R297" s="167">
        <f>COUNTIFS(Başvuru!$C:$C,Q297,Başvuru!$A:$A,"&lt;&gt;"&amp;"",Başvuru!$F:$F,"&lt;&gt;"&amp;"")</f>
        <v>1</v>
      </c>
      <c r="S297" s="167">
        <f>RANK(R297,$R$6:$R$324,0)+COUNTIF($R$6:R297,R297)-1</f>
        <v>293</v>
      </c>
    </row>
    <row r="298" spans="2:19" ht="15" customHeight="1" x14ac:dyDescent="0.25">
      <c r="B298" s="155">
        <v>293</v>
      </c>
      <c r="C298" s="156" t="str">
        <f>IFERROR(INDEX($Q$6:$Q$324,MATCH(293,$S$6:$S$324,0)),"")</f>
        <v>Prof. Dr. Ahmet SERPER</v>
      </c>
      <c r="D298" s="157">
        <f>IF(C298="","",COUNTIFS(Başvuru!$C:$C,C298,Başvuru!$A:$A,"&lt;&gt;"&amp;"",Başvuru!$F:$F,"&lt;&gt;"&amp;""))</f>
        <v>1</v>
      </c>
      <c r="E298" s="155" t="str">
        <f>IF(C298="","-",IF(D298&gt;0,TEXT(D298/(COUNTIFS(Başvuru!$A:$A,"&lt;&gt;",Başvuru!$F:$F,"&lt;&gt;")-1)*100,"0.0")&amp;"%","-"))</f>
        <v>00%</v>
      </c>
      <c r="F298" s="158">
        <f>IF(C298="","",COUNTIFS(Başvuru!$C:$C,C298,Başvuru!$G:$G,"Bireysel Araştırma",Başvuru!$A:$A,"&lt;&gt;"&amp;"",Başvuru!$F:$F,"&lt;&gt;"&amp;""))</f>
        <v>0</v>
      </c>
      <c r="G298" s="158">
        <f>IF(C298="","",COUNTIFS(Başvuru!$C:$C,C298,Başvuru!$G:$G,"Uzmanlık Tezi",Başvuru!$A:$A,"&lt;&gt;"&amp;"",Başvuru!$F:$F,"&lt;&gt;"&amp;""))</f>
        <v>1</v>
      </c>
      <c r="H298" s="158">
        <f>IF(C298="","",COUNTIFS(Başvuru!$C:$C,C298,Başvuru!$G:$G,"Doktora Tezi",Başvuru!$A:$A,"&lt;&gt;"&amp;"",Başvuru!$F:$F,"&lt;&gt;"&amp;""))</f>
        <v>0</v>
      </c>
      <c r="I298" s="158">
        <f>IF(C298="","",COUNTIFS(Başvuru!$C:$C,C298,Başvuru!$G:$G,"Yüksek Lisans Tezi",Başvuru!$A:$A,"&lt;&gt;"&amp;"",Başvuru!$F:$F,"&lt;&gt;"&amp;""))</f>
        <v>0</v>
      </c>
      <c r="J298" s="159">
        <f>IF(C298="","",COUNTIFS(Başvuru!$C:$C,C298,Başvuru!$L:$L,"ONAY",Başvuru!$A:$A,"&lt;&gt;"&amp;"",Başvuru!$F:$F,"&lt;&gt;"&amp;""))</f>
        <v>0</v>
      </c>
      <c r="K298" s="160">
        <f>IF(C298="","",COUNTIFS(Başvuru!$C:$C,C298,Başvuru!$L:$L,"DÜZELTME",Başvuru!$A:$A,"&lt;&gt;"&amp;"",Başvuru!$F:$F,"&lt;&gt;"&amp;""))</f>
        <v>0</v>
      </c>
      <c r="L298" s="161">
        <f>IF(C298="","",COUNTIFS(Başvuru!$C:$C,C298,Başvuru!$L:$L,"KAEK",Başvuru!$A:$A,"&lt;&gt;"&amp;"",Başvuru!$F:$F,"&lt;&gt;"&amp;""))</f>
        <v>0</v>
      </c>
      <c r="M298" s="162">
        <f>IF(C298="","",COUNTIFS(Başvuru!$C:$C,C298,Başvuru!$L:$L,"GÖRÜŞ",Başvuru!$A:$A,"&lt;&gt;"&amp;"",Başvuru!$F:$F,"&lt;&gt;"&amp;""))</f>
        <v>0</v>
      </c>
      <c r="N298" s="163">
        <f>IF(C298="","",COUNTIFS(Başvuru!$C:$C,C298,Başvuru!$L:$L,"RET",Başvuru!$A:$A,"&lt;&gt;"&amp;"",Başvuru!$F:$F,"&lt;&gt;"&amp;""))</f>
        <v>1</v>
      </c>
      <c r="O298" s="164">
        <f>IF(C298="","",COUNTIFS(Başvuru!$C:$C,C298,Başvuru!$L:$L,"KAPSAM DIŞI",Başvuru!$A:$A,"&lt;&gt;"&amp;"",Başvuru!$F:$F,"&lt;&gt;"&amp;""))</f>
        <v>0</v>
      </c>
      <c r="P298" s="165">
        <f>IF(C298="","",COUNTIFS(Başvuru!$C:$C,C298,Başvuru!$L:$L,"GERİ ÇEKİLDİ",Başvuru!$A:$A,"&lt;&gt;"&amp;"",Başvuru!$F:$F,"&lt;&gt;"&amp;""))</f>
        <v>0</v>
      </c>
      <c r="Q298" s="166" t="s">
        <v>2723</v>
      </c>
      <c r="R298" s="167">
        <f>COUNTIFS(Başvuru!$C:$C,Q298,Başvuru!$A:$A,"&lt;&gt;"&amp;"",Başvuru!$F:$F,"&lt;&gt;"&amp;"")</f>
        <v>1</v>
      </c>
      <c r="S298" s="167">
        <f>RANK(R298,$R$6:$R$324,0)+COUNTIF($R$6:R298,R298)-1</f>
        <v>294</v>
      </c>
    </row>
    <row r="299" spans="2:19" ht="15" customHeight="1" x14ac:dyDescent="0.25">
      <c r="B299" s="155">
        <v>294</v>
      </c>
      <c r="C299" s="156" t="str">
        <f>IFERROR(INDEX($Q$6:$Q$324,MATCH(294,$S$6:$S$324,0)),"")</f>
        <v>Prof. Dr. B. Barış KUŞKONMAZ</v>
      </c>
      <c r="D299" s="157">
        <f>IF(C299="","",COUNTIFS(Başvuru!$C:$C,C299,Başvuru!$A:$A,"&lt;&gt;"&amp;"",Başvuru!$F:$F,"&lt;&gt;"&amp;""))</f>
        <v>1</v>
      </c>
      <c r="E299" s="155" t="str">
        <f>IF(C299="","-",IF(D299&gt;0,TEXT(D299/(COUNTIFS(Başvuru!$A:$A,"&lt;&gt;",Başvuru!$F:$F,"&lt;&gt;")-1)*100,"0.0")&amp;"%","-"))</f>
        <v>00%</v>
      </c>
      <c r="F299" s="158">
        <f>IF(C299="","",COUNTIFS(Başvuru!$C:$C,C299,Başvuru!$G:$G,"Bireysel Araştırma",Başvuru!$A:$A,"&lt;&gt;"&amp;"",Başvuru!$F:$F,"&lt;&gt;"&amp;""))</f>
        <v>1</v>
      </c>
      <c r="G299" s="158">
        <f>IF(C299="","",COUNTIFS(Başvuru!$C:$C,C299,Başvuru!$G:$G,"Uzmanlık Tezi",Başvuru!$A:$A,"&lt;&gt;"&amp;"",Başvuru!$F:$F,"&lt;&gt;"&amp;""))</f>
        <v>0</v>
      </c>
      <c r="H299" s="158">
        <f>IF(C299="","",COUNTIFS(Başvuru!$C:$C,C299,Başvuru!$G:$G,"Doktora Tezi",Başvuru!$A:$A,"&lt;&gt;"&amp;"",Başvuru!$F:$F,"&lt;&gt;"&amp;""))</f>
        <v>0</v>
      </c>
      <c r="I299" s="158">
        <f>IF(C299="","",COUNTIFS(Başvuru!$C:$C,C299,Başvuru!$G:$G,"Yüksek Lisans Tezi",Başvuru!$A:$A,"&lt;&gt;"&amp;"",Başvuru!$F:$F,"&lt;&gt;"&amp;""))</f>
        <v>0</v>
      </c>
      <c r="J299" s="159">
        <f>IF(C299="","",COUNTIFS(Başvuru!$C:$C,C299,Başvuru!$L:$L,"ONAY",Başvuru!$A:$A,"&lt;&gt;"&amp;"",Başvuru!$F:$F,"&lt;&gt;"&amp;""))</f>
        <v>1</v>
      </c>
      <c r="K299" s="160">
        <f>IF(C299="","",COUNTIFS(Başvuru!$C:$C,C299,Başvuru!$L:$L,"DÜZELTME",Başvuru!$A:$A,"&lt;&gt;"&amp;"",Başvuru!$F:$F,"&lt;&gt;"&amp;""))</f>
        <v>0</v>
      </c>
      <c r="L299" s="161">
        <f>IF(C299="","",COUNTIFS(Başvuru!$C:$C,C299,Başvuru!$L:$L,"KAEK",Başvuru!$A:$A,"&lt;&gt;"&amp;"",Başvuru!$F:$F,"&lt;&gt;"&amp;""))</f>
        <v>0</v>
      </c>
      <c r="M299" s="162">
        <f>IF(C299="","",COUNTIFS(Başvuru!$C:$C,C299,Başvuru!$L:$L,"GÖRÜŞ",Başvuru!$A:$A,"&lt;&gt;"&amp;"",Başvuru!$F:$F,"&lt;&gt;"&amp;""))</f>
        <v>0</v>
      </c>
      <c r="N299" s="163">
        <f>IF(C299="","",COUNTIFS(Başvuru!$C:$C,C299,Başvuru!$L:$L,"RET",Başvuru!$A:$A,"&lt;&gt;"&amp;"",Başvuru!$F:$F,"&lt;&gt;"&amp;""))</f>
        <v>0</v>
      </c>
      <c r="O299" s="164">
        <f>IF(C299="","",COUNTIFS(Başvuru!$C:$C,C299,Başvuru!$L:$L,"KAPSAM DIŞI",Başvuru!$A:$A,"&lt;&gt;"&amp;"",Başvuru!$F:$F,"&lt;&gt;"&amp;""))</f>
        <v>0</v>
      </c>
      <c r="P299" s="165">
        <f>IF(C299="","",COUNTIFS(Başvuru!$C:$C,C299,Başvuru!$L:$L,"GERİ ÇEKİLDİ",Başvuru!$A:$A,"&lt;&gt;"&amp;"",Başvuru!$F:$F,"&lt;&gt;"&amp;""))</f>
        <v>0</v>
      </c>
      <c r="Q299" s="166" t="s">
        <v>2637</v>
      </c>
      <c r="R299" s="167">
        <f>COUNTIFS(Başvuru!$C:$C,Q299,Başvuru!$A:$A,"&lt;&gt;"&amp;"",Başvuru!$F:$F,"&lt;&gt;"&amp;"")</f>
        <v>1</v>
      </c>
      <c r="S299" s="167">
        <f>RANK(R299,$R$6:$R$324,0)+COUNTIF($R$6:R299,R299)-1</f>
        <v>295</v>
      </c>
    </row>
    <row r="300" spans="2:19" ht="15" customHeight="1" x14ac:dyDescent="0.25">
      <c r="B300" s="155">
        <v>295</v>
      </c>
      <c r="C300" s="156" t="str">
        <f>IFERROR(INDEX($Q$6:$Q$324,MATCH(295,$S$6:$S$324,0)),"")</f>
        <v>Prof. Dr. Levent ÖZÇAKAR</v>
      </c>
      <c r="D300" s="157">
        <f>IF(C300="","",COUNTIFS(Başvuru!$C:$C,C300,Başvuru!$A:$A,"&lt;&gt;"&amp;"",Başvuru!$F:$F,"&lt;&gt;"&amp;""))</f>
        <v>1</v>
      </c>
      <c r="E300" s="155" t="str">
        <f>IF(C300="","-",IF(D300&gt;0,TEXT(D300/(COUNTIFS(Başvuru!$A:$A,"&lt;&gt;",Başvuru!$F:$F,"&lt;&gt;")-1)*100,"0.0")&amp;"%","-"))</f>
        <v>00%</v>
      </c>
      <c r="F300" s="158">
        <f>IF(C300="","",COUNTIFS(Başvuru!$C:$C,C300,Başvuru!$G:$G,"Bireysel Araştırma",Başvuru!$A:$A,"&lt;&gt;"&amp;"",Başvuru!$F:$F,"&lt;&gt;"&amp;""))</f>
        <v>0</v>
      </c>
      <c r="G300" s="158">
        <f>IF(C300="","",COUNTIFS(Başvuru!$C:$C,C300,Başvuru!$G:$G,"Uzmanlık Tezi",Başvuru!$A:$A,"&lt;&gt;"&amp;"",Başvuru!$F:$F,"&lt;&gt;"&amp;""))</f>
        <v>1</v>
      </c>
      <c r="H300" s="158">
        <f>IF(C300="","",COUNTIFS(Başvuru!$C:$C,C300,Başvuru!$G:$G,"Doktora Tezi",Başvuru!$A:$A,"&lt;&gt;"&amp;"",Başvuru!$F:$F,"&lt;&gt;"&amp;""))</f>
        <v>0</v>
      </c>
      <c r="I300" s="158">
        <f>IF(C300="","",COUNTIFS(Başvuru!$C:$C,C300,Başvuru!$G:$G,"Yüksek Lisans Tezi",Başvuru!$A:$A,"&lt;&gt;"&amp;"",Başvuru!$F:$F,"&lt;&gt;"&amp;""))</f>
        <v>0</v>
      </c>
      <c r="J300" s="159">
        <f>IF(C300="","",COUNTIFS(Başvuru!$C:$C,C300,Başvuru!$L:$L,"ONAY",Başvuru!$A:$A,"&lt;&gt;"&amp;"",Başvuru!$F:$F,"&lt;&gt;"&amp;""))</f>
        <v>0</v>
      </c>
      <c r="K300" s="160">
        <f>IF(C300="","",COUNTIFS(Başvuru!$C:$C,C300,Başvuru!$L:$L,"DÜZELTME",Başvuru!$A:$A,"&lt;&gt;"&amp;"",Başvuru!$F:$F,"&lt;&gt;"&amp;""))</f>
        <v>1</v>
      </c>
      <c r="L300" s="161">
        <f>IF(C300="","",COUNTIFS(Başvuru!$C:$C,C300,Başvuru!$L:$L,"KAEK",Başvuru!$A:$A,"&lt;&gt;"&amp;"",Başvuru!$F:$F,"&lt;&gt;"&amp;""))</f>
        <v>0</v>
      </c>
      <c r="M300" s="162">
        <f>IF(C300="","",COUNTIFS(Başvuru!$C:$C,C300,Başvuru!$L:$L,"GÖRÜŞ",Başvuru!$A:$A,"&lt;&gt;"&amp;"",Başvuru!$F:$F,"&lt;&gt;"&amp;""))</f>
        <v>0</v>
      </c>
      <c r="N300" s="163">
        <f>IF(C300="","",COUNTIFS(Başvuru!$C:$C,C300,Başvuru!$L:$L,"RET",Başvuru!$A:$A,"&lt;&gt;"&amp;"",Başvuru!$F:$F,"&lt;&gt;"&amp;""))</f>
        <v>0</v>
      </c>
      <c r="O300" s="164">
        <f>IF(C300="","",COUNTIFS(Başvuru!$C:$C,C300,Başvuru!$L:$L,"KAPSAM DIŞI",Başvuru!$A:$A,"&lt;&gt;"&amp;"",Başvuru!$F:$F,"&lt;&gt;"&amp;""))</f>
        <v>0</v>
      </c>
      <c r="P300" s="165">
        <f>IF(C300="","",COUNTIFS(Başvuru!$C:$C,C300,Başvuru!$L:$L,"GERİ ÇEKİLDİ",Başvuru!$A:$A,"&lt;&gt;"&amp;"",Başvuru!$F:$F,"&lt;&gt;"&amp;""))</f>
        <v>0</v>
      </c>
      <c r="Q300" s="166" t="s">
        <v>2587</v>
      </c>
      <c r="R300" s="167">
        <f>COUNTIFS(Başvuru!$C:$C,Q300,Başvuru!$A:$A,"&lt;&gt;"&amp;"",Başvuru!$F:$F,"&lt;&gt;"&amp;"")</f>
        <v>1</v>
      </c>
      <c r="S300" s="167">
        <f>RANK(R300,$R$6:$R$324,0)+COUNTIF($R$6:R300,R300)-1</f>
        <v>296</v>
      </c>
    </row>
    <row r="301" spans="2:19" ht="15" customHeight="1" x14ac:dyDescent="0.25">
      <c r="B301" s="155">
        <v>296</v>
      </c>
      <c r="C301" s="156" t="str">
        <f>IFERROR(INDEX($Q$6:$Q$324,MATCH(296,$S$6:$S$324,0)),"")</f>
        <v>Prof. Dr. Lokman UZUN</v>
      </c>
      <c r="D301" s="157">
        <f>IF(C301="","",COUNTIFS(Başvuru!$C:$C,C301,Başvuru!$A:$A,"&lt;&gt;"&amp;"",Başvuru!$F:$F,"&lt;&gt;"&amp;""))</f>
        <v>1</v>
      </c>
      <c r="E301" s="155" t="str">
        <f>IF(C301="","-",IF(D301&gt;0,TEXT(D301/(COUNTIFS(Başvuru!$A:$A,"&lt;&gt;",Başvuru!$F:$F,"&lt;&gt;")-1)*100,"0.0")&amp;"%","-"))</f>
        <v>00%</v>
      </c>
      <c r="F301" s="158">
        <f>IF(C301="","",COUNTIFS(Başvuru!$C:$C,C301,Başvuru!$G:$G,"Bireysel Araştırma",Başvuru!$A:$A,"&lt;&gt;"&amp;"",Başvuru!$F:$F,"&lt;&gt;"&amp;""))</f>
        <v>1</v>
      </c>
      <c r="G301" s="158">
        <f>IF(C301="","",COUNTIFS(Başvuru!$C:$C,C301,Başvuru!$G:$G,"Uzmanlık Tezi",Başvuru!$A:$A,"&lt;&gt;"&amp;"",Başvuru!$F:$F,"&lt;&gt;"&amp;""))</f>
        <v>0</v>
      </c>
      <c r="H301" s="158">
        <f>IF(C301="","",COUNTIFS(Başvuru!$C:$C,C301,Başvuru!$G:$G,"Doktora Tezi",Başvuru!$A:$A,"&lt;&gt;"&amp;"",Başvuru!$F:$F,"&lt;&gt;"&amp;""))</f>
        <v>0</v>
      </c>
      <c r="I301" s="158">
        <f>IF(C301="","",COUNTIFS(Başvuru!$C:$C,C301,Başvuru!$G:$G,"Yüksek Lisans Tezi",Başvuru!$A:$A,"&lt;&gt;"&amp;"",Başvuru!$F:$F,"&lt;&gt;"&amp;""))</f>
        <v>0</v>
      </c>
      <c r="J301" s="159">
        <f>IF(C301="","",COUNTIFS(Başvuru!$C:$C,C301,Başvuru!$L:$L,"ONAY",Başvuru!$A:$A,"&lt;&gt;"&amp;"",Başvuru!$F:$F,"&lt;&gt;"&amp;""))</f>
        <v>0</v>
      </c>
      <c r="K301" s="160">
        <f>IF(C301="","",COUNTIFS(Başvuru!$C:$C,C301,Başvuru!$L:$L,"DÜZELTME",Başvuru!$A:$A,"&lt;&gt;"&amp;"",Başvuru!$F:$F,"&lt;&gt;"&amp;""))</f>
        <v>0</v>
      </c>
      <c r="L301" s="161">
        <f>IF(C301="","",COUNTIFS(Başvuru!$C:$C,C301,Başvuru!$L:$L,"KAEK",Başvuru!$A:$A,"&lt;&gt;"&amp;"",Başvuru!$F:$F,"&lt;&gt;"&amp;""))</f>
        <v>0</v>
      </c>
      <c r="M301" s="162">
        <f>IF(C301="","",COUNTIFS(Başvuru!$C:$C,C301,Başvuru!$L:$L,"GÖRÜŞ",Başvuru!$A:$A,"&lt;&gt;"&amp;"",Başvuru!$F:$F,"&lt;&gt;"&amp;""))</f>
        <v>0</v>
      </c>
      <c r="N301" s="163">
        <f>IF(C301="","",COUNTIFS(Başvuru!$C:$C,C301,Başvuru!$L:$L,"RET",Başvuru!$A:$A,"&lt;&gt;"&amp;"",Başvuru!$F:$F,"&lt;&gt;"&amp;""))</f>
        <v>0</v>
      </c>
      <c r="O301" s="164">
        <f>IF(C301="","",COUNTIFS(Başvuru!$C:$C,C301,Başvuru!$L:$L,"KAPSAM DIŞI",Başvuru!$A:$A,"&lt;&gt;"&amp;"",Başvuru!$F:$F,"&lt;&gt;"&amp;""))</f>
        <v>1</v>
      </c>
      <c r="P301" s="165">
        <f>IF(C301="","",COUNTIFS(Başvuru!$C:$C,C301,Başvuru!$L:$L,"GERİ ÇEKİLDİ",Başvuru!$A:$A,"&lt;&gt;"&amp;"",Başvuru!$F:$F,"&lt;&gt;"&amp;""))</f>
        <v>0</v>
      </c>
      <c r="Q301" s="166" t="s">
        <v>2706</v>
      </c>
      <c r="R301" s="167">
        <f>COUNTIFS(Başvuru!$C:$C,Q301,Başvuru!$A:$A,"&lt;&gt;"&amp;"",Başvuru!$F:$F,"&lt;&gt;"&amp;"")</f>
        <v>3</v>
      </c>
      <c r="S301" s="167">
        <f>RANK(R301,$R$6:$R$324,0)+COUNTIF($R$6:R301,R301)-1</f>
        <v>70</v>
      </c>
    </row>
    <row r="302" spans="2:19" ht="15" customHeight="1" x14ac:dyDescent="0.25">
      <c r="B302" s="155">
        <v>297</v>
      </c>
      <c r="C302" s="156" t="str">
        <f>IFERROR(INDEX($Q$6:$Q$324,MATCH(297,$S$6:$S$324,0)),"")</f>
        <v>Prof. Dr. Yelda BİLGİNER</v>
      </c>
      <c r="D302" s="157">
        <f>IF(C302="","",COUNTIFS(Başvuru!$C:$C,C302,Başvuru!$A:$A,"&lt;&gt;"&amp;"",Başvuru!$F:$F,"&lt;&gt;"&amp;""))</f>
        <v>1</v>
      </c>
      <c r="E302" s="155" t="str">
        <f>IF(C302="","-",IF(D302&gt;0,TEXT(D302/(COUNTIFS(Başvuru!$A:$A,"&lt;&gt;",Başvuru!$F:$F,"&lt;&gt;")-1)*100,"0.0")&amp;"%","-"))</f>
        <v>00%</v>
      </c>
      <c r="F302" s="158">
        <f>IF(C302="","",COUNTIFS(Başvuru!$C:$C,C302,Başvuru!$G:$G,"Bireysel Araştırma",Başvuru!$A:$A,"&lt;&gt;"&amp;"",Başvuru!$F:$F,"&lt;&gt;"&amp;""))</f>
        <v>1</v>
      </c>
      <c r="G302" s="158">
        <f>IF(C302="","",COUNTIFS(Başvuru!$C:$C,C302,Başvuru!$G:$G,"Uzmanlık Tezi",Başvuru!$A:$A,"&lt;&gt;"&amp;"",Başvuru!$F:$F,"&lt;&gt;"&amp;""))</f>
        <v>0</v>
      </c>
      <c r="H302" s="158">
        <f>IF(C302="","",COUNTIFS(Başvuru!$C:$C,C302,Başvuru!$G:$G,"Doktora Tezi",Başvuru!$A:$A,"&lt;&gt;"&amp;"",Başvuru!$F:$F,"&lt;&gt;"&amp;""))</f>
        <v>0</v>
      </c>
      <c r="I302" s="158">
        <f>IF(C302="","",COUNTIFS(Başvuru!$C:$C,C302,Başvuru!$G:$G,"Yüksek Lisans Tezi",Başvuru!$A:$A,"&lt;&gt;"&amp;"",Başvuru!$F:$F,"&lt;&gt;"&amp;""))</f>
        <v>0</v>
      </c>
      <c r="J302" s="159">
        <f>IF(C302="","",COUNTIFS(Başvuru!$C:$C,C302,Başvuru!$L:$L,"ONAY",Başvuru!$A:$A,"&lt;&gt;"&amp;"",Başvuru!$F:$F,"&lt;&gt;"&amp;""))</f>
        <v>1</v>
      </c>
      <c r="K302" s="160">
        <f>IF(C302="","",COUNTIFS(Başvuru!$C:$C,C302,Başvuru!$L:$L,"DÜZELTME",Başvuru!$A:$A,"&lt;&gt;"&amp;"",Başvuru!$F:$F,"&lt;&gt;"&amp;""))</f>
        <v>0</v>
      </c>
      <c r="L302" s="161">
        <f>IF(C302="","",COUNTIFS(Başvuru!$C:$C,C302,Başvuru!$L:$L,"KAEK",Başvuru!$A:$A,"&lt;&gt;"&amp;"",Başvuru!$F:$F,"&lt;&gt;"&amp;""))</f>
        <v>0</v>
      </c>
      <c r="M302" s="162">
        <f>IF(C302="","",COUNTIFS(Başvuru!$C:$C,C302,Başvuru!$L:$L,"GÖRÜŞ",Başvuru!$A:$A,"&lt;&gt;"&amp;"",Başvuru!$F:$F,"&lt;&gt;"&amp;""))</f>
        <v>0</v>
      </c>
      <c r="N302" s="163">
        <f>IF(C302="","",COUNTIFS(Başvuru!$C:$C,C302,Başvuru!$L:$L,"RET",Başvuru!$A:$A,"&lt;&gt;"&amp;"",Başvuru!$F:$F,"&lt;&gt;"&amp;""))</f>
        <v>0</v>
      </c>
      <c r="O302" s="164">
        <f>IF(C302="","",COUNTIFS(Başvuru!$C:$C,C302,Başvuru!$L:$L,"KAPSAM DIŞI",Başvuru!$A:$A,"&lt;&gt;"&amp;"",Başvuru!$F:$F,"&lt;&gt;"&amp;""))</f>
        <v>0</v>
      </c>
      <c r="P302" s="165">
        <f>IF(C302="","",COUNTIFS(Başvuru!$C:$C,C302,Başvuru!$L:$L,"GERİ ÇEKİLDİ",Başvuru!$A:$A,"&lt;&gt;"&amp;"",Başvuru!$F:$F,"&lt;&gt;"&amp;""))</f>
        <v>0</v>
      </c>
      <c r="Q302" s="166" t="s">
        <v>2740</v>
      </c>
      <c r="R302" s="167">
        <f>COUNTIFS(Başvuru!$C:$C,Q302,Başvuru!$A:$A,"&lt;&gt;"&amp;"",Başvuru!$F:$F,"&lt;&gt;"&amp;"")</f>
        <v>1</v>
      </c>
      <c r="S302" s="167">
        <f>RANK(R302,$R$6:$R$324,0)+COUNTIF($R$6:R302,R302)-1</f>
        <v>297</v>
      </c>
    </row>
    <row r="303" spans="2:19" ht="15" customHeight="1" x14ac:dyDescent="0.25">
      <c r="B303" s="155">
        <v>298</v>
      </c>
      <c r="C303" s="156" t="str">
        <f>IFERROR(INDEX($Q$6:$Q$324,MATCH(298,$S$6:$S$324,0)),"")</f>
        <v/>
      </c>
      <c r="D303" s="157" t="str">
        <f>IF(C303="","",COUNTIFS(Başvuru!$C:$C,C303,Başvuru!$A:$A,"&lt;&gt;"&amp;"",Başvuru!$F:$F,"&lt;&gt;"&amp;""))</f>
        <v/>
      </c>
      <c r="E303" s="155" t="str">
        <f>IF(C303="","-",IF(D303&gt;0,TEXT(D303/(COUNTIFS(Başvuru!$A:$A,"&lt;&gt;",Başvuru!$F:$F,"&lt;&gt;")-1)*100,"0.0")&amp;"%","-"))</f>
        <v>-</v>
      </c>
      <c r="F303" s="158" t="str">
        <f>IF(C303="","",COUNTIFS(Başvuru!$C:$C,C303,Başvuru!$G:$G,"Bireysel Araştırma",Başvuru!$A:$A,"&lt;&gt;"&amp;"",Başvuru!$F:$F,"&lt;&gt;"&amp;""))</f>
        <v/>
      </c>
      <c r="G303" s="158" t="str">
        <f>IF(C303="","",COUNTIFS(Başvuru!$C:$C,C303,Başvuru!$G:$G,"Uzmanlık Tezi",Başvuru!$A:$A,"&lt;&gt;"&amp;"",Başvuru!$F:$F,"&lt;&gt;"&amp;""))</f>
        <v/>
      </c>
      <c r="H303" s="158" t="str">
        <f>IF(C303="","",COUNTIFS(Başvuru!$C:$C,C303,Başvuru!$G:$G,"Doktora Tezi",Başvuru!$A:$A,"&lt;&gt;"&amp;"",Başvuru!$F:$F,"&lt;&gt;"&amp;""))</f>
        <v/>
      </c>
      <c r="I303" s="158" t="str">
        <f>IF(C303="","",COUNTIFS(Başvuru!$C:$C,C303,Başvuru!$G:$G,"Yüksek Lisans Tezi",Başvuru!$A:$A,"&lt;&gt;"&amp;"",Başvuru!$F:$F,"&lt;&gt;"&amp;""))</f>
        <v/>
      </c>
      <c r="J303" s="159" t="str">
        <f>IF(C303="","",COUNTIFS(Başvuru!$C:$C,C303,Başvuru!$L:$L,"ONAY",Başvuru!$A:$A,"&lt;&gt;"&amp;"",Başvuru!$F:$F,"&lt;&gt;"&amp;""))</f>
        <v/>
      </c>
      <c r="K303" s="160" t="str">
        <f>IF(C303="","",COUNTIFS(Başvuru!$C:$C,C303,Başvuru!$L:$L,"DÜZELTME",Başvuru!$A:$A,"&lt;&gt;"&amp;"",Başvuru!$F:$F,"&lt;&gt;"&amp;""))</f>
        <v/>
      </c>
      <c r="L303" s="161" t="str">
        <f>IF(C303="","",COUNTIFS(Başvuru!$C:$C,C303,Başvuru!$L:$L,"KAEK",Başvuru!$A:$A,"&lt;&gt;"&amp;"",Başvuru!$F:$F,"&lt;&gt;"&amp;""))</f>
        <v/>
      </c>
      <c r="M303" s="162" t="str">
        <f>IF(C303="","",COUNTIFS(Başvuru!$C:$C,C303,Başvuru!$L:$L,"GÖRÜŞ",Başvuru!$A:$A,"&lt;&gt;"&amp;"",Başvuru!$F:$F,"&lt;&gt;"&amp;""))</f>
        <v/>
      </c>
      <c r="N303" s="163" t="str">
        <f>IF(C303="","",COUNTIFS(Başvuru!$C:$C,C303,Başvuru!$L:$L,"RET",Başvuru!$A:$A,"&lt;&gt;"&amp;"",Başvuru!$F:$F,"&lt;&gt;"&amp;""))</f>
        <v/>
      </c>
      <c r="O303" s="164" t="str">
        <f>IF(C303="","",COUNTIFS(Başvuru!$C:$C,C303,Başvuru!$L:$L,"KAPSAM DIŞI",Başvuru!$A:$A,"&lt;&gt;"&amp;"",Başvuru!$F:$F,"&lt;&gt;"&amp;""))</f>
        <v/>
      </c>
      <c r="P303" s="165" t="str">
        <f>IF(C303="","",COUNTIFS(Başvuru!$C:$C,C303,Başvuru!$L:$L,"GERİ ÇEKİLDİ",Başvuru!$A:$A,"&lt;&gt;"&amp;"",Başvuru!$F:$F,"&lt;&gt;"&amp;""))</f>
        <v/>
      </c>
      <c r="Q303" s="166"/>
      <c r="R303" s="167">
        <f>COUNTIFS(Başvuru!$A:$A,"&lt;&gt;",Başvuru!$F:$F,"&lt;&gt;",Başvuru!$C:$C,Q303)</f>
        <v>0</v>
      </c>
      <c r="S303" s="167">
        <f>RANK(R303,$R$6:$R$346,0)+COUNTIF($R$6:R303,R303)-1</f>
        <v>320</v>
      </c>
    </row>
    <row r="304" spans="2:19" ht="15" customHeight="1" x14ac:dyDescent="0.25">
      <c r="B304" s="155">
        <v>299</v>
      </c>
      <c r="C304" s="156" t="str">
        <f>IFERROR(INDEX($Q$6:$Q$324,MATCH(299,$S$6:$S$324,0)),"")</f>
        <v/>
      </c>
      <c r="D304" s="157" t="str">
        <f>IF(C304="","",COUNTIFS(Başvuru!$C:$C,C304,Başvuru!$A:$A,"&lt;&gt;"&amp;"",Başvuru!$F:$F,"&lt;&gt;"&amp;""))</f>
        <v/>
      </c>
      <c r="E304" s="155" t="str">
        <f>IF(C304="","-",IF(D304&gt;0,TEXT(D304/(COUNTIFS(Başvuru!$A:$A,"&lt;&gt;",Başvuru!$F:$F,"&lt;&gt;")-1)*100,"0.0")&amp;"%","-"))</f>
        <v>-</v>
      </c>
      <c r="F304" s="158" t="str">
        <f>IF(C304="","",COUNTIFS(Başvuru!$C:$C,C304,Başvuru!$G:$G,"Bireysel Araştırma",Başvuru!$A:$A,"&lt;&gt;"&amp;"",Başvuru!$F:$F,"&lt;&gt;"&amp;""))</f>
        <v/>
      </c>
      <c r="G304" s="158" t="str">
        <f>IF(C304="","",COUNTIFS(Başvuru!$C:$C,C304,Başvuru!$G:$G,"Uzmanlık Tezi",Başvuru!$A:$A,"&lt;&gt;"&amp;"",Başvuru!$F:$F,"&lt;&gt;"&amp;""))</f>
        <v/>
      </c>
      <c r="H304" s="158" t="str">
        <f>IF(C304="","",COUNTIFS(Başvuru!$C:$C,C304,Başvuru!$G:$G,"Doktora Tezi",Başvuru!$A:$A,"&lt;&gt;"&amp;"",Başvuru!$F:$F,"&lt;&gt;"&amp;""))</f>
        <v/>
      </c>
      <c r="I304" s="158" t="str">
        <f>IF(C304="","",COUNTIFS(Başvuru!$C:$C,C304,Başvuru!$G:$G,"Yüksek Lisans Tezi",Başvuru!$A:$A,"&lt;&gt;"&amp;"",Başvuru!$F:$F,"&lt;&gt;"&amp;""))</f>
        <v/>
      </c>
      <c r="J304" s="159" t="str">
        <f>IF(C304="","",COUNTIFS(Başvuru!$C:$C,C304,Başvuru!$L:$L,"ONAY",Başvuru!$A:$A,"&lt;&gt;"&amp;"",Başvuru!$F:$F,"&lt;&gt;"&amp;""))</f>
        <v/>
      </c>
      <c r="K304" s="160" t="str">
        <f>IF(C304="","",COUNTIFS(Başvuru!$C:$C,C304,Başvuru!$L:$L,"DÜZELTME",Başvuru!$A:$A,"&lt;&gt;"&amp;"",Başvuru!$F:$F,"&lt;&gt;"&amp;""))</f>
        <v/>
      </c>
      <c r="L304" s="161" t="str">
        <f>IF(C304="","",COUNTIFS(Başvuru!$C:$C,C304,Başvuru!$L:$L,"KAEK",Başvuru!$A:$A,"&lt;&gt;"&amp;"",Başvuru!$F:$F,"&lt;&gt;"&amp;""))</f>
        <v/>
      </c>
      <c r="M304" s="162" t="str">
        <f>IF(C304="","",COUNTIFS(Başvuru!$C:$C,C304,Başvuru!$L:$L,"GÖRÜŞ",Başvuru!$A:$A,"&lt;&gt;"&amp;"",Başvuru!$F:$F,"&lt;&gt;"&amp;""))</f>
        <v/>
      </c>
      <c r="N304" s="163" t="str">
        <f>IF(C304="","",COUNTIFS(Başvuru!$C:$C,C304,Başvuru!$L:$L,"RET",Başvuru!$A:$A,"&lt;&gt;"&amp;"",Başvuru!$F:$F,"&lt;&gt;"&amp;""))</f>
        <v/>
      </c>
      <c r="O304" s="164" t="str">
        <f>IF(C304="","",COUNTIFS(Başvuru!$C:$C,C304,Başvuru!$L:$L,"KAPSAM DIŞI",Başvuru!$A:$A,"&lt;&gt;"&amp;"",Başvuru!$F:$F,"&lt;&gt;"&amp;""))</f>
        <v/>
      </c>
      <c r="P304" s="165" t="str">
        <f>IF(C304="","",COUNTIFS(Başvuru!$C:$C,C304,Başvuru!$L:$L,"GERİ ÇEKİLDİ",Başvuru!$A:$A,"&lt;&gt;"&amp;"",Başvuru!$F:$F,"&lt;&gt;"&amp;""))</f>
        <v/>
      </c>
      <c r="Q304" s="166"/>
      <c r="R304" s="167">
        <f>COUNTIFS(Başvuru!$A:$A,"&lt;&gt;",Başvuru!$F:$F,"&lt;&gt;",Başvuru!$C:$C,Q304)</f>
        <v>0</v>
      </c>
      <c r="S304" s="167">
        <f>RANK(R304,$R$6:$R$346,0)+COUNTIF($R$6:R304,R304)-1</f>
        <v>321</v>
      </c>
    </row>
    <row r="305" spans="2:19" ht="15" customHeight="1" x14ac:dyDescent="0.25">
      <c r="B305" s="155">
        <v>300</v>
      </c>
      <c r="C305" s="156" t="str">
        <f>IFERROR(INDEX($Q$6:$Q$324,MATCH(300,$S$6:$S$324,0)),"")</f>
        <v/>
      </c>
      <c r="D305" s="157" t="str">
        <f>IF(C305="","",COUNTIFS(Başvuru!$C:$C,C305,Başvuru!$A:$A,"&lt;&gt;"&amp;"",Başvuru!$F:$F,"&lt;&gt;"&amp;""))</f>
        <v/>
      </c>
      <c r="E305" s="155" t="str">
        <f>IF(C305="","-",IF(D305&gt;0,TEXT(D305/(COUNTIFS(Başvuru!$A:$A,"&lt;&gt;",Başvuru!$F:$F,"&lt;&gt;")-1)*100,"0.0")&amp;"%","-"))</f>
        <v>-</v>
      </c>
      <c r="F305" s="158" t="str">
        <f>IF(C305="","",COUNTIFS(Başvuru!$C:$C,C305,Başvuru!$G:$G,"Bireysel Araştırma",Başvuru!$A:$A,"&lt;&gt;"&amp;"",Başvuru!$F:$F,"&lt;&gt;"&amp;""))</f>
        <v/>
      </c>
      <c r="G305" s="158" t="str">
        <f>IF(C305="","",COUNTIFS(Başvuru!$C:$C,C305,Başvuru!$G:$G,"Uzmanlık Tezi",Başvuru!$A:$A,"&lt;&gt;"&amp;"",Başvuru!$F:$F,"&lt;&gt;"&amp;""))</f>
        <v/>
      </c>
      <c r="H305" s="158" t="str">
        <f>IF(C305="","",COUNTIFS(Başvuru!$C:$C,C305,Başvuru!$G:$G,"Doktora Tezi",Başvuru!$A:$A,"&lt;&gt;"&amp;"",Başvuru!$F:$F,"&lt;&gt;"&amp;""))</f>
        <v/>
      </c>
      <c r="I305" s="158" t="str">
        <f>IF(C305="","",COUNTIFS(Başvuru!$C:$C,C305,Başvuru!$G:$G,"Yüksek Lisans Tezi",Başvuru!$A:$A,"&lt;&gt;"&amp;"",Başvuru!$F:$F,"&lt;&gt;"&amp;""))</f>
        <v/>
      </c>
      <c r="J305" s="159" t="str">
        <f>IF(C305="","",COUNTIFS(Başvuru!$C:$C,C305,Başvuru!$L:$L,"ONAY",Başvuru!$A:$A,"&lt;&gt;"&amp;"",Başvuru!$F:$F,"&lt;&gt;"&amp;""))</f>
        <v/>
      </c>
      <c r="K305" s="160" t="str">
        <f>IF(C305="","",COUNTIFS(Başvuru!$C:$C,C305,Başvuru!$L:$L,"DÜZELTME",Başvuru!$A:$A,"&lt;&gt;"&amp;"",Başvuru!$F:$F,"&lt;&gt;"&amp;""))</f>
        <v/>
      </c>
      <c r="L305" s="161" t="str">
        <f>IF(C305="","",COUNTIFS(Başvuru!$C:$C,C305,Başvuru!$L:$L,"KAEK",Başvuru!$A:$A,"&lt;&gt;"&amp;"",Başvuru!$F:$F,"&lt;&gt;"&amp;""))</f>
        <v/>
      </c>
      <c r="M305" s="162" t="str">
        <f>IF(C305="","",COUNTIFS(Başvuru!$C:$C,C305,Başvuru!$L:$L,"GÖRÜŞ",Başvuru!$A:$A,"&lt;&gt;"&amp;"",Başvuru!$F:$F,"&lt;&gt;"&amp;""))</f>
        <v/>
      </c>
      <c r="N305" s="163" t="str">
        <f>IF(C305="","",COUNTIFS(Başvuru!$C:$C,C305,Başvuru!$L:$L,"RET",Başvuru!$A:$A,"&lt;&gt;"&amp;"",Başvuru!$F:$F,"&lt;&gt;"&amp;""))</f>
        <v/>
      </c>
      <c r="O305" s="164" t="str">
        <f>IF(C305="","",COUNTIFS(Başvuru!$C:$C,C305,Başvuru!$L:$L,"KAPSAM DIŞI",Başvuru!$A:$A,"&lt;&gt;"&amp;"",Başvuru!$F:$F,"&lt;&gt;"&amp;""))</f>
        <v/>
      </c>
      <c r="P305" s="165" t="str">
        <f>IF(C305="","",COUNTIFS(Başvuru!$C:$C,C305,Başvuru!$L:$L,"GERİ ÇEKİLDİ",Başvuru!$A:$A,"&lt;&gt;"&amp;"",Başvuru!$F:$F,"&lt;&gt;"&amp;""))</f>
        <v/>
      </c>
      <c r="Q305" s="166"/>
      <c r="R305" s="167">
        <f>COUNTIFS(Başvuru!$A:$A,"&lt;&gt;",Başvuru!$F:$F,"&lt;&gt;",Başvuru!$C:$C,Q305)</f>
        <v>0</v>
      </c>
      <c r="S305" s="167">
        <f>RANK(R305,$R$6:$R$346,0)+COUNTIF($R$6:R305,R305)-1</f>
        <v>322</v>
      </c>
    </row>
    <row r="306" spans="2:19" ht="15" customHeight="1" x14ac:dyDescent="0.25">
      <c r="B306" s="155">
        <v>301</v>
      </c>
      <c r="C306" s="156" t="str">
        <f>IFERROR(INDEX($Q$6:$Q$324,MATCH(301,$S$6:$S$324,0)),"")</f>
        <v/>
      </c>
      <c r="D306" s="157" t="str">
        <f>IF(C306="","",COUNTIFS(Başvuru!$C:$C,C306,Başvuru!$A:$A,"&lt;&gt;"&amp;"",Başvuru!$F:$F,"&lt;&gt;"&amp;""))</f>
        <v/>
      </c>
      <c r="E306" s="155" t="str">
        <f>IF(C306="","-",IF(D306&gt;0,TEXT(D306/(COUNTIFS(Başvuru!$A:$A,"&lt;&gt;",Başvuru!$F:$F,"&lt;&gt;")-1)*100,"0.0")&amp;"%","-"))</f>
        <v>-</v>
      </c>
      <c r="F306" s="158" t="str">
        <f>IF(C306="","",COUNTIFS(Başvuru!$C:$C,C306,Başvuru!$G:$G,"Bireysel Araştırma",Başvuru!$A:$A,"&lt;&gt;"&amp;"",Başvuru!$F:$F,"&lt;&gt;"&amp;""))</f>
        <v/>
      </c>
      <c r="G306" s="158" t="str">
        <f>IF(C306="","",COUNTIFS(Başvuru!$C:$C,C306,Başvuru!$G:$G,"Uzmanlık Tezi",Başvuru!$A:$A,"&lt;&gt;"&amp;"",Başvuru!$F:$F,"&lt;&gt;"&amp;""))</f>
        <v/>
      </c>
      <c r="H306" s="158" t="str">
        <f>IF(C306="","",COUNTIFS(Başvuru!$C:$C,C306,Başvuru!$G:$G,"Doktora Tezi",Başvuru!$A:$A,"&lt;&gt;"&amp;"",Başvuru!$F:$F,"&lt;&gt;"&amp;""))</f>
        <v/>
      </c>
      <c r="I306" s="158" t="str">
        <f>IF(C306="","",COUNTIFS(Başvuru!$C:$C,C306,Başvuru!$G:$G,"Yüksek Lisans Tezi",Başvuru!$A:$A,"&lt;&gt;"&amp;"",Başvuru!$F:$F,"&lt;&gt;"&amp;""))</f>
        <v/>
      </c>
      <c r="J306" s="159" t="str">
        <f>IF(C306="","",COUNTIFS(Başvuru!$C:$C,C306,Başvuru!$L:$L,"ONAY",Başvuru!$A:$A,"&lt;&gt;"&amp;"",Başvuru!$F:$F,"&lt;&gt;"&amp;""))</f>
        <v/>
      </c>
      <c r="K306" s="160" t="str">
        <f>IF(C306="","",COUNTIFS(Başvuru!$C:$C,C306,Başvuru!$L:$L,"DÜZELTME",Başvuru!$A:$A,"&lt;&gt;"&amp;"",Başvuru!$F:$F,"&lt;&gt;"&amp;""))</f>
        <v/>
      </c>
      <c r="L306" s="161" t="str">
        <f>IF(C306="","",COUNTIFS(Başvuru!$C:$C,C306,Başvuru!$L:$L,"KAEK",Başvuru!$A:$A,"&lt;&gt;"&amp;"",Başvuru!$F:$F,"&lt;&gt;"&amp;""))</f>
        <v/>
      </c>
      <c r="M306" s="162" t="str">
        <f>IF(C306="","",COUNTIFS(Başvuru!$C:$C,C306,Başvuru!$L:$L,"GÖRÜŞ",Başvuru!$A:$A,"&lt;&gt;"&amp;"",Başvuru!$F:$F,"&lt;&gt;"&amp;""))</f>
        <v/>
      </c>
      <c r="N306" s="163" t="str">
        <f>IF(C306="","",COUNTIFS(Başvuru!$C:$C,C306,Başvuru!$L:$L,"RET",Başvuru!$A:$A,"&lt;&gt;"&amp;"",Başvuru!$F:$F,"&lt;&gt;"&amp;""))</f>
        <v/>
      </c>
      <c r="O306" s="164" t="str">
        <f>IF(C306="","",COUNTIFS(Başvuru!$C:$C,C306,Başvuru!$L:$L,"KAPSAM DIŞI",Başvuru!$A:$A,"&lt;&gt;"&amp;"",Başvuru!$F:$F,"&lt;&gt;"&amp;""))</f>
        <v/>
      </c>
      <c r="P306" s="165" t="str">
        <f>IF(C306="","",COUNTIFS(Başvuru!$C:$C,C306,Başvuru!$L:$L,"GERİ ÇEKİLDİ",Başvuru!$A:$A,"&lt;&gt;"&amp;"",Başvuru!$F:$F,"&lt;&gt;"&amp;""))</f>
        <v/>
      </c>
      <c r="Q306" s="166"/>
      <c r="R306" s="167">
        <f>COUNTIFS(Başvuru!$A:$A,"&lt;&gt;",Başvuru!$F:$F,"&lt;&gt;",Başvuru!$C:$C,Q306)</f>
        <v>0</v>
      </c>
      <c r="S306" s="167">
        <f>RANK(R306,$R$6:$R$346,0)+COUNTIF($R$6:R306,R306)-1</f>
        <v>323</v>
      </c>
    </row>
    <row r="307" spans="2:19" ht="15" customHeight="1" x14ac:dyDescent="0.25">
      <c r="B307" s="155">
        <v>302</v>
      </c>
      <c r="C307" s="156" t="str">
        <f>IFERROR(INDEX($Q$6:$Q$324,MATCH(302,$S$6:$S$324,0)),"")</f>
        <v/>
      </c>
      <c r="D307" s="157" t="str">
        <f>IF(C307="","",COUNTIFS(Başvuru!$C:$C,C307,Başvuru!$A:$A,"&lt;&gt;"&amp;"",Başvuru!$F:$F,"&lt;&gt;"&amp;""))</f>
        <v/>
      </c>
      <c r="E307" s="155" t="str">
        <f>IF(C307="","-",IF(D307&gt;0,TEXT(D307/(COUNTIFS(Başvuru!$A:$A,"&lt;&gt;",Başvuru!$F:$F,"&lt;&gt;")-1)*100,"0.0")&amp;"%","-"))</f>
        <v>-</v>
      </c>
      <c r="F307" s="158" t="str">
        <f>IF(C307="","",COUNTIFS(Başvuru!$C:$C,C307,Başvuru!$G:$G,"Bireysel Araştırma",Başvuru!$A:$A,"&lt;&gt;"&amp;"",Başvuru!$F:$F,"&lt;&gt;"&amp;""))</f>
        <v/>
      </c>
      <c r="G307" s="158" t="str">
        <f>IF(C307="","",COUNTIFS(Başvuru!$C:$C,C307,Başvuru!$G:$G,"Uzmanlık Tezi",Başvuru!$A:$A,"&lt;&gt;"&amp;"",Başvuru!$F:$F,"&lt;&gt;"&amp;""))</f>
        <v/>
      </c>
      <c r="H307" s="158" t="str">
        <f>IF(C307="","",COUNTIFS(Başvuru!$C:$C,C307,Başvuru!$G:$G,"Doktora Tezi",Başvuru!$A:$A,"&lt;&gt;"&amp;"",Başvuru!$F:$F,"&lt;&gt;"&amp;""))</f>
        <v/>
      </c>
      <c r="I307" s="158" t="str">
        <f>IF(C307="","",COUNTIFS(Başvuru!$C:$C,C307,Başvuru!$G:$G,"Yüksek Lisans Tezi",Başvuru!$A:$A,"&lt;&gt;"&amp;"",Başvuru!$F:$F,"&lt;&gt;"&amp;""))</f>
        <v/>
      </c>
      <c r="J307" s="159" t="str">
        <f>IF(C307="","",COUNTIFS(Başvuru!$C:$C,C307,Başvuru!$L:$L,"ONAY",Başvuru!$A:$A,"&lt;&gt;"&amp;"",Başvuru!$F:$F,"&lt;&gt;"&amp;""))</f>
        <v/>
      </c>
      <c r="K307" s="160" t="str">
        <f>IF(C307="","",COUNTIFS(Başvuru!$C:$C,C307,Başvuru!$L:$L,"DÜZELTME",Başvuru!$A:$A,"&lt;&gt;"&amp;"",Başvuru!$F:$F,"&lt;&gt;"&amp;""))</f>
        <v/>
      </c>
      <c r="L307" s="161" t="str">
        <f>IF(C307="","",COUNTIFS(Başvuru!$C:$C,C307,Başvuru!$L:$L,"KAEK",Başvuru!$A:$A,"&lt;&gt;"&amp;"",Başvuru!$F:$F,"&lt;&gt;"&amp;""))</f>
        <v/>
      </c>
      <c r="M307" s="162" t="str">
        <f>IF(C307="","",COUNTIFS(Başvuru!$C:$C,C307,Başvuru!$L:$L,"GÖRÜŞ",Başvuru!$A:$A,"&lt;&gt;"&amp;"",Başvuru!$F:$F,"&lt;&gt;"&amp;""))</f>
        <v/>
      </c>
      <c r="N307" s="163" t="str">
        <f>IF(C307="","",COUNTIFS(Başvuru!$C:$C,C307,Başvuru!$L:$L,"RET",Başvuru!$A:$A,"&lt;&gt;"&amp;"",Başvuru!$F:$F,"&lt;&gt;"&amp;""))</f>
        <v/>
      </c>
      <c r="O307" s="164" t="str">
        <f>IF(C307="","",COUNTIFS(Başvuru!$C:$C,C307,Başvuru!$L:$L,"KAPSAM DIŞI",Başvuru!$A:$A,"&lt;&gt;"&amp;"",Başvuru!$F:$F,"&lt;&gt;"&amp;""))</f>
        <v/>
      </c>
      <c r="P307" s="165" t="str">
        <f>IF(C307="","",COUNTIFS(Başvuru!$C:$C,C307,Başvuru!$L:$L,"GERİ ÇEKİLDİ",Başvuru!$A:$A,"&lt;&gt;"&amp;"",Başvuru!$F:$F,"&lt;&gt;"&amp;""))</f>
        <v/>
      </c>
      <c r="Q307" s="166"/>
      <c r="R307" s="167">
        <f>COUNTIFS(Başvuru!$A:$A,"&lt;&gt;",Başvuru!$F:$F,"&lt;&gt;",Başvuru!$C:$C,Q307)</f>
        <v>0</v>
      </c>
      <c r="S307" s="167">
        <f>RANK(R307,$R$6:$R$346,0)+COUNTIF($R$6:R307,R307)-1</f>
        <v>324</v>
      </c>
    </row>
    <row r="308" spans="2:19" ht="15" customHeight="1" x14ac:dyDescent="0.25">
      <c r="B308" s="155">
        <v>303</v>
      </c>
      <c r="C308" s="156" t="str">
        <f>IFERROR(INDEX($Q$6:$Q$324,MATCH(303,$S$6:$S$324,0)),"")</f>
        <v/>
      </c>
      <c r="D308" s="157" t="str">
        <f>IF(C308="","",COUNTIFS(Başvuru!$C:$C,C308,Başvuru!$A:$A,"&lt;&gt;"&amp;"",Başvuru!$F:$F,"&lt;&gt;"&amp;""))</f>
        <v/>
      </c>
      <c r="E308" s="155" t="str">
        <f>IF(C308="","-",IF(D308&gt;0,TEXT(D308/(COUNTIFS(Başvuru!$A:$A,"&lt;&gt;",Başvuru!$F:$F,"&lt;&gt;")-1)*100,"0.0")&amp;"%","-"))</f>
        <v>-</v>
      </c>
      <c r="F308" s="158" t="str">
        <f>IF(C308="","",COUNTIFS(Başvuru!$C:$C,C308,Başvuru!$G:$G,"Bireysel Araştırma",Başvuru!$A:$A,"&lt;&gt;"&amp;"",Başvuru!$F:$F,"&lt;&gt;"&amp;""))</f>
        <v/>
      </c>
      <c r="G308" s="158" t="str">
        <f>IF(C308="","",COUNTIFS(Başvuru!$C:$C,C308,Başvuru!$G:$G,"Uzmanlık Tezi",Başvuru!$A:$A,"&lt;&gt;"&amp;"",Başvuru!$F:$F,"&lt;&gt;"&amp;""))</f>
        <v/>
      </c>
      <c r="H308" s="158" t="str">
        <f>IF(C308="","",COUNTIFS(Başvuru!$C:$C,C308,Başvuru!$G:$G,"Doktora Tezi",Başvuru!$A:$A,"&lt;&gt;"&amp;"",Başvuru!$F:$F,"&lt;&gt;"&amp;""))</f>
        <v/>
      </c>
      <c r="I308" s="158" t="str">
        <f>IF(C308="","",COUNTIFS(Başvuru!$C:$C,C308,Başvuru!$G:$G,"Yüksek Lisans Tezi",Başvuru!$A:$A,"&lt;&gt;"&amp;"",Başvuru!$F:$F,"&lt;&gt;"&amp;""))</f>
        <v/>
      </c>
      <c r="J308" s="159" t="str">
        <f>IF(C308="","",COUNTIFS(Başvuru!$C:$C,C308,Başvuru!$L:$L,"ONAY",Başvuru!$A:$A,"&lt;&gt;"&amp;"",Başvuru!$F:$F,"&lt;&gt;"&amp;""))</f>
        <v/>
      </c>
      <c r="K308" s="160" t="str">
        <f>IF(C308="","",COUNTIFS(Başvuru!$C:$C,C308,Başvuru!$L:$L,"DÜZELTME",Başvuru!$A:$A,"&lt;&gt;"&amp;"",Başvuru!$F:$F,"&lt;&gt;"&amp;""))</f>
        <v/>
      </c>
      <c r="L308" s="161" t="str">
        <f>IF(C308="","",COUNTIFS(Başvuru!$C:$C,C308,Başvuru!$L:$L,"KAEK",Başvuru!$A:$A,"&lt;&gt;"&amp;"",Başvuru!$F:$F,"&lt;&gt;"&amp;""))</f>
        <v/>
      </c>
      <c r="M308" s="162" t="str">
        <f>IF(C308="","",COUNTIFS(Başvuru!$C:$C,C308,Başvuru!$L:$L,"GÖRÜŞ",Başvuru!$A:$A,"&lt;&gt;"&amp;"",Başvuru!$F:$F,"&lt;&gt;"&amp;""))</f>
        <v/>
      </c>
      <c r="N308" s="163" t="str">
        <f>IF(C308="","",COUNTIFS(Başvuru!$C:$C,C308,Başvuru!$L:$L,"RET",Başvuru!$A:$A,"&lt;&gt;"&amp;"",Başvuru!$F:$F,"&lt;&gt;"&amp;""))</f>
        <v/>
      </c>
      <c r="O308" s="164" t="str">
        <f>IF(C308="","",COUNTIFS(Başvuru!$C:$C,C308,Başvuru!$L:$L,"KAPSAM DIŞI",Başvuru!$A:$A,"&lt;&gt;"&amp;"",Başvuru!$F:$F,"&lt;&gt;"&amp;""))</f>
        <v/>
      </c>
      <c r="P308" s="165" t="str">
        <f>IF(C308="","",COUNTIFS(Başvuru!$C:$C,C308,Başvuru!$L:$L,"GERİ ÇEKİLDİ",Başvuru!$A:$A,"&lt;&gt;"&amp;"",Başvuru!$F:$F,"&lt;&gt;"&amp;""))</f>
        <v/>
      </c>
      <c r="Q308" s="166"/>
      <c r="R308" s="167">
        <f>COUNTIFS(Başvuru!$A:$A,"&lt;&gt;",Başvuru!$F:$F,"&lt;&gt;",Başvuru!$C:$C,Q308)</f>
        <v>0</v>
      </c>
      <c r="S308" s="167">
        <f>RANK(R308,$R$6:$R$346,0)+COUNTIF($R$6:R308,R308)-1</f>
        <v>325</v>
      </c>
    </row>
    <row r="309" spans="2:19" ht="15" customHeight="1" x14ac:dyDescent="0.25">
      <c r="B309" s="155">
        <v>304</v>
      </c>
      <c r="C309" s="156" t="str">
        <f>IFERROR(INDEX($Q$6:$Q$324,MATCH(304,$S$6:$S$324,0)),"")</f>
        <v/>
      </c>
      <c r="D309" s="157" t="str">
        <f>IF(C309="","",COUNTIFS(Başvuru!$C:$C,C309,Başvuru!$A:$A,"&lt;&gt;"&amp;"",Başvuru!$F:$F,"&lt;&gt;"&amp;""))</f>
        <v/>
      </c>
      <c r="E309" s="155" t="str">
        <f>IF(C309="","-",IF(D309&gt;0,TEXT(D309/(COUNTIFS(Başvuru!$A:$A,"&lt;&gt;",Başvuru!$F:$F,"&lt;&gt;")-1)*100,"0.0")&amp;"%","-"))</f>
        <v>-</v>
      </c>
      <c r="F309" s="158" t="str">
        <f>IF(C309="","",COUNTIFS(Başvuru!$C:$C,C309,Başvuru!$G:$G,"Bireysel Araştırma",Başvuru!$A:$A,"&lt;&gt;"&amp;"",Başvuru!$F:$F,"&lt;&gt;"&amp;""))</f>
        <v/>
      </c>
      <c r="G309" s="158" t="str">
        <f>IF(C309="","",COUNTIFS(Başvuru!$C:$C,C309,Başvuru!$G:$G,"Uzmanlık Tezi",Başvuru!$A:$A,"&lt;&gt;"&amp;"",Başvuru!$F:$F,"&lt;&gt;"&amp;""))</f>
        <v/>
      </c>
      <c r="H309" s="158" t="str">
        <f>IF(C309="","",COUNTIFS(Başvuru!$C:$C,C309,Başvuru!$G:$G,"Doktora Tezi",Başvuru!$A:$A,"&lt;&gt;"&amp;"",Başvuru!$F:$F,"&lt;&gt;"&amp;""))</f>
        <v/>
      </c>
      <c r="I309" s="158" t="str">
        <f>IF(C309="","",COUNTIFS(Başvuru!$C:$C,C309,Başvuru!$G:$G,"Yüksek Lisans Tezi",Başvuru!$A:$A,"&lt;&gt;"&amp;"",Başvuru!$F:$F,"&lt;&gt;"&amp;""))</f>
        <v/>
      </c>
      <c r="J309" s="159" t="str">
        <f>IF(C309="","",COUNTIFS(Başvuru!$C:$C,C309,Başvuru!$L:$L,"ONAY",Başvuru!$A:$A,"&lt;&gt;"&amp;"",Başvuru!$F:$F,"&lt;&gt;"&amp;""))</f>
        <v/>
      </c>
      <c r="K309" s="160" t="str">
        <f>IF(C309="","",COUNTIFS(Başvuru!$C:$C,C309,Başvuru!$L:$L,"DÜZELTME",Başvuru!$A:$A,"&lt;&gt;"&amp;"",Başvuru!$F:$F,"&lt;&gt;"&amp;""))</f>
        <v/>
      </c>
      <c r="L309" s="161" t="str">
        <f>IF(C309="","",COUNTIFS(Başvuru!$C:$C,C309,Başvuru!$L:$L,"KAEK",Başvuru!$A:$A,"&lt;&gt;"&amp;"",Başvuru!$F:$F,"&lt;&gt;"&amp;""))</f>
        <v/>
      </c>
      <c r="M309" s="162" t="str">
        <f>IF(C309="","",COUNTIFS(Başvuru!$C:$C,C309,Başvuru!$L:$L,"GÖRÜŞ",Başvuru!$A:$A,"&lt;&gt;"&amp;"",Başvuru!$F:$F,"&lt;&gt;"&amp;""))</f>
        <v/>
      </c>
      <c r="N309" s="163" t="str">
        <f>IF(C309="","",COUNTIFS(Başvuru!$C:$C,C309,Başvuru!$L:$L,"RET",Başvuru!$A:$A,"&lt;&gt;"&amp;"",Başvuru!$F:$F,"&lt;&gt;"&amp;""))</f>
        <v/>
      </c>
      <c r="O309" s="164" t="str">
        <f>IF(C309="","",COUNTIFS(Başvuru!$C:$C,C309,Başvuru!$L:$L,"KAPSAM DIŞI",Başvuru!$A:$A,"&lt;&gt;"&amp;"",Başvuru!$F:$F,"&lt;&gt;"&amp;""))</f>
        <v/>
      </c>
      <c r="P309" s="165" t="str">
        <f>IF(C309="","",COUNTIFS(Başvuru!$C:$C,C309,Başvuru!$L:$L,"GERİ ÇEKİLDİ",Başvuru!$A:$A,"&lt;&gt;"&amp;"",Başvuru!$F:$F,"&lt;&gt;"&amp;""))</f>
        <v/>
      </c>
      <c r="Q309" s="166"/>
      <c r="R309" s="167">
        <f>COUNTIFS(Başvuru!$A:$A,"&lt;&gt;",Başvuru!$F:$F,"&lt;&gt;",Başvuru!$C:$C,Q309)</f>
        <v>0</v>
      </c>
      <c r="S309" s="167">
        <f>RANK(R309,$R$6:$R$346,0)+COUNTIF($R$6:R309,R309)-1</f>
        <v>326</v>
      </c>
    </row>
    <row r="310" spans="2:19" ht="15" customHeight="1" x14ac:dyDescent="0.25">
      <c r="B310" s="155">
        <v>305</v>
      </c>
      <c r="C310" s="156" t="str">
        <f>IFERROR(INDEX($Q$6:$Q$324,MATCH(305,$S$6:$S$324,0)),"")</f>
        <v/>
      </c>
      <c r="D310" s="157" t="str">
        <f>IF(C310="","",COUNTIFS(Başvuru!$C:$C,C310,Başvuru!$A:$A,"&lt;&gt;"&amp;"",Başvuru!$F:$F,"&lt;&gt;"&amp;""))</f>
        <v/>
      </c>
      <c r="E310" s="155" t="str">
        <f>IF(C310="","-",IF(D310&gt;0,TEXT(D310/(COUNTIFS(Başvuru!$A:$A,"&lt;&gt;",Başvuru!$F:$F,"&lt;&gt;")-1)*100,"0.0")&amp;"%","-"))</f>
        <v>-</v>
      </c>
      <c r="F310" s="158" t="str">
        <f>IF(C310="","",COUNTIFS(Başvuru!$C:$C,C310,Başvuru!$G:$G,"Bireysel Araştırma",Başvuru!$A:$A,"&lt;&gt;"&amp;"",Başvuru!$F:$F,"&lt;&gt;"&amp;""))</f>
        <v/>
      </c>
      <c r="G310" s="158" t="str">
        <f>IF(C310="","",COUNTIFS(Başvuru!$C:$C,C310,Başvuru!$G:$G,"Uzmanlık Tezi",Başvuru!$A:$A,"&lt;&gt;"&amp;"",Başvuru!$F:$F,"&lt;&gt;"&amp;""))</f>
        <v/>
      </c>
      <c r="H310" s="158" t="str">
        <f>IF(C310="","",COUNTIFS(Başvuru!$C:$C,C310,Başvuru!$G:$G,"Doktora Tezi",Başvuru!$A:$A,"&lt;&gt;"&amp;"",Başvuru!$F:$F,"&lt;&gt;"&amp;""))</f>
        <v/>
      </c>
      <c r="I310" s="158" t="str">
        <f>IF(C310="","",COUNTIFS(Başvuru!$C:$C,C310,Başvuru!$G:$G,"Yüksek Lisans Tezi",Başvuru!$A:$A,"&lt;&gt;"&amp;"",Başvuru!$F:$F,"&lt;&gt;"&amp;""))</f>
        <v/>
      </c>
      <c r="J310" s="159" t="str">
        <f>IF(C310="","",COUNTIFS(Başvuru!$C:$C,C310,Başvuru!$L:$L,"ONAY",Başvuru!$A:$A,"&lt;&gt;"&amp;"",Başvuru!$F:$F,"&lt;&gt;"&amp;""))</f>
        <v/>
      </c>
      <c r="K310" s="160" t="str">
        <f>IF(C310="","",COUNTIFS(Başvuru!$C:$C,C310,Başvuru!$L:$L,"DÜZELTME",Başvuru!$A:$A,"&lt;&gt;"&amp;"",Başvuru!$F:$F,"&lt;&gt;"&amp;""))</f>
        <v/>
      </c>
      <c r="L310" s="161" t="str">
        <f>IF(C310="","",COUNTIFS(Başvuru!$C:$C,C310,Başvuru!$L:$L,"KAEK",Başvuru!$A:$A,"&lt;&gt;"&amp;"",Başvuru!$F:$F,"&lt;&gt;"&amp;""))</f>
        <v/>
      </c>
      <c r="M310" s="162" t="str">
        <f>IF(C310="","",COUNTIFS(Başvuru!$C:$C,C310,Başvuru!$L:$L,"GÖRÜŞ",Başvuru!$A:$A,"&lt;&gt;"&amp;"",Başvuru!$F:$F,"&lt;&gt;"&amp;""))</f>
        <v/>
      </c>
      <c r="N310" s="163" t="str">
        <f>IF(C310="","",COUNTIFS(Başvuru!$C:$C,C310,Başvuru!$L:$L,"RET",Başvuru!$A:$A,"&lt;&gt;"&amp;"",Başvuru!$F:$F,"&lt;&gt;"&amp;""))</f>
        <v/>
      </c>
      <c r="O310" s="164" t="str">
        <f>IF(C310="","",COUNTIFS(Başvuru!$C:$C,C310,Başvuru!$L:$L,"KAPSAM DIŞI",Başvuru!$A:$A,"&lt;&gt;"&amp;"",Başvuru!$F:$F,"&lt;&gt;"&amp;""))</f>
        <v/>
      </c>
      <c r="P310" s="165" t="str">
        <f>IF(C310="","",COUNTIFS(Başvuru!$C:$C,C310,Başvuru!$L:$L,"GERİ ÇEKİLDİ",Başvuru!$A:$A,"&lt;&gt;"&amp;"",Başvuru!$F:$F,"&lt;&gt;"&amp;""))</f>
        <v/>
      </c>
      <c r="Q310" s="166"/>
      <c r="R310" s="167">
        <f>COUNTIFS(Başvuru!$A:$A,"&lt;&gt;",Başvuru!$F:$F,"&lt;&gt;",Başvuru!$C:$C,Q310)</f>
        <v>0</v>
      </c>
      <c r="S310" s="167">
        <f>RANK(R310,$R$6:$R$346,0)+COUNTIF($R$6:R310,R310)-1</f>
        <v>327</v>
      </c>
    </row>
    <row r="311" spans="2:19" ht="15" customHeight="1" x14ac:dyDescent="0.25">
      <c r="B311" s="155">
        <v>306</v>
      </c>
      <c r="C311" s="156" t="str">
        <f>IFERROR(INDEX($Q$6:$Q$324,MATCH(306,$S$6:$S$324,0)),"")</f>
        <v/>
      </c>
      <c r="D311" s="157" t="str">
        <f>IF(C311="","",COUNTIFS(Başvuru!$C:$C,C311,Başvuru!$A:$A,"&lt;&gt;"&amp;"",Başvuru!$F:$F,"&lt;&gt;"&amp;""))</f>
        <v/>
      </c>
      <c r="E311" s="155" t="str">
        <f>IF(C311="","-",IF(D311&gt;0,TEXT(D311/(COUNTIFS(Başvuru!$A:$A,"&lt;&gt;",Başvuru!$F:$F,"&lt;&gt;")-1)*100,"0.0")&amp;"%","-"))</f>
        <v>-</v>
      </c>
      <c r="F311" s="158" t="str">
        <f>IF(C311="","",COUNTIFS(Başvuru!$C:$C,C311,Başvuru!$G:$G,"Bireysel Araştırma",Başvuru!$A:$A,"&lt;&gt;"&amp;"",Başvuru!$F:$F,"&lt;&gt;"&amp;""))</f>
        <v/>
      </c>
      <c r="G311" s="158" t="str">
        <f>IF(C311="","",COUNTIFS(Başvuru!$C:$C,C311,Başvuru!$G:$G,"Uzmanlık Tezi",Başvuru!$A:$A,"&lt;&gt;"&amp;"",Başvuru!$F:$F,"&lt;&gt;"&amp;""))</f>
        <v/>
      </c>
      <c r="H311" s="158" t="str">
        <f>IF(C311="","",COUNTIFS(Başvuru!$C:$C,C311,Başvuru!$G:$G,"Doktora Tezi",Başvuru!$A:$A,"&lt;&gt;"&amp;"",Başvuru!$F:$F,"&lt;&gt;"&amp;""))</f>
        <v/>
      </c>
      <c r="I311" s="158" t="str">
        <f>IF(C311="","",COUNTIFS(Başvuru!$C:$C,C311,Başvuru!$G:$G,"Yüksek Lisans Tezi",Başvuru!$A:$A,"&lt;&gt;"&amp;"",Başvuru!$F:$F,"&lt;&gt;"&amp;""))</f>
        <v/>
      </c>
      <c r="J311" s="159" t="str">
        <f>IF(C311="","",COUNTIFS(Başvuru!$C:$C,C311,Başvuru!$L:$L,"ONAY",Başvuru!$A:$A,"&lt;&gt;"&amp;"",Başvuru!$F:$F,"&lt;&gt;"&amp;""))</f>
        <v/>
      </c>
      <c r="K311" s="160" t="str">
        <f>IF(C311="","",COUNTIFS(Başvuru!$C:$C,C311,Başvuru!$L:$L,"DÜZELTME",Başvuru!$A:$A,"&lt;&gt;"&amp;"",Başvuru!$F:$F,"&lt;&gt;"&amp;""))</f>
        <v/>
      </c>
      <c r="L311" s="161" t="str">
        <f>IF(C311="","",COUNTIFS(Başvuru!$C:$C,C311,Başvuru!$L:$L,"KAEK",Başvuru!$A:$A,"&lt;&gt;"&amp;"",Başvuru!$F:$F,"&lt;&gt;"&amp;""))</f>
        <v/>
      </c>
      <c r="M311" s="162" t="str">
        <f>IF(C311="","",COUNTIFS(Başvuru!$C:$C,C311,Başvuru!$L:$L,"GÖRÜŞ",Başvuru!$A:$A,"&lt;&gt;"&amp;"",Başvuru!$F:$F,"&lt;&gt;"&amp;""))</f>
        <v/>
      </c>
      <c r="N311" s="163" t="str">
        <f>IF(C311="","",COUNTIFS(Başvuru!$C:$C,C311,Başvuru!$L:$L,"RET",Başvuru!$A:$A,"&lt;&gt;"&amp;"",Başvuru!$F:$F,"&lt;&gt;"&amp;""))</f>
        <v/>
      </c>
      <c r="O311" s="164" t="str">
        <f>IF(C311="","",COUNTIFS(Başvuru!$C:$C,C311,Başvuru!$L:$L,"KAPSAM DIŞI",Başvuru!$A:$A,"&lt;&gt;"&amp;"",Başvuru!$F:$F,"&lt;&gt;"&amp;""))</f>
        <v/>
      </c>
      <c r="P311" s="165" t="str">
        <f>IF(C311="","",COUNTIFS(Başvuru!$C:$C,C311,Başvuru!$L:$L,"GERİ ÇEKİLDİ",Başvuru!$A:$A,"&lt;&gt;"&amp;"",Başvuru!$F:$F,"&lt;&gt;"&amp;""))</f>
        <v/>
      </c>
      <c r="Q311" s="166"/>
      <c r="R311" s="167">
        <f>COUNTIFS(Başvuru!$A:$A,"&lt;&gt;",Başvuru!$F:$F,"&lt;&gt;",Başvuru!$C:$C,Q311)</f>
        <v>0</v>
      </c>
      <c r="S311" s="167">
        <f>RANK(R311,$R$6:$R$346,0)+COUNTIF($R$6:R311,R311)-1</f>
        <v>328</v>
      </c>
    </row>
    <row r="312" spans="2:19" ht="15" customHeight="1" x14ac:dyDescent="0.25">
      <c r="B312" s="155">
        <v>307</v>
      </c>
      <c r="C312" s="156" t="str">
        <f>IFERROR(INDEX($Q$6:$Q$324,MATCH(307,$S$6:$S$324,0)),"")</f>
        <v/>
      </c>
      <c r="D312" s="157" t="str">
        <f>IF(C312="","",COUNTIFS(Başvuru!$C:$C,C312,Başvuru!$A:$A,"&lt;&gt;"&amp;"",Başvuru!$F:$F,"&lt;&gt;"&amp;""))</f>
        <v/>
      </c>
      <c r="E312" s="155" t="str">
        <f>IF(C312="","-",IF(D312&gt;0,TEXT(D312/(COUNTIFS(Başvuru!$A:$A,"&lt;&gt;",Başvuru!$F:$F,"&lt;&gt;")-1)*100,"0.0")&amp;"%","-"))</f>
        <v>-</v>
      </c>
      <c r="F312" s="158" t="str">
        <f>IF(C312="","",COUNTIFS(Başvuru!$C:$C,C312,Başvuru!$G:$G,"Bireysel Araştırma",Başvuru!$A:$A,"&lt;&gt;"&amp;"",Başvuru!$F:$F,"&lt;&gt;"&amp;""))</f>
        <v/>
      </c>
      <c r="G312" s="158" t="str">
        <f>IF(C312="","",COUNTIFS(Başvuru!$C:$C,C312,Başvuru!$G:$G,"Uzmanlık Tezi",Başvuru!$A:$A,"&lt;&gt;"&amp;"",Başvuru!$F:$F,"&lt;&gt;"&amp;""))</f>
        <v/>
      </c>
      <c r="H312" s="158" t="str">
        <f>IF(C312="","",COUNTIFS(Başvuru!$C:$C,C312,Başvuru!$G:$G,"Doktora Tezi",Başvuru!$A:$A,"&lt;&gt;"&amp;"",Başvuru!$F:$F,"&lt;&gt;"&amp;""))</f>
        <v/>
      </c>
      <c r="I312" s="158" t="str">
        <f>IF(C312="","",COUNTIFS(Başvuru!$C:$C,C312,Başvuru!$G:$G,"Yüksek Lisans Tezi",Başvuru!$A:$A,"&lt;&gt;"&amp;"",Başvuru!$F:$F,"&lt;&gt;"&amp;""))</f>
        <v/>
      </c>
      <c r="J312" s="159" t="str">
        <f>IF(C312="","",COUNTIFS(Başvuru!$C:$C,C312,Başvuru!$L:$L,"ONAY",Başvuru!$A:$A,"&lt;&gt;"&amp;"",Başvuru!$F:$F,"&lt;&gt;"&amp;""))</f>
        <v/>
      </c>
      <c r="K312" s="160" t="str">
        <f>IF(C312="","",COUNTIFS(Başvuru!$C:$C,C312,Başvuru!$L:$L,"DÜZELTME",Başvuru!$A:$A,"&lt;&gt;"&amp;"",Başvuru!$F:$F,"&lt;&gt;"&amp;""))</f>
        <v/>
      </c>
      <c r="L312" s="161" t="str">
        <f>IF(C312="","",COUNTIFS(Başvuru!$C:$C,C312,Başvuru!$L:$L,"KAEK",Başvuru!$A:$A,"&lt;&gt;"&amp;"",Başvuru!$F:$F,"&lt;&gt;"&amp;""))</f>
        <v/>
      </c>
      <c r="M312" s="162" t="str">
        <f>IF(C312="","",COUNTIFS(Başvuru!$C:$C,C312,Başvuru!$L:$L,"GÖRÜŞ",Başvuru!$A:$A,"&lt;&gt;"&amp;"",Başvuru!$F:$F,"&lt;&gt;"&amp;""))</f>
        <v/>
      </c>
      <c r="N312" s="163" t="str">
        <f>IF(C312="","",COUNTIFS(Başvuru!$C:$C,C312,Başvuru!$L:$L,"RET",Başvuru!$A:$A,"&lt;&gt;"&amp;"",Başvuru!$F:$F,"&lt;&gt;"&amp;""))</f>
        <v/>
      </c>
      <c r="O312" s="164" t="str">
        <f>IF(C312="","",COUNTIFS(Başvuru!$C:$C,C312,Başvuru!$L:$L,"KAPSAM DIŞI",Başvuru!$A:$A,"&lt;&gt;"&amp;"",Başvuru!$F:$F,"&lt;&gt;"&amp;""))</f>
        <v/>
      </c>
      <c r="P312" s="165" t="str">
        <f>IF(C312="","",COUNTIFS(Başvuru!$C:$C,C312,Başvuru!$L:$L,"GERİ ÇEKİLDİ",Başvuru!$A:$A,"&lt;&gt;"&amp;"",Başvuru!$F:$F,"&lt;&gt;"&amp;""))</f>
        <v/>
      </c>
      <c r="Q312" s="166"/>
      <c r="R312" s="167">
        <f>COUNTIFS(Başvuru!$A:$A,"&lt;&gt;",Başvuru!$F:$F,"&lt;&gt;",Başvuru!$C:$C,Q312)</f>
        <v>0</v>
      </c>
      <c r="S312" s="167">
        <f>RANK(R312,$R$6:$R$346,0)+COUNTIF($R$6:R312,R312)-1</f>
        <v>329</v>
      </c>
    </row>
    <row r="313" spans="2:19" ht="15" customHeight="1" x14ac:dyDescent="0.25">
      <c r="B313" s="155">
        <v>308</v>
      </c>
      <c r="C313" s="156" t="str">
        <f>IFERROR(INDEX($Q$6:$Q$324,MATCH(308,$S$6:$S$324,0)),"")</f>
        <v/>
      </c>
      <c r="D313" s="157" t="str">
        <f>IF(C313="","",COUNTIFS(Başvuru!$C:$C,C313,Başvuru!$A:$A,"&lt;&gt;"&amp;"",Başvuru!$F:$F,"&lt;&gt;"&amp;""))</f>
        <v/>
      </c>
      <c r="E313" s="155" t="str">
        <f>IF(C313="","-",IF(D313&gt;0,TEXT(D313/(COUNTIFS(Başvuru!$A:$A,"&lt;&gt;",Başvuru!$F:$F,"&lt;&gt;")-1)*100,"0.0")&amp;"%","-"))</f>
        <v>-</v>
      </c>
      <c r="F313" s="158" t="str">
        <f>IF(C313="","",COUNTIFS(Başvuru!$C:$C,C313,Başvuru!$G:$G,"Bireysel Araştırma",Başvuru!$A:$A,"&lt;&gt;"&amp;"",Başvuru!$F:$F,"&lt;&gt;"&amp;""))</f>
        <v/>
      </c>
      <c r="G313" s="158" t="str">
        <f>IF(C313="","",COUNTIFS(Başvuru!$C:$C,C313,Başvuru!$G:$G,"Uzmanlık Tezi",Başvuru!$A:$A,"&lt;&gt;"&amp;"",Başvuru!$F:$F,"&lt;&gt;"&amp;""))</f>
        <v/>
      </c>
      <c r="H313" s="158" t="str">
        <f>IF(C313="","",COUNTIFS(Başvuru!$C:$C,C313,Başvuru!$G:$G,"Doktora Tezi",Başvuru!$A:$A,"&lt;&gt;"&amp;"",Başvuru!$F:$F,"&lt;&gt;"&amp;""))</f>
        <v/>
      </c>
      <c r="I313" s="158" t="str">
        <f>IF(C313="","",COUNTIFS(Başvuru!$C:$C,C313,Başvuru!$G:$G,"Yüksek Lisans Tezi",Başvuru!$A:$A,"&lt;&gt;"&amp;"",Başvuru!$F:$F,"&lt;&gt;"&amp;""))</f>
        <v/>
      </c>
      <c r="J313" s="159" t="str">
        <f>IF(C313="","",COUNTIFS(Başvuru!$C:$C,C313,Başvuru!$L:$L,"ONAY",Başvuru!$A:$A,"&lt;&gt;"&amp;"",Başvuru!$F:$F,"&lt;&gt;"&amp;""))</f>
        <v/>
      </c>
      <c r="K313" s="160" t="str">
        <f>IF(C313="","",COUNTIFS(Başvuru!$C:$C,C313,Başvuru!$L:$L,"DÜZELTME",Başvuru!$A:$A,"&lt;&gt;"&amp;"",Başvuru!$F:$F,"&lt;&gt;"&amp;""))</f>
        <v/>
      </c>
      <c r="L313" s="161" t="str">
        <f>IF(C313="","",COUNTIFS(Başvuru!$C:$C,C313,Başvuru!$L:$L,"KAEK",Başvuru!$A:$A,"&lt;&gt;"&amp;"",Başvuru!$F:$F,"&lt;&gt;"&amp;""))</f>
        <v/>
      </c>
      <c r="M313" s="162" t="str">
        <f>IF(C313="","",COUNTIFS(Başvuru!$C:$C,C313,Başvuru!$L:$L,"GÖRÜŞ",Başvuru!$A:$A,"&lt;&gt;"&amp;"",Başvuru!$F:$F,"&lt;&gt;"&amp;""))</f>
        <v/>
      </c>
      <c r="N313" s="163" t="str">
        <f>IF(C313="","",COUNTIFS(Başvuru!$C:$C,C313,Başvuru!$L:$L,"RET",Başvuru!$A:$A,"&lt;&gt;"&amp;"",Başvuru!$F:$F,"&lt;&gt;"&amp;""))</f>
        <v/>
      </c>
      <c r="O313" s="164" t="str">
        <f>IF(C313="","",COUNTIFS(Başvuru!$C:$C,C313,Başvuru!$L:$L,"KAPSAM DIŞI",Başvuru!$A:$A,"&lt;&gt;"&amp;"",Başvuru!$F:$F,"&lt;&gt;"&amp;""))</f>
        <v/>
      </c>
      <c r="P313" s="165" t="str">
        <f>IF(C313="","",COUNTIFS(Başvuru!$C:$C,C313,Başvuru!$L:$L,"GERİ ÇEKİLDİ",Başvuru!$A:$A,"&lt;&gt;"&amp;"",Başvuru!$F:$F,"&lt;&gt;"&amp;""))</f>
        <v/>
      </c>
      <c r="Q313" s="166"/>
      <c r="R313" s="167">
        <f>COUNTIFS(Başvuru!$A:$A,"&lt;&gt;",Başvuru!$F:$F,"&lt;&gt;",Başvuru!$C:$C,Q313)</f>
        <v>0</v>
      </c>
      <c r="S313" s="167">
        <f>RANK(R313,$R$6:$R$346,0)+COUNTIF($R$6:R313,R313)-1</f>
        <v>330</v>
      </c>
    </row>
    <row r="314" spans="2:19" ht="15" customHeight="1" x14ac:dyDescent="0.25">
      <c r="B314" s="155">
        <v>309</v>
      </c>
      <c r="C314" s="156" t="str">
        <f>IFERROR(INDEX($Q$6:$Q$324,MATCH(309,$S$6:$S$324,0)),"")</f>
        <v/>
      </c>
      <c r="D314" s="157" t="str">
        <f>IF(C314="","",COUNTIFS(Başvuru!$C:$C,C314,Başvuru!$A:$A,"&lt;&gt;"&amp;"",Başvuru!$F:$F,"&lt;&gt;"&amp;""))</f>
        <v/>
      </c>
      <c r="E314" s="155" t="str">
        <f>IF(C314="","-",IF(D314&gt;0,TEXT(D314/(COUNTIFS(Başvuru!$A:$A,"&lt;&gt;",Başvuru!$F:$F,"&lt;&gt;")-1)*100,"0.0")&amp;"%","-"))</f>
        <v>-</v>
      </c>
      <c r="F314" s="158" t="str">
        <f>IF(C314="","",COUNTIFS(Başvuru!$C:$C,C314,Başvuru!$G:$G,"Bireysel Araştırma",Başvuru!$A:$A,"&lt;&gt;"&amp;"",Başvuru!$F:$F,"&lt;&gt;"&amp;""))</f>
        <v/>
      </c>
      <c r="G314" s="158" t="str">
        <f>IF(C314="","",COUNTIFS(Başvuru!$C:$C,C314,Başvuru!$G:$G,"Uzmanlık Tezi",Başvuru!$A:$A,"&lt;&gt;"&amp;"",Başvuru!$F:$F,"&lt;&gt;"&amp;""))</f>
        <v/>
      </c>
      <c r="H314" s="158" t="str">
        <f>IF(C314="","",COUNTIFS(Başvuru!$C:$C,C314,Başvuru!$G:$G,"Doktora Tezi",Başvuru!$A:$A,"&lt;&gt;"&amp;"",Başvuru!$F:$F,"&lt;&gt;"&amp;""))</f>
        <v/>
      </c>
      <c r="I314" s="158" t="str">
        <f>IF(C314="","",COUNTIFS(Başvuru!$C:$C,C314,Başvuru!$G:$G,"Yüksek Lisans Tezi",Başvuru!$A:$A,"&lt;&gt;"&amp;"",Başvuru!$F:$F,"&lt;&gt;"&amp;""))</f>
        <v/>
      </c>
      <c r="J314" s="159" t="str">
        <f>IF(C314="","",COUNTIFS(Başvuru!$C:$C,C314,Başvuru!$L:$L,"ONAY",Başvuru!$A:$A,"&lt;&gt;"&amp;"",Başvuru!$F:$F,"&lt;&gt;"&amp;""))</f>
        <v/>
      </c>
      <c r="K314" s="160" t="str">
        <f>IF(C314="","",COUNTIFS(Başvuru!$C:$C,C314,Başvuru!$L:$L,"DÜZELTME",Başvuru!$A:$A,"&lt;&gt;"&amp;"",Başvuru!$F:$F,"&lt;&gt;"&amp;""))</f>
        <v/>
      </c>
      <c r="L314" s="161" t="str">
        <f>IF(C314="","",COUNTIFS(Başvuru!$C:$C,C314,Başvuru!$L:$L,"KAEK",Başvuru!$A:$A,"&lt;&gt;"&amp;"",Başvuru!$F:$F,"&lt;&gt;"&amp;""))</f>
        <v/>
      </c>
      <c r="M314" s="162" t="str">
        <f>IF(C314="","",COUNTIFS(Başvuru!$C:$C,C314,Başvuru!$L:$L,"GÖRÜŞ",Başvuru!$A:$A,"&lt;&gt;"&amp;"",Başvuru!$F:$F,"&lt;&gt;"&amp;""))</f>
        <v/>
      </c>
      <c r="N314" s="163" t="str">
        <f>IF(C314="","",COUNTIFS(Başvuru!$C:$C,C314,Başvuru!$L:$L,"RET",Başvuru!$A:$A,"&lt;&gt;"&amp;"",Başvuru!$F:$F,"&lt;&gt;"&amp;""))</f>
        <v/>
      </c>
      <c r="O314" s="164" t="str">
        <f>IF(C314="","",COUNTIFS(Başvuru!$C:$C,C314,Başvuru!$L:$L,"KAPSAM DIŞI",Başvuru!$A:$A,"&lt;&gt;"&amp;"",Başvuru!$F:$F,"&lt;&gt;"&amp;""))</f>
        <v/>
      </c>
      <c r="P314" s="165" t="str">
        <f>IF(C314="","",COUNTIFS(Başvuru!$C:$C,C314,Başvuru!$L:$L,"GERİ ÇEKİLDİ",Başvuru!$A:$A,"&lt;&gt;"&amp;"",Başvuru!$F:$F,"&lt;&gt;"&amp;""))</f>
        <v/>
      </c>
      <c r="Q314" s="166"/>
      <c r="R314" s="167">
        <f>COUNTIFS(Başvuru!$A:$A,"&lt;&gt;",Başvuru!$F:$F,"&lt;&gt;",Başvuru!$C:$C,Q314)</f>
        <v>0</v>
      </c>
      <c r="S314" s="167">
        <f>RANK(R314,$R$6:$R$346,0)+COUNTIF($R$6:R314,R314)-1</f>
        <v>331</v>
      </c>
    </row>
    <row r="315" spans="2:19" ht="15" customHeight="1" x14ac:dyDescent="0.25">
      <c r="B315" s="155">
        <v>310</v>
      </c>
      <c r="C315" s="156" t="str">
        <f>IFERROR(INDEX($Q$6:$Q$324,MATCH(310,$S$6:$S$324,0)),"")</f>
        <v/>
      </c>
      <c r="D315" s="157" t="str">
        <f>IF(C315="","",COUNTIFS(Başvuru!$C:$C,C315,Başvuru!$A:$A,"&lt;&gt;"&amp;"",Başvuru!$F:$F,"&lt;&gt;"&amp;""))</f>
        <v/>
      </c>
      <c r="E315" s="155" t="str">
        <f>IF(C315="","-",IF(D315&gt;0,TEXT(D315/(COUNTIFS(Başvuru!$A:$A,"&lt;&gt;",Başvuru!$F:$F,"&lt;&gt;")-1)*100,"0.0")&amp;"%","-"))</f>
        <v>-</v>
      </c>
      <c r="F315" s="158" t="str">
        <f>IF(C315="","",COUNTIFS(Başvuru!$C:$C,C315,Başvuru!$G:$G,"Bireysel Araştırma",Başvuru!$A:$A,"&lt;&gt;"&amp;"",Başvuru!$F:$F,"&lt;&gt;"&amp;""))</f>
        <v/>
      </c>
      <c r="G315" s="158" t="str">
        <f>IF(C315="","",COUNTIFS(Başvuru!$C:$C,C315,Başvuru!$G:$G,"Uzmanlık Tezi",Başvuru!$A:$A,"&lt;&gt;"&amp;"",Başvuru!$F:$F,"&lt;&gt;"&amp;""))</f>
        <v/>
      </c>
      <c r="H315" s="158" t="str">
        <f>IF(C315="","",COUNTIFS(Başvuru!$C:$C,C315,Başvuru!$G:$G,"Doktora Tezi",Başvuru!$A:$A,"&lt;&gt;"&amp;"",Başvuru!$F:$F,"&lt;&gt;"&amp;""))</f>
        <v/>
      </c>
      <c r="I315" s="158" t="str">
        <f>IF(C315="","",COUNTIFS(Başvuru!$C:$C,C315,Başvuru!$G:$G,"Yüksek Lisans Tezi",Başvuru!$A:$A,"&lt;&gt;"&amp;"",Başvuru!$F:$F,"&lt;&gt;"&amp;""))</f>
        <v/>
      </c>
      <c r="J315" s="159" t="str">
        <f>IF(C315="","",COUNTIFS(Başvuru!$C:$C,C315,Başvuru!$L:$L,"ONAY",Başvuru!$A:$A,"&lt;&gt;"&amp;"",Başvuru!$F:$F,"&lt;&gt;"&amp;""))</f>
        <v/>
      </c>
      <c r="K315" s="160" t="str">
        <f>IF(C315="","",COUNTIFS(Başvuru!$C:$C,C315,Başvuru!$L:$L,"DÜZELTME",Başvuru!$A:$A,"&lt;&gt;"&amp;"",Başvuru!$F:$F,"&lt;&gt;"&amp;""))</f>
        <v/>
      </c>
      <c r="L315" s="161" t="str">
        <f>IF(C315="","",COUNTIFS(Başvuru!$C:$C,C315,Başvuru!$L:$L,"KAEK",Başvuru!$A:$A,"&lt;&gt;"&amp;"",Başvuru!$F:$F,"&lt;&gt;"&amp;""))</f>
        <v/>
      </c>
      <c r="M315" s="162" t="str">
        <f>IF(C315="","",COUNTIFS(Başvuru!$C:$C,C315,Başvuru!$L:$L,"GÖRÜŞ",Başvuru!$A:$A,"&lt;&gt;"&amp;"",Başvuru!$F:$F,"&lt;&gt;"&amp;""))</f>
        <v/>
      </c>
      <c r="N315" s="163" t="str">
        <f>IF(C315="","",COUNTIFS(Başvuru!$C:$C,C315,Başvuru!$L:$L,"RET",Başvuru!$A:$A,"&lt;&gt;"&amp;"",Başvuru!$F:$F,"&lt;&gt;"&amp;""))</f>
        <v/>
      </c>
      <c r="O315" s="164" t="str">
        <f>IF(C315="","",COUNTIFS(Başvuru!$C:$C,C315,Başvuru!$L:$L,"KAPSAM DIŞI",Başvuru!$A:$A,"&lt;&gt;"&amp;"",Başvuru!$F:$F,"&lt;&gt;"&amp;""))</f>
        <v/>
      </c>
      <c r="P315" s="165" t="str">
        <f>IF(C315="","",COUNTIFS(Başvuru!$C:$C,C315,Başvuru!$L:$L,"GERİ ÇEKİLDİ",Başvuru!$A:$A,"&lt;&gt;"&amp;"",Başvuru!$F:$F,"&lt;&gt;"&amp;""))</f>
        <v/>
      </c>
      <c r="Q315" s="166"/>
      <c r="R315" s="167">
        <f>COUNTIFS(Başvuru!$A:$A,"&lt;&gt;",Başvuru!$F:$F,"&lt;&gt;",Başvuru!$C:$C,Q315)</f>
        <v>0</v>
      </c>
      <c r="S315" s="167">
        <f>RANK(R315,$R$6:$R$346,0)+COUNTIF($R$6:R315,R315)-1</f>
        <v>332</v>
      </c>
    </row>
    <row r="316" spans="2:19" ht="15" customHeight="1" x14ac:dyDescent="0.25">
      <c r="B316" s="155">
        <v>311</v>
      </c>
      <c r="C316" s="156" t="str">
        <f>IFERROR(INDEX($Q$6:$Q$324,MATCH(311,$S$6:$S$324,0)),"")</f>
        <v/>
      </c>
      <c r="D316" s="157" t="str">
        <f>IF(C316="","",COUNTIFS(Başvuru!$C:$C,C316,Başvuru!$A:$A,"&lt;&gt;"&amp;"",Başvuru!$F:$F,"&lt;&gt;"&amp;""))</f>
        <v/>
      </c>
      <c r="E316" s="155" t="str">
        <f>IF(C316="","-",IF(D316&gt;0,TEXT(D316/(COUNTIFS(Başvuru!$A:$A,"&lt;&gt;",Başvuru!$F:$F,"&lt;&gt;")-1)*100,"0.0")&amp;"%","-"))</f>
        <v>-</v>
      </c>
      <c r="F316" s="158" t="str">
        <f>IF(C316="","",COUNTIFS(Başvuru!$C:$C,C316,Başvuru!$G:$G,"Bireysel Araştırma",Başvuru!$A:$A,"&lt;&gt;"&amp;"",Başvuru!$F:$F,"&lt;&gt;"&amp;""))</f>
        <v/>
      </c>
      <c r="G316" s="158" t="str">
        <f>IF(C316="","",COUNTIFS(Başvuru!$C:$C,C316,Başvuru!$G:$G,"Uzmanlık Tezi",Başvuru!$A:$A,"&lt;&gt;"&amp;"",Başvuru!$F:$F,"&lt;&gt;"&amp;""))</f>
        <v/>
      </c>
      <c r="H316" s="158" t="str">
        <f>IF(C316="","",COUNTIFS(Başvuru!$C:$C,C316,Başvuru!$G:$G,"Doktora Tezi",Başvuru!$A:$A,"&lt;&gt;"&amp;"",Başvuru!$F:$F,"&lt;&gt;"&amp;""))</f>
        <v/>
      </c>
      <c r="I316" s="158" t="str">
        <f>IF(C316="","",COUNTIFS(Başvuru!$C:$C,C316,Başvuru!$G:$G,"Yüksek Lisans Tezi",Başvuru!$A:$A,"&lt;&gt;"&amp;"",Başvuru!$F:$F,"&lt;&gt;"&amp;""))</f>
        <v/>
      </c>
      <c r="J316" s="159" t="str">
        <f>IF(C316="","",COUNTIFS(Başvuru!$C:$C,C316,Başvuru!$L:$L,"ONAY",Başvuru!$A:$A,"&lt;&gt;"&amp;"",Başvuru!$F:$F,"&lt;&gt;"&amp;""))</f>
        <v/>
      </c>
      <c r="K316" s="160" t="str">
        <f>IF(C316="","",COUNTIFS(Başvuru!$C:$C,C316,Başvuru!$L:$L,"DÜZELTME",Başvuru!$A:$A,"&lt;&gt;"&amp;"",Başvuru!$F:$F,"&lt;&gt;"&amp;""))</f>
        <v/>
      </c>
      <c r="L316" s="161" t="str">
        <f>IF(C316="","",COUNTIFS(Başvuru!$C:$C,C316,Başvuru!$L:$L,"KAEK",Başvuru!$A:$A,"&lt;&gt;"&amp;"",Başvuru!$F:$F,"&lt;&gt;"&amp;""))</f>
        <v/>
      </c>
      <c r="M316" s="162" t="str">
        <f>IF(C316="","",COUNTIFS(Başvuru!$C:$C,C316,Başvuru!$L:$L,"GÖRÜŞ",Başvuru!$A:$A,"&lt;&gt;"&amp;"",Başvuru!$F:$F,"&lt;&gt;"&amp;""))</f>
        <v/>
      </c>
      <c r="N316" s="163" t="str">
        <f>IF(C316="","",COUNTIFS(Başvuru!$C:$C,C316,Başvuru!$L:$L,"RET",Başvuru!$A:$A,"&lt;&gt;"&amp;"",Başvuru!$F:$F,"&lt;&gt;"&amp;""))</f>
        <v/>
      </c>
      <c r="O316" s="164" t="str">
        <f>IF(C316="","",COUNTIFS(Başvuru!$C:$C,C316,Başvuru!$L:$L,"KAPSAM DIŞI",Başvuru!$A:$A,"&lt;&gt;"&amp;"",Başvuru!$F:$F,"&lt;&gt;"&amp;""))</f>
        <v/>
      </c>
      <c r="P316" s="165" t="str">
        <f>IF(C316="","",COUNTIFS(Başvuru!$C:$C,C316,Başvuru!$L:$L,"GERİ ÇEKİLDİ",Başvuru!$A:$A,"&lt;&gt;"&amp;"",Başvuru!$F:$F,"&lt;&gt;"&amp;""))</f>
        <v/>
      </c>
      <c r="Q316" s="166"/>
      <c r="R316" s="167">
        <f>COUNTIFS(Başvuru!$A:$A,"&lt;&gt;",Başvuru!$F:$F,"&lt;&gt;",Başvuru!$C:$C,Q316)</f>
        <v>0</v>
      </c>
      <c r="S316" s="167">
        <f>RANK(R316,$R$6:$R$346,0)+COUNTIF($R$6:R316,R316)-1</f>
        <v>333</v>
      </c>
    </row>
    <row r="317" spans="2:19" ht="15" customHeight="1" x14ac:dyDescent="0.25">
      <c r="B317" s="155">
        <v>312</v>
      </c>
      <c r="C317" s="156" t="str">
        <f>IFERROR(INDEX($Q$6:$Q$324,MATCH(312,$S$6:$S$324,0)),"")</f>
        <v/>
      </c>
      <c r="D317" s="157" t="str">
        <f>IF(C317="","",COUNTIFS(Başvuru!$C:$C,C317,Başvuru!$A:$A,"&lt;&gt;"&amp;"",Başvuru!$F:$F,"&lt;&gt;"&amp;""))</f>
        <v/>
      </c>
      <c r="E317" s="155" t="str">
        <f>IF(C317="","-",IF(D317&gt;0,TEXT(D317/(COUNTIFS(Başvuru!$A:$A,"&lt;&gt;",Başvuru!$F:$F,"&lt;&gt;")-1)*100,"0.0")&amp;"%","-"))</f>
        <v>-</v>
      </c>
      <c r="F317" s="158" t="str">
        <f>IF(C317="","",COUNTIFS(Başvuru!$C:$C,C317,Başvuru!$G:$G,"Bireysel Araştırma",Başvuru!$A:$A,"&lt;&gt;"&amp;"",Başvuru!$F:$F,"&lt;&gt;"&amp;""))</f>
        <v/>
      </c>
      <c r="G317" s="158" t="str">
        <f>IF(C317="","",COUNTIFS(Başvuru!$C:$C,C317,Başvuru!$G:$G,"Uzmanlık Tezi",Başvuru!$A:$A,"&lt;&gt;"&amp;"",Başvuru!$F:$F,"&lt;&gt;"&amp;""))</f>
        <v/>
      </c>
      <c r="H317" s="158" t="str">
        <f>IF(C317="","",COUNTIFS(Başvuru!$C:$C,C317,Başvuru!$G:$G,"Doktora Tezi",Başvuru!$A:$A,"&lt;&gt;"&amp;"",Başvuru!$F:$F,"&lt;&gt;"&amp;""))</f>
        <v/>
      </c>
      <c r="I317" s="158" t="str">
        <f>IF(C317="","",COUNTIFS(Başvuru!$C:$C,C317,Başvuru!$G:$G,"Yüksek Lisans Tezi",Başvuru!$A:$A,"&lt;&gt;"&amp;"",Başvuru!$F:$F,"&lt;&gt;"&amp;""))</f>
        <v/>
      </c>
      <c r="J317" s="159" t="str">
        <f>IF(C317="","",COUNTIFS(Başvuru!$C:$C,C317,Başvuru!$L:$L,"ONAY",Başvuru!$A:$A,"&lt;&gt;"&amp;"",Başvuru!$F:$F,"&lt;&gt;"&amp;""))</f>
        <v/>
      </c>
      <c r="K317" s="160" t="str">
        <f>IF(C317="","",COUNTIFS(Başvuru!$C:$C,C317,Başvuru!$L:$L,"DÜZELTME",Başvuru!$A:$A,"&lt;&gt;"&amp;"",Başvuru!$F:$F,"&lt;&gt;"&amp;""))</f>
        <v/>
      </c>
      <c r="L317" s="161" t="str">
        <f>IF(C317="","",COUNTIFS(Başvuru!$C:$C,C317,Başvuru!$L:$L,"KAEK",Başvuru!$A:$A,"&lt;&gt;"&amp;"",Başvuru!$F:$F,"&lt;&gt;"&amp;""))</f>
        <v/>
      </c>
      <c r="M317" s="162" t="str">
        <f>IF(C317="","",COUNTIFS(Başvuru!$C:$C,C317,Başvuru!$L:$L,"GÖRÜŞ",Başvuru!$A:$A,"&lt;&gt;"&amp;"",Başvuru!$F:$F,"&lt;&gt;"&amp;""))</f>
        <v/>
      </c>
      <c r="N317" s="163" t="str">
        <f>IF(C317="","",COUNTIFS(Başvuru!$C:$C,C317,Başvuru!$L:$L,"RET",Başvuru!$A:$A,"&lt;&gt;"&amp;"",Başvuru!$F:$F,"&lt;&gt;"&amp;""))</f>
        <v/>
      </c>
      <c r="O317" s="164" t="str">
        <f>IF(C317="","",COUNTIFS(Başvuru!$C:$C,C317,Başvuru!$L:$L,"KAPSAM DIŞI",Başvuru!$A:$A,"&lt;&gt;"&amp;"",Başvuru!$F:$F,"&lt;&gt;"&amp;""))</f>
        <v/>
      </c>
      <c r="P317" s="165" t="str">
        <f>IF(C317="","",COUNTIFS(Başvuru!$C:$C,C317,Başvuru!$L:$L,"GERİ ÇEKİLDİ",Başvuru!$A:$A,"&lt;&gt;"&amp;"",Başvuru!$F:$F,"&lt;&gt;"&amp;""))</f>
        <v/>
      </c>
      <c r="Q317" s="166"/>
      <c r="R317" s="167">
        <f>COUNTIFS(Başvuru!$A:$A,"&lt;&gt;",Başvuru!$F:$F,"&lt;&gt;",Başvuru!$C:$C,Q317)</f>
        <v>0</v>
      </c>
      <c r="S317" s="167">
        <f>RANK(R317,$R$6:$R$346,0)+COUNTIF($R$6:R317,R317)-1</f>
        <v>334</v>
      </c>
    </row>
    <row r="318" spans="2:19" ht="15" customHeight="1" x14ac:dyDescent="0.25">
      <c r="B318" s="155">
        <v>313</v>
      </c>
      <c r="C318" s="156" t="str">
        <f>IFERROR(INDEX($Q$6:$Q$324,MATCH(313,$S$6:$S$324,0)),"")</f>
        <v/>
      </c>
      <c r="D318" s="157" t="str">
        <f>IF(C318="","",COUNTIFS(Başvuru!$C:$C,C318,Başvuru!$A:$A,"&lt;&gt;"&amp;"",Başvuru!$F:$F,"&lt;&gt;"&amp;""))</f>
        <v/>
      </c>
      <c r="E318" s="155" t="str">
        <f>IF(C318="","-",IF(D318&gt;0,TEXT(D318/(COUNTIFS(Başvuru!$A:$A,"&lt;&gt;",Başvuru!$F:$F,"&lt;&gt;")-1)*100,"0.0")&amp;"%","-"))</f>
        <v>-</v>
      </c>
      <c r="F318" s="158" t="str">
        <f>IF(C318="","",COUNTIFS(Başvuru!$C:$C,C318,Başvuru!$G:$G,"Bireysel Araştırma",Başvuru!$A:$A,"&lt;&gt;"&amp;"",Başvuru!$F:$F,"&lt;&gt;"&amp;""))</f>
        <v/>
      </c>
      <c r="G318" s="158" t="str">
        <f>IF(C318="","",COUNTIFS(Başvuru!$C:$C,C318,Başvuru!$G:$G,"Uzmanlık Tezi",Başvuru!$A:$A,"&lt;&gt;"&amp;"",Başvuru!$F:$F,"&lt;&gt;"&amp;""))</f>
        <v/>
      </c>
      <c r="H318" s="158" t="str">
        <f>IF(C318="","",COUNTIFS(Başvuru!$C:$C,C318,Başvuru!$G:$G,"Doktora Tezi",Başvuru!$A:$A,"&lt;&gt;"&amp;"",Başvuru!$F:$F,"&lt;&gt;"&amp;""))</f>
        <v/>
      </c>
      <c r="I318" s="158" t="str">
        <f>IF(C318="","",COUNTIFS(Başvuru!$C:$C,C318,Başvuru!$G:$G,"Yüksek Lisans Tezi",Başvuru!$A:$A,"&lt;&gt;"&amp;"",Başvuru!$F:$F,"&lt;&gt;"&amp;""))</f>
        <v/>
      </c>
      <c r="J318" s="159" t="str">
        <f>IF(C318="","",COUNTIFS(Başvuru!$C:$C,C318,Başvuru!$L:$L,"ONAY",Başvuru!$A:$A,"&lt;&gt;"&amp;"",Başvuru!$F:$F,"&lt;&gt;"&amp;""))</f>
        <v/>
      </c>
      <c r="K318" s="160" t="str">
        <f>IF(C318="","",COUNTIFS(Başvuru!$C:$C,C318,Başvuru!$L:$L,"DÜZELTME",Başvuru!$A:$A,"&lt;&gt;"&amp;"",Başvuru!$F:$F,"&lt;&gt;"&amp;""))</f>
        <v/>
      </c>
      <c r="L318" s="161" t="str">
        <f>IF(C318="","",COUNTIFS(Başvuru!$C:$C,C318,Başvuru!$L:$L,"KAEK",Başvuru!$A:$A,"&lt;&gt;"&amp;"",Başvuru!$F:$F,"&lt;&gt;"&amp;""))</f>
        <v/>
      </c>
      <c r="M318" s="162" t="str">
        <f>IF(C318="","",COUNTIFS(Başvuru!$C:$C,C318,Başvuru!$L:$L,"GÖRÜŞ",Başvuru!$A:$A,"&lt;&gt;"&amp;"",Başvuru!$F:$F,"&lt;&gt;"&amp;""))</f>
        <v/>
      </c>
      <c r="N318" s="163" t="str">
        <f>IF(C318="","",COUNTIFS(Başvuru!$C:$C,C318,Başvuru!$L:$L,"RET",Başvuru!$A:$A,"&lt;&gt;"&amp;"",Başvuru!$F:$F,"&lt;&gt;"&amp;""))</f>
        <v/>
      </c>
      <c r="O318" s="164" t="str">
        <f>IF(C318="","",COUNTIFS(Başvuru!$C:$C,C318,Başvuru!$L:$L,"KAPSAM DIŞI",Başvuru!$A:$A,"&lt;&gt;"&amp;"",Başvuru!$F:$F,"&lt;&gt;"&amp;""))</f>
        <v/>
      </c>
      <c r="P318" s="165" t="str">
        <f>IF(C318="","",COUNTIFS(Başvuru!$C:$C,C318,Başvuru!$L:$L,"GERİ ÇEKİLDİ",Başvuru!$A:$A,"&lt;&gt;"&amp;"",Başvuru!$F:$F,"&lt;&gt;"&amp;""))</f>
        <v/>
      </c>
      <c r="Q318" s="166"/>
      <c r="R318" s="167">
        <f>COUNTIFS(Başvuru!$A:$A,"&lt;&gt;",Başvuru!$F:$F,"&lt;&gt;",Başvuru!$C:$C,Q318)</f>
        <v>0</v>
      </c>
      <c r="S318" s="167">
        <f>RANK(R318,$R$6:$R$346,0)+COUNTIF($R$6:R318,R318)-1</f>
        <v>335</v>
      </c>
    </row>
    <row r="319" spans="2:19" ht="15" customHeight="1" x14ac:dyDescent="0.25">
      <c r="B319" s="155">
        <v>314</v>
      </c>
      <c r="C319" s="156" t="str">
        <f>IFERROR(INDEX($Q$6:$Q$324,MATCH(314,$S$6:$S$324,0)),"")</f>
        <v/>
      </c>
      <c r="D319" s="157" t="str">
        <f>IF(C319="","",COUNTIFS(Başvuru!$C:$C,C319,Başvuru!$A:$A,"&lt;&gt;"&amp;"",Başvuru!$F:$F,"&lt;&gt;"&amp;""))</f>
        <v/>
      </c>
      <c r="E319" s="155" t="str">
        <f>IF(C319="","-",IF(D319&gt;0,TEXT(D319/(COUNTIFS(Başvuru!$A:$A,"&lt;&gt;",Başvuru!$F:$F,"&lt;&gt;")-1)*100,"0.0")&amp;"%","-"))</f>
        <v>-</v>
      </c>
      <c r="F319" s="158" t="str">
        <f>IF(C319="","",COUNTIFS(Başvuru!$C:$C,C319,Başvuru!$G:$G,"Bireysel Araştırma",Başvuru!$A:$A,"&lt;&gt;"&amp;"",Başvuru!$F:$F,"&lt;&gt;"&amp;""))</f>
        <v/>
      </c>
      <c r="G319" s="158" t="str">
        <f>IF(C319="","",COUNTIFS(Başvuru!$C:$C,C319,Başvuru!$G:$G,"Uzmanlık Tezi",Başvuru!$A:$A,"&lt;&gt;"&amp;"",Başvuru!$F:$F,"&lt;&gt;"&amp;""))</f>
        <v/>
      </c>
      <c r="H319" s="158" t="str">
        <f>IF(C319="","",COUNTIFS(Başvuru!$C:$C,C319,Başvuru!$G:$G,"Doktora Tezi",Başvuru!$A:$A,"&lt;&gt;"&amp;"",Başvuru!$F:$F,"&lt;&gt;"&amp;""))</f>
        <v/>
      </c>
      <c r="I319" s="158" t="str">
        <f>IF(C319="","",COUNTIFS(Başvuru!$C:$C,C319,Başvuru!$G:$G,"Yüksek Lisans Tezi",Başvuru!$A:$A,"&lt;&gt;"&amp;"",Başvuru!$F:$F,"&lt;&gt;"&amp;""))</f>
        <v/>
      </c>
      <c r="J319" s="159" t="str">
        <f>IF(C319="","",COUNTIFS(Başvuru!$C:$C,C319,Başvuru!$L:$L,"ONAY",Başvuru!$A:$A,"&lt;&gt;"&amp;"",Başvuru!$F:$F,"&lt;&gt;"&amp;""))</f>
        <v/>
      </c>
      <c r="K319" s="160" t="str">
        <f>IF(C319="","",COUNTIFS(Başvuru!$C:$C,C319,Başvuru!$L:$L,"DÜZELTME",Başvuru!$A:$A,"&lt;&gt;"&amp;"",Başvuru!$F:$F,"&lt;&gt;"&amp;""))</f>
        <v/>
      </c>
      <c r="L319" s="161" t="str">
        <f>IF(C319="","",COUNTIFS(Başvuru!$C:$C,C319,Başvuru!$L:$L,"KAEK",Başvuru!$A:$A,"&lt;&gt;"&amp;"",Başvuru!$F:$F,"&lt;&gt;"&amp;""))</f>
        <v/>
      </c>
      <c r="M319" s="162" t="str">
        <f>IF(C319="","",COUNTIFS(Başvuru!$C:$C,C319,Başvuru!$L:$L,"GÖRÜŞ",Başvuru!$A:$A,"&lt;&gt;"&amp;"",Başvuru!$F:$F,"&lt;&gt;"&amp;""))</f>
        <v/>
      </c>
      <c r="N319" s="163" t="str">
        <f>IF(C319="","",COUNTIFS(Başvuru!$C:$C,C319,Başvuru!$L:$L,"RET",Başvuru!$A:$A,"&lt;&gt;"&amp;"",Başvuru!$F:$F,"&lt;&gt;"&amp;""))</f>
        <v/>
      </c>
      <c r="O319" s="164" t="str">
        <f>IF(C319="","",COUNTIFS(Başvuru!$C:$C,C319,Başvuru!$L:$L,"KAPSAM DIŞI",Başvuru!$A:$A,"&lt;&gt;"&amp;"",Başvuru!$F:$F,"&lt;&gt;"&amp;""))</f>
        <v/>
      </c>
      <c r="P319" s="165" t="str">
        <f>IF(C319="","",COUNTIFS(Başvuru!$C:$C,C319,Başvuru!$L:$L,"GERİ ÇEKİLDİ",Başvuru!$A:$A,"&lt;&gt;"&amp;"",Başvuru!$F:$F,"&lt;&gt;"&amp;""))</f>
        <v/>
      </c>
      <c r="Q319" s="166"/>
      <c r="R319" s="167">
        <f>COUNTIFS(Başvuru!$A:$A,"&lt;&gt;",Başvuru!$F:$F,"&lt;&gt;",Başvuru!$C:$C,Q319)</f>
        <v>0</v>
      </c>
      <c r="S319" s="167">
        <f>RANK(R319,$R$6:$R$346,0)+COUNTIF($R$6:R319,R319)-1</f>
        <v>336</v>
      </c>
    </row>
    <row r="320" spans="2:19" ht="15" customHeight="1" x14ac:dyDescent="0.25">
      <c r="B320" s="155">
        <v>315</v>
      </c>
      <c r="C320" s="156" t="str">
        <f>IFERROR(INDEX($Q$6:$Q$324,MATCH(315,$S$6:$S$324,0)),"")</f>
        <v/>
      </c>
      <c r="D320" s="157" t="str">
        <f>IF(C320="","",COUNTIFS(Başvuru!$C:$C,C320,Başvuru!$A:$A,"&lt;&gt;"&amp;"",Başvuru!$F:$F,"&lt;&gt;"&amp;""))</f>
        <v/>
      </c>
      <c r="E320" s="155" t="str">
        <f>IF(C320="","-",IF(D320&gt;0,TEXT(D320/(COUNTIFS(Başvuru!$A:$A,"&lt;&gt;",Başvuru!$F:$F,"&lt;&gt;")-1)*100,"0.0")&amp;"%","-"))</f>
        <v>-</v>
      </c>
      <c r="F320" s="158" t="str">
        <f>IF(C320="","",COUNTIFS(Başvuru!$C:$C,C320,Başvuru!$G:$G,"Bireysel Araştırma",Başvuru!$A:$A,"&lt;&gt;"&amp;"",Başvuru!$F:$F,"&lt;&gt;"&amp;""))</f>
        <v/>
      </c>
      <c r="G320" s="158" t="str">
        <f>IF(C320="","",COUNTIFS(Başvuru!$C:$C,C320,Başvuru!$G:$G,"Uzmanlık Tezi",Başvuru!$A:$A,"&lt;&gt;"&amp;"",Başvuru!$F:$F,"&lt;&gt;"&amp;""))</f>
        <v/>
      </c>
      <c r="H320" s="158" t="str">
        <f>IF(C320="","",COUNTIFS(Başvuru!$C:$C,C320,Başvuru!$G:$G,"Doktora Tezi",Başvuru!$A:$A,"&lt;&gt;"&amp;"",Başvuru!$F:$F,"&lt;&gt;"&amp;""))</f>
        <v/>
      </c>
      <c r="I320" s="158" t="str">
        <f>IF(C320="","",COUNTIFS(Başvuru!$C:$C,C320,Başvuru!$G:$G,"Yüksek Lisans Tezi",Başvuru!$A:$A,"&lt;&gt;"&amp;"",Başvuru!$F:$F,"&lt;&gt;"&amp;""))</f>
        <v/>
      </c>
      <c r="J320" s="159" t="str">
        <f>IF(C320="","",COUNTIFS(Başvuru!$C:$C,C320,Başvuru!$L:$L,"ONAY",Başvuru!$A:$A,"&lt;&gt;"&amp;"",Başvuru!$F:$F,"&lt;&gt;"&amp;""))</f>
        <v/>
      </c>
      <c r="K320" s="160" t="str">
        <f>IF(C320="","",COUNTIFS(Başvuru!$C:$C,C320,Başvuru!$L:$L,"DÜZELTME",Başvuru!$A:$A,"&lt;&gt;"&amp;"",Başvuru!$F:$F,"&lt;&gt;"&amp;""))</f>
        <v/>
      </c>
      <c r="L320" s="161" t="str">
        <f>IF(C320="","",COUNTIFS(Başvuru!$C:$C,C320,Başvuru!$L:$L,"KAEK",Başvuru!$A:$A,"&lt;&gt;"&amp;"",Başvuru!$F:$F,"&lt;&gt;"&amp;""))</f>
        <v/>
      </c>
      <c r="M320" s="162" t="str">
        <f>IF(C320="","",COUNTIFS(Başvuru!$C:$C,C320,Başvuru!$L:$L,"GÖRÜŞ",Başvuru!$A:$A,"&lt;&gt;"&amp;"",Başvuru!$F:$F,"&lt;&gt;"&amp;""))</f>
        <v/>
      </c>
      <c r="N320" s="163" t="str">
        <f>IF(C320="","",COUNTIFS(Başvuru!$C:$C,C320,Başvuru!$L:$L,"RET",Başvuru!$A:$A,"&lt;&gt;"&amp;"",Başvuru!$F:$F,"&lt;&gt;"&amp;""))</f>
        <v/>
      </c>
      <c r="O320" s="164" t="str">
        <f>IF(C320="","",COUNTIFS(Başvuru!$C:$C,C320,Başvuru!$L:$L,"KAPSAM DIŞI",Başvuru!$A:$A,"&lt;&gt;"&amp;"",Başvuru!$F:$F,"&lt;&gt;"&amp;""))</f>
        <v/>
      </c>
      <c r="P320" s="165" t="str">
        <f>IF(C320="","",COUNTIFS(Başvuru!$C:$C,C320,Başvuru!$L:$L,"GERİ ÇEKİLDİ",Başvuru!$A:$A,"&lt;&gt;"&amp;"",Başvuru!$F:$F,"&lt;&gt;"&amp;""))</f>
        <v/>
      </c>
      <c r="Q320" s="166"/>
      <c r="R320" s="167">
        <f>COUNTIFS(Başvuru!$A:$A,"&lt;&gt;",Başvuru!$F:$F,"&lt;&gt;",Başvuru!$C:$C,Q320)</f>
        <v>0</v>
      </c>
      <c r="S320" s="167">
        <f>RANK(R320,$R$6:$R$346,0)+COUNTIF($R$6:R320,R320)-1</f>
        <v>337</v>
      </c>
    </row>
    <row r="321" spans="2:19" ht="15" customHeight="1" x14ac:dyDescent="0.25">
      <c r="B321" s="155">
        <v>316</v>
      </c>
      <c r="C321" s="156" t="str">
        <f>IFERROR(INDEX($Q$6:$Q$324,MATCH(316,$S$6:$S$324,0)),"")</f>
        <v/>
      </c>
      <c r="D321" s="157" t="str">
        <f>IF(C321="","",COUNTIFS(Başvuru!$C:$C,C321,Başvuru!$A:$A,"&lt;&gt;"&amp;"",Başvuru!$F:$F,"&lt;&gt;"&amp;""))</f>
        <v/>
      </c>
      <c r="E321" s="155" t="str">
        <f>IF(C321="","-",IF(D321&gt;0,TEXT(D321/(COUNTIFS(Başvuru!$A:$A,"&lt;&gt;",Başvuru!$F:$F,"&lt;&gt;")-1)*100,"0.0")&amp;"%","-"))</f>
        <v>-</v>
      </c>
      <c r="F321" s="158" t="str">
        <f>IF(C321="","",COUNTIFS(Başvuru!$C:$C,C321,Başvuru!$G:$G,"Bireysel Araştırma",Başvuru!$A:$A,"&lt;&gt;"&amp;"",Başvuru!$F:$F,"&lt;&gt;"&amp;""))</f>
        <v/>
      </c>
      <c r="G321" s="158" t="str">
        <f>IF(C321="","",COUNTIFS(Başvuru!$C:$C,C321,Başvuru!$G:$G,"Uzmanlık Tezi",Başvuru!$A:$A,"&lt;&gt;"&amp;"",Başvuru!$F:$F,"&lt;&gt;"&amp;""))</f>
        <v/>
      </c>
      <c r="H321" s="158" t="str">
        <f>IF(C321="","",COUNTIFS(Başvuru!$C:$C,C321,Başvuru!$G:$G,"Doktora Tezi",Başvuru!$A:$A,"&lt;&gt;"&amp;"",Başvuru!$F:$F,"&lt;&gt;"&amp;""))</f>
        <v/>
      </c>
      <c r="I321" s="158" t="str">
        <f>IF(C321="","",COUNTIFS(Başvuru!$C:$C,C321,Başvuru!$G:$G,"Yüksek Lisans Tezi",Başvuru!$A:$A,"&lt;&gt;"&amp;"",Başvuru!$F:$F,"&lt;&gt;"&amp;""))</f>
        <v/>
      </c>
      <c r="J321" s="159" t="str">
        <f>IF(C321="","",COUNTIFS(Başvuru!$C:$C,C321,Başvuru!$L:$L,"ONAY",Başvuru!$A:$A,"&lt;&gt;"&amp;"",Başvuru!$F:$F,"&lt;&gt;"&amp;""))</f>
        <v/>
      </c>
      <c r="K321" s="160" t="str">
        <f>IF(C321="","",COUNTIFS(Başvuru!$C:$C,C321,Başvuru!$L:$L,"DÜZELTME",Başvuru!$A:$A,"&lt;&gt;"&amp;"",Başvuru!$F:$F,"&lt;&gt;"&amp;""))</f>
        <v/>
      </c>
      <c r="L321" s="161" t="str">
        <f>IF(C321="","",COUNTIFS(Başvuru!$C:$C,C321,Başvuru!$L:$L,"KAEK",Başvuru!$A:$A,"&lt;&gt;"&amp;"",Başvuru!$F:$F,"&lt;&gt;"&amp;""))</f>
        <v/>
      </c>
      <c r="M321" s="162" t="str">
        <f>IF(C321="","",COUNTIFS(Başvuru!$C:$C,C321,Başvuru!$L:$L,"GÖRÜŞ",Başvuru!$A:$A,"&lt;&gt;"&amp;"",Başvuru!$F:$F,"&lt;&gt;"&amp;""))</f>
        <v/>
      </c>
      <c r="N321" s="163" t="str">
        <f>IF(C321="","",COUNTIFS(Başvuru!$C:$C,C321,Başvuru!$L:$L,"RET",Başvuru!$A:$A,"&lt;&gt;"&amp;"",Başvuru!$F:$F,"&lt;&gt;"&amp;""))</f>
        <v/>
      </c>
      <c r="O321" s="164" t="str">
        <f>IF(C321="","",COUNTIFS(Başvuru!$C:$C,C321,Başvuru!$L:$L,"KAPSAM DIŞI",Başvuru!$A:$A,"&lt;&gt;"&amp;"",Başvuru!$F:$F,"&lt;&gt;"&amp;""))</f>
        <v/>
      </c>
      <c r="P321" s="165" t="str">
        <f>IF(C321="","",COUNTIFS(Başvuru!$C:$C,C321,Başvuru!$L:$L,"GERİ ÇEKİLDİ",Başvuru!$A:$A,"&lt;&gt;"&amp;"",Başvuru!$F:$F,"&lt;&gt;"&amp;""))</f>
        <v/>
      </c>
      <c r="Q321" s="166"/>
      <c r="R321" s="167">
        <f>COUNTIFS(Başvuru!$A:$A,"&lt;&gt;",Başvuru!$F:$F,"&lt;&gt;",Başvuru!$C:$C,Q321)</f>
        <v>0</v>
      </c>
      <c r="S321" s="167">
        <f>RANK(R321,$R$6:$R$346,0)+COUNTIF($R$6:R321,R321)-1</f>
        <v>338</v>
      </c>
    </row>
    <row r="322" spans="2:19" ht="15" customHeight="1" x14ac:dyDescent="0.25">
      <c r="B322" s="155">
        <v>317</v>
      </c>
      <c r="C322" s="156" t="str">
        <f>IFERROR(INDEX($Q$6:$Q$324,MATCH(317,$S$6:$S$324,0)),"")</f>
        <v/>
      </c>
      <c r="D322" s="157" t="str">
        <f>IF(C322="","",COUNTIFS(Başvuru!$C:$C,C322,Başvuru!$A:$A,"&lt;&gt;"&amp;"",Başvuru!$F:$F,"&lt;&gt;"&amp;""))</f>
        <v/>
      </c>
      <c r="E322" s="155" t="str">
        <f>IF(C322="","-",IF(D322&gt;0,TEXT(D322/(COUNTIFS(Başvuru!$A:$A,"&lt;&gt;",Başvuru!$F:$F,"&lt;&gt;")-1)*100,"0.0")&amp;"%","-"))</f>
        <v>-</v>
      </c>
      <c r="F322" s="158" t="str">
        <f>IF(C322="","",COUNTIFS(Başvuru!$C:$C,C322,Başvuru!$G:$G,"Bireysel Araştırma",Başvuru!$A:$A,"&lt;&gt;"&amp;"",Başvuru!$F:$F,"&lt;&gt;"&amp;""))</f>
        <v/>
      </c>
      <c r="G322" s="158" t="str">
        <f>IF(C322="","",COUNTIFS(Başvuru!$C:$C,C322,Başvuru!$G:$G,"Uzmanlık Tezi",Başvuru!$A:$A,"&lt;&gt;"&amp;"",Başvuru!$F:$F,"&lt;&gt;"&amp;""))</f>
        <v/>
      </c>
      <c r="H322" s="158" t="str">
        <f>IF(C322="","",COUNTIFS(Başvuru!$C:$C,C322,Başvuru!$G:$G,"Doktora Tezi",Başvuru!$A:$A,"&lt;&gt;"&amp;"",Başvuru!$F:$F,"&lt;&gt;"&amp;""))</f>
        <v/>
      </c>
      <c r="I322" s="158" t="str">
        <f>IF(C322="","",COUNTIFS(Başvuru!$C:$C,C322,Başvuru!$G:$G,"Yüksek Lisans Tezi",Başvuru!$A:$A,"&lt;&gt;"&amp;"",Başvuru!$F:$F,"&lt;&gt;"&amp;""))</f>
        <v/>
      </c>
      <c r="J322" s="159" t="str">
        <f>IF(C322="","",COUNTIFS(Başvuru!$C:$C,C322,Başvuru!$L:$L,"ONAY",Başvuru!$A:$A,"&lt;&gt;"&amp;"",Başvuru!$F:$F,"&lt;&gt;"&amp;""))</f>
        <v/>
      </c>
      <c r="K322" s="160" t="str">
        <f>IF(C322="","",COUNTIFS(Başvuru!$C:$C,C322,Başvuru!$L:$L,"DÜZELTME",Başvuru!$A:$A,"&lt;&gt;"&amp;"",Başvuru!$F:$F,"&lt;&gt;"&amp;""))</f>
        <v/>
      </c>
      <c r="L322" s="161" t="str">
        <f>IF(C322="","",COUNTIFS(Başvuru!$C:$C,C322,Başvuru!$L:$L,"KAEK",Başvuru!$A:$A,"&lt;&gt;"&amp;"",Başvuru!$F:$F,"&lt;&gt;"&amp;""))</f>
        <v/>
      </c>
      <c r="M322" s="162" t="str">
        <f>IF(C322="","",COUNTIFS(Başvuru!$C:$C,C322,Başvuru!$L:$L,"GÖRÜŞ",Başvuru!$A:$A,"&lt;&gt;"&amp;"",Başvuru!$F:$F,"&lt;&gt;"&amp;""))</f>
        <v/>
      </c>
      <c r="N322" s="163" t="str">
        <f>IF(C322="","",COUNTIFS(Başvuru!$C:$C,C322,Başvuru!$L:$L,"RET",Başvuru!$A:$A,"&lt;&gt;"&amp;"",Başvuru!$F:$F,"&lt;&gt;"&amp;""))</f>
        <v/>
      </c>
      <c r="O322" s="164" t="str">
        <f>IF(C322="","",COUNTIFS(Başvuru!$C:$C,C322,Başvuru!$L:$L,"KAPSAM DIŞI",Başvuru!$A:$A,"&lt;&gt;"&amp;"",Başvuru!$F:$F,"&lt;&gt;"&amp;""))</f>
        <v/>
      </c>
      <c r="P322" s="165" t="str">
        <f>IF(C322="","",COUNTIFS(Başvuru!$C:$C,C322,Başvuru!$L:$L,"GERİ ÇEKİLDİ",Başvuru!$A:$A,"&lt;&gt;"&amp;"",Başvuru!$F:$F,"&lt;&gt;"&amp;""))</f>
        <v/>
      </c>
      <c r="Q322" s="166"/>
      <c r="R322" s="167">
        <f>COUNTIFS(Başvuru!$A:$A,"&lt;&gt;",Başvuru!$F:$F,"&lt;&gt;",Başvuru!$C:$C,Q322)</f>
        <v>0</v>
      </c>
      <c r="S322" s="167">
        <f>RANK(R322,$R$6:$R$346,0)+COUNTIF($R$6:R322,R322)-1</f>
        <v>339</v>
      </c>
    </row>
    <row r="323" spans="2:19" ht="15" customHeight="1" x14ac:dyDescent="0.25">
      <c r="B323" s="155">
        <v>318</v>
      </c>
      <c r="C323" s="156" t="str">
        <f>IFERROR(INDEX($Q$6:$Q$324,MATCH(318,$S$6:$S$324,0)),"")</f>
        <v/>
      </c>
      <c r="D323" s="157" t="str">
        <f>IF(C323="","",COUNTIFS(Başvuru!$C:$C,C323,Başvuru!$A:$A,"&lt;&gt;"&amp;"",Başvuru!$F:$F,"&lt;&gt;"&amp;""))</f>
        <v/>
      </c>
      <c r="E323" s="155" t="str">
        <f>IF(C323="","-",IF(D323&gt;0,TEXT(D323/(COUNTIFS(Başvuru!$A:$A,"&lt;&gt;",Başvuru!$F:$F,"&lt;&gt;")-1)*100,"0.0")&amp;"%","-"))</f>
        <v>-</v>
      </c>
      <c r="F323" s="158" t="str">
        <f>IF(C323="","",COUNTIFS(Başvuru!$C:$C,C323,Başvuru!$G:$G,"Bireysel Araştırma",Başvuru!$A:$A,"&lt;&gt;"&amp;"",Başvuru!$F:$F,"&lt;&gt;"&amp;""))</f>
        <v/>
      </c>
      <c r="G323" s="158" t="str">
        <f>IF(C323="","",COUNTIFS(Başvuru!$C:$C,C323,Başvuru!$G:$G,"Uzmanlık Tezi",Başvuru!$A:$A,"&lt;&gt;"&amp;"",Başvuru!$F:$F,"&lt;&gt;"&amp;""))</f>
        <v/>
      </c>
      <c r="H323" s="158" t="str">
        <f>IF(C323="","",COUNTIFS(Başvuru!$C:$C,C323,Başvuru!$G:$G,"Doktora Tezi",Başvuru!$A:$A,"&lt;&gt;"&amp;"",Başvuru!$F:$F,"&lt;&gt;"&amp;""))</f>
        <v/>
      </c>
      <c r="I323" s="158" t="str">
        <f>IF(C323="","",COUNTIFS(Başvuru!$C:$C,C323,Başvuru!$G:$G,"Yüksek Lisans Tezi",Başvuru!$A:$A,"&lt;&gt;"&amp;"",Başvuru!$F:$F,"&lt;&gt;"&amp;""))</f>
        <v/>
      </c>
      <c r="J323" s="159" t="str">
        <f>IF(C323="","",COUNTIFS(Başvuru!$C:$C,C323,Başvuru!$L:$L,"ONAY",Başvuru!$A:$A,"&lt;&gt;"&amp;"",Başvuru!$F:$F,"&lt;&gt;"&amp;""))</f>
        <v/>
      </c>
      <c r="K323" s="160" t="str">
        <f>IF(C323="","",COUNTIFS(Başvuru!$C:$C,C323,Başvuru!$L:$L,"DÜZELTME",Başvuru!$A:$A,"&lt;&gt;"&amp;"",Başvuru!$F:$F,"&lt;&gt;"&amp;""))</f>
        <v/>
      </c>
      <c r="L323" s="161" t="str">
        <f>IF(C323="","",COUNTIFS(Başvuru!$C:$C,C323,Başvuru!$L:$L,"KAEK",Başvuru!$A:$A,"&lt;&gt;"&amp;"",Başvuru!$F:$F,"&lt;&gt;"&amp;""))</f>
        <v/>
      </c>
      <c r="M323" s="162" t="str">
        <f>IF(C323="","",COUNTIFS(Başvuru!$C:$C,C323,Başvuru!$L:$L,"GÖRÜŞ",Başvuru!$A:$A,"&lt;&gt;"&amp;"",Başvuru!$F:$F,"&lt;&gt;"&amp;""))</f>
        <v/>
      </c>
      <c r="N323" s="163" t="str">
        <f>IF(C323="","",COUNTIFS(Başvuru!$C:$C,C323,Başvuru!$L:$L,"RET",Başvuru!$A:$A,"&lt;&gt;"&amp;"",Başvuru!$F:$F,"&lt;&gt;"&amp;""))</f>
        <v/>
      </c>
      <c r="O323" s="164" t="str">
        <f>IF(C323="","",COUNTIFS(Başvuru!$C:$C,C323,Başvuru!$L:$L,"KAPSAM DIŞI",Başvuru!$A:$A,"&lt;&gt;"&amp;"",Başvuru!$F:$F,"&lt;&gt;"&amp;""))</f>
        <v/>
      </c>
      <c r="P323" s="165" t="str">
        <f>IF(C323="","",COUNTIFS(Başvuru!$C:$C,C323,Başvuru!$L:$L,"GERİ ÇEKİLDİ",Başvuru!$A:$A,"&lt;&gt;"&amp;"",Başvuru!$F:$F,"&lt;&gt;"&amp;""))</f>
        <v/>
      </c>
      <c r="Q323" s="166"/>
      <c r="R323" s="167">
        <f>COUNTIFS(Başvuru!$A:$A,"&lt;&gt;",Başvuru!$F:$F,"&lt;&gt;",Başvuru!$C:$C,Q323)</f>
        <v>0</v>
      </c>
      <c r="S323" s="167">
        <f>RANK(R323,$R$6:$R$346,0)+COUNTIF($R$6:R323,R323)-1</f>
        <v>340</v>
      </c>
    </row>
    <row r="324" spans="2:19" ht="15" customHeight="1" x14ac:dyDescent="0.25">
      <c r="B324" s="155">
        <v>319</v>
      </c>
      <c r="C324" s="156" t="str">
        <f>IFERROR(INDEX($Q$6:$Q$324,MATCH(319,$S$6:$S$324,0)),"")</f>
        <v/>
      </c>
      <c r="D324" s="157" t="str">
        <f>IF(C324="","",COUNTIFS(Başvuru!$C:$C,C324,Başvuru!$A:$A,"&lt;&gt;"&amp;"",Başvuru!$F:$F,"&lt;&gt;"&amp;""))</f>
        <v/>
      </c>
      <c r="E324" s="155" t="str">
        <f>IF(C324="","-",IF(D324&gt;0,TEXT(D324/(COUNTIFS(Başvuru!$A:$A,"&lt;&gt;",Başvuru!$F:$F,"&lt;&gt;")-1)*100,"0.0")&amp;"%","-"))</f>
        <v>-</v>
      </c>
      <c r="F324" s="158" t="str">
        <f>IF(C324="","",COUNTIFS(Başvuru!$C:$C,C324,Başvuru!$G:$G,"Bireysel Araştırma",Başvuru!$A:$A,"&lt;&gt;"&amp;"",Başvuru!$F:$F,"&lt;&gt;"&amp;""))</f>
        <v/>
      </c>
      <c r="G324" s="158" t="str">
        <f>IF(C324="","",COUNTIFS(Başvuru!$C:$C,C324,Başvuru!$G:$G,"Uzmanlık Tezi",Başvuru!$A:$A,"&lt;&gt;"&amp;"",Başvuru!$F:$F,"&lt;&gt;"&amp;""))</f>
        <v/>
      </c>
      <c r="H324" s="158" t="str">
        <f>IF(C324="","",COUNTIFS(Başvuru!$C:$C,C324,Başvuru!$G:$G,"Doktora Tezi",Başvuru!$A:$A,"&lt;&gt;"&amp;"",Başvuru!$F:$F,"&lt;&gt;"&amp;""))</f>
        <v/>
      </c>
      <c r="I324" s="158" t="str">
        <f>IF(C324="","",COUNTIFS(Başvuru!$C:$C,C324,Başvuru!$G:$G,"Yüksek Lisans Tezi",Başvuru!$A:$A,"&lt;&gt;"&amp;"",Başvuru!$F:$F,"&lt;&gt;"&amp;""))</f>
        <v/>
      </c>
      <c r="J324" s="159" t="str">
        <f>IF(C324="","",COUNTIFS(Başvuru!$C:$C,C324,Başvuru!$L:$L,"ONAY",Başvuru!$A:$A,"&lt;&gt;"&amp;"",Başvuru!$F:$F,"&lt;&gt;"&amp;""))</f>
        <v/>
      </c>
      <c r="K324" s="160" t="str">
        <f>IF(C324="","",COUNTIFS(Başvuru!$C:$C,C324,Başvuru!$L:$L,"DÜZELTME",Başvuru!$A:$A,"&lt;&gt;"&amp;"",Başvuru!$F:$F,"&lt;&gt;"&amp;""))</f>
        <v/>
      </c>
      <c r="L324" s="161" t="str">
        <f>IF(C324="","",COUNTIFS(Başvuru!$C:$C,C324,Başvuru!$L:$L,"KAEK",Başvuru!$A:$A,"&lt;&gt;"&amp;"",Başvuru!$F:$F,"&lt;&gt;"&amp;""))</f>
        <v/>
      </c>
      <c r="M324" s="162" t="str">
        <f>IF(C324="","",COUNTIFS(Başvuru!$C:$C,C324,Başvuru!$L:$L,"GÖRÜŞ",Başvuru!$A:$A,"&lt;&gt;"&amp;"",Başvuru!$F:$F,"&lt;&gt;"&amp;""))</f>
        <v/>
      </c>
      <c r="N324" s="163" t="str">
        <f>IF(C324="","",COUNTIFS(Başvuru!$C:$C,C324,Başvuru!$L:$L,"RET",Başvuru!$A:$A,"&lt;&gt;"&amp;"",Başvuru!$F:$F,"&lt;&gt;"&amp;""))</f>
        <v/>
      </c>
      <c r="O324" s="164" t="str">
        <f>IF(C324="","",COUNTIFS(Başvuru!$C:$C,C324,Başvuru!$L:$L,"KAPSAM DIŞI",Başvuru!$A:$A,"&lt;&gt;"&amp;"",Başvuru!$F:$F,"&lt;&gt;"&amp;""))</f>
        <v/>
      </c>
      <c r="P324" s="165" t="str">
        <f>IF(C324="","",COUNTIFS(Başvuru!$C:$C,C324,Başvuru!$L:$L,"GERİ ÇEKİLDİ",Başvuru!$A:$A,"&lt;&gt;"&amp;"",Başvuru!$F:$F,"&lt;&gt;"&amp;""))</f>
        <v/>
      </c>
      <c r="Q324" s="166"/>
      <c r="R324" s="167">
        <f>COUNTIFS(Başvuru!$A:$A,"&lt;&gt;",Başvuru!$F:$F,"&lt;&gt;",Başvuru!$C:$C,Q324)</f>
        <v>0</v>
      </c>
      <c r="S324" s="167">
        <f>RANK(R324,$R$6:$R$346,0)+COUNTIF($R$6:R324,R324)-1</f>
        <v>341</v>
      </c>
    </row>
    <row r="325" spans="2:19" ht="15" customHeight="1" x14ac:dyDescent="0.25">
      <c r="B325" s="182"/>
      <c r="C325" s="183" t="s">
        <v>4</v>
      </c>
      <c r="D325" s="184">
        <f>COUNTIFS(Başvuru!$A:$A,"&lt;&gt;"&amp;"",Başvuru!$F:$F,"&lt;&gt;"&amp;"")-1</f>
        <v>670</v>
      </c>
      <c r="E325" s="185" t="s">
        <v>4355</v>
      </c>
      <c r="F325" s="186">
        <f>COUNTIFS(Başvuru!$G:$G,"Bireysel Araştırma",Başvuru!$A:$A,"&lt;&gt;"&amp;"",Başvuru!$F:$F,"&lt;&gt;"&amp;"")</f>
        <v>504</v>
      </c>
      <c r="G325" s="186">
        <f>COUNTIFS(Başvuru!$G:$G,"Uzmanlık Tezi",Başvuru!$A:$A,"&lt;&gt;"&amp;"",Başvuru!$F:$F,"&lt;&gt;"&amp;"")</f>
        <v>112</v>
      </c>
      <c r="H325" s="186">
        <f>COUNTIFS(Başvuru!$G:$G,"Doktora Tezi",Başvuru!$A:$A,"&lt;&gt;"&amp;"",Başvuru!$F:$F,"&lt;&gt;"&amp;"")</f>
        <v>33</v>
      </c>
      <c r="I325" s="186">
        <f>COUNTIFS(Başvuru!$G:$G,"Yüksek Lisans Tezi",Başvuru!$A:$A,"&lt;&gt;"&amp;"",Başvuru!$F:$F,"&lt;&gt;"&amp;"")</f>
        <v>21</v>
      </c>
      <c r="J325" s="187">
        <f>COUNTIFS(Başvuru!$L:$L,"ONAY",Başvuru!$A:$A,"&lt;&gt;"&amp;"",Başvuru!$F:$F,"&lt;&gt;"&amp;"")</f>
        <v>348</v>
      </c>
      <c r="K325" s="188">
        <f>COUNTIFS(Başvuru!$L:$L,"DÜZELTME",Başvuru!$A:$A,"&lt;&gt;"&amp;"",Başvuru!$F:$F,"&lt;&gt;"&amp;"")</f>
        <v>209</v>
      </c>
      <c r="L325" s="189">
        <f>COUNTIFS(Başvuru!$L:$L,"KAEK",Başvuru!$A:$A,"&lt;&gt;"&amp;"",Başvuru!$F:$F,"&lt;&gt;"&amp;"")</f>
        <v>17</v>
      </c>
      <c r="M325" s="190">
        <f>COUNTIFS(Başvuru!$L:$L,"GÖRÜŞ",Başvuru!$A:$A,"&lt;&gt;"&amp;"",Başvuru!$F:$F,"&lt;&gt;"&amp;"")</f>
        <v>24</v>
      </c>
      <c r="N325" s="191">
        <f>COUNTIFS(Başvuru!$L:$L,"RET",Başvuru!$A:$A,"&lt;&gt;"&amp;"",Başvuru!$F:$F,"&lt;&gt;"&amp;"")</f>
        <v>21</v>
      </c>
      <c r="O325" s="192">
        <f>COUNTIFS(Başvuru!$L:$L,"KAPSAM DIŞI",Başvuru!$A:$A,"&lt;&gt;"&amp;"",Başvuru!$F:$F,"&lt;&gt;"&amp;"")</f>
        <v>13</v>
      </c>
      <c r="P325" s="193">
        <f>COUNTIFS(Başvuru!$L:$L,"GERİ ÇEKİLDİ",Başvuru!$A:$A,"&lt;&gt;"&amp;"",Başvuru!$F:$F,"&lt;&gt;"&amp;"")</f>
        <v>0</v>
      </c>
      <c r="Q325" t="s">
        <v>2912</v>
      </c>
      <c r="R325">
        <f>COUNTIFS(Başvuru!$A:$A,"&lt;&gt;",Başvuru!$F:$F,"&lt;&gt;",Başvuru!$C:$C,Q325)</f>
        <v>2</v>
      </c>
      <c r="S325">
        <f>RANK(R325,$R$6:$R$346,0)+COUNTIF($R$6:R325,R325)-1</f>
        <v>140</v>
      </c>
    </row>
    <row r="326" spans="2:19" ht="15" customHeight="1" x14ac:dyDescent="0.25">
      <c r="Q326" t="s">
        <v>2978</v>
      </c>
      <c r="R326">
        <f>COUNTIFS(Başvuru!$A:$A,"&lt;&gt;",Başvuru!$F:$F,"&lt;&gt;",Başvuru!$C:$C,Q326)</f>
        <v>1</v>
      </c>
      <c r="S326">
        <f>RANK(R326,$R$6:$R$346,0)+COUNTIF($R$6:R326,R326)-1</f>
        <v>299</v>
      </c>
    </row>
    <row r="327" spans="2:19" ht="15" customHeight="1" x14ac:dyDescent="0.25">
      <c r="Q327" t="s">
        <v>2955</v>
      </c>
      <c r="R327">
        <f>COUNTIFS(Başvuru!$A:$A,"&lt;&gt;",Başvuru!$F:$F,"&lt;&gt;",Başvuru!$C:$C,Q327)</f>
        <v>1</v>
      </c>
      <c r="S327">
        <f>RANK(R327,$R$6:$R$346,0)+COUNTIF($R$6:R327,R327)-1</f>
        <v>300</v>
      </c>
    </row>
    <row r="328" spans="2:19" ht="15" customHeight="1" x14ac:dyDescent="0.25">
      <c r="Q328" t="s">
        <v>2950</v>
      </c>
      <c r="R328">
        <f>COUNTIFS(Başvuru!$A:$A,"&lt;&gt;",Başvuru!$F:$F,"&lt;&gt;",Başvuru!$C:$C,Q328)</f>
        <v>1</v>
      </c>
      <c r="S328">
        <f>RANK(R328,$R$6:$R$346,0)+COUNTIF($R$6:R328,R328)-1</f>
        <v>301</v>
      </c>
    </row>
    <row r="329" spans="2:19" ht="15" customHeight="1" x14ac:dyDescent="0.25">
      <c r="Q329" t="s">
        <v>3016</v>
      </c>
      <c r="R329">
        <f>COUNTIFS(Başvuru!$A:$A,"&lt;&gt;",Başvuru!$F:$F,"&lt;&gt;",Başvuru!$C:$C,Q329)</f>
        <v>1</v>
      </c>
      <c r="S329">
        <f>RANK(R329,$R$6:$R$346,0)+COUNTIF($R$6:R329,R329)-1</f>
        <v>302</v>
      </c>
    </row>
    <row r="330" spans="2:19" ht="15" customHeight="1" x14ac:dyDescent="0.25">
      <c r="Q330" t="s">
        <v>2968</v>
      </c>
      <c r="R330">
        <f>COUNTIFS(Başvuru!$A:$A,"&lt;&gt;",Başvuru!$F:$F,"&lt;&gt;",Başvuru!$C:$C,Q330)</f>
        <v>1</v>
      </c>
      <c r="S330">
        <f>RANK(R330,$R$6:$R$346,0)+COUNTIF($R$6:R330,R330)-1</f>
        <v>303</v>
      </c>
    </row>
    <row r="331" spans="2:19" ht="15" customHeight="1" x14ac:dyDescent="0.25">
      <c r="Q331" t="s">
        <v>2861</v>
      </c>
      <c r="R331">
        <f>COUNTIFS(Başvuru!$A:$A,"&lt;&gt;",Başvuru!$F:$F,"&lt;&gt;",Başvuru!$C:$C,Q331)</f>
        <v>1</v>
      </c>
      <c r="S331">
        <f>RANK(R331,$R$6:$R$346,0)+COUNTIF($R$6:R331,R331)-1</f>
        <v>304</v>
      </c>
    </row>
    <row r="332" spans="2:19" ht="15" customHeight="1" x14ac:dyDescent="0.25">
      <c r="Q332" t="s">
        <v>2850</v>
      </c>
      <c r="R332">
        <f>COUNTIFS(Başvuru!$A:$A,"&lt;&gt;",Başvuru!$F:$F,"&lt;&gt;",Başvuru!$C:$C,Q332)</f>
        <v>1</v>
      </c>
      <c r="S332">
        <f>RANK(R332,$R$6:$R$346,0)+COUNTIF($R$6:R332,R332)-1</f>
        <v>305</v>
      </c>
    </row>
    <row r="333" spans="2:19" ht="15" customHeight="1" x14ac:dyDescent="0.25">
      <c r="Q333" t="s">
        <v>2889</v>
      </c>
      <c r="R333">
        <f>COUNTIFS(Başvuru!$A:$A,"&lt;&gt;",Başvuru!$F:$F,"&lt;&gt;",Başvuru!$C:$C,Q333)</f>
        <v>1</v>
      </c>
      <c r="S333">
        <f>RANK(R333,$R$6:$R$346,0)+COUNTIF($R$6:R333,R333)-1</f>
        <v>306</v>
      </c>
    </row>
    <row r="334" spans="2:19" ht="15" customHeight="1" x14ac:dyDescent="0.25">
      <c r="Q334" t="s">
        <v>2902</v>
      </c>
      <c r="R334">
        <f>COUNTIFS(Başvuru!$A:$A,"&lt;&gt;",Başvuru!$F:$F,"&lt;&gt;",Başvuru!$C:$C,Q334)</f>
        <v>1</v>
      </c>
      <c r="S334">
        <f>RANK(R334,$R$6:$R$346,0)+COUNTIF($R$6:R334,R334)-1</f>
        <v>307</v>
      </c>
    </row>
    <row r="335" spans="2:19" ht="15" customHeight="1" x14ac:dyDescent="0.25">
      <c r="Q335" t="s">
        <v>85</v>
      </c>
      <c r="R335">
        <f>COUNTIFS(Başvuru!$A:$A,"&lt;&gt;",Başvuru!$F:$F,"&lt;&gt;",Başvuru!$C:$C,Q335)</f>
        <v>1</v>
      </c>
      <c r="S335">
        <f>RANK(R335,$R$6:$R$346,0)+COUNTIF($R$6:R335,R335)-1</f>
        <v>308</v>
      </c>
    </row>
    <row r="336" spans="2:19" ht="15" customHeight="1" x14ac:dyDescent="0.25">
      <c r="Q336" t="s">
        <v>2994</v>
      </c>
      <c r="R336">
        <f>COUNTIFS(Başvuru!$A:$A,"&lt;&gt;",Başvuru!$F:$F,"&lt;&gt;",Başvuru!$C:$C,Q336)</f>
        <v>1</v>
      </c>
      <c r="S336">
        <f>RANK(R336,$R$6:$R$346,0)+COUNTIF($R$6:R336,R336)-1</f>
        <v>309</v>
      </c>
    </row>
    <row r="337" spans="17:19" ht="15" customHeight="1" x14ac:dyDescent="0.25">
      <c r="Q337" t="s">
        <v>2973</v>
      </c>
      <c r="R337">
        <f>COUNTIFS(Başvuru!$A:$A,"&lt;&gt;",Başvuru!$F:$F,"&lt;&gt;",Başvuru!$C:$C,Q337)</f>
        <v>1</v>
      </c>
      <c r="S337">
        <f>RANK(R337,$R$6:$R$346,0)+COUNTIF($R$6:R337,R337)-1</f>
        <v>310</v>
      </c>
    </row>
    <row r="338" spans="17:19" ht="15" customHeight="1" x14ac:dyDescent="0.25">
      <c r="Q338" t="s">
        <v>3011</v>
      </c>
      <c r="R338">
        <f>COUNTIFS(Başvuru!$A:$A,"&lt;&gt;",Başvuru!$F:$F,"&lt;&gt;",Başvuru!$C:$C,Q338)</f>
        <v>1</v>
      </c>
      <c r="S338">
        <f>RANK(R338,$R$6:$R$346,0)+COUNTIF($R$6:R338,R338)-1</f>
        <v>311</v>
      </c>
    </row>
    <row r="339" spans="17:19" ht="15" customHeight="1" x14ac:dyDescent="0.25">
      <c r="Q339" t="s">
        <v>2845</v>
      </c>
      <c r="R339">
        <f>COUNTIFS(Başvuru!$A:$A,"&lt;&gt;",Başvuru!$F:$F,"&lt;&gt;",Başvuru!$C:$C,Q339)</f>
        <v>1</v>
      </c>
      <c r="S339">
        <f>RANK(R339,$R$6:$R$346,0)+COUNTIF($R$6:R339,R339)-1</f>
        <v>312</v>
      </c>
    </row>
    <row r="340" spans="17:19" ht="15" customHeight="1" x14ac:dyDescent="0.25">
      <c r="Q340" t="s">
        <v>3050</v>
      </c>
      <c r="R340">
        <f>COUNTIFS(Başvuru!$A:$A,"&lt;&gt;",Başvuru!$F:$F,"&lt;&gt;",Başvuru!$C:$C,Q340)</f>
        <v>1</v>
      </c>
      <c r="S340">
        <f>RANK(R340,$R$6:$R$346,0)+COUNTIF($R$6:R340,R340)-1</f>
        <v>313</v>
      </c>
    </row>
    <row r="341" spans="17:19" ht="15" customHeight="1" x14ac:dyDescent="0.25">
      <c r="Q341" t="s">
        <v>2832</v>
      </c>
      <c r="R341">
        <f>COUNTIFS(Başvuru!$A:$A,"&lt;&gt;",Başvuru!$F:$F,"&lt;&gt;",Başvuru!$C:$C,Q341)</f>
        <v>1</v>
      </c>
      <c r="S341">
        <f>RANK(R341,$R$6:$R$346,0)+COUNTIF($R$6:R341,R341)-1</f>
        <v>314</v>
      </c>
    </row>
    <row r="342" spans="17:19" ht="15" customHeight="1" x14ac:dyDescent="0.25">
      <c r="Q342" t="s">
        <v>2855</v>
      </c>
      <c r="R342">
        <f>COUNTIFS(Başvuru!$A:$A,"&lt;&gt;",Başvuru!$F:$F,"&lt;&gt;",Başvuru!$C:$C,Q342)</f>
        <v>1</v>
      </c>
      <c r="S342">
        <f>RANK(R342,$R$6:$R$346,0)+COUNTIF($R$6:R342,R342)-1</f>
        <v>315</v>
      </c>
    </row>
    <row r="343" spans="17:19" ht="15" customHeight="1" x14ac:dyDescent="0.25">
      <c r="Q343" t="s">
        <v>3021</v>
      </c>
      <c r="R343">
        <f>COUNTIFS(Başvuru!$A:$A,"&lt;&gt;",Başvuru!$F:$F,"&lt;&gt;",Başvuru!$C:$C,Q343)</f>
        <v>1</v>
      </c>
      <c r="S343">
        <f>RANK(R343,$R$6:$R$346,0)+COUNTIF($R$6:R343,R343)-1</f>
        <v>316</v>
      </c>
    </row>
    <row r="344" spans="17:19" ht="15" customHeight="1" x14ac:dyDescent="0.25">
      <c r="Q344" t="s">
        <v>2815</v>
      </c>
      <c r="R344">
        <f>COUNTIFS(Başvuru!$A:$A,"&lt;&gt;",Başvuru!$F:$F,"&lt;&gt;",Başvuru!$C:$C,Q344)</f>
        <v>1</v>
      </c>
      <c r="S344">
        <f>RANK(R344,$R$6:$R$346,0)+COUNTIF($R$6:R344,R344)-1</f>
        <v>317</v>
      </c>
    </row>
    <row r="345" spans="17:19" ht="15" customHeight="1" x14ac:dyDescent="0.25">
      <c r="Q345" t="s">
        <v>2806</v>
      </c>
      <c r="R345">
        <f>COUNTIFS(Başvuru!$A:$A,"&lt;&gt;",Başvuru!$F:$F,"&lt;&gt;",Başvuru!$C:$C,Q345)</f>
        <v>1</v>
      </c>
      <c r="S345">
        <f>RANK(R345,$R$6:$R$346,0)+COUNTIF($R$6:R345,R345)-1</f>
        <v>318</v>
      </c>
    </row>
    <row r="346" spans="17:19" ht="15" customHeight="1" x14ac:dyDescent="0.25">
      <c r="Q346" t="s">
        <v>2917</v>
      </c>
      <c r="R346">
        <f>COUNTIFS(Başvuru!$A:$A,"&lt;&gt;",Başvuru!$F:$F,"&lt;&gt;",Başvuru!$C:$C,Q346)</f>
        <v>1</v>
      </c>
      <c r="S346">
        <f>RANK(R346,$R$6:$R$346,0)+COUNTIF($R$6:R346,R346)-1</f>
        <v>319</v>
      </c>
    </row>
  </sheetData>
  <autoFilter ref="B5:P290"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2:N408"/>
  <sheetViews>
    <sheetView showGridLines="0" showZeros="0" zoomScaleNormal="100" workbookViewId="0">
      <pane xSplit="1" ySplit="8" topLeftCell="B9" activePane="bottomRight" state="frozen"/>
      <selection pane="topRight" activeCell="B1" sqref="B1"/>
      <selection pane="bottomLeft" activeCell="A9" sqref="A9"/>
      <selection pane="bottomRight" activeCell="C5" sqref="C5:F5"/>
    </sheetView>
  </sheetViews>
  <sheetFormatPr defaultColWidth="8.7109375" defaultRowHeight="15" x14ac:dyDescent="0.25"/>
  <cols>
    <col min="1" max="1" width="3" customWidth="1"/>
    <col min="2" max="2" width="6" customWidth="1"/>
    <col min="3" max="3" width="13" customWidth="1"/>
    <col min="4" max="4" width="24" customWidth="1"/>
    <col min="5" max="5" width="46" customWidth="1"/>
    <col min="6" max="6" width="16" customWidth="1"/>
    <col min="7" max="7" width="13" customWidth="1"/>
    <col min="8" max="9" width="26" customWidth="1"/>
    <col min="10" max="10" width="14" customWidth="1"/>
    <col min="11" max="11" width="3" customWidth="1"/>
    <col min="12" max="12" width="10" hidden="1" customWidth="1"/>
    <col min="13" max="13" width="3" customWidth="1"/>
    <col min="14" max="14" width="32" hidden="1" customWidth="1"/>
  </cols>
  <sheetData>
    <row r="2" spans="2:14" ht="25.5" customHeight="1" x14ac:dyDescent="0.25">
      <c r="B2" s="253" t="s">
        <v>4361</v>
      </c>
      <c r="C2" s="253"/>
      <c r="D2" s="253"/>
      <c r="E2" s="253"/>
      <c r="F2" s="253"/>
      <c r="G2" s="253"/>
      <c r="H2" s="253"/>
      <c r="I2" s="253"/>
      <c r="J2" s="253"/>
    </row>
    <row r="3" spans="2:14" ht="19.5" customHeight="1" x14ac:dyDescent="0.25">
      <c r="B3" s="254" t="s">
        <v>4362</v>
      </c>
      <c r="C3" s="254"/>
      <c r="D3" s="254"/>
      <c r="E3" s="254"/>
      <c r="F3" s="254"/>
      <c r="G3" s="254"/>
      <c r="H3" s="254"/>
      <c r="I3" s="254"/>
      <c r="J3" s="254"/>
    </row>
    <row r="5" spans="2:14" ht="30" customHeight="1" x14ac:dyDescent="0.25">
      <c r="B5" s="206" t="s">
        <v>4363</v>
      </c>
      <c r="C5" s="255" t="s">
        <v>283</v>
      </c>
      <c r="D5" s="255"/>
      <c r="E5" s="255"/>
      <c r="F5" s="255"/>
      <c r="G5" s="206" t="s">
        <v>4</v>
      </c>
      <c r="H5" s="207">
        <f>IF($C$5="","-",COUNTIF(Başvuru!$C:$C,$C$5))</f>
        <v>3</v>
      </c>
      <c r="I5" s="206" t="s">
        <v>69</v>
      </c>
      <c r="J5" s="207">
        <f>IF($C$5="","-",COUNTIFS(Başvuru!$C:$C,$C$5,Başvuru!$P:$P,"ONAY"))</f>
        <v>3</v>
      </c>
    </row>
    <row r="8" spans="2:14" ht="19.5" customHeight="1" x14ac:dyDescent="0.25">
      <c r="B8" s="208" t="s">
        <v>4342</v>
      </c>
      <c r="C8" s="208" t="s">
        <v>40</v>
      </c>
      <c r="D8" s="208" t="s">
        <v>42</v>
      </c>
      <c r="E8" s="208" t="s">
        <v>4364</v>
      </c>
      <c r="F8" s="208" t="s">
        <v>45</v>
      </c>
      <c r="G8" s="208" t="s">
        <v>47</v>
      </c>
      <c r="H8" s="208" t="s">
        <v>48</v>
      </c>
      <c r="I8" s="208" t="s">
        <v>49</v>
      </c>
      <c r="J8" s="208" t="s">
        <v>54</v>
      </c>
      <c r="L8" s="209" t="s">
        <v>4365</v>
      </c>
      <c r="N8" s="209" t="s">
        <v>4366</v>
      </c>
    </row>
    <row r="9" spans="2:14" ht="24" x14ac:dyDescent="0.25">
      <c r="B9" s="210">
        <f t="shared" ref="B9:B38" si="0">IF($L9="","",ROW()-ROW($B$8))</f>
        <v>1</v>
      </c>
      <c r="C9" s="211" t="str">
        <f>IF($L9="","",INDEX(Başvuru!$B:$B,$L9))</f>
        <v>SBA 26/032</v>
      </c>
      <c r="D9" s="211" t="str">
        <f>IF($L9="","",INDEX(Başvuru!$D:$D,$L9))</f>
        <v>Göğüs Hastalıkları Anabilim Dalı</v>
      </c>
      <c r="E9" s="227" t="str">
        <f>IF($L9="","",INDEX(Başvuru!$F:$F,$L9))</f>
        <v>“Kronik Ürtikerde Sistemik Semptomlarla Giden Alevlenmeler: MCAS Olabilir Mi?”</v>
      </c>
      <c r="F9" s="211" t="str">
        <f>IF($L9="","",INDEX(Başvuru!$G:$G,$L9))</f>
        <v>Bireysel Araştırma</v>
      </c>
      <c r="G9" s="212">
        <f>IF($L9="","",INDEX(Başvuru!$I:$I,$L9))</f>
        <v>46028</v>
      </c>
      <c r="H9" s="211" t="str">
        <f>IF($L9="","",INDEX(Başvuru!$J:$J,$L9))</f>
        <v>Prof. Dr. Nazmiye Ebru ORTAÇ ERSOY</v>
      </c>
      <c r="I9" s="211" t="str">
        <f>IF($L9="","",INDEX(Başvuru!$K:$K,$L9))</f>
        <v>Prof. Dr. Gözde GİRGİN</v>
      </c>
      <c r="J9" s="211" t="str">
        <f>IF($L9="","",INDEX(Başvuru!$P:$P,$L9))</f>
        <v>ONAY</v>
      </c>
      <c r="L9">
        <f>IFERROR(MATCH($C$5&amp;"§"&amp;(ROW()-ROW($B$8)),Başvuru!$V:$V,0),"")</f>
        <v>33</v>
      </c>
      <c r="N9" t="str">
        <f>IFERROR(INDEX(Başvuru!$C:$C,MATCH(1,Başvuru!$W:$W,0)),"")</f>
        <v>Dr. Vet. Hek. Özgür Doğuş EROL DUYAR</v>
      </c>
    </row>
    <row r="10" spans="2:14" ht="24" x14ac:dyDescent="0.25">
      <c r="B10" s="213">
        <f t="shared" si="0"/>
        <v>2</v>
      </c>
      <c r="C10" s="214" t="str">
        <f>IF($L10="","",INDEX(Başvuru!$B:$B,$L10))</f>
        <v>SBA 26/114</v>
      </c>
      <c r="D10" s="214" t="str">
        <f>IF($L10="","",INDEX(Başvuru!$D:$D,$L10))</f>
        <v>Göğüs Hastalıkları Anabilim Dalı</v>
      </c>
      <c r="E10" s="228" t="str">
        <f>IF($L10="","",INDEX(Başvuru!$F:$F,$L10))</f>
        <v>'İlaç Provokasyon Testi Pozitif Olan Hastaların Klinik Özellikleri ve Müdahale Gereksinimleri'</v>
      </c>
      <c r="F10" s="214" t="str">
        <f>IF($L10="","",INDEX(Başvuru!$G:$G,$L10))</f>
        <v>Bireysel Araştırma</v>
      </c>
      <c r="G10" s="215">
        <f>IF($L10="","",INDEX(Başvuru!$I:$I,$L10))</f>
        <v>46057</v>
      </c>
      <c r="H10" s="214" t="str">
        <f>IF($L10="","",INDEX(Başvuru!$J:$J,$L10))</f>
        <v>Dr. Öğr. Üyesi Müge DEMİR</v>
      </c>
      <c r="I10" s="214" t="str">
        <f>IF($L10="","",INDEX(Başvuru!$K:$K,$L10))</f>
        <v>Doç. Dr. Burcu ERSÖZ ALAN</v>
      </c>
      <c r="J10" s="214" t="str">
        <f>IF($L10="","",INDEX(Başvuru!$P:$P,$L10))</f>
        <v>ONAY</v>
      </c>
      <c r="L10">
        <f>IFERROR(MATCH($C$5&amp;"§"&amp;(ROW()-ROW($B$8)),Başvuru!$V:$V,0),"")</f>
        <v>115</v>
      </c>
      <c r="N10" t="str">
        <f>IFERROR(INDEX(Başvuru!$C:$C,MATCH(2,Başvuru!$W:$W,0)),"")</f>
        <v>Prof. Dr. Esra BİRBEN</v>
      </c>
    </row>
    <row r="11" spans="2:14" ht="24" x14ac:dyDescent="0.25">
      <c r="B11" s="210">
        <f t="shared" si="0"/>
        <v>3</v>
      </c>
      <c r="C11" s="211" t="str">
        <f>IF($L11="","",INDEX(Başvuru!$B:$B,$L11))</f>
        <v>SBA 26/391</v>
      </c>
      <c r="D11" s="211" t="str">
        <f>IF($L11="","",INDEX(Başvuru!$D:$D,$L11))</f>
        <v>Göğüs Hastalıkları Anabilim Dalı</v>
      </c>
      <c r="E11" s="227" t="str">
        <f>IF($L11="","",INDEX(Başvuru!$F:$F,$L11))</f>
        <v>'Nonsteroid Antiinflamatuar İlaç Aşırı Duyarlılık Reaksiyonlarının ve Fenotiplerinin Değerlendirilmesi '</v>
      </c>
      <c r="F11" s="211" t="str">
        <f>IF($L11="","",INDEX(Başvuru!$G:$G,$L11))</f>
        <v>Bireysel Araştırma</v>
      </c>
      <c r="G11" s="212">
        <f>IF($L11="","",INDEX(Başvuru!$I:$I,$L11))</f>
        <v>46140</v>
      </c>
      <c r="H11" s="211" t="str">
        <f>IF($L11="","",INDEX(Başvuru!$J:$J,$L11))</f>
        <v>Prof. Dr. Ayşe Nurten AKARSU</v>
      </c>
      <c r="I11" s="211" t="str">
        <f>IF($L11="","",INDEX(Başvuru!$K:$K,$L11))</f>
        <v>Doç. Dr. Burcu ERSÖZ ALAN</v>
      </c>
      <c r="J11" s="211" t="str">
        <f>IF($L11="","",INDEX(Başvuru!$P:$P,$L11))</f>
        <v>ONAY</v>
      </c>
      <c r="L11">
        <f>IFERROR(MATCH($C$5&amp;"§"&amp;(ROW()-ROW($B$8)),Başvuru!$V:$V,0),"")</f>
        <v>392</v>
      </c>
      <c r="N11" t="str">
        <f>IFERROR(INDEX(Başvuru!$C:$C,MATCH(3,Başvuru!$W:$W,0)),"")</f>
        <v>Doç. Dr. Gamze DURHAN</v>
      </c>
    </row>
    <row r="12" spans="2:14" x14ac:dyDescent="0.25">
      <c r="B12" s="213" t="str">
        <f t="shared" si="0"/>
        <v/>
      </c>
      <c r="C12" s="214" t="str">
        <f>IF($L12="","",INDEX(Başvuru!$B:$B,$L12))</f>
        <v/>
      </c>
      <c r="D12" s="214" t="str">
        <f>IF($L12="","",INDEX(Başvuru!$D:$D,$L12))</f>
        <v/>
      </c>
      <c r="E12" s="228" t="str">
        <f>IF($L12="","",INDEX(Başvuru!$F:$F,$L12))</f>
        <v/>
      </c>
      <c r="F12" s="214" t="str">
        <f>IF($L12="","",INDEX(Başvuru!$G:$G,$L12))</f>
        <v/>
      </c>
      <c r="G12" s="215" t="str">
        <f>IF($L12="","",INDEX(Başvuru!$I:$I,$L12))</f>
        <v/>
      </c>
      <c r="H12" s="214" t="str">
        <f>IF($L12="","",INDEX(Başvuru!$J:$J,$L12))</f>
        <v/>
      </c>
      <c r="I12" s="214" t="str">
        <f>IF($L12="","",INDEX(Başvuru!$K:$K,$L12))</f>
        <v/>
      </c>
      <c r="J12" s="214" t="str">
        <f>IF($L12="","",INDEX(Başvuru!$P:$P,$L12))</f>
        <v/>
      </c>
      <c r="L12" t="str">
        <f>IFERROR(MATCH($C$5&amp;"§"&amp;(ROW()-ROW($B$8)),Başvuru!$V:$V,0),"")</f>
        <v/>
      </c>
      <c r="N12" t="str">
        <f>IFERROR(INDEX(Başvuru!$C:$C,MATCH(4,Başvuru!$W:$W,0)),"")</f>
        <v>Prof. Dr. Bayram ŞAHİN</v>
      </c>
    </row>
    <row r="13" spans="2:14" x14ac:dyDescent="0.25">
      <c r="B13" s="210" t="str">
        <f t="shared" si="0"/>
        <v/>
      </c>
      <c r="C13" s="211" t="str">
        <f>IF($L13="","",INDEX(Başvuru!$B:$B,$L13))</f>
        <v/>
      </c>
      <c r="D13" s="211" t="str">
        <f>IF($L13="","",INDEX(Başvuru!$D:$D,$L13))</f>
        <v/>
      </c>
      <c r="E13" s="227" t="str">
        <f>IF($L13="","",INDEX(Başvuru!$F:$F,$L13))</f>
        <v/>
      </c>
      <c r="F13" s="211" t="str">
        <f>IF($L13="","",INDEX(Başvuru!$G:$G,$L13))</f>
        <v/>
      </c>
      <c r="G13" s="212" t="str">
        <f>IF($L13="","",INDEX(Başvuru!$I:$I,$L13))</f>
        <v/>
      </c>
      <c r="H13" s="211" t="str">
        <f>IF($L13="","",INDEX(Başvuru!$J:$J,$L13))</f>
        <v/>
      </c>
      <c r="I13" s="211" t="str">
        <f>IF($L13="","",INDEX(Başvuru!$K:$K,$L13))</f>
        <v/>
      </c>
      <c r="J13" s="211" t="str">
        <f>IF($L13="","",INDEX(Başvuru!$P:$P,$L13))</f>
        <v/>
      </c>
      <c r="L13" t="str">
        <f>IFERROR(MATCH($C$5&amp;"§"&amp;(ROW()-ROW($B$8)),Başvuru!$V:$V,0),"")</f>
        <v/>
      </c>
      <c r="N13" t="str">
        <f>IFERROR(INDEX(Başvuru!$C:$C,MATCH(5,Başvuru!$W:$W,0)),"")</f>
        <v>Prof. Dr. Ömür ÇELİKBIÇAK</v>
      </c>
    </row>
    <row r="14" spans="2:14" x14ac:dyDescent="0.25">
      <c r="B14" s="213" t="str">
        <f t="shared" si="0"/>
        <v/>
      </c>
      <c r="C14" s="214" t="str">
        <f>IF($L14="","",INDEX(Başvuru!$B:$B,$L14))</f>
        <v/>
      </c>
      <c r="D14" s="214" t="str">
        <f>IF($L14="","",INDEX(Başvuru!$D:$D,$L14))</f>
        <v/>
      </c>
      <c r="E14" s="228" t="str">
        <f>IF($L14="","",INDEX(Başvuru!$F:$F,$L14))</f>
        <v/>
      </c>
      <c r="F14" s="214" t="str">
        <f>IF($L14="","",INDEX(Başvuru!$G:$G,$L14))</f>
        <v/>
      </c>
      <c r="G14" s="215" t="str">
        <f>IF($L14="","",INDEX(Başvuru!$I:$I,$L14))</f>
        <v/>
      </c>
      <c r="H14" s="214" t="str">
        <f>IF($L14="","",INDEX(Başvuru!$J:$J,$L14))</f>
        <v/>
      </c>
      <c r="I14" s="214" t="str">
        <f>IF($L14="","",INDEX(Başvuru!$K:$K,$L14))</f>
        <v/>
      </c>
      <c r="J14" s="214" t="str">
        <f>IF($L14="","",INDEX(Başvuru!$P:$P,$L14))</f>
        <v/>
      </c>
      <c r="L14" t="str">
        <f>IFERROR(MATCH($C$5&amp;"§"&amp;(ROW()-ROW($B$8)),Başvuru!$V:$V,0),"")</f>
        <v/>
      </c>
      <c r="N14" t="str">
        <f>IFERROR(INDEX(Başvuru!$C:$C,MATCH(6,Başvuru!$W:$W,0)),"")</f>
        <v>Prof. Dr. Meltem Gülhan HALİL</v>
      </c>
    </row>
    <row r="15" spans="2:14" x14ac:dyDescent="0.25">
      <c r="B15" s="210" t="str">
        <f t="shared" si="0"/>
        <v/>
      </c>
      <c r="C15" s="211" t="str">
        <f>IF($L15="","",INDEX(Başvuru!$B:$B,$L15))</f>
        <v/>
      </c>
      <c r="D15" s="211" t="str">
        <f>IF($L15="","",INDEX(Başvuru!$D:$D,$L15))</f>
        <v/>
      </c>
      <c r="E15" s="227" t="str">
        <f>IF($L15="","",INDEX(Başvuru!$F:$F,$L15))</f>
        <v/>
      </c>
      <c r="F15" s="211" t="str">
        <f>IF($L15="","",INDEX(Başvuru!$G:$G,$L15))</f>
        <v/>
      </c>
      <c r="G15" s="212" t="str">
        <f>IF($L15="","",INDEX(Başvuru!$I:$I,$L15))</f>
        <v/>
      </c>
      <c r="H15" s="211" t="str">
        <f>IF($L15="","",INDEX(Başvuru!$J:$J,$L15))</f>
        <v/>
      </c>
      <c r="I15" s="211" t="str">
        <f>IF($L15="","",INDEX(Başvuru!$K:$K,$L15))</f>
        <v/>
      </c>
      <c r="J15" s="211" t="str">
        <f>IF($L15="","",INDEX(Başvuru!$P:$P,$L15))</f>
        <v/>
      </c>
      <c r="L15" t="str">
        <f>IFERROR(MATCH($C$5&amp;"§"&amp;(ROW()-ROW($B$8)),Başvuru!$V:$V,0),"")</f>
        <v/>
      </c>
      <c r="N15" t="str">
        <f>IFERROR(INDEX(Başvuru!$C:$C,MATCH(7,Başvuru!$W:$W,0)),"")</f>
        <v>Doç. Dr. Ayhan EYMİRLİ</v>
      </c>
    </row>
    <row r="16" spans="2:14" x14ac:dyDescent="0.25">
      <c r="B16" s="213" t="str">
        <f t="shared" si="0"/>
        <v/>
      </c>
      <c r="C16" s="214" t="str">
        <f>IF($L16="","",INDEX(Başvuru!$B:$B,$L16))</f>
        <v/>
      </c>
      <c r="D16" s="214" t="str">
        <f>IF($L16="","",INDEX(Başvuru!$D:$D,$L16))</f>
        <v/>
      </c>
      <c r="E16" s="228" t="str">
        <f>IF($L16="","",INDEX(Başvuru!$F:$F,$L16))</f>
        <v/>
      </c>
      <c r="F16" s="214" t="str">
        <f>IF($L16="","",INDEX(Başvuru!$G:$G,$L16))</f>
        <v/>
      </c>
      <c r="G16" s="215" t="str">
        <f>IF($L16="","",INDEX(Başvuru!$I:$I,$L16))</f>
        <v/>
      </c>
      <c r="H16" s="214" t="str">
        <f>IF($L16="","",INDEX(Başvuru!$J:$J,$L16))</f>
        <v/>
      </c>
      <c r="I16" s="214" t="str">
        <f>IF($L16="","",INDEX(Başvuru!$K:$K,$L16))</f>
        <v/>
      </c>
      <c r="J16" s="214" t="str">
        <f>IF($L16="","",INDEX(Başvuru!$P:$P,$L16))</f>
        <v/>
      </c>
      <c r="L16" t="str">
        <f>IFERROR(MATCH($C$5&amp;"§"&amp;(ROW()-ROW($B$8)),Başvuru!$V:$V,0),"")</f>
        <v/>
      </c>
      <c r="N16" t="str">
        <f>IFERROR(INDEX(Başvuru!$C:$C,MATCH(8,Başvuru!$W:$W,0)),"")</f>
        <v>Doç. Dr. Nursel ÇALIK BAŞARAN</v>
      </c>
    </row>
    <row r="17" spans="2:14" x14ac:dyDescent="0.25">
      <c r="B17" s="210" t="str">
        <f t="shared" si="0"/>
        <v/>
      </c>
      <c r="C17" s="211" t="str">
        <f>IF($L17="","",INDEX(Başvuru!$B:$B,$L17))</f>
        <v/>
      </c>
      <c r="D17" s="211" t="str">
        <f>IF($L17="","",INDEX(Başvuru!$D:$D,$L17))</f>
        <v/>
      </c>
      <c r="E17" s="227" t="str">
        <f>IF($L17="","",INDEX(Başvuru!$F:$F,$L17))</f>
        <v/>
      </c>
      <c r="F17" s="211" t="str">
        <f>IF($L17="","",INDEX(Başvuru!$G:$G,$L17))</f>
        <v/>
      </c>
      <c r="G17" s="212" t="str">
        <f>IF($L17="","",INDEX(Başvuru!$I:$I,$L17))</f>
        <v/>
      </c>
      <c r="H17" s="211" t="str">
        <f>IF($L17="","",INDEX(Başvuru!$J:$J,$L17))</f>
        <v/>
      </c>
      <c r="I17" s="211" t="str">
        <f>IF($L17="","",INDEX(Başvuru!$K:$K,$L17))</f>
        <v/>
      </c>
      <c r="J17" s="211" t="str">
        <f>IF($L17="","",INDEX(Başvuru!$P:$P,$L17))</f>
        <v/>
      </c>
      <c r="L17" t="str">
        <f>IFERROR(MATCH($C$5&amp;"§"&amp;(ROW()-ROW($B$8)),Başvuru!$V:$V,0),"")</f>
        <v/>
      </c>
      <c r="N17" t="str">
        <f>IFERROR(INDEX(Başvuru!$C:$C,MATCH(9,Başvuru!$W:$W,0)),"")</f>
        <v>Öğr. Gör. Dr. Buket KILIÇ</v>
      </c>
    </row>
    <row r="18" spans="2:14" x14ac:dyDescent="0.25">
      <c r="B18" s="213" t="str">
        <f t="shared" si="0"/>
        <v/>
      </c>
      <c r="C18" s="214" t="str">
        <f>IF($L18="","",INDEX(Başvuru!$B:$B,$L18))</f>
        <v/>
      </c>
      <c r="D18" s="214" t="str">
        <f>IF($L18="","",INDEX(Başvuru!$D:$D,$L18))</f>
        <v/>
      </c>
      <c r="E18" s="228" t="str">
        <f>IF($L18="","",INDEX(Başvuru!$F:$F,$L18))</f>
        <v/>
      </c>
      <c r="F18" s="214" t="str">
        <f>IF($L18="","",INDEX(Başvuru!$G:$G,$L18))</f>
        <v/>
      </c>
      <c r="G18" s="215" t="str">
        <f>IF($L18="","",INDEX(Başvuru!$I:$I,$L18))</f>
        <v/>
      </c>
      <c r="H18" s="214" t="str">
        <f>IF($L18="","",INDEX(Başvuru!$J:$J,$L18))</f>
        <v/>
      </c>
      <c r="I18" s="214" t="str">
        <f>IF($L18="","",INDEX(Başvuru!$K:$K,$L18))</f>
        <v/>
      </c>
      <c r="J18" s="214" t="str">
        <f>IF($L18="","",INDEX(Başvuru!$P:$P,$L18))</f>
        <v/>
      </c>
      <c r="L18" t="str">
        <f>IFERROR(MATCH($C$5&amp;"§"&amp;(ROW()-ROW($B$8)),Başvuru!$V:$V,0),"")</f>
        <v/>
      </c>
      <c r="N18" t="str">
        <f>IFERROR(INDEX(Başvuru!$C:$C,MATCH(10,Başvuru!$W:$W,0)),"")</f>
        <v>Prof. Dr. Yakut AKYÖN YILMAZ</v>
      </c>
    </row>
    <row r="19" spans="2:14" x14ac:dyDescent="0.25">
      <c r="B19" s="210" t="str">
        <f t="shared" si="0"/>
        <v/>
      </c>
      <c r="C19" s="211" t="str">
        <f>IF($L19="","",INDEX(Başvuru!$B:$B,$L19))</f>
        <v/>
      </c>
      <c r="D19" s="211" t="str">
        <f>IF($L19="","",INDEX(Başvuru!$D:$D,$L19))</f>
        <v/>
      </c>
      <c r="E19" s="227" t="str">
        <f>IF($L19="","",INDEX(Başvuru!$F:$F,$L19))</f>
        <v/>
      </c>
      <c r="F19" s="211" t="str">
        <f>IF($L19="","",INDEX(Başvuru!$G:$G,$L19))</f>
        <v/>
      </c>
      <c r="G19" s="212" t="str">
        <f>IF($L19="","",INDEX(Başvuru!$I:$I,$L19))</f>
        <v/>
      </c>
      <c r="H19" s="211" t="str">
        <f>IF($L19="","",INDEX(Başvuru!$J:$J,$L19))</f>
        <v/>
      </c>
      <c r="I19" s="211" t="str">
        <f>IF($L19="","",INDEX(Başvuru!$K:$K,$L19))</f>
        <v/>
      </c>
      <c r="J19" s="211" t="str">
        <f>IF($L19="","",INDEX(Başvuru!$P:$P,$L19))</f>
        <v/>
      </c>
      <c r="L19" t="str">
        <f>IFERROR(MATCH($C$5&amp;"§"&amp;(ROW()-ROW($B$8)),Başvuru!$V:$V,0),"")</f>
        <v/>
      </c>
      <c r="N19" t="str">
        <f>IFERROR(INDEX(Başvuru!$C:$C,MATCH(11,Başvuru!$W:$W,0)),"")</f>
        <v>Prof. Dr. Ömer KARADAĞ</v>
      </c>
    </row>
    <row r="20" spans="2:14" x14ac:dyDescent="0.25">
      <c r="B20" s="213" t="str">
        <f t="shared" si="0"/>
        <v/>
      </c>
      <c r="C20" s="214" t="str">
        <f>IF($L20="","",INDEX(Başvuru!$B:$B,$L20))</f>
        <v/>
      </c>
      <c r="D20" s="214" t="str">
        <f>IF($L20="","",INDEX(Başvuru!$D:$D,$L20))</f>
        <v/>
      </c>
      <c r="E20" s="228" t="str">
        <f>IF($L20="","",INDEX(Başvuru!$F:$F,$L20))</f>
        <v/>
      </c>
      <c r="F20" s="214" t="str">
        <f>IF($L20="","",INDEX(Başvuru!$G:$G,$L20))</f>
        <v/>
      </c>
      <c r="G20" s="215" t="str">
        <f>IF($L20="","",INDEX(Başvuru!$I:$I,$L20))</f>
        <v/>
      </c>
      <c r="H20" s="214" t="str">
        <f>IF($L20="","",INDEX(Başvuru!$J:$J,$L20))</f>
        <v/>
      </c>
      <c r="I20" s="214" t="str">
        <f>IF($L20="","",INDEX(Başvuru!$K:$K,$L20))</f>
        <v/>
      </c>
      <c r="J20" s="214" t="str">
        <f>IF($L20="","",INDEX(Başvuru!$P:$P,$L20))</f>
        <v/>
      </c>
      <c r="L20" t="str">
        <f>IFERROR(MATCH($C$5&amp;"§"&amp;(ROW()-ROW($B$8)),Başvuru!$V:$V,0),"")</f>
        <v/>
      </c>
      <c r="N20" t="str">
        <f>IFERROR(INDEX(Başvuru!$C:$C,MATCH(12,Başvuru!$W:$W,0)),"")</f>
        <v>Prof. Dr. N. Dilara ZEYBEK</v>
      </c>
    </row>
    <row r="21" spans="2:14" x14ac:dyDescent="0.25">
      <c r="B21" s="210" t="str">
        <f t="shared" si="0"/>
        <v/>
      </c>
      <c r="C21" s="211" t="str">
        <f>IF($L21="","",INDEX(Başvuru!$B:$B,$L21))</f>
        <v/>
      </c>
      <c r="D21" s="211" t="str">
        <f>IF($L21="","",INDEX(Başvuru!$D:$D,$L21))</f>
        <v/>
      </c>
      <c r="E21" s="227" t="str">
        <f>IF($L21="","",INDEX(Başvuru!$F:$F,$L21))</f>
        <v/>
      </c>
      <c r="F21" s="211" t="str">
        <f>IF($L21="","",INDEX(Başvuru!$G:$G,$L21))</f>
        <v/>
      </c>
      <c r="G21" s="212" t="str">
        <f>IF($L21="","",INDEX(Başvuru!$I:$I,$L21))</f>
        <v/>
      </c>
      <c r="H21" s="211" t="str">
        <f>IF($L21="","",INDEX(Başvuru!$J:$J,$L21))</f>
        <v/>
      </c>
      <c r="I21" s="211" t="str">
        <f>IF($L21="","",INDEX(Başvuru!$K:$K,$L21))</f>
        <v/>
      </c>
      <c r="J21" s="211" t="str">
        <f>IF($L21="","",INDEX(Başvuru!$P:$P,$L21))</f>
        <v/>
      </c>
      <c r="L21" t="str">
        <f>IFERROR(MATCH($C$5&amp;"§"&amp;(ROW()-ROW($B$8)),Başvuru!$V:$V,0),"")</f>
        <v/>
      </c>
      <c r="N21" t="str">
        <f>IFERROR(INDEX(Başvuru!$C:$C,MATCH(13,Başvuru!$W:$W,0)),"")</f>
        <v>Prof. Dr. Orhan ODABAŞI</v>
      </c>
    </row>
    <row r="22" spans="2:14" x14ac:dyDescent="0.25">
      <c r="B22" s="213" t="str">
        <f t="shared" si="0"/>
        <v/>
      </c>
      <c r="C22" s="214" t="str">
        <f>IF($L22="","",INDEX(Başvuru!$B:$B,$L22))</f>
        <v/>
      </c>
      <c r="D22" s="214" t="str">
        <f>IF($L22="","",INDEX(Başvuru!$D:$D,$L22))</f>
        <v/>
      </c>
      <c r="E22" s="228" t="str">
        <f>IF($L22="","",INDEX(Başvuru!$F:$F,$L22))</f>
        <v/>
      </c>
      <c r="F22" s="214" t="str">
        <f>IF($L22="","",INDEX(Başvuru!$G:$G,$L22))</f>
        <v/>
      </c>
      <c r="G22" s="215" t="str">
        <f>IF($L22="","",INDEX(Başvuru!$I:$I,$L22))</f>
        <v/>
      </c>
      <c r="H22" s="214" t="str">
        <f>IF($L22="","",INDEX(Başvuru!$J:$J,$L22))</f>
        <v/>
      </c>
      <c r="I22" s="214" t="str">
        <f>IF($L22="","",INDEX(Başvuru!$K:$K,$L22))</f>
        <v/>
      </c>
      <c r="J22" s="214" t="str">
        <f>IF($L22="","",INDEX(Başvuru!$P:$P,$L22))</f>
        <v/>
      </c>
      <c r="L22" t="str">
        <f>IFERROR(MATCH($C$5&amp;"§"&amp;(ROW()-ROW($B$8)),Başvuru!$V:$V,0),"")</f>
        <v/>
      </c>
      <c r="N22" t="str">
        <f>IFERROR(INDEX(Başvuru!$C:$C,MATCH(14,Başvuru!$W:$W,0)),"")</f>
        <v>Dr. Öğr. Üyesi Yiğitcan KARANFİL</v>
      </c>
    </row>
    <row r="23" spans="2:14" x14ac:dyDescent="0.25">
      <c r="B23" s="210" t="str">
        <f t="shared" si="0"/>
        <v/>
      </c>
      <c r="C23" s="211" t="str">
        <f>IF($L23="","",INDEX(Başvuru!$B:$B,$L23))</f>
        <v/>
      </c>
      <c r="D23" s="211" t="str">
        <f>IF($L23="","",INDEX(Başvuru!$D:$D,$L23))</f>
        <v/>
      </c>
      <c r="E23" s="227" t="str">
        <f>IF($L23="","",INDEX(Başvuru!$F:$F,$L23))</f>
        <v/>
      </c>
      <c r="F23" s="211" t="str">
        <f>IF($L23="","",INDEX(Başvuru!$G:$G,$L23))</f>
        <v/>
      </c>
      <c r="G23" s="212" t="str">
        <f>IF($L23="","",INDEX(Başvuru!$I:$I,$L23))</f>
        <v/>
      </c>
      <c r="H23" s="211" t="str">
        <f>IF($L23="","",INDEX(Başvuru!$J:$J,$L23))</f>
        <v/>
      </c>
      <c r="I23" s="211" t="str">
        <f>IF($L23="","",INDEX(Başvuru!$K:$K,$L23))</f>
        <v/>
      </c>
      <c r="J23" s="211" t="str">
        <f>IF($L23="","",INDEX(Başvuru!$P:$P,$L23))</f>
        <v/>
      </c>
      <c r="L23" t="str">
        <f>IFERROR(MATCH($C$5&amp;"§"&amp;(ROW()-ROW($B$8)),Başvuru!$V:$V,0),"")</f>
        <v/>
      </c>
      <c r="N23" t="str">
        <f>IFERROR(INDEX(Başvuru!$C:$C,MATCH(15,Başvuru!$W:$W,0)),"")</f>
        <v>Prof. Dr. Ali Fuat KALYONCU</v>
      </c>
    </row>
    <row r="24" spans="2:14" x14ac:dyDescent="0.25">
      <c r="B24" s="213" t="str">
        <f t="shared" si="0"/>
        <v/>
      </c>
      <c r="C24" s="214" t="str">
        <f>IF($L24="","",INDEX(Başvuru!$B:$B,$L24))</f>
        <v/>
      </c>
      <c r="D24" s="214" t="str">
        <f>IF($L24="","",INDEX(Başvuru!$D:$D,$L24))</f>
        <v/>
      </c>
      <c r="E24" s="228" t="str">
        <f>IF($L24="","",INDEX(Başvuru!$F:$F,$L24))</f>
        <v/>
      </c>
      <c r="F24" s="214" t="str">
        <f>IF($L24="","",INDEX(Başvuru!$G:$G,$L24))</f>
        <v/>
      </c>
      <c r="G24" s="215" t="str">
        <f>IF($L24="","",INDEX(Başvuru!$I:$I,$L24))</f>
        <v/>
      </c>
      <c r="H24" s="214" t="str">
        <f>IF($L24="","",INDEX(Başvuru!$J:$J,$L24))</f>
        <v/>
      </c>
      <c r="I24" s="214" t="str">
        <f>IF($L24="","",INDEX(Başvuru!$K:$K,$L24))</f>
        <v/>
      </c>
      <c r="J24" s="214" t="str">
        <f>IF($L24="","",INDEX(Başvuru!$P:$P,$L24))</f>
        <v/>
      </c>
      <c r="L24" t="str">
        <f>IFERROR(MATCH($C$5&amp;"§"&amp;(ROW()-ROW($B$8)),Başvuru!$V:$V,0),"")</f>
        <v/>
      </c>
      <c r="N24" t="str">
        <f>IFERROR(INDEX(Başvuru!$C:$C,MATCH(16,Başvuru!$W:$W,0)),"")</f>
        <v>Prof. Dr. Gül KARAKAYA</v>
      </c>
    </row>
    <row r="25" spans="2:14" x14ac:dyDescent="0.25">
      <c r="B25" s="210" t="str">
        <f t="shared" si="0"/>
        <v/>
      </c>
      <c r="C25" s="211" t="str">
        <f>IF($L25="","",INDEX(Başvuru!$B:$B,$L25))</f>
        <v/>
      </c>
      <c r="D25" s="211" t="str">
        <f>IF($L25="","",INDEX(Başvuru!$D:$D,$L25))</f>
        <v/>
      </c>
      <c r="E25" s="227" t="str">
        <f>IF($L25="","",INDEX(Başvuru!$F:$F,$L25))</f>
        <v/>
      </c>
      <c r="F25" s="211" t="str">
        <f>IF($L25="","",INDEX(Başvuru!$G:$G,$L25))</f>
        <v/>
      </c>
      <c r="G25" s="212" t="str">
        <f>IF($L25="","",INDEX(Başvuru!$I:$I,$L25))</f>
        <v/>
      </c>
      <c r="H25" s="211" t="str">
        <f>IF($L25="","",INDEX(Başvuru!$J:$J,$L25))</f>
        <v/>
      </c>
      <c r="I25" s="211" t="str">
        <f>IF($L25="","",INDEX(Başvuru!$K:$K,$L25))</f>
        <v/>
      </c>
      <c r="J25" s="211" t="str">
        <f>IF($L25="","",INDEX(Başvuru!$P:$P,$L25))</f>
        <v/>
      </c>
      <c r="L25" t="str">
        <f>IFERROR(MATCH($C$5&amp;"§"&amp;(ROW()-ROW($B$8)),Başvuru!$V:$V,0),"")</f>
        <v/>
      </c>
      <c r="N25" t="str">
        <f>IFERROR(INDEX(Başvuru!$C:$C,MATCH(17,Başvuru!$W:$W,0)),"")</f>
        <v>Prof. Dr. Banu KILIÇASLAN</v>
      </c>
    </row>
    <row r="26" spans="2:14" ht="18" customHeight="1" x14ac:dyDescent="0.25">
      <c r="B26" s="213" t="str">
        <f t="shared" si="0"/>
        <v/>
      </c>
      <c r="C26" s="214" t="str">
        <f>IF($L26="","",INDEX(Başvuru!$B:$B,$L26))</f>
        <v/>
      </c>
      <c r="D26" s="214" t="str">
        <f>IF($L26="","",INDEX(Başvuru!$D:$D,$L26))</f>
        <v/>
      </c>
      <c r="E26" s="214" t="str">
        <f>IF($L26="","",INDEX(Başvuru!$F:$F,$L26))</f>
        <v/>
      </c>
      <c r="F26" s="214" t="str">
        <f>IF($L26="","",INDEX(Başvuru!$G:$G,$L26))</f>
        <v/>
      </c>
      <c r="G26" s="215" t="str">
        <f>IF($L26="","",INDEX(Başvuru!$I:$I,$L26))</f>
        <v/>
      </c>
      <c r="H26" s="214" t="str">
        <f>IF($L26="","",INDEX(Başvuru!$J:$J,$L26))</f>
        <v/>
      </c>
      <c r="I26" s="214" t="str">
        <f>IF($L26="","",INDEX(Başvuru!$K:$K,$L26))</f>
        <v/>
      </c>
      <c r="J26" s="214" t="str">
        <f>IF($L26="","",INDEX(Başvuru!$P:$P,$L26))</f>
        <v/>
      </c>
      <c r="L26" t="str">
        <f>IFERROR(MATCH($C$5&amp;"§"&amp;(ROW()-ROW($B$8)),Başvuru!$V:$V,0),"")</f>
        <v/>
      </c>
      <c r="N26" t="str">
        <f>IFERROR(INDEX(Başvuru!$C:$C,MATCH(18,Başvuru!$W:$W,0)),"")</f>
        <v>Doç. Dr. Ulaş KUMBASAR</v>
      </c>
    </row>
    <row r="27" spans="2:14" ht="18" customHeight="1" x14ac:dyDescent="0.25">
      <c r="B27" s="210" t="str">
        <f t="shared" si="0"/>
        <v/>
      </c>
      <c r="C27" s="211" t="str">
        <f>IF($L27="","",INDEX(Başvuru!$B:$B,$L27))</f>
        <v/>
      </c>
      <c r="D27" s="211" t="str">
        <f>IF($L27="","",INDEX(Başvuru!$D:$D,$L27))</f>
        <v/>
      </c>
      <c r="E27" s="211" t="str">
        <f>IF($L27="","",INDEX(Başvuru!$F:$F,$L27))</f>
        <v/>
      </c>
      <c r="F27" s="211" t="str">
        <f>IF($L27="","",INDEX(Başvuru!$G:$G,$L27))</f>
        <v/>
      </c>
      <c r="G27" s="212" t="str">
        <f>IF($L27="","",INDEX(Başvuru!$I:$I,$L27))</f>
        <v/>
      </c>
      <c r="H27" s="211" t="str">
        <f>IF($L27="","",INDEX(Başvuru!$J:$J,$L27))</f>
        <v/>
      </c>
      <c r="I27" s="211" t="str">
        <f>IF($L27="","",INDEX(Başvuru!$K:$K,$L27))</f>
        <v/>
      </c>
      <c r="J27" s="211" t="str">
        <f>IF($L27="","",INDEX(Başvuru!$P:$P,$L27))</f>
        <v/>
      </c>
      <c r="L27" t="str">
        <f>IFERROR(MATCH($C$5&amp;"§"&amp;(ROW()-ROW($B$8)),Başvuru!$V:$V,0),"")</f>
        <v/>
      </c>
      <c r="N27" t="str">
        <f>IFERROR(INDEX(Başvuru!$C:$C,MATCH(19,Başvuru!$W:$W,0)),"")</f>
        <v>Dr. Öğr. Üyesi Figen BEZCİ AYGÜN</v>
      </c>
    </row>
    <row r="28" spans="2:14" ht="18" customHeight="1" x14ac:dyDescent="0.25">
      <c r="B28" s="213" t="str">
        <f t="shared" si="0"/>
        <v/>
      </c>
      <c r="C28" s="214" t="str">
        <f>IF($L28="","",INDEX(Başvuru!$B:$B,$L28))</f>
        <v/>
      </c>
      <c r="D28" s="214" t="str">
        <f>IF($L28="","",INDEX(Başvuru!$D:$D,$L28))</f>
        <v/>
      </c>
      <c r="E28" s="214" t="str">
        <f>IF($L28="","",INDEX(Başvuru!$F:$F,$L28))</f>
        <v/>
      </c>
      <c r="F28" s="214" t="str">
        <f>IF($L28="","",INDEX(Başvuru!$G:$G,$L28))</f>
        <v/>
      </c>
      <c r="G28" s="215" t="str">
        <f>IF($L28="","",INDEX(Başvuru!$I:$I,$L28))</f>
        <v/>
      </c>
      <c r="H28" s="214" t="str">
        <f>IF($L28="","",INDEX(Başvuru!$J:$J,$L28))</f>
        <v/>
      </c>
      <c r="I28" s="214" t="str">
        <f>IF($L28="","",INDEX(Başvuru!$K:$K,$L28))</f>
        <v/>
      </c>
      <c r="J28" s="214" t="str">
        <f>IF($L28="","",INDEX(Başvuru!$P:$P,$L28))</f>
        <v/>
      </c>
      <c r="L28" t="str">
        <f>IFERROR(MATCH($C$5&amp;"§"&amp;(ROW()-ROW($B$8)),Başvuru!$V:$V,0),"")</f>
        <v/>
      </c>
      <c r="N28" t="str">
        <f>IFERROR(INDEX(Başvuru!$C:$C,MATCH(20,Başvuru!$W:$W,0)),"")</f>
        <v>Prof. Dr. Oğuz IŞIK</v>
      </c>
    </row>
    <row r="29" spans="2:14" ht="18" customHeight="1" x14ac:dyDescent="0.25">
      <c r="B29" s="210" t="str">
        <f t="shared" si="0"/>
        <v/>
      </c>
      <c r="C29" s="211" t="str">
        <f>IF($L29="","",INDEX(Başvuru!$B:$B,$L29))</f>
        <v/>
      </c>
      <c r="D29" s="211" t="str">
        <f>IF($L29="","",INDEX(Başvuru!$D:$D,$L29))</f>
        <v/>
      </c>
      <c r="E29" s="211" t="str">
        <f>IF($L29="","",INDEX(Başvuru!$F:$F,$L29))</f>
        <v/>
      </c>
      <c r="F29" s="211" t="str">
        <f>IF($L29="","",INDEX(Başvuru!$G:$G,$L29))</f>
        <v/>
      </c>
      <c r="G29" s="212" t="str">
        <f>IF($L29="","",INDEX(Başvuru!$I:$I,$L29))</f>
        <v/>
      </c>
      <c r="H29" s="211" t="str">
        <f>IF($L29="","",INDEX(Başvuru!$J:$J,$L29))</f>
        <v/>
      </c>
      <c r="I29" s="211" t="str">
        <f>IF($L29="","",INDEX(Başvuru!$K:$K,$L29))</f>
        <v/>
      </c>
      <c r="J29" s="211" t="str">
        <f>IF($L29="","",INDEX(Başvuru!$P:$P,$L29))</f>
        <v/>
      </c>
      <c r="L29" t="str">
        <f>IFERROR(MATCH($C$5&amp;"§"&amp;(ROW()-ROW($B$8)),Başvuru!$V:$V,0),"")</f>
        <v/>
      </c>
      <c r="N29" t="str">
        <f>IFERROR(INDEX(Başvuru!$C:$C,MATCH(21,Başvuru!$W:$W,0)),"")</f>
        <v>Doç. Dr. Dilek ÜNAL</v>
      </c>
    </row>
    <row r="30" spans="2:14" ht="18" customHeight="1" x14ac:dyDescent="0.25">
      <c r="B30" s="213" t="str">
        <f t="shared" si="0"/>
        <v/>
      </c>
      <c r="C30" s="214" t="str">
        <f>IF($L30="","",INDEX(Başvuru!$B:$B,$L30))</f>
        <v/>
      </c>
      <c r="D30" s="214" t="str">
        <f>IF($L30="","",INDEX(Başvuru!$D:$D,$L30))</f>
        <v/>
      </c>
      <c r="E30" s="214" t="str">
        <f>IF($L30="","",INDEX(Başvuru!$F:$F,$L30))</f>
        <v/>
      </c>
      <c r="F30" s="214" t="str">
        <f>IF($L30="","",INDEX(Başvuru!$G:$G,$L30))</f>
        <v/>
      </c>
      <c r="G30" s="215" t="str">
        <f>IF($L30="","",INDEX(Başvuru!$I:$I,$L30))</f>
        <v/>
      </c>
      <c r="H30" s="214" t="str">
        <f>IF($L30="","",INDEX(Başvuru!$J:$J,$L30))</f>
        <v/>
      </c>
      <c r="I30" s="214" t="str">
        <f>IF($L30="","",INDEX(Başvuru!$K:$K,$L30))</f>
        <v/>
      </c>
      <c r="J30" s="214" t="str">
        <f>IF($L30="","",INDEX(Başvuru!$P:$P,$L30))</f>
        <v/>
      </c>
      <c r="L30" t="str">
        <f>IFERROR(MATCH($C$5&amp;"§"&amp;(ROW()-ROW($B$8)),Başvuru!$V:$V,0),"")</f>
        <v/>
      </c>
      <c r="N30" t="str">
        <f>IFERROR(INDEX(Başvuru!$C:$C,MATCH(22,Başvuru!$W:$W,0)),"")</f>
        <v>Prof. Dr. Emre TOSUN</v>
      </c>
    </row>
    <row r="31" spans="2:14" ht="18" customHeight="1" x14ac:dyDescent="0.25">
      <c r="B31" s="210" t="str">
        <f t="shared" si="0"/>
        <v/>
      </c>
      <c r="C31" s="211" t="str">
        <f>IF($L31="","",INDEX(Başvuru!$B:$B,$L31))</f>
        <v/>
      </c>
      <c r="D31" s="211" t="str">
        <f>IF($L31="","",INDEX(Başvuru!$D:$D,$L31))</f>
        <v/>
      </c>
      <c r="E31" s="211" t="str">
        <f>IF($L31="","",INDEX(Başvuru!$F:$F,$L31))</f>
        <v/>
      </c>
      <c r="F31" s="211" t="str">
        <f>IF($L31="","",INDEX(Başvuru!$G:$G,$L31))</f>
        <v/>
      </c>
      <c r="G31" s="212" t="str">
        <f>IF($L31="","",INDEX(Başvuru!$I:$I,$L31))</f>
        <v/>
      </c>
      <c r="H31" s="211" t="str">
        <f>IF($L31="","",INDEX(Başvuru!$J:$J,$L31))</f>
        <v/>
      </c>
      <c r="I31" s="211" t="str">
        <f>IF($L31="","",INDEX(Başvuru!$K:$K,$L31))</f>
        <v/>
      </c>
      <c r="J31" s="211" t="str">
        <f>IF($L31="","",INDEX(Başvuru!$P:$P,$L31))</f>
        <v/>
      </c>
      <c r="L31" t="str">
        <f>IFERROR(MATCH($C$5&amp;"§"&amp;(ROW()-ROW($B$8)),Başvuru!$V:$V,0),"")</f>
        <v/>
      </c>
      <c r="N31" t="str">
        <f>IFERROR(INDEX(Başvuru!$C:$C,MATCH(23,Başvuru!$W:$W,0)),"")</f>
        <v>Prof. Dr. Seza ÖZEN</v>
      </c>
    </row>
    <row r="32" spans="2:14" ht="18" customHeight="1" x14ac:dyDescent="0.25">
      <c r="B32" s="213" t="str">
        <f t="shared" si="0"/>
        <v/>
      </c>
      <c r="C32" s="214" t="str">
        <f>IF($L32="","",INDEX(Başvuru!$B:$B,$L32))</f>
        <v/>
      </c>
      <c r="D32" s="214" t="str">
        <f>IF($L32="","",INDEX(Başvuru!$D:$D,$L32))</f>
        <v/>
      </c>
      <c r="E32" s="214" t="str">
        <f>IF($L32="","",INDEX(Başvuru!$F:$F,$L32))</f>
        <v/>
      </c>
      <c r="F32" s="214" t="str">
        <f>IF($L32="","",INDEX(Başvuru!$G:$G,$L32))</f>
        <v/>
      </c>
      <c r="G32" s="215" t="str">
        <f>IF($L32="","",INDEX(Başvuru!$I:$I,$L32))</f>
        <v/>
      </c>
      <c r="H32" s="214" t="str">
        <f>IF($L32="","",INDEX(Başvuru!$J:$J,$L32))</f>
        <v/>
      </c>
      <c r="I32" s="214" t="str">
        <f>IF($L32="","",INDEX(Başvuru!$K:$K,$L32))</f>
        <v/>
      </c>
      <c r="J32" s="214" t="str">
        <f>IF($L32="","",INDEX(Başvuru!$P:$P,$L32))</f>
        <v/>
      </c>
      <c r="L32" t="str">
        <f>IFERROR(MATCH($C$5&amp;"§"&amp;(ROW()-ROW($B$8)),Başvuru!$V:$V,0),"")</f>
        <v/>
      </c>
      <c r="N32" t="str">
        <f>IFERROR(INDEX(Başvuru!$C:$C,MATCH(24,Başvuru!$W:$W,0)),"")</f>
        <v>Dr. Öğr. Üyesi Gonca ÖZTEN DERE</v>
      </c>
    </row>
    <row r="33" spans="2:14" ht="18" customHeight="1" x14ac:dyDescent="0.25">
      <c r="B33" s="210" t="str">
        <f t="shared" si="0"/>
        <v/>
      </c>
      <c r="C33" s="211" t="str">
        <f>IF($L33="","",INDEX(Başvuru!$B:$B,$L33))</f>
        <v/>
      </c>
      <c r="D33" s="211" t="str">
        <f>IF($L33="","",INDEX(Başvuru!$D:$D,$L33))</f>
        <v/>
      </c>
      <c r="E33" s="211" t="str">
        <f>IF($L33="","",INDEX(Başvuru!$F:$F,$L33))</f>
        <v/>
      </c>
      <c r="F33" s="211" t="str">
        <f>IF($L33="","",INDEX(Başvuru!$G:$G,$L33))</f>
        <v/>
      </c>
      <c r="G33" s="212" t="str">
        <f>IF($L33="","",INDEX(Başvuru!$I:$I,$L33))</f>
        <v/>
      </c>
      <c r="H33" s="211" t="str">
        <f>IF($L33="","",INDEX(Başvuru!$J:$J,$L33))</f>
        <v/>
      </c>
      <c r="I33" s="211" t="str">
        <f>IF($L33="","",INDEX(Başvuru!$K:$K,$L33))</f>
        <v/>
      </c>
      <c r="J33" s="211" t="str">
        <f>IF($L33="","",INDEX(Başvuru!$P:$P,$L33))</f>
        <v/>
      </c>
      <c r="L33" t="str">
        <f>IFERROR(MATCH($C$5&amp;"§"&amp;(ROW()-ROW($B$8)),Başvuru!$V:$V,0),"")</f>
        <v/>
      </c>
      <c r="N33" t="str">
        <f>IFERROR(INDEX(Başvuru!$C:$C,MATCH(25,Başvuru!$W:$W,0)),"")</f>
        <v>Prof. Dr. Hikmet YORGUN</v>
      </c>
    </row>
    <row r="34" spans="2:14" ht="18" customHeight="1" x14ac:dyDescent="0.25">
      <c r="B34" s="213" t="str">
        <f t="shared" si="0"/>
        <v/>
      </c>
      <c r="C34" s="214" t="str">
        <f>IF($L34="","",INDEX(Başvuru!$B:$B,$L34))</f>
        <v/>
      </c>
      <c r="D34" s="214" t="str">
        <f>IF($L34="","",INDEX(Başvuru!$D:$D,$L34))</f>
        <v/>
      </c>
      <c r="E34" s="214" t="str">
        <f>IF($L34="","",INDEX(Başvuru!$F:$F,$L34))</f>
        <v/>
      </c>
      <c r="F34" s="214" t="str">
        <f>IF($L34="","",INDEX(Başvuru!$G:$G,$L34))</f>
        <v/>
      </c>
      <c r="G34" s="215" t="str">
        <f>IF($L34="","",INDEX(Başvuru!$I:$I,$L34))</f>
        <v/>
      </c>
      <c r="H34" s="214" t="str">
        <f>IF($L34="","",INDEX(Başvuru!$J:$J,$L34))</f>
        <v/>
      </c>
      <c r="I34" s="214" t="str">
        <f>IF($L34="","",INDEX(Başvuru!$K:$K,$L34))</f>
        <v/>
      </c>
      <c r="J34" s="214" t="str">
        <f>IF($L34="","",INDEX(Başvuru!$P:$P,$L34))</f>
        <v/>
      </c>
      <c r="L34" t="str">
        <f>IFERROR(MATCH($C$5&amp;"§"&amp;(ROW()-ROW($B$8)),Başvuru!$V:$V,0),"")</f>
        <v/>
      </c>
      <c r="N34" t="str">
        <f>IFERROR(INDEX(Başvuru!$C:$C,MATCH(26,Başvuru!$W:$W,0)),"")</f>
        <v>Doç. Dr. Levent KILIÇ</v>
      </c>
    </row>
    <row r="35" spans="2:14" ht="18" customHeight="1" x14ac:dyDescent="0.25">
      <c r="B35" s="210" t="str">
        <f t="shared" si="0"/>
        <v/>
      </c>
      <c r="C35" s="211" t="str">
        <f>IF($L35="","",INDEX(Başvuru!$B:$B,$L35))</f>
        <v/>
      </c>
      <c r="D35" s="211" t="str">
        <f>IF($L35="","",INDEX(Başvuru!$D:$D,$L35))</f>
        <v/>
      </c>
      <c r="E35" s="211" t="str">
        <f>IF($L35="","",INDEX(Başvuru!$F:$F,$L35))</f>
        <v/>
      </c>
      <c r="F35" s="211" t="str">
        <f>IF($L35="","",INDEX(Başvuru!$G:$G,$L35))</f>
        <v/>
      </c>
      <c r="G35" s="212" t="str">
        <f>IF($L35="","",INDEX(Başvuru!$I:$I,$L35))</f>
        <v/>
      </c>
      <c r="H35" s="211" t="str">
        <f>IF($L35="","",INDEX(Başvuru!$J:$J,$L35))</f>
        <v/>
      </c>
      <c r="I35" s="211" t="str">
        <f>IF($L35="","",INDEX(Başvuru!$K:$K,$L35))</f>
        <v/>
      </c>
      <c r="J35" s="211" t="str">
        <f>IF($L35="","",INDEX(Başvuru!$P:$P,$L35))</f>
        <v/>
      </c>
      <c r="L35" t="str">
        <f>IFERROR(MATCH($C$5&amp;"§"&amp;(ROW()-ROW($B$8)),Başvuru!$V:$V,0),"")</f>
        <v/>
      </c>
      <c r="N35" t="str">
        <f>IFERROR(INDEX(Başvuru!$C:$C,MATCH(27,Başvuru!$W:$W,0)),"")</f>
        <v>Prof. Dr. Kudret AYTEMİR</v>
      </c>
    </row>
    <row r="36" spans="2:14" ht="18" customHeight="1" x14ac:dyDescent="0.25">
      <c r="B36" s="213" t="str">
        <f t="shared" si="0"/>
        <v/>
      </c>
      <c r="C36" s="214" t="str">
        <f>IF($L36="","",INDEX(Başvuru!$B:$B,$L36))</f>
        <v/>
      </c>
      <c r="D36" s="214" t="str">
        <f>IF($L36="","",INDEX(Başvuru!$D:$D,$L36))</f>
        <v/>
      </c>
      <c r="E36" s="214" t="str">
        <f>IF($L36="","",INDEX(Başvuru!$F:$F,$L36))</f>
        <v/>
      </c>
      <c r="F36" s="214" t="str">
        <f>IF($L36="","",INDEX(Başvuru!$G:$G,$L36))</f>
        <v/>
      </c>
      <c r="G36" s="215" t="str">
        <f>IF($L36="","",INDEX(Başvuru!$I:$I,$L36))</f>
        <v/>
      </c>
      <c r="H36" s="214" t="str">
        <f>IF($L36="","",INDEX(Başvuru!$J:$J,$L36))</f>
        <v/>
      </c>
      <c r="I36" s="214" t="str">
        <f>IF($L36="","",INDEX(Başvuru!$K:$K,$L36))</f>
        <v/>
      </c>
      <c r="J36" s="214" t="str">
        <f>IF($L36="","",INDEX(Başvuru!$P:$P,$L36))</f>
        <v/>
      </c>
      <c r="L36" t="str">
        <f>IFERROR(MATCH($C$5&amp;"§"&amp;(ROW()-ROW($B$8)),Başvuru!$V:$V,0),"")</f>
        <v/>
      </c>
      <c r="N36" t="str">
        <f>IFERROR(INDEX(Başvuru!$C:$C,MATCH(28,Başvuru!$W:$W,0)),"")</f>
        <v>Prof. Dr. Ebru DAMADOĞLU</v>
      </c>
    </row>
    <row r="37" spans="2:14" ht="18" customHeight="1" x14ac:dyDescent="0.25">
      <c r="B37" s="210" t="str">
        <f t="shared" si="0"/>
        <v/>
      </c>
      <c r="C37" s="211" t="str">
        <f>IF($L37="","",INDEX(Başvuru!$B:$B,$L37))</f>
        <v/>
      </c>
      <c r="D37" s="211" t="str">
        <f>IF($L37="","",INDEX(Başvuru!$D:$D,$L37))</f>
        <v/>
      </c>
      <c r="E37" s="211" t="str">
        <f>IF($L37="","",INDEX(Başvuru!$F:$F,$L37))</f>
        <v/>
      </c>
      <c r="F37" s="211" t="str">
        <f>IF($L37="","",INDEX(Başvuru!$G:$G,$L37))</f>
        <v/>
      </c>
      <c r="G37" s="212" t="str">
        <f>IF($L37="","",INDEX(Başvuru!$I:$I,$L37))</f>
        <v/>
      </c>
      <c r="H37" s="211" t="str">
        <f>IF($L37="","",INDEX(Başvuru!$J:$J,$L37))</f>
        <v/>
      </c>
      <c r="I37" s="211" t="str">
        <f>IF($L37="","",INDEX(Başvuru!$K:$K,$L37))</f>
        <v/>
      </c>
      <c r="J37" s="211" t="str">
        <f>IF($L37="","",INDEX(Başvuru!$P:$P,$L37))</f>
        <v/>
      </c>
      <c r="L37" t="str">
        <f>IFERROR(MATCH($C$5&amp;"§"&amp;(ROW()-ROW($B$8)),Başvuru!$V:$V,0),"")</f>
        <v/>
      </c>
      <c r="N37" t="str">
        <f>IFERROR(INDEX(Başvuru!$C:$C,MATCH(29,Başvuru!$W:$W,0)),"")</f>
        <v>Öğr. Gör. Dr. Bahattin PASLI</v>
      </c>
    </row>
    <row r="38" spans="2:14" ht="18" customHeight="1" x14ac:dyDescent="0.25">
      <c r="B38" s="213" t="str">
        <f t="shared" si="0"/>
        <v/>
      </c>
      <c r="C38" s="214" t="str">
        <f>IF($L38="","",INDEX(Başvuru!$B:$B,$L38))</f>
        <v/>
      </c>
      <c r="D38" s="214" t="str">
        <f>IF($L38="","",INDEX(Başvuru!$D:$D,$L38))</f>
        <v/>
      </c>
      <c r="E38" s="214" t="str">
        <f>IF($L38="","",INDEX(Başvuru!$F:$F,$L38))</f>
        <v/>
      </c>
      <c r="F38" s="214" t="str">
        <f>IF($L38="","",INDEX(Başvuru!$G:$G,$L38))</f>
        <v/>
      </c>
      <c r="G38" s="215" t="str">
        <f>IF($L38="","",INDEX(Başvuru!$I:$I,$L38))</f>
        <v/>
      </c>
      <c r="H38" s="214" t="str">
        <f>IF($L38="","",INDEX(Başvuru!$J:$J,$L38))</f>
        <v/>
      </c>
      <c r="I38" s="214" t="str">
        <f>IF($L38="","",INDEX(Başvuru!$K:$K,$L38))</f>
        <v/>
      </c>
      <c r="J38" s="214" t="str">
        <f>IF($L38="","",INDEX(Başvuru!$P:$P,$L38))</f>
        <v/>
      </c>
      <c r="L38" t="str">
        <f>IFERROR(MATCH($C$5&amp;"§"&amp;(ROW()-ROW($B$8)),Başvuru!$V:$V,0),"")</f>
        <v/>
      </c>
      <c r="N38" t="str">
        <f>IFERROR(INDEX(Başvuru!$C:$C,MATCH(30,Başvuru!$W:$W,0)),"")</f>
        <v>Prof. Dr. Müzeyyen Pınar ÖZGEN KIRATLI</v>
      </c>
    </row>
    <row r="39" spans="2:14" ht="15" customHeight="1" x14ac:dyDescent="0.25">
      <c r="B39" s="256" t="s">
        <v>4367</v>
      </c>
      <c r="C39" s="256"/>
      <c r="D39" s="256"/>
      <c r="E39" s="256"/>
      <c r="F39" s="256"/>
      <c r="G39" s="256"/>
      <c r="H39" s="256"/>
      <c r="I39" s="256"/>
      <c r="J39" s="256"/>
      <c r="N39" t="str">
        <f>IFERROR(INDEX(Başvuru!$C:$C,MATCH(31,Başvuru!$W:$W,0)),"")</f>
        <v>Prof. Dr. Yasemin ÖZSÜREKCİ</v>
      </c>
    </row>
    <row r="40" spans="2:14" ht="15" customHeight="1" x14ac:dyDescent="0.25">
      <c r="N40" t="str">
        <f>IFERROR(INDEX(Başvuru!$C:$C,MATCH(32,Başvuru!$W:$W,0)),"")</f>
        <v>Öğr. Gör. Dr. Burçay TELLİOĞLU</v>
      </c>
    </row>
    <row r="41" spans="2:14" ht="15" customHeight="1" x14ac:dyDescent="0.25">
      <c r="N41" t="str">
        <f>IFERROR(INDEX(Başvuru!$C:$C,MATCH(33,Başvuru!$W:$W,0)),"")</f>
        <v>Doç. Dr. Hande GÖRÜCÜ COŞKUNER</v>
      </c>
    </row>
    <row r="42" spans="2:14" ht="15" customHeight="1" x14ac:dyDescent="0.25">
      <c r="N42" t="str">
        <f>IFERROR(INDEX(Başvuru!$C:$C,MATCH(34,Başvuru!$W:$W,0)),"")</f>
        <v>Doç. Dr. Saliha ESENBOĞA</v>
      </c>
    </row>
    <row r="43" spans="2:14" ht="15" customHeight="1" x14ac:dyDescent="0.25">
      <c r="N43" t="str">
        <f>IFERROR(INDEX(Başvuru!$C:$C,MATCH(35,Başvuru!$W:$W,0)),"")</f>
        <v>Dr. Öğr. Üyesi Ahmet KIVRAK</v>
      </c>
    </row>
    <row r="44" spans="2:14" ht="15" customHeight="1" x14ac:dyDescent="0.25">
      <c r="N44" t="str">
        <f>IFERROR(INDEX(Başvuru!$C:$C,MATCH(36,Başvuru!$W:$W,0)),"")</f>
        <v>Prof. Dr. Bülent ALTUN</v>
      </c>
    </row>
    <row r="45" spans="2:14" ht="15" customHeight="1" x14ac:dyDescent="0.25">
      <c r="N45" t="str">
        <f>IFERROR(INDEX(Başvuru!$C:$C,MATCH(37,Başvuru!$W:$W,0)),"")</f>
        <v>Prof. Dr. Dilek ASLAN</v>
      </c>
    </row>
    <row r="46" spans="2:14" ht="15" customHeight="1" x14ac:dyDescent="0.25">
      <c r="N46" t="str">
        <f>IFERROR(INDEX(Başvuru!$C:$C,MATCH(38,Başvuru!$W:$W,0)),"")</f>
        <v>Prof. Dr. Ali DÜZOVA</v>
      </c>
    </row>
    <row r="47" spans="2:14" ht="15" customHeight="1" x14ac:dyDescent="0.25">
      <c r="N47" t="str">
        <f>IFERROR(INDEX(Başvuru!$C:$C,MATCH(39,Başvuru!$W:$W,0)),"")</f>
        <v>Prof. Dr. Petek KORKUSUZ</v>
      </c>
    </row>
    <row r="48" spans="2:14" ht="15" customHeight="1" x14ac:dyDescent="0.25">
      <c r="N48" t="str">
        <f>IFERROR(INDEX(Başvuru!$C:$C,MATCH(40,Başvuru!$W:$W,0)),"")</f>
        <v>Prof. Dr. Sibel ERSOY EVANS</v>
      </c>
    </row>
    <row r="49" spans="14:14" ht="15" customHeight="1" x14ac:dyDescent="0.25">
      <c r="N49" t="str">
        <f>IFERROR(INDEX(Başvuru!$C:$C,MATCH(41,Başvuru!$W:$W,0)),"")</f>
        <v>Prof. Dr. Oya ÖZDEMİR</v>
      </c>
    </row>
    <row r="50" spans="14:14" ht="15" customHeight="1" x14ac:dyDescent="0.25">
      <c r="N50" t="str">
        <f>IFERROR(INDEX(Başvuru!$C:$C,MATCH(42,Başvuru!$W:$W,0)),"")</f>
        <v>Prof. Dr. Bahar GÜÇİZ DOĞAN</v>
      </c>
    </row>
    <row r="51" spans="14:14" ht="15" customHeight="1" x14ac:dyDescent="0.25">
      <c r="N51" t="str">
        <f>IFERROR(INDEX(Başvuru!$C:$C,MATCH(43,Başvuru!$W:$W,0)),"")</f>
        <v>Doç. Dr. Erdem FADILOĞLU</v>
      </c>
    </row>
    <row r="52" spans="14:14" ht="15" customHeight="1" x14ac:dyDescent="0.25">
      <c r="N52" t="str">
        <f>IFERROR(INDEX(Başvuru!$C:$C,MATCH(44,Başvuru!$W:$W,0)),"")</f>
        <v>Prof. Dr. Mehmet Akif TOPÇUOĞLU</v>
      </c>
    </row>
    <row r="53" spans="14:14" ht="15" customHeight="1" x14ac:dyDescent="0.25">
      <c r="N53" t="str">
        <f>IFERROR(INDEX(Başvuru!$C:$C,MATCH(45,Başvuru!$W:$W,0)),"")</f>
        <v>Doç. Dr. Başak YALICI ARMAĞAN</v>
      </c>
    </row>
    <row r="54" spans="14:14" ht="15" customHeight="1" x14ac:dyDescent="0.25">
      <c r="N54" t="str">
        <f>IFERROR(INDEX(Başvuru!$C:$C,MATCH(46,Başvuru!$W:$W,0)),"")</f>
        <v>Doç. Dr. Neslihan AKDOĞAN</v>
      </c>
    </row>
    <row r="55" spans="14:14" ht="15" customHeight="1" x14ac:dyDescent="0.25">
      <c r="N55" t="str">
        <f>IFERROR(INDEX(Başvuru!$C:$C,MATCH(47,Başvuru!$W:$W,0)),"")</f>
        <v>Prof. Dr. Deniz ÇAĞDAŞ AYVAZ</v>
      </c>
    </row>
    <row r="56" spans="14:14" ht="15" customHeight="1" x14ac:dyDescent="0.25">
      <c r="N56" t="str">
        <f>IFERROR(INDEX(Başvuru!$C:$C,MATCH(48,Başvuru!$W:$W,0)),"")</f>
        <v>Prof. Dr. Tutku SOYER</v>
      </c>
    </row>
    <row r="57" spans="14:14" ht="15" customHeight="1" x14ac:dyDescent="0.25">
      <c r="N57" t="str">
        <f>IFERROR(INDEX(Başvuru!$C:$C,MATCH(49,Başvuru!$W:$W,0)),"")</f>
        <v>Prof. Dr. Mehmet AYVAZ</v>
      </c>
    </row>
    <row r="58" spans="14:14" ht="15" customHeight="1" x14ac:dyDescent="0.25">
      <c r="N58" t="str">
        <f>IFERROR(INDEX(Başvuru!$C:$C,MATCH(50,Başvuru!$W:$W,0)),"")</f>
        <v>Prof. Dr. Salih Kutay DEMİRKAN</v>
      </c>
    </row>
    <row r="59" spans="14:14" ht="15" customHeight="1" x14ac:dyDescent="0.25">
      <c r="N59" t="str">
        <f>IFERROR(INDEX(Başvuru!$C:$C,MATCH(51,Başvuru!$W:$W,0)),"")</f>
        <v>Prof. Dr. Hasan Serkan DOĞAN</v>
      </c>
    </row>
    <row r="60" spans="14:14" ht="15" customHeight="1" x14ac:dyDescent="0.25">
      <c r="N60" t="str">
        <f>IFERROR(INDEX(Başvuru!$C:$C,MATCH(52,Başvuru!$W:$W,0)),"")</f>
        <v>Prof. Dr. Kıvanç AKÇA</v>
      </c>
    </row>
    <row r="61" spans="14:14" ht="15" customHeight="1" x14ac:dyDescent="0.25">
      <c r="N61" t="str">
        <f>IFERROR(INDEX(Başvuru!$C:$C,MATCH(53,Başvuru!$W:$W,0)),"")</f>
        <v>Dr. Öğr. Üyesi Burcu KELLECİ ÇAKIR</v>
      </c>
    </row>
    <row r="62" spans="14:14" ht="15" customHeight="1" x14ac:dyDescent="0.25">
      <c r="N62" t="str">
        <f>IFERROR(INDEX(Başvuru!$C:$C,MATCH(54,Başvuru!$W:$W,0)),"")</f>
        <v>Prof. Dr. Fatma Gökçem YILDIZ SARIKAYA</v>
      </c>
    </row>
    <row r="63" spans="14:14" ht="15" customHeight="1" x14ac:dyDescent="0.25">
      <c r="N63" t="str">
        <f>IFERROR(INDEX(Başvuru!$C:$C,MATCH(55,Başvuru!$W:$W,0)),"")</f>
        <v>Prof. Dr. Cengiz KILIÇ</v>
      </c>
    </row>
    <row r="64" spans="14:14" ht="15" customHeight="1" x14ac:dyDescent="0.25">
      <c r="N64" t="str">
        <f>IFERROR(INDEX(Başvuru!$C:$C,MATCH(56,Başvuru!$W:$W,0)),"")</f>
        <v>Dr. Öğr. Üyesi Serkan UYSAL</v>
      </c>
    </row>
    <row r="65" spans="14:14" ht="15" customHeight="1" x14ac:dyDescent="0.25">
      <c r="N65" t="str">
        <f>IFERROR(INDEX(Başvuru!$C:$C,MATCH(57,Başvuru!$W:$W,0)),"")</f>
        <v>Arş. Gör. Dr. Aycan UYSAL</v>
      </c>
    </row>
    <row r="66" spans="14:14" ht="15" customHeight="1" x14ac:dyDescent="0.25">
      <c r="N66" t="str">
        <f>IFERROR(INDEX(Başvuru!$C:$C,MATCH(58,Başvuru!$W:$W,0)),"")</f>
        <v>Doç. Dr. Ekim GÜMELER</v>
      </c>
    </row>
    <row r="67" spans="14:14" ht="15" customHeight="1" x14ac:dyDescent="0.25">
      <c r="N67" t="str">
        <f>IFERROR(INDEX(Başvuru!$C:$C,MATCH(59,Başvuru!$W:$W,0)),"")</f>
        <v>Prof. Dr. Ömer UĞUR</v>
      </c>
    </row>
    <row r="68" spans="14:14" ht="15" customHeight="1" x14ac:dyDescent="0.25">
      <c r="N68" t="str">
        <f>IFERROR(INDEX(Başvuru!$C:$C,MATCH(60,Başvuru!$W:$W,0)),"")</f>
        <v>Dr. Natalia RAKİSLOVA</v>
      </c>
    </row>
    <row r="69" spans="14:14" ht="15" customHeight="1" x14ac:dyDescent="0.25">
      <c r="N69" t="str">
        <f>IFERROR(INDEX(Başvuru!$C:$C,MATCH(61,Başvuru!$W:$W,0)),"")</f>
        <v>Doç. Dr. İlker ERTUĞRUL</v>
      </c>
    </row>
    <row r="70" spans="14:14" ht="15" customHeight="1" x14ac:dyDescent="0.25">
      <c r="N70" t="str">
        <f>IFERROR(INDEX(Başvuru!$C:$C,MATCH(62,Başvuru!$W:$W,0)),"")</f>
        <v>Prof. Dr. Sıddika Songül YALÇIN</v>
      </c>
    </row>
    <row r="71" spans="14:14" ht="15" customHeight="1" x14ac:dyDescent="0.25">
      <c r="N71" t="str">
        <f>IFERROR(INDEX(Başvuru!$C:$C,MATCH(63,Başvuru!$W:$W,0)),"")</f>
        <v>Dr. Öğr. Üyesi Gökçen AKÇİÇEK</v>
      </c>
    </row>
    <row r="72" spans="14:14" ht="15" customHeight="1" x14ac:dyDescent="0.25">
      <c r="N72" t="str">
        <f>IFERROR(INDEX(Başvuru!$C:$C,MATCH(64,Başvuru!$W:$W,0)),"")</f>
        <v>Doç. Dr. Ezgi ATİK</v>
      </c>
    </row>
    <row r="73" spans="14:14" ht="15" customHeight="1" x14ac:dyDescent="0.25">
      <c r="N73" t="str">
        <f>IFERROR(INDEX(Başvuru!$C:$C,MATCH(65,Başvuru!$W:$W,0)),"")</f>
        <v>Prof. Dr. Özlem BOYBEYİ</v>
      </c>
    </row>
    <row r="74" spans="14:14" ht="15" customHeight="1" x14ac:dyDescent="0.25">
      <c r="N74" t="str">
        <f>IFERROR(INDEX(Başvuru!$C:$C,MATCH(66,Başvuru!$W:$W,0)),"")</f>
        <v>Prof. Dr. Ülkü ÜNDEĞER BUCURGAT</v>
      </c>
    </row>
    <row r="75" spans="14:14" ht="15" customHeight="1" x14ac:dyDescent="0.25">
      <c r="N75" t="str">
        <f>IFERROR(INDEX(Başvuru!$C:$C,MATCH(67,Başvuru!$W:$W,0)),"")</f>
        <v>Doç. Dr. Erdal SAĞ</v>
      </c>
    </row>
    <row r="76" spans="14:14" ht="15" customHeight="1" x14ac:dyDescent="0.25">
      <c r="N76" t="str">
        <f>IFERROR(INDEX(Başvuru!$C:$C,MATCH(68,Başvuru!$W:$W,0)),"")</f>
        <v>Prof. Dr. Taner YILMAZ</v>
      </c>
    </row>
    <row r="77" spans="14:14" ht="15" customHeight="1" x14ac:dyDescent="0.25">
      <c r="N77" t="str">
        <f>IFERROR(INDEX(Başvuru!$C:$C,MATCH(69,Başvuru!$W:$W,0)),"")</f>
        <v>Prof. Dr. Neşe DERİCİOĞLU</v>
      </c>
    </row>
    <row r="78" spans="14:14" ht="15" customHeight="1" x14ac:dyDescent="0.25">
      <c r="N78" t="str">
        <f>IFERROR(INDEX(Başvuru!$C:$C,MATCH(70,Başvuru!$W:$W,0)),"")</f>
        <v>Doç. Dr. Mert EŞME</v>
      </c>
    </row>
    <row r="79" spans="14:14" ht="15" customHeight="1" x14ac:dyDescent="0.25">
      <c r="N79" t="str">
        <f>IFERROR(INDEX(Başvuru!$C:$C,MATCH(71,Başvuru!$W:$W,0)),"")</f>
        <v>Prof. Dr. Salih AKSU</v>
      </c>
    </row>
    <row r="80" spans="14:14" ht="15" customHeight="1" x14ac:dyDescent="0.25">
      <c r="N80" t="str">
        <f>IFERROR(INDEX(Başvuru!$C:$C,MATCH(72,Başvuru!$W:$W,0)),"")</f>
        <v>Prof. Dr. Güliz Nigar GÜNCÜ</v>
      </c>
    </row>
    <row r="81" spans="14:14" ht="15" customHeight="1" x14ac:dyDescent="0.25">
      <c r="N81" t="str">
        <f>IFERROR(INDEX(Başvuru!$C:$C,MATCH(73,Başvuru!$W:$W,0)),"")</f>
        <v>Doç. Dr. İrem KOÇ</v>
      </c>
    </row>
    <row r="82" spans="14:14" ht="15" customHeight="1" x14ac:dyDescent="0.25">
      <c r="N82" t="str">
        <f>IFERROR(INDEX(Başvuru!$C:$C,MATCH(74,Başvuru!$W:$W,0)),"")</f>
        <v>Doç. Dr. Hacı Hasan YETER</v>
      </c>
    </row>
    <row r="83" spans="14:14" ht="15" customHeight="1" x14ac:dyDescent="0.25">
      <c r="N83" t="str">
        <f>IFERROR(INDEX(Başvuru!$C:$C,MATCH(75,Başvuru!$W:$W,0)),"")</f>
        <v>Doç. Dr. Kübra AYKAÇ</v>
      </c>
    </row>
    <row r="84" spans="14:14" ht="15" customHeight="1" x14ac:dyDescent="0.25">
      <c r="N84" t="str">
        <f>IFERROR(INDEX(Başvuru!$C:$C,MATCH(76,Başvuru!$W:$W,0)),"")</f>
        <v>Doç. Dr. Emel ISIYEL</v>
      </c>
    </row>
    <row r="85" spans="14:14" ht="15" customHeight="1" x14ac:dyDescent="0.25">
      <c r="N85" t="str">
        <f>IFERROR(INDEX(Başvuru!$C:$C,MATCH(77,Başvuru!$W:$W,0)),"")</f>
        <v>Prof. Dr. Ayşe Tomris ERBAŞ</v>
      </c>
    </row>
    <row r="86" spans="14:14" ht="15" customHeight="1" x14ac:dyDescent="0.25">
      <c r="N86" t="str">
        <f>IFERROR(INDEX(Başvuru!$C:$C,MATCH(78,Başvuru!$W:$W,0)),"")</f>
        <v>Doç. Dr. Aslıhan AYKARA</v>
      </c>
    </row>
    <row r="87" spans="14:14" ht="15" customHeight="1" x14ac:dyDescent="0.25">
      <c r="N87" t="str">
        <f>IFERROR(INDEX(Başvuru!$C:$C,MATCH(79,Başvuru!$W:$W,0)),"")</f>
        <v>Prof. Dr. Hakan Hıfzı TÜZ</v>
      </c>
    </row>
    <row r="88" spans="14:14" ht="15" customHeight="1" x14ac:dyDescent="0.25">
      <c r="N88" t="str">
        <f>IFERROR(INDEX(Başvuru!$C:$C,MATCH(80,Başvuru!$W:$W,0)),"")</f>
        <v>Dr. Öğr. Üyesi Burkay UTKU</v>
      </c>
    </row>
    <row r="89" spans="14:14" ht="15" customHeight="1" x14ac:dyDescent="0.25">
      <c r="N89" t="str">
        <f>IFERROR(INDEX(Başvuru!$C:$C,MATCH(81,Başvuru!$W:$W,0)),"")</f>
        <v>Doç. Dr. Burcu ERSÖZ ALAN</v>
      </c>
    </row>
    <row r="90" spans="14:14" ht="15" customHeight="1" x14ac:dyDescent="0.25">
      <c r="N90" t="str">
        <f>IFERROR(INDEX(Başvuru!$C:$C,MATCH(82,Başvuru!$W:$W,0)),"")</f>
        <v>Prof. Dr. Selçuk DAĞDELEN</v>
      </c>
    </row>
    <row r="91" spans="14:14" ht="15" customHeight="1" x14ac:dyDescent="0.25">
      <c r="N91" t="str">
        <f>IFERROR(INDEX(Başvuru!$C:$C,MATCH(83,Başvuru!$W:$W,0)),"")</f>
        <v>Öğr. Gör. Dr. Aytekin İDİKUT</v>
      </c>
    </row>
    <row r="92" spans="14:14" ht="15" customHeight="1" x14ac:dyDescent="0.25">
      <c r="N92" t="str">
        <f>IFERROR(INDEX(Başvuru!$C:$C,MATCH(84,Başvuru!$W:$W,0)),"")</f>
        <v>Dr. Öğr. Üyesi Murat ÇAĞAN</v>
      </c>
    </row>
    <row r="93" spans="14:14" ht="15" customHeight="1" x14ac:dyDescent="0.25">
      <c r="N93" t="str">
        <f>IFERROR(INDEX(Başvuru!$C:$C,MATCH(85,Başvuru!$W:$W,0)),"")</f>
        <v>Doç. Dr. Utku AKGÖR</v>
      </c>
    </row>
    <row r="94" spans="14:14" ht="15" customHeight="1" x14ac:dyDescent="0.25">
      <c r="N94" t="str">
        <f>IFERROR(INDEX(Başvuru!$C:$C,MATCH(86,Başvuru!$W:$W,0)),"")</f>
        <v>Arş. Gör. Dt. Dilara KARA</v>
      </c>
    </row>
    <row r="95" spans="14:14" ht="15" customHeight="1" x14ac:dyDescent="0.25">
      <c r="N95" t="str">
        <f>IFERROR(INDEX(Başvuru!$C:$C,MATCH(87,Başvuru!$W:$W,0)),"")</f>
        <v>Arş. Gör. Dr. Sebiha Şükran GÜNDEŞLİ</v>
      </c>
    </row>
    <row r="96" spans="14:14" ht="15" customHeight="1" x14ac:dyDescent="0.25">
      <c r="N96" t="str">
        <f>IFERROR(INDEX(Başvuru!$C:$C,MATCH(88,Başvuru!$W:$W,0)),"")</f>
        <v>Prof. Dr. Çağrı Mesut TEMUÇİN</v>
      </c>
    </row>
    <row r="97" spans="14:14" ht="15" customHeight="1" x14ac:dyDescent="0.25">
      <c r="N97" t="str">
        <f>IFERROR(INDEX(Başvuru!$C:$C,MATCH(89,Başvuru!$W:$W,0)),"")</f>
        <v>Dr. Öğr. Üyesi Irmak OCAK</v>
      </c>
    </row>
    <row r="98" spans="14:14" ht="15" customHeight="1" x14ac:dyDescent="0.25">
      <c r="N98" t="str">
        <f>IFERROR(INDEX(Başvuru!$C:$C,MATCH(90,Başvuru!$W:$W,0)),"")</f>
        <v>Prof. Dr. Ayşe KİN İŞLER</v>
      </c>
    </row>
    <row r="99" spans="14:14" ht="15" customHeight="1" x14ac:dyDescent="0.25">
      <c r="N99" t="str">
        <f>IFERROR(INDEX(Başvuru!$C:$C,MATCH(91,Başvuru!$W:$W,0)),"")</f>
        <v>Prof. Dr. Alp ÇETİN</v>
      </c>
    </row>
    <row r="100" spans="14:14" ht="15" customHeight="1" x14ac:dyDescent="0.25">
      <c r="N100" t="str">
        <f>IFERROR(INDEX(Başvuru!$C:$C,MATCH(92,Başvuru!$W:$W,0)),"")</f>
        <v>Doç. Dr. Ceren GÜNENÇ BEŞER</v>
      </c>
    </row>
    <row r="101" spans="14:14" ht="15" customHeight="1" x14ac:dyDescent="0.25">
      <c r="N101" t="str">
        <f>IFERROR(INDEX(Başvuru!$C:$C,MATCH(93,Başvuru!$W:$W,0)),"")</f>
        <v>Prof. Dr. Hatice Yasemin BALABAN</v>
      </c>
    </row>
    <row r="102" spans="14:14" ht="15" customHeight="1" x14ac:dyDescent="0.25">
      <c r="N102" t="str">
        <f>IFERROR(INDEX(Başvuru!$C:$C,MATCH(94,Başvuru!$W:$W,0)),"")</f>
        <v>Doç. Dr. Serra ÖRSTEN</v>
      </c>
    </row>
    <row r="103" spans="14:14" ht="15" customHeight="1" x14ac:dyDescent="0.25">
      <c r="N103" t="str">
        <f>IFERROR(INDEX(Başvuru!$C:$C,MATCH(95,Başvuru!$W:$W,0)),"")</f>
        <v>Dr. Öğr. Üyesi Hilal AKDEMİR AKTAŞ</v>
      </c>
    </row>
    <row r="104" spans="14:14" ht="15" customHeight="1" x14ac:dyDescent="0.25">
      <c r="N104" t="str">
        <f>IFERROR(INDEX(Başvuru!$C:$C,MATCH(96,Başvuru!$W:$W,0)),"")</f>
        <v>Prof. Dr. Rıza Köksal ÖZGÜL</v>
      </c>
    </row>
    <row r="105" spans="14:14" ht="15" customHeight="1" x14ac:dyDescent="0.25">
      <c r="N105" t="str">
        <f>IFERROR(INDEX(Başvuru!$C:$C,MATCH(97,Başvuru!$W:$W,0)),"")</f>
        <v>Doç. Dr. Süleyman Nahit ŞENDUR</v>
      </c>
    </row>
    <row r="106" spans="14:14" ht="15" customHeight="1" x14ac:dyDescent="0.25">
      <c r="N106" t="str">
        <f>IFERROR(INDEX(Başvuru!$C:$C,MATCH(98,Başvuru!$W:$W,0)),"")</f>
        <v>Prof. Dr. Yavuz AYHAN</v>
      </c>
    </row>
    <row r="107" spans="14:14" ht="15" customHeight="1" x14ac:dyDescent="0.25">
      <c r="N107" t="str">
        <f>IFERROR(INDEX(Başvuru!$C:$C,MATCH(99,Başvuru!$W:$W,0)),"")</f>
        <v>Doç. Dr. Ceren ÖZKUL KOÇAK</v>
      </c>
    </row>
    <row r="108" spans="14:14" ht="15" customHeight="1" x14ac:dyDescent="0.25">
      <c r="N108" t="str">
        <f>IFERROR(INDEX(Başvuru!$C:$C,MATCH(100,Başvuru!$W:$W,0)),"")</f>
        <v>Dr. Öğr. Üyesi Ayşe METE YEŞİL</v>
      </c>
    </row>
    <row r="109" spans="14:14" ht="15" customHeight="1" x14ac:dyDescent="0.25">
      <c r="N109" t="str">
        <f>IFERROR(INDEX(Başvuru!$C:$C,MATCH(101,Başvuru!$W:$W,0)),"")</f>
        <v>Prof. Dr. Dilşad FOTO ÖZDEMİR</v>
      </c>
    </row>
    <row r="110" spans="14:14" ht="15" customHeight="1" x14ac:dyDescent="0.25">
      <c r="N110" t="str">
        <f>IFERROR(INDEX(Başvuru!$C:$C,MATCH(102,Başvuru!$W:$W,0)),"")</f>
        <v>Prof. Dr. Serdar ÖZER</v>
      </c>
    </row>
    <row r="111" spans="14:14" ht="15" customHeight="1" x14ac:dyDescent="0.25">
      <c r="N111" t="str">
        <f>IFERROR(INDEX(Başvuru!$C:$C,MATCH(103,Başvuru!$W:$W,0)),"")</f>
        <v>Prof. Dr. Yahya BÜYÜKAŞIK</v>
      </c>
    </row>
    <row r="112" spans="14:14" ht="15" customHeight="1" x14ac:dyDescent="0.25">
      <c r="N112" t="str">
        <f>IFERROR(INDEX(Başvuru!$C:$C,MATCH(104,Başvuru!$W:$W,0)),"")</f>
        <v>Prof. Dr. Aygin EKİNCİOĞLU</v>
      </c>
    </row>
    <row r="113" spans="14:14" ht="15" customHeight="1" x14ac:dyDescent="0.25">
      <c r="N113" t="str">
        <f>IFERROR(INDEX(Başvuru!$C:$C,MATCH(105,Başvuru!$W:$W,0)),"")</f>
        <v>Dr. Öğr. Üyesi Arda ÇETİNKAYA</v>
      </c>
    </row>
    <row r="114" spans="14:14" ht="15" customHeight="1" x14ac:dyDescent="0.25">
      <c r="N114" t="str">
        <f>IFERROR(INDEX(Başvuru!$C:$C,MATCH(106,Başvuru!$W:$W,0)),"")</f>
        <v>Dr. Öğr. Üyesi Ergin EROĞLU</v>
      </c>
    </row>
    <row r="115" spans="14:14" ht="15" customHeight="1" x14ac:dyDescent="0.25">
      <c r="N115" t="str">
        <f>IFERROR(INDEX(Başvuru!$C:$C,MATCH(107,Başvuru!$W:$W,0)),"")</f>
        <v>Prof. Dr. Hülya DEMİR</v>
      </c>
    </row>
    <row r="116" spans="14:14" ht="15" customHeight="1" x14ac:dyDescent="0.25">
      <c r="N116" t="str">
        <f>IFERROR(INDEX(Başvuru!$C:$C,MATCH(108,Başvuru!$W:$W,0)),"")</f>
        <v>Doç. Dr. Seda Hanife OĞUZ BAYKAL</v>
      </c>
    </row>
    <row r="117" spans="14:14" ht="15" customHeight="1" x14ac:dyDescent="0.25">
      <c r="N117" t="str">
        <f>IFERROR(INDEX(Başvuru!$C:$C,MATCH(109,Başvuru!$W:$W,0)),"")</f>
        <v>Prof. Dr. Deniz DOĞRU ERSÖZ</v>
      </c>
    </row>
    <row r="118" spans="14:14" ht="15" customHeight="1" x14ac:dyDescent="0.25">
      <c r="N118" t="str">
        <f>IFERROR(INDEX(Başvuru!$C:$C,MATCH(110,Başvuru!$W:$W,0)),"")</f>
        <v>Dr. Öğr. Üyesi Emre KARA</v>
      </c>
    </row>
    <row r="119" spans="14:14" ht="15" customHeight="1" x14ac:dyDescent="0.25">
      <c r="N119" t="str">
        <f>IFERROR(INDEX(Başvuru!$C:$C,MATCH(111,Başvuru!$W:$W,0)),"")</f>
        <v>Prof. Dr. Nagehan EMİRALİOĞLU ORDUKAYA</v>
      </c>
    </row>
    <row r="120" spans="14:14" ht="15" customHeight="1" x14ac:dyDescent="0.25">
      <c r="N120" t="str">
        <f>IFERROR(INDEX(Başvuru!$C:$C,MATCH(112,Başvuru!$W:$W,0)),"")</f>
        <v>Doç. Dr. Gölşah KÖK</v>
      </c>
    </row>
    <row r="121" spans="14:14" ht="15" customHeight="1" x14ac:dyDescent="0.25">
      <c r="N121" t="str">
        <f>IFERROR(INDEX(Başvuru!$C:$C,MATCH(113,Başvuru!$W:$W,0)),"")</f>
        <v>Öğr. Gör. Dr. Pınar ÖZDEMİR YAŞAR</v>
      </c>
    </row>
    <row r="122" spans="14:14" ht="15" customHeight="1" x14ac:dyDescent="0.25">
      <c r="N122" t="str">
        <f>IFERROR(INDEX(Başvuru!$C:$C,MATCH(114,Başvuru!$W:$W,0)),"")</f>
        <v>Dr. Öğr. Üyesi Barış KAFA</v>
      </c>
    </row>
    <row r="123" spans="14:14" ht="15" customHeight="1" x14ac:dyDescent="0.25">
      <c r="N123" t="str">
        <f>IFERROR(INDEX(Başvuru!$C:$C,MATCH(115,Başvuru!$W:$W,0)),"")</f>
        <v>Doç. Dr. Burcu HATİBOĞLU</v>
      </c>
    </row>
    <row r="124" spans="14:14" ht="15" customHeight="1" x14ac:dyDescent="0.25">
      <c r="N124" t="str">
        <f>IFERROR(INDEX(Başvuru!$C:$C,MATCH(116,Başvuru!$W:$W,0)),"")</f>
        <v>Dr. Öğr. Üyesi Hanife Merva PARLAK</v>
      </c>
    </row>
    <row r="125" spans="14:14" ht="15" customHeight="1" x14ac:dyDescent="0.25">
      <c r="N125" t="str">
        <f>IFERROR(INDEX(Başvuru!$C:$C,MATCH(117,Başvuru!$W:$W,0)),"")</f>
        <v>Prof. Dr. Hatice DOĞAN BUZOĞLU</v>
      </c>
    </row>
    <row r="126" spans="14:14" ht="15" customHeight="1" x14ac:dyDescent="0.25">
      <c r="N126" t="str">
        <f>IFERROR(INDEX(Başvuru!$C:$C,MATCH(118,Başvuru!$W:$W,0)),"")</f>
        <v>Doç. Dr. Almıla Gülsün PAMUK</v>
      </c>
    </row>
    <row r="127" spans="14:14" ht="15" customHeight="1" x14ac:dyDescent="0.25">
      <c r="N127" t="str">
        <f>IFERROR(INDEX(Başvuru!$C:$C,MATCH(119,Başvuru!$W:$W,0)),"")</f>
        <v>Doç. Dr. Gamze ATAY</v>
      </c>
    </row>
    <row r="128" spans="14:14" ht="15" customHeight="1" x14ac:dyDescent="0.25">
      <c r="N128" t="str">
        <f>IFERROR(INDEX(Başvuru!$C:$C,MATCH(120,Başvuru!$W:$W,0)),"")</f>
        <v>Doç. Dr. Hilal KORKMAZ</v>
      </c>
    </row>
    <row r="129" spans="14:14" ht="15" customHeight="1" x14ac:dyDescent="0.25">
      <c r="N129" t="str">
        <f>IFERROR(INDEX(Başvuru!$C:$C,MATCH(121,Başvuru!$W:$W,0)),"")</f>
        <v>Doç. Dr. Derman BAŞARAN</v>
      </c>
    </row>
    <row r="130" spans="14:14" ht="15" customHeight="1" x14ac:dyDescent="0.25">
      <c r="N130" t="str">
        <f>IFERROR(INDEX(Başvuru!$C:$C,MATCH(122,Başvuru!$W:$W,0)),"")</f>
        <v>Doç. Dr. Duygu GÜLSEREN</v>
      </c>
    </row>
    <row r="131" spans="14:14" ht="15" customHeight="1" x14ac:dyDescent="0.25">
      <c r="N131" t="str">
        <f>IFERROR(INDEX(Başvuru!$C:$C,MATCH(123,Başvuru!$W:$W,0)),"")</f>
        <v>Prof. Dr. Egemen TURHAN</v>
      </c>
    </row>
    <row r="132" spans="14:14" ht="15" customHeight="1" x14ac:dyDescent="0.25">
      <c r="N132" t="str">
        <f>IFERROR(INDEX(Başvuru!$C:$C,MATCH(124,Başvuru!$W:$W,0)),"")</f>
        <v>Prof. Dr. Sevinç SARINÇ</v>
      </c>
    </row>
    <row r="133" spans="14:14" ht="15" customHeight="1" x14ac:dyDescent="0.25">
      <c r="N133" t="str">
        <f>IFERROR(INDEX(Başvuru!$C:$C,MATCH(125,Başvuru!$W:$W,0)),"")</f>
        <v>Prof. Dr. Serdar TEKGÜL</v>
      </c>
    </row>
    <row r="134" spans="14:14" ht="15" customHeight="1" x14ac:dyDescent="0.25">
      <c r="N134" t="str">
        <f>IFERROR(INDEX(Başvuru!$C:$C,MATCH(126,Başvuru!$W:$W,0)),"")</f>
        <v>Doç. Dr. Mesut ALTAN</v>
      </c>
    </row>
    <row r="135" spans="14:14" ht="15" customHeight="1" x14ac:dyDescent="0.25">
      <c r="N135" t="str">
        <f>IFERROR(INDEX(Başvuru!$C:$C,MATCH(127,Başvuru!$W:$W,0)),"")</f>
        <v>Doç. Dr. İzzet FİDANCI</v>
      </c>
    </row>
    <row r="136" spans="14:14" ht="15" customHeight="1" x14ac:dyDescent="0.25">
      <c r="N136" t="str">
        <f>IFERROR(INDEX(Başvuru!$C:$C,MATCH(128,Başvuru!$W:$W,0)),"")</f>
        <v>Doç. Dr. Basri GÜLBAKAN</v>
      </c>
    </row>
    <row r="137" spans="14:14" ht="15" customHeight="1" x14ac:dyDescent="0.25">
      <c r="N137" t="str">
        <f>IFERROR(INDEX(Başvuru!$C:$C,MATCH(129,Başvuru!$W:$W,0)),"")</f>
        <v>Dr. Öğr. Üyesi Merva PARLAK</v>
      </c>
    </row>
    <row r="138" spans="14:14" ht="15" customHeight="1" x14ac:dyDescent="0.25">
      <c r="N138" t="str">
        <f>IFERROR(INDEX(Başvuru!$C:$C,MATCH(130,Başvuru!$W:$W,0)),"")</f>
        <v>Prof. Dr. Mustafa Barış GÜNCÜ</v>
      </c>
    </row>
    <row r="139" spans="14:14" ht="15" customHeight="1" x14ac:dyDescent="0.25">
      <c r="N139" t="str">
        <f>IFERROR(INDEX(Başvuru!$C:$C,MATCH(131,Başvuru!$W:$W,0)),"")</f>
        <v>Dr. Öğr. Üyesi Aybüke USLU TEKCE</v>
      </c>
    </row>
    <row r="140" spans="14:14" ht="15" customHeight="1" x14ac:dyDescent="0.25">
      <c r="N140" t="str">
        <f>IFERROR(INDEX(Başvuru!$C:$C,MATCH(132,Başvuru!$W:$W,0)),"")</f>
        <v>Dr. Öğr. Üyesi Muhammed Çağrı KÜLEKCİ</v>
      </c>
    </row>
    <row r="141" spans="14:14" ht="15" customHeight="1" x14ac:dyDescent="0.25">
      <c r="N141" t="str">
        <f>IFERROR(INDEX(Başvuru!$C:$C,MATCH(133,Başvuru!$W:$W,0)),"")</f>
        <v>Doç.Dr. Tekin AKSU</v>
      </c>
    </row>
    <row r="142" spans="14:14" ht="15" customHeight="1" x14ac:dyDescent="0.25">
      <c r="N142" t="str">
        <f>IFERROR(INDEX(Başvuru!$C:$C,MATCH(134,Başvuru!$W:$W,0)),"")</f>
        <v>Öğr. Gör. Dr. Helin YÜCEDAĞ GÜNDOĞDU</v>
      </c>
    </row>
    <row r="143" spans="14:14" ht="15" customHeight="1" x14ac:dyDescent="0.25">
      <c r="N143" t="str">
        <f>IFERROR(INDEX(Başvuru!$C:$C,MATCH(135,Başvuru!$W:$W,0)),"")</f>
        <v>Dr. Öğr. Üyesi Özge YAVUZ SARI</v>
      </c>
    </row>
    <row r="144" spans="14:14" ht="15" customHeight="1" x14ac:dyDescent="0.25">
      <c r="N144" t="str">
        <f>IFERROR(INDEX(Başvuru!$C:$C,MATCH(136,Başvuru!$W:$W,0)),"")</f>
        <v>Arş. Gör. Dr. Şükran BAYRAK</v>
      </c>
    </row>
    <row r="145" spans="14:14" ht="15" customHeight="1" x14ac:dyDescent="0.25">
      <c r="N145" t="str">
        <f>IFERROR(INDEX(Başvuru!$C:$C,MATCH(137,Başvuru!$W:$W,0)),"")</f>
        <v>Prof. Dr. Jale KARAKAYA</v>
      </c>
    </row>
    <row r="146" spans="14:14" ht="15" customHeight="1" x14ac:dyDescent="0.25">
      <c r="N146" t="str">
        <f>IFERROR(INDEX(Başvuru!$C:$C,MATCH(138,Başvuru!$W:$W,0)),"")</f>
        <v>Dr. Öğr. Üyesi Aycan UYSAL</v>
      </c>
    </row>
    <row r="147" spans="14:14" ht="15" customHeight="1" x14ac:dyDescent="0.25">
      <c r="N147" t="str">
        <f>IFERROR(INDEX(Başvuru!$C:$C,MATCH(139,Başvuru!$W:$W,0)),"")</f>
        <v>Prof. Dr. Mustafa CANKURTARAN</v>
      </c>
    </row>
    <row r="148" spans="14:14" ht="15" customHeight="1" x14ac:dyDescent="0.25">
      <c r="N148" t="str">
        <f>IFERROR(INDEX(Başvuru!$C:$C,MATCH(140,Başvuru!$W:$W,0)),"")</f>
        <v>Dr. Öğr. Üyesi Hatice BOYACIOĞLU ERDEN</v>
      </c>
    </row>
    <row r="149" spans="14:14" ht="15" customHeight="1" x14ac:dyDescent="0.25">
      <c r="N149" t="str">
        <f>IFERROR(INDEX(Başvuru!$C:$C,MATCH(141,Başvuru!$W:$W,0)),"")</f>
        <v>Dr. Öğr. Üyesi Ezgi DOĞAN CÖMERT</v>
      </c>
    </row>
    <row r="150" spans="14:14" ht="15" customHeight="1" x14ac:dyDescent="0.25">
      <c r="N150" t="str">
        <f>IFERROR(INDEX(Başvuru!$C:$C,MATCH(142,Başvuru!$W:$W,0)),"")</f>
        <v>Dr. Öğr. Üyesi Salih Eren MERAL</v>
      </c>
    </row>
    <row r="151" spans="14:14" ht="15" customHeight="1" x14ac:dyDescent="0.25">
      <c r="N151" t="str">
        <f>IFERROR(INDEX(Başvuru!$C:$C,MATCH(143,Başvuru!$W:$W,0)),"")</f>
        <v>Prof. Dr. Murat TUNCEL</v>
      </c>
    </row>
    <row r="152" spans="14:14" ht="15" customHeight="1" x14ac:dyDescent="0.25">
      <c r="N152" t="str">
        <f>IFERROR(INDEX(Başvuru!$C:$C,MATCH(144,Başvuru!$W:$W,0)),"")</f>
        <v>Prof. Dr. Özgür UĞURLUOĞLU</v>
      </c>
    </row>
    <row r="153" spans="14:14" ht="15" customHeight="1" x14ac:dyDescent="0.25">
      <c r="N153" t="str">
        <f>IFERROR(INDEX(Başvuru!$C:$C,MATCH(145,Başvuru!$W:$W,0)),"")</f>
        <v>Doç. Dr. Adalet Elçin YILDIZ</v>
      </c>
    </row>
    <row r="154" spans="14:14" ht="15" customHeight="1" x14ac:dyDescent="0.25">
      <c r="N154" t="str">
        <f>IFERROR(INDEX(Başvuru!$C:$C,MATCH(146,Başvuru!$W:$W,0)),"")</f>
        <v>Doç. Dr. Duygu AYHAN BAŞER</v>
      </c>
    </row>
    <row r="155" spans="14:14" ht="15" customHeight="1" x14ac:dyDescent="0.25">
      <c r="N155" t="str">
        <f>IFERROR(INDEX(Başvuru!$C:$C,MATCH(147,Başvuru!$W:$W,0)),"")</f>
        <v>Doç. Dr. İdil Rana USER KILIÇ</v>
      </c>
    </row>
    <row r="156" spans="14:14" ht="15" customHeight="1" x14ac:dyDescent="0.25">
      <c r="N156" t="str">
        <f>IFERROR(INDEX(Başvuru!$C:$C,MATCH(148,Başvuru!$W:$W,0)),"")</f>
        <v>Doç. Dr. Bengisu AKARSU GÜVEN</v>
      </c>
    </row>
    <row r="157" spans="14:14" ht="15" customHeight="1" x14ac:dyDescent="0.25">
      <c r="N157" t="str">
        <f>IFERROR(INDEX(Başvuru!$C:$C,MATCH(149,Başvuru!$W:$W,0)),"")</f>
        <v>Prof. Dr. Ali DURSUN</v>
      </c>
    </row>
    <row r="158" spans="14:14" ht="15" customHeight="1" x14ac:dyDescent="0.25">
      <c r="N158" t="str">
        <f>IFERROR(INDEX(Başvuru!$C:$C,MATCH(150,Başvuru!$W:$W,0)),"")</f>
        <v>Prof. Dr. Mert ÇALIŞ</v>
      </c>
    </row>
    <row r="159" spans="14:14" ht="15" customHeight="1" x14ac:dyDescent="0.25">
      <c r="N159" t="str">
        <f>IFERROR(INDEX(Başvuru!$C:$C,MATCH(151,Başvuru!$W:$W,0)),"")</f>
        <v>Dr. Öğr. Üyesi Gözde ÖZER</v>
      </c>
    </row>
    <row r="160" spans="14:14" ht="15" customHeight="1" x14ac:dyDescent="0.25">
      <c r="N160" t="str">
        <f>IFERROR(INDEX(Başvuru!$C:$C,MATCH(152,Başvuru!$W:$W,0)),"")</f>
        <v>Prof. Dr. Betül ÇELEBİ SALTIK</v>
      </c>
    </row>
    <row r="161" spans="14:14" ht="15" customHeight="1" x14ac:dyDescent="0.25">
      <c r="N161" t="str">
        <f>IFERROR(INDEX(Başvuru!$C:$C,MATCH(153,Başvuru!$W:$W,0)),"")</f>
        <v>Prof. Dr. Şehnaz ALP</v>
      </c>
    </row>
    <row r="162" spans="14:14" ht="15" customHeight="1" x14ac:dyDescent="0.25">
      <c r="N162" t="str">
        <f>IFERROR(INDEX(Başvuru!$C:$C,MATCH(154,Başvuru!$W:$W,0)),"")</f>
        <v>Prof. Dr. Bora GÜLHAN</v>
      </c>
    </row>
    <row r="163" spans="14:14" ht="15" customHeight="1" x14ac:dyDescent="0.25">
      <c r="N163" t="str">
        <f>IFERROR(INDEX(Başvuru!$C:$C,MATCH(155,Başvuru!$W:$W,0)),"")</f>
        <v>Doç. Dr. Sevtap ARSLAN SARIKAYA</v>
      </c>
    </row>
    <row r="164" spans="14:14" ht="15" customHeight="1" x14ac:dyDescent="0.25">
      <c r="N164" t="str">
        <f>IFERROR(INDEX(Başvuru!$C:$C,MATCH(156,Başvuru!$W:$W,0)),"")</f>
        <v>Doç. Dr. Zeynep TÜZÜN GÜN</v>
      </c>
    </row>
    <row r="165" spans="14:14" ht="15" customHeight="1" x14ac:dyDescent="0.25">
      <c r="N165" t="str">
        <f>IFERROR(INDEX(Başvuru!$C:$C,MATCH(157,Başvuru!$W:$W,0)),"")</f>
        <v>Prof. Dr. Fadime İrsel TEZER FİLİK</v>
      </c>
    </row>
    <row r="166" spans="14:14" ht="15" customHeight="1" x14ac:dyDescent="0.25">
      <c r="N166" t="str">
        <f>IFERROR(INDEX(Başvuru!$C:$C,MATCH(158,Başvuru!$W:$W,0)),"")</f>
        <v>Doç. Dr. Kevser NALBANT</v>
      </c>
    </row>
    <row r="167" spans="14:14" ht="15" customHeight="1" x14ac:dyDescent="0.25">
      <c r="N167" t="str">
        <f>IFERROR(INDEX(Başvuru!$C:$C,MATCH(159,Başvuru!$W:$W,0)),"")</f>
        <v>Prof. Dr. Özlem TEKŞAM</v>
      </c>
    </row>
    <row r="168" spans="14:14" ht="15" customHeight="1" x14ac:dyDescent="0.25">
      <c r="N168" t="str">
        <f>IFERROR(INDEX(Başvuru!$C:$C,MATCH(160,Başvuru!$W:$W,0)),"")</f>
        <v>Dr. Öğr. Üyesi Gökhan AYIK</v>
      </c>
    </row>
    <row r="169" spans="14:14" ht="15" customHeight="1" x14ac:dyDescent="0.25">
      <c r="N169" t="str">
        <f>IFERROR(INDEX(Başvuru!$C:$C,MATCH(161,Başvuru!$W:$W,0)),"")</f>
        <v>Öğr. Gör. Dr. Esin ALPDÜNDAR BULUT</v>
      </c>
    </row>
    <row r="170" spans="14:14" ht="15" customHeight="1" x14ac:dyDescent="0.25">
      <c r="N170" t="str">
        <f>IFERROR(INDEX(Başvuru!$C:$C,MATCH(162,Başvuru!$W:$W,0)),"")</f>
        <v>Prof. Dr. Güliz AKTAŞ</v>
      </c>
    </row>
    <row r="171" spans="14:14" ht="15" customHeight="1" x14ac:dyDescent="0.25">
      <c r="N171" t="str">
        <f>IFERROR(INDEX(Başvuru!$C:$C,MATCH(163,Başvuru!$W:$W,0)),"")</f>
        <v>Prof. Dr. Şule ÜNAL CANGÜL</v>
      </c>
    </row>
    <row r="172" spans="14:14" ht="15" customHeight="1" x14ac:dyDescent="0.25">
      <c r="N172" t="str">
        <f>IFERROR(INDEX(Başvuru!$C:$C,MATCH(164,Başvuru!$W:$W,0)),"")</f>
        <v>Prof. Dr. Seda Banu AKINCI</v>
      </c>
    </row>
    <row r="173" spans="14:14" ht="15" customHeight="1" x14ac:dyDescent="0.25">
      <c r="N173" t="str">
        <f>IFERROR(INDEX(Başvuru!$C:$C,MATCH(165,Başvuru!$W:$W,0)),"")</f>
        <v>Doç. Dr. Başak AKÇA</v>
      </c>
    </row>
    <row r="174" spans="14:14" ht="15" customHeight="1" x14ac:dyDescent="0.25">
      <c r="N174" t="str">
        <f>IFERROR(INDEX(Başvuru!$C:$C,MATCH(166,Başvuru!$W:$W,0)),"")</f>
        <v>Prof. Dr. Mehmet Cemalettin AKSOY</v>
      </c>
    </row>
    <row r="175" spans="14:14" ht="15" customHeight="1" x14ac:dyDescent="0.25">
      <c r="N175" t="str">
        <f>IFERROR(INDEX(Başvuru!$C:$C,MATCH(167,Başvuru!$W:$W,0)),"")</f>
        <v>Prof. Dr. Murat GÜLTEKİN</v>
      </c>
    </row>
    <row r="176" spans="14:14" ht="15" customHeight="1" x14ac:dyDescent="0.25">
      <c r="N176" t="str">
        <f>IFERROR(INDEX(Başvuru!$C:$C,MATCH(168,Başvuru!$W:$W,0)),"")</f>
        <v>Dr. Öğr. Üyesi Selen ADİLOĞLU</v>
      </c>
    </row>
    <row r="177" spans="14:14" ht="15" customHeight="1" x14ac:dyDescent="0.25">
      <c r="N177" t="str">
        <f>IFERROR(INDEX(Başvuru!$C:$C,MATCH(169,Başvuru!$W:$W,0)),"")</f>
        <v>Prof. Dr. Bülent Enis ŞEKEREL</v>
      </c>
    </row>
    <row r="178" spans="14:14" ht="15" customHeight="1" x14ac:dyDescent="0.25">
      <c r="N178" t="str">
        <f>IFERROR(INDEX(Başvuru!$C:$C,MATCH(170,Başvuru!$W:$W,0)),"")</f>
        <v>Doç. Dr. Leman AKCAN YILDIZ</v>
      </c>
    </row>
    <row r="179" spans="14:14" ht="15" customHeight="1" x14ac:dyDescent="0.25">
      <c r="N179" t="str">
        <f>IFERROR(INDEX(Başvuru!$C:$C,MATCH(171,Başvuru!$W:$W,0)),"")</f>
        <v>Prof. Dr. Ali Rıza TÜMER</v>
      </c>
    </row>
    <row r="180" spans="14:14" ht="15" customHeight="1" x14ac:dyDescent="0.25">
      <c r="N180" t="str">
        <f>IFERROR(INDEX(Başvuru!$C:$C,MATCH(172,Başvuru!$W:$W,0)),"")</f>
        <v>Prof. Dr. Burcu Balam DOĞU</v>
      </c>
    </row>
    <row r="181" spans="14:14" ht="15" customHeight="1" x14ac:dyDescent="0.25">
      <c r="N181" t="str">
        <f>IFERROR(INDEX(Başvuru!$C:$C,MATCH(173,Başvuru!$W:$W,0)),"")</f>
        <v>Doç. Dr. Emel Tuğba ATAMAN DURUEL</v>
      </c>
    </row>
    <row r="182" spans="14:14" ht="15" customHeight="1" x14ac:dyDescent="0.25">
      <c r="N182" t="str">
        <f>IFERROR(INDEX(Başvuru!$C:$C,MATCH(174,Başvuru!$W:$W,0)),"")</f>
        <v>Doç. Dr. Hayriye HIZARCIOĞLU GÜLŞEN</v>
      </c>
    </row>
    <row r="183" spans="14:14" ht="15" customHeight="1" x14ac:dyDescent="0.25">
      <c r="N183" t="str">
        <f>IFERROR(INDEX(Başvuru!$C:$C,MATCH(175,Başvuru!$W:$W,0)),"")</f>
        <v>Dr. Öğr. Üyesi Gizem ÜREL DEMİR</v>
      </c>
    </row>
    <row r="184" spans="14:14" ht="15" customHeight="1" x14ac:dyDescent="0.25">
      <c r="N184" t="str">
        <f>IFERROR(INDEX(Başvuru!$C:$C,MATCH(176,Başvuru!$W:$W,0)),"")</f>
        <v>Dr. Öğr. Üyesi Sefa Burak ÇAM</v>
      </c>
    </row>
    <row r="185" spans="14:14" ht="15" customHeight="1" x14ac:dyDescent="0.25">
      <c r="N185" t="str">
        <f>IFERROR(INDEX(Başvuru!$C:$C,MATCH(177,Başvuru!$W:$W,0)),"")</f>
        <v>Doç. Dr. Fatma Gonca ELDEM</v>
      </c>
    </row>
    <row r="186" spans="14:14" ht="15" customHeight="1" x14ac:dyDescent="0.25">
      <c r="N186" t="str">
        <f>IFERROR(INDEX(Başvuru!$C:$C,MATCH(178,Başvuru!$W:$W,0)),"")</f>
        <v>Prof. Dr. İnci Nur SALTIK</v>
      </c>
    </row>
    <row r="187" spans="14:14" ht="15" customHeight="1" x14ac:dyDescent="0.25">
      <c r="N187" t="str">
        <f>IFERROR(INDEX(Başvuru!$C:$C,MATCH(179,Başvuru!$W:$W,0)),"")</f>
        <v>Doç. Dr. Hilal AKSOY</v>
      </c>
    </row>
    <row r="188" spans="14:14" ht="15" customHeight="1" x14ac:dyDescent="0.25">
      <c r="N188" t="str">
        <f>IFERROR(INDEX(Başvuru!$C:$C,MATCH(180,Başvuru!$W:$W,0)),"")</f>
        <v>Prof. Dr. Taylan KAV</v>
      </c>
    </row>
    <row r="189" spans="14:14" ht="15" customHeight="1" x14ac:dyDescent="0.25">
      <c r="N189" t="str">
        <f>IFERROR(INDEX(Başvuru!$C:$C,MATCH(181,Başvuru!$W:$W,0)),"")</f>
        <v>Prof. Dr. Zafer Selçuk TUNCER</v>
      </c>
    </row>
    <row r="190" spans="14:14" ht="15" customHeight="1" x14ac:dyDescent="0.25">
      <c r="N190" t="str">
        <f>IFERROR(INDEX(Başvuru!$C:$C,MATCH(182,Başvuru!$W:$W,0)),"")</f>
        <v>Prof. Dr. Fatma Visal OKUR</v>
      </c>
    </row>
    <row r="191" spans="14:14" ht="15" customHeight="1" x14ac:dyDescent="0.25">
      <c r="N191" t="str">
        <f>IFERROR(INDEX(Başvuru!$C:$C,MATCH(183,Başvuru!$W:$W,0)),"")</f>
        <v>Arş. Gör. Dr. Tuğçe TAŞKINDERE ABBASOĞLU</v>
      </c>
    </row>
    <row r="192" spans="14:14" ht="15" customHeight="1" x14ac:dyDescent="0.25">
      <c r="N192" t="str">
        <f>IFERROR(INDEX(Başvuru!$C:$C,MATCH(184,Başvuru!$W:$W,0)),"")</f>
        <v>Prof. Dr. Emel UZUNOĞLU ÖZYÜREK</v>
      </c>
    </row>
    <row r="193" spans="14:14" ht="15" customHeight="1" x14ac:dyDescent="0.25">
      <c r="N193" t="str">
        <f>IFERROR(INDEX(Başvuru!$C:$C,MATCH(185,Başvuru!$W:$W,0)),"")</f>
        <v>Prof. Dr. Devrim AKDEMİR</v>
      </c>
    </row>
    <row r="194" spans="14:14" ht="15" customHeight="1" x14ac:dyDescent="0.25">
      <c r="N194" t="str">
        <f>IFERROR(INDEX(Başvuru!$C:$C,MATCH(186,Başvuru!$W:$W,0)),"")</f>
        <v>Dr. Öğr. Üyesi Onur İNCE</v>
      </c>
    </row>
    <row r="195" spans="14:14" ht="15" customHeight="1" x14ac:dyDescent="0.25">
      <c r="N195" t="str">
        <f>IFERROR(INDEX(Başvuru!$C:$C,MATCH(187,Başvuru!$W:$W,0)),"")</f>
        <v>Öğr. Gör. Dr. Berrin BABAOĞLU</v>
      </c>
    </row>
    <row r="196" spans="14:14" ht="15" customHeight="1" x14ac:dyDescent="0.25">
      <c r="N196" t="str">
        <f>IFERROR(INDEX(Başvuru!$C:$C,MATCH(188,Başvuru!$W:$W,0)),"")</f>
        <v>Prof. Dr. Hakan GÖKER</v>
      </c>
    </row>
    <row r="197" spans="14:14" ht="15" customHeight="1" x14ac:dyDescent="0.25">
      <c r="N197" t="str">
        <f>IFERROR(INDEX(Başvuru!$C:$C,MATCH(189,Başvuru!$W:$W,0)),"")</f>
        <v>Prof. Dr. Sinem AKGÜL</v>
      </c>
    </row>
    <row r="198" spans="14:14" ht="15" customHeight="1" x14ac:dyDescent="0.25">
      <c r="N198" t="str">
        <f>IFERROR(INDEX(Başvuru!$C:$C,MATCH(190,Başvuru!$W:$W,0)),"")</f>
        <v>Doç. Dr. Cem ÇÖTELİ</v>
      </c>
    </row>
    <row r="199" spans="14:14" ht="15" customHeight="1" x14ac:dyDescent="0.25">
      <c r="N199" t="str">
        <f>IFERROR(INDEX(Başvuru!$C:$C,MATCH(191,Başvuru!$W:$W,0)),"")</f>
        <v>Doç. Dr. Oğuz Abdullah UYAROĞLU</v>
      </c>
    </row>
    <row r="200" spans="14:14" ht="15" customHeight="1" x14ac:dyDescent="0.25">
      <c r="N200" t="str">
        <f>IFERROR(INDEX(Başvuru!$C:$C,MATCH(192,Başvuru!$W:$W,0)),"")</f>
        <v>Prof. Dr. Bilge VOLKAN SALANCI</v>
      </c>
    </row>
    <row r="201" spans="14:14" ht="15" customHeight="1" x14ac:dyDescent="0.25">
      <c r="N201" t="str">
        <f>IFERROR(INDEX(Başvuru!$C:$C,MATCH(193,Başvuru!$W:$W,0)),"")</f>
        <v>Prof. Dr. Filiz YALÇIN</v>
      </c>
    </row>
    <row r="202" spans="14:14" ht="15" customHeight="1" x14ac:dyDescent="0.25">
      <c r="N202" t="str">
        <f>IFERROR(INDEX(Başvuru!$C:$C,MATCH(194,Başvuru!$W:$W,0)),"")</f>
        <v>Prof. Dr. Cavit Işık YAVUZ</v>
      </c>
    </row>
    <row r="203" spans="14:14" ht="15" customHeight="1" x14ac:dyDescent="0.25">
      <c r="N203" t="str">
        <f>IFERROR(INDEX(Başvuru!$C:$C,MATCH(195,Başvuru!$W:$W,0)),"")</f>
        <v>Dr. Öğr. Üyesi Burçe ATAÇ MOGOL</v>
      </c>
    </row>
    <row r="204" spans="14:14" ht="15" customHeight="1" x14ac:dyDescent="0.25">
      <c r="N204" t="str">
        <f>IFERROR(INDEX(Başvuru!$C:$C,MATCH(196,Başvuru!$W:$W,0)),"")</f>
        <v>Doç. Dr. Cafer BALCI</v>
      </c>
    </row>
    <row r="205" spans="14:14" ht="15" customHeight="1" x14ac:dyDescent="0.25">
      <c r="N205" t="str">
        <f>IFERROR(INDEX(Başvuru!$C:$C,MATCH(197,Başvuru!$W:$W,0)),"")</f>
        <v>Prof. Dr. Sibel DOĞAN GÜNAYDIN</v>
      </c>
    </row>
    <row r="206" spans="14:14" ht="15" customHeight="1" x14ac:dyDescent="0.25">
      <c r="N206" t="str">
        <f>IFERROR(INDEX(Başvuru!$C:$C,MATCH(198,Başvuru!$W:$W,0)),"")</f>
        <v>Doç. Dr. Cansu ÖZŞİN ÖZLER</v>
      </c>
    </row>
    <row r="207" spans="14:14" ht="15" customHeight="1" x14ac:dyDescent="0.25">
      <c r="N207" t="str">
        <f>IFERROR(INDEX(Başvuru!$C:$C,MATCH(199,Başvuru!$W:$W,0)),"")</f>
        <v>Öğr. Gör. Dr. Tuğçe TAŞKINDERE ABBASOĞLU</v>
      </c>
    </row>
    <row r="208" spans="14:14" ht="15" customHeight="1" x14ac:dyDescent="0.25">
      <c r="N208" t="str">
        <f>IFERROR(INDEX(Başvuru!$C:$C,MATCH(200,Başvuru!$W:$W,0)),"")</f>
        <v>Dr. Öğr. Üyesi Selin ARDALI DÜZGÜN</v>
      </c>
    </row>
    <row r="209" spans="14:14" ht="15" customHeight="1" x14ac:dyDescent="0.25">
      <c r="N209" t="str">
        <f>IFERROR(INDEX(Başvuru!$C:$C,MATCH(201,Başvuru!$W:$W,0)),"")</f>
        <v>Prof. Dr. Meryem Aslı TUNCER</v>
      </c>
    </row>
    <row r="210" spans="14:14" ht="15" customHeight="1" x14ac:dyDescent="0.25">
      <c r="N210" t="str">
        <f>IFERROR(INDEX(Başvuru!$C:$C,MATCH(202,Başvuru!$W:$W,0)),"")</f>
        <v>Doç. Dr. Oytun PORTAKAL AKÇİN</v>
      </c>
    </row>
    <row r="211" spans="14:14" ht="15" customHeight="1" x14ac:dyDescent="0.25">
      <c r="N211" t="str">
        <f>IFERROR(INDEX(Başvuru!$C:$C,MATCH(203,Başvuru!$W:$W,0)),"")</f>
        <v>Prof. Dr. Hüseyin Gencay KEÇELİ</v>
      </c>
    </row>
    <row r="212" spans="14:14" ht="15" customHeight="1" x14ac:dyDescent="0.25">
      <c r="N212" t="str">
        <f>IFERROR(INDEX(Başvuru!$C:$C,MATCH(204,Başvuru!$W:$W,0)),"")</f>
        <v>Prof. Dr. Kasım KARATAŞ</v>
      </c>
    </row>
    <row r="213" spans="14:14" ht="15" customHeight="1" x14ac:dyDescent="0.25">
      <c r="N213" t="str">
        <f>IFERROR(INDEX(Başvuru!$C:$C,MATCH(205,Başvuru!$W:$W,0)),"")</f>
        <v>Dr. Öğr. Üyesi Hayri Can ÖZDEN</v>
      </c>
    </row>
    <row r="214" spans="14:14" ht="15" customHeight="1" x14ac:dyDescent="0.25">
      <c r="N214" t="str">
        <f>IFERROR(INDEX(Başvuru!$C:$C,MATCH(206,Başvuru!$W:$W,0)),"")</f>
        <v>Dr. Öğr. Üyesi Ece ÖZOĞUL</v>
      </c>
    </row>
    <row r="215" spans="14:14" ht="15" customHeight="1" x14ac:dyDescent="0.25">
      <c r="N215" t="str">
        <f>IFERROR(INDEX(Başvuru!$C:$C,MATCH(207,Başvuru!$W:$W,0)),"")</f>
        <v>Doç. Dr. Galip Gencay ÜSTÜN</v>
      </c>
    </row>
    <row r="216" spans="14:14" ht="15" customHeight="1" x14ac:dyDescent="0.25">
      <c r="N216" t="str">
        <f>IFERROR(INDEX(Başvuru!$C:$C,MATCH(208,Başvuru!$W:$W,0)),"")</f>
        <v>Dr. Öğr. Üyesi Evrim ÜNVER</v>
      </c>
    </row>
    <row r="217" spans="14:14" ht="15" customHeight="1" x14ac:dyDescent="0.25">
      <c r="N217" t="str">
        <f>IFERROR(INDEX(Başvuru!$C:$C,MATCH(209,Başvuru!$W:$W,0)),"")</f>
        <v>Doç. Dr. Cem ŞİMŞEK</v>
      </c>
    </row>
    <row r="218" spans="14:14" ht="15" customHeight="1" x14ac:dyDescent="0.25">
      <c r="N218" t="str">
        <f>IFERROR(INDEX(Başvuru!$C:$C,MATCH(210,Başvuru!$W:$W,0)),"")</f>
        <v>Doç. Dr. Özlem DİKMETAŞ SANDIKÇI</v>
      </c>
    </row>
    <row r="219" spans="14:14" ht="15" customHeight="1" x14ac:dyDescent="0.25">
      <c r="N219" t="str">
        <f>IFERROR(INDEX(Başvuru!$C:$C,MATCH(211,Başvuru!$W:$W,0)),"")</f>
        <v>Prof. Dr. Hakan UZUN</v>
      </c>
    </row>
    <row r="220" spans="14:14" ht="15" customHeight="1" x14ac:dyDescent="0.25">
      <c r="N220" s="216" t="str">
        <f>IFERROR(INDEX(Başvuru!$C:$C,MATCH(212,Başvuru!$W:$W,0)),"")</f>
        <v>Prof. Dr. Gülten GÜVENÇ
Doç. Dr. Gölşah KÖK</v>
      </c>
    </row>
    <row r="221" spans="14:14" ht="15" customHeight="1" x14ac:dyDescent="0.25">
      <c r="N221" t="str">
        <f>IFERROR(INDEX(Başvuru!$C:$C,MATCH(213,Başvuru!$W:$W,0)),"")</f>
        <v>Prof. Dr. Ebru AYPAR</v>
      </c>
    </row>
    <row r="222" spans="14:14" ht="15" customHeight="1" x14ac:dyDescent="0.25">
      <c r="N222" t="str">
        <f>IFERROR(INDEX(Başvuru!$C:$C,MATCH(214,Başvuru!$W:$W,0)),"")</f>
        <v>Prof. Dr. Umut KALYONCU</v>
      </c>
    </row>
    <row r="223" spans="14:14" ht="15" customHeight="1" x14ac:dyDescent="0.25">
      <c r="N223" t="str">
        <f>IFERROR(INDEX(Başvuru!$C:$C,MATCH(215,Başvuru!$W:$W,0)),"")</f>
        <v>Prof. Dr. Erdem KARABULUT</v>
      </c>
    </row>
    <row r="224" spans="14:14" ht="15" customHeight="1" x14ac:dyDescent="0.25">
      <c r="N224" t="str">
        <f>IFERROR(INDEX(Başvuru!$C:$C,MATCH(216,Başvuru!$W:$W,0)),"")</f>
        <v>Doç. Dr. Nezih AKKAPULU</v>
      </c>
    </row>
    <row r="225" spans="14:14" ht="15" customHeight="1" x14ac:dyDescent="0.25">
      <c r="N225" t="str">
        <f>IFERROR(INDEX(Başvuru!$C:$C,MATCH(217,Başvuru!$W:$W,0)),"")</f>
        <v>Prof. Dr. Gökçen ÇOBAN ÇİFÇİ</v>
      </c>
    </row>
    <row r="226" spans="14:14" ht="15" customHeight="1" x14ac:dyDescent="0.25">
      <c r="N226" t="str">
        <f>IFERROR(INDEX(Başvuru!$C:$C,MATCH(218,Başvuru!$W:$W,0)),"")</f>
        <v>Dr. Öğr. Gör. Buket KILIÇ</v>
      </c>
    </row>
    <row r="227" spans="14:14" ht="15" customHeight="1" x14ac:dyDescent="0.25">
      <c r="N227" t="str">
        <f>IFERROR(INDEX(Başvuru!$C:$C,MATCH(219,Başvuru!$W:$W,0)),"")</f>
        <v>Prof. Dr. Ömrüm UZUN</v>
      </c>
    </row>
    <row r="228" spans="14:14" ht="15" customHeight="1" x14ac:dyDescent="0.25">
      <c r="N228" t="str">
        <f>IFERROR(INDEX(Başvuru!$C:$C,MATCH(220,Başvuru!$W:$W,0)),"")</f>
        <v>Doç. Dr. Nagihan KOÇ</v>
      </c>
    </row>
    <row r="229" spans="14:14" ht="15" customHeight="1" x14ac:dyDescent="0.25">
      <c r="N229" t="str">
        <f>IFERROR(INDEX(Başvuru!$C:$C,MATCH(221,Başvuru!$W:$W,0)),"")</f>
        <v>Dr. Öğr. Üyesi Süleyman BULUT</v>
      </c>
    </row>
    <row r="230" spans="14:14" ht="15" customHeight="1" x14ac:dyDescent="0.25">
      <c r="N230" t="str">
        <f>IFERROR(INDEX(Başvuru!$C:$C,MATCH(222,Başvuru!$W:$W,0)),"")</f>
        <v>Dr. Öğr. Üyesi Ahmet Gürkan ERDEMİR</v>
      </c>
    </row>
    <row r="231" spans="14:14" ht="15" customHeight="1" x14ac:dyDescent="0.25">
      <c r="N231" t="str">
        <f>IFERROR(INDEX(Başvuru!$C:$C,MATCH(223,Başvuru!$W:$W,0)),"")</f>
        <v>Doç. Dr. Rahşan GÖÇMEN</v>
      </c>
    </row>
    <row r="232" spans="14:14" ht="15" customHeight="1" x14ac:dyDescent="0.25">
      <c r="N232" t="str">
        <f>IFERROR(INDEX(Başvuru!$C:$C,MATCH(224,Başvuru!$W:$W,0)),"")</f>
        <v>Prof. Dr. Pergin ATİLLA</v>
      </c>
    </row>
    <row r="233" spans="14:14" ht="15" customHeight="1" x14ac:dyDescent="0.25">
      <c r="N233" t="str">
        <f>IFERROR(INDEX(Başvuru!$C:$C,MATCH(225,Başvuru!$W:$W,0)),"")</f>
        <v>Prof. Dr. Abdullah Ruhi SOYLU</v>
      </c>
    </row>
    <row r="234" spans="14:14" ht="15" customHeight="1" x14ac:dyDescent="0.25">
      <c r="N234" t="str">
        <f>IFERROR(INDEX(Başvuru!$C:$C,MATCH(226,Başvuru!$W:$W,0)),"")</f>
        <v>Doç. Dr. Eda Ezgi ASLANTAŞ</v>
      </c>
    </row>
    <row r="235" spans="14:14" ht="15" customHeight="1" x14ac:dyDescent="0.25">
      <c r="N235" t="str">
        <f>IFERROR(INDEX(Başvuru!$C:$C,MATCH(227,Başvuru!$W:$W,0)),"")</f>
        <v>Öğr. Gör. Dt. Diler DENİZ</v>
      </c>
    </row>
    <row r="236" spans="14:14" ht="15" customHeight="1" x14ac:dyDescent="0.25">
      <c r="N236" t="str">
        <f>IFERROR(INDEX(Başvuru!$C:$C,MATCH(228,Başvuru!$W:$W,0)),"")</f>
        <v>Prof. Dr. İncilay LAY</v>
      </c>
    </row>
    <row r="237" spans="14:14" ht="15" customHeight="1" x14ac:dyDescent="0.25">
      <c r="N237" t="str">
        <f>IFERROR(INDEX(Başvuru!$C:$C,MATCH(229,Başvuru!$W:$W,0)),"")</f>
        <v>Doç. Dr. Şükran Gülin EVİNÇ</v>
      </c>
    </row>
    <row r="238" spans="14:14" ht="15" customHeight="1" x14ac:dyDescent="0.25">
      <c r="N238" t="str">
        <f>IFERROR(INDEX(Başvuru!$C:$C,MATCH(230,Başvuru!$W:$W,0)),"")</f>
        <v>Prof. Dr. Melek Dilek TURGUT</v>
      </c>
    </row>
    <row r="239" spans="14:14" ht="15" customHeight="1" x14ac:dyDescent="0.25">
      <c r="N239" t="str">
        <f>IFERROR(INDEX(Başvuru!$C:$C,MATCH(231,Başvuru!$W:$W,0)),"")</f>
        <v>Doç. Dr. Burak ARDIÇLI</v>
      </c>
    </row>
    <row r="240" spans="14:14" ht="15" customHeight="1" x14ac:dyDescent="0.25">
      <c r="N240" t="str">
        <f>IFERROR(INDEX(Başvuru!$C:$C,MATCH(232,Başvuru!$W:$W,0)),"")</f>
        <v>Prof. Dr. Şevkiye Selin AYTAÇ EYÜPOĞLU</v>
      </c>
    </row>
    <row r="241" spans="14:14" ht="15" customHeight="1" x14ac:dyDescent="0.25">
      <c r="N241" t="str">
        <f>IFERROR(INDEX(Başvuru!$C:$C,MATCH(233,Başvuru!$W:$W,0)),"")</f>
        <v>Prof. Dr. Elmas Ebru YALÇIN</v>
      </c>
    </row>
    <row r="242" spans="14:14" ht="15" customHeight="1" x14ac:dyDescent="0.25">
      <c r="N242" t="str">
        <f>IFERROR(INDEX(Başvuru!$C:$C,MATCH(234,Başvuru!$W:$W,0)),"")</f>
        <v>Doç. Dr. Kısmet ÇIKI</v>
      </c>
    </row>
    <row r="243" spans="14:14" ht="15" customHeight="1" x14ac:dyDescent="0.25">
      <c r="N243" t="str">
        <f>IFERROR(INDEX(Başvuru!$C:$C,MATCH(235,Başvuru!$W:$W,0)),"")</f>
        <v>Prof. Dr. Alp USUBÜTÜN</v>
      </c>
    </row>
    <row r="244" spans="14:14" ht="15" customHeight="1" x14ac:dyDescent="0.25">
      <c r="N244" t="str">
        <f>IFERROR(INDEX(Başvuru!$C:$C,MATCH(236,Başvuru!$W:$W,0)),"")</f>
        <v>Doç. Dr. Tekin AKSU</v>
      </c>
    </row>
    <row r="245" spans="14:14" ht="15" customHeight="1" x14ac:dyDescent="0.25">
      <c r="N245" t="str">
        <f>IFERROR(INDEX(Başvuru!$C:$C,MATCH(237,Başvuru!$W:$W,0)),"")</f>
        <v>Prof. Dr. Ümit Yavuz MALKAN</v>
      </c>
    </row>
    <row r="246" spans="14:14" ht="15" customHeight="1" x14ac:dyDescent="0.25">
      <c r="N246" t="str">
        <f>IFERROR(INDEX(Başvuru!$C:$C,MATCH(238,Başvuru!$W:$W,0)),"")</f>
        <v>Doç. Dr. Eda Didem KURT ŞÜKÜR</v>
      </c>
    </row>
    <row r="247" spans="14:14" ht="15" customHeight="1" x14ac:dyDescent="0.25">
      <c r="N247" t="str">
        <f>IFERROR(INDEX(Başvuru!$C:$C,MATCH(239,Başvuru!$W:$W,0)),"")</f>
        <v>Prof. Dr. M. Özgür UYANIK</v>
      </c>
    </row>
    <row r="248" spans="14:14" ht="15" customHeight="1" x14ac:dyDescent="0.25">
      <c r="N248" t="str">
        <f>IFERROR(INDEX(Başvuru!$C:$C,MATCH(240,Başvuru!$W:$W,0)),"")</f>
        <v>Dr. Öğr. Üyesi Leyla HUSEYNOVA TERZİ</v>
      </c>
    </row>
    <row r="249" spans="14:14" ht="15" customHeight="1" x14ac:dyDescent="0.25">
      <c r="N249" t="str">
        <f>IFERROR(INDEX(Başvuru!$C:$C,MATCH(241,Başvuru!$W:$W,0)),"")</f>
        <v>Prof. Dr. Tarık TUNCAY</v>
      </c>
    </row>
    <row r="250" spans="14:14" ht="15" customHeight="1" x14ac:dyDescent="0.25">
      <c r="N250" t="str">
        <f>IFERROR(INDEX(Başvuru!$C:$C,MATCH(242,Başvuru!$W:$W,0)),"")</f>
        <v>Arş. Gör. Dr. Şeyma KAHRAMAN</v>
      </c>
    </row>
    <row r="251" spans="14:14" ht="15" customHeight="1" x14ac:dyDescent="0.25">
      <c r="N251" t="str">
        <f>IFERROR(INDEX(Başvuru!$C:$C,MATCH(243,Başvuru!$W:$W,0)),"")</f>
        <v>Doç. Dr. Ayşe Bikem KARGI</v>
      </c>
    </row>
    <row r="252" spans="14:14" ht="15" customHeight="1" x14ac:dyDescent="0.25">
      <c r="N252" t="str">
        <f>IFERROR(INDEX(Başvuru!$C:$C,MATCH(244,Başvuru!$W:$W,0)),"")</f>
        <v>Prof. Dr. Pelin Özlem ŞİMŞEK KİPER</v>
      </c>
    </row>
    <row r="253" spans="14:14" ht="15" customHeight="1" x14ac:dyDescent="0.25">
      <c r="N253" t="str">
        <f>IFERROR(INDEX(Başvuru!$C:$C,MATCH(245,Başvuru!$W:$W,0)),"")</f>
        <v>Doç. Dr. Gülçin TELLİ DİZMAN</v>
      </c>
    </row>
    <row r="254" spans="14:14" ht="15" customHeight="1" x14ac:dyDescent="0.25">
      <c r="N254" t="str">
        <f>IFERROR(INDEX(Başvuru!$C:$C,MATCH(246,Başvuru!$W:$W,0)),"")</f>
        <v>Prof. Dr. Alper AKTAŞ</v>
      </c>
    </row>
    <row r="255" spans="14:14" ht="15" customHeight="1" x14ac:dyDescent="0.25">
      <c r="N255" t="str">
        <f>IFERROR(INDEX(Başvuru!$C:$C,MATCH(247,Başvuru!$W:$W,0)),"")</f>
        <v>Doç. Dr. Barış SEZER</v>
      </c>
    </row>
    <row r="256" spans="14:14" ht="15" customHeight="1" x14ac:dyDescent="0.25">
      <c r="N256" t="str">
        <f>IFERROR(INDEX(Başvuru!$C:$C,MATCH(248,Başvuru!$W:$W,0)),"")</f>
        <v>Prof. Dr. Melih Önder BABAOĞLU</v>
      </c>
    </row>
    <row r="257" spans="14:14" ht="15" customHeight="1" x14ac:dyDescent="0.25">
      <c r="N257" t="str">
        <f>IFERROR(INDEX(Başvuru!$C:$C,MATCH(249,Başvuru!$W:$W,0)),"")</f>
        <v>Dr. Öğr. Üyesi Oğuzhan KATAR</v>
      </c>
    </row>
    <row r="258" spans="14:14" ht="15" customHeight="1" x14ac:dyDescent="0.25">
      <c r="N258" t="str">
        <f>IFERROR(INDEX(Başvuru!$C:$C,MATCH(250,Başvuru!$W:$W,0)),"")</f>
        <v>Doç. Dr. Ahmet KIVRAK</v>
      </c>
    </row>
    <row r="259" spans="14:14" ht="15" customHeight="1" x14ac:dyDescent="0.25">
      <c r="N259" t="str">
        <f>IFERROR(INDEX(Başvuru!$C:$C,MATCH(251,Başvuru!$W:$W,0)),"")</f>
        <v>Arş. Gör. Dr. Ozan KAPLAN</v>
      </c>
    </row>
    <row r="260" spans="14:14" ht="15" customHeight="1" x14ac:dyDescent="0.25">
      <c r="N260" t="str">
        <f>IFERROR(INDEX(Başvuru!$C:$C,MATCH(252,Başvuru!$W:$W,0)),"")</f>
        <v>Dr. Öğr. Üyesi Emre MUTLU</v>
      </c>
    </row>
    <row r="261" spans="14:14" ht="15" customHeight="1" x14ac:dyDescent="0.25">
      <c r="N261" t="str">
        <f>IFERROR(INDEX(Başvuru!$C:$C,MATCH(253,Başvuru!$W:$W,0)),"")</f>
        <v>Prof. Dr. Lale KARAKOÇ SÖKMENSÜER</v>
      </c>
    </row>
    <row r="262" spans="14:14" ht="15" customHeight="1" x14ac:dyDescent="0.25">
      <c r="N262" t="str">
        <f>IFERROR(INDEX(Başvuru!$C:$C,MATCH(254,Başvuru!$W:$W,0)),"")</f>
        <v>Prof. Dr. Şevket Murat ÖZBEK</v>
      </c>
    </row>
    <row r="263" spans="14:14" ht="15" customHeight="1" x14ac:dyDescent="0.25">
      <c r="N263" t="str">
        <f>IFERROR(INDEX(Başvuru!$C:$C,MATCH(255,Başvuru!$W:$W,0)),"")</f>
        <v>Dr. Öğr. Üyesi Neslihan TAŞ</v>
      </c>
    </row>
    <row r="264" spans="14:14" ht="15" customHeight="1" x14ac:dyDescent="0.25">
      <c r="N264" t="str">
        <f>IFERROR(INDEX(Başvuru!$C:$C,MATCH(256,Başvuru!$W:$W,0)),"")</f>
        <v>Prof. Dr. Ülfet Pınar ERKEKOĞLU</v>
      </c>
    </row>
    <row r="265" spans="14:14" ht="15" customHeight="1" x14ac:dyDescent="0.25">
      <c r="N265" t="str">
        <f>IFERROR(INDEX(Başvuru!$C:$C,MATCH(257,Başvuru!$W:$W,0)),"")</f>
        <v>Prof. Dr. Filiz ÜZÜMCÜGİL</v>
      </c>
    </row>
    <row r="266" spans="14:14" ht="15" customHeight="1" x14ac:dyDescent="0.25">
      <c r="N266" t="str">
        <f>IFERROR(INDEX(Başvuru!$C:$C,MATCH(258,Başvuru!$W:$W,0)),"")</f>
        <v>Prof. Dr. Ömür ÇAĞLAR</v>
      </c>
    </row>
    <row r="267" spans="14:14" ht="15" customHeight="1" x14ac:dyDescent="0.25">
      <c r="N267" t="str">
        <f>IFERROR(INDEX(Başvuru!$C:$C,MATCH(259,Başvuru!$W:$W,0)),"")</f>
        <v>Doç. Dr. Songül ÇINAROĞLU</v>
      </c>
    </row>
    <row r="268" spans="14:14" ht="15" customHeight="1" x14ac:dyDescent="0.25">
      <c r="N268" t="str">
        <f>IFERROR(INDEX(Başvuru!$C:$C,MATCH(260,Başvuru!$W:$W,0)),"")</f>
        <v>Dr. Öğr. Üyesi Sehend DEBBAĞ</v>
      </c>
    </row>
    <row r="269" spans="14:14" ht="15" customHeight="1" x14ac:dyDescent="0.25">
      <c r="N269" t="str">
        <f>IFERROR(INDEX(Başvuru!$C:$C,MATCH(261,Başvuru!$W:$W,0)),"")</f>
        <v>Dr. Öğr. Üyesi Yağmur Deniz YILDIRIM</v>
      </c>
    </row>
    <row r="270" spans="14:14" ht="15" customHeight="1" x14ac:dyDescent="0.25">
      <c r="N270" t="str">
        <f>IFERROR(INDEX(Başvuru!$C:$C,MATCH(262,Başvuru!$W:$W,0)),"")</f>
        <v>Prof. Dr. Bülent ATİLLA</v>
      </c>
    </row>
    <row r="271" spans="14:14" ht="15" customHeight="1" x14ac:dyDescent="0.25">
      <c r="N271" t="str">
        <f>IFERROR(INDEX(Başvuru!$C:$C,MATCH(263,Başvuru!$W:$W,0)),"")</f>
        <v>Dr. Öğr. Üyesi Nur Berna ÇELİK ERTAŞ</v>
      </c>
    </row>
    <row r="272" spans="14:14" ht="15" customHeight="1" x14ac:dyDescent="0.25">
      <c r="N272" t="str">
        <f>IFERROR(INDEX(Başvuru!$C:$C,MATCH(264,Başvuru!$W:$W,0)),"")</f>
        <v>Dr. Öğr. Üyesi Aslı ALKAN</v>
      </c>
    </row>
    <row r="273" spans="14:14" ht="15" customHeight="1" x14ac:dyDescent="0.25">
      <c r="N273" t="str">
        <f>IFERROR(INDEX(Başvuru!$C:$C,MATCH(265,Başvuru!$W:$W,0)),"")</f>
        <v>Prof. Dr. Gülen Eda ÜTİNE</v>
      </c>
    </row>
    <row r="274" spans="14:14" ht="15" customHeight="1" x14ac:dyDescent="0.25">
      <c r="N274" t="str">
        <f>IFERROR(INDEX(Başvuru!$C:$C,MATCH(266,Başvuru!$W:$W,0)),"")</f>
        <v>Doç. Dr. Muhammed Bahaddin DURAK</v>
      </c>
    </row>
    <row r="275" spans="14:14" ht="15" customHeight="1" x14ac:dyDescent="0.25">
      <c r="N275" t="str">
        <f>IFERROR(INDEX(Başvuru!$C:$C,MATCH(267,Başvuru!$W:$W,0)),"")</f>
        <v>Prof. Dr. Okan Bülent YILDIZ</v>
      </c>
    </row>
    <row r="276" spans="14:14" ht="15" customHeight="1" x14ac:dyDescent="0.25">
      <c r="N276" t="str">
        <f>IFERROR(INDEX(Başvuru!$C:$C,MATCH(268,Başvuru!$W:$W,0)),"")</f>
        <v>Prof. Dr. Saniye EKİNCİ</v>
      </c>
    </row>
    <row r="277" spans="14:14" ht="15" customHeight="1" x14ac:dyDescent="0.25">
      <c r="N277" t="str">
        <f>IFERROR(INDEX(Başvuru!$C:$C,MATCH(269,Başvuru!$W:$W,0)),"")</f>
        <v>Prof. Dr. Gülay SAİN GÜVEN</v>
      </c>
    </row>
    <row r="278" spans="14:14" ht="15" customHeight="1" x14ac:dyDescent="0.25">
      <c r="N278" t="str">
        <f>IFERROR(INDEX(Başvuru!$C:$C,MATCH(270,Başvuru!$W:$W,0)),"")</f>
        <v>Prof. Dr. Levent SENNAROĞLU</v>
      </c>
    </row>
    <row r="279" spans="14:14" ht="15" customHeight="1" x14ac:dyDescent="0.25">
      <c r="N279" t="str">
        <f>IFERROR(INDEX(Başvuru!$C:$C,MATCH(271,Başvuru!$W:$W,0)),"")</f>
        <v>Prof. Dr. Uğur ÜNLÜTÜRK</v>
      </c>
    </row>
    <row r="280" spans="14:14" ht="15" customHeight="1" x14ac:dyDescent="0.25">
      <c r="N280" t="str">
        <f>IFERROR(INDEX(Başvuru!$C:$C,MATCH(272,Başvuru!$W:$W,0)),"")</f>
        <v>Doç. Dr. Melis PEHLİVANTÜRK KIZILKAN</v>
      </c>
    </row>
    <row r="281" spans="14:14" ht="15" customHeight="1" x14ac:dyDescent="0.25">
      <c r="N281" t="str">
        <f>IFERROR(INDEX(Başvuru!$C:$C,MATCH(273,Başvuru!$W:$W,0)),"")</f>
        <v>Prof. Dr. Banu SANCAK</v>
      </c>
    </row>
    <row r="282" spans="14:14" ht="15" customHeight="1" x14ac:dyDescent="0.25">
      <c r="N282" t="str">
        <f>IFERROR(INDEX(Başvuru!$C:$C,MATCH(274,Başvuru!$W:$W,0)),"")</f>
        <v>Doç. Dr. Eylem TOPBAŞ</v>
      </c>
    </row>
    <row r="283" spans="14:14" ht="15" customHeight="1" x14ac:dyDescent="0.25">
      <c r="N283" t="str">
        <f>IFERROR(INDEX(Başvuru!$C:$C,MATCH(275,Başvuru!$W:$W,0)),"")</f>
        <v>Dr. Öğr. Üyesi Cenk Ahmet AKCAN</v>
      </c>
    </row>
    <row r="284" spans="14:14" ht="15" customHeight="1" x14ac:dyDescent="0.25">
      <c r="N284" t="str">
        <f>IFERROR(INDEX(Başvuru!$C:$C,MATCH(276,Başvuru!$W:$W,0)),"")</f>
        <v>Prof. Dr. Hande TAYLAN ŞEKEROĞLU</v>
      </c>
    </row>
    <row r="285" spans="14:14" ht="15" customHeight="1" x14ac:dyDescent="0.25">
      <c r="N285" t="str">
        <f>IFERROR(INDEX(Başvuru!$C:$C,MATCH(277,Başvuru!$W:$W,0)),"")</f>
        <v>Dr. Öğr. Üyesi Bekir ERDEVE</v>
      </c>
    </row>
    <row r="286" spans="14:14" ht="15" customHeight="1" x14ac:dyDescent="0.25">
      <c r="N286" t="str">
        <f>IFERROR(INDEX(Başvuru!$C:$C,MATCH(278,Başvuru!$W:$W,0)),"")</f>
        <v>Doç. Dr. Şahin HANALİOĞLU</v>
      </c>
    </row>
    <row r="287" spans="14:14" ht="15" customHeight="1" x14ac:dyDescent="0.25">
      <c r="N287" t="str">
        <f>IFERROR(INDEX(Başvuru!$C:$C,MATCH(279,Başvuru!$W:$W,0)),"")</f>
        <v>Prof. Dr. Mustafa BERKER</v>
      </c>
    </row>
    <row r="288" spans="14:14" ht="15" customHeight="1" x14ac:dyDescent="0.25">
      <c r="N288" t="str">
        <f>IFERROR(INDEX(Başvuru!$C:$C,MATCH(280,Başvuru!$W:$W,0)),"")</f>
        <v>Doç. Dr. Evren SERTALP</v>
      </c>
    </row>
    <row r="289" spans="14:14" ht="15" customHeight="1" x14ac:dyDescent="0.25">
      <c r="N289" t="str">
        <f>IFERROR(INDEX(Başvuru!$C:$C,MATCH(281,Başvuru!$W:$W,0)),"")</f>
        <v>Prof. Dr. Ömer Alper GÜRLEK</v>
      </c>
    </row>
    <row r="290" spans="14:14" ht="15" customHeight="1" x14ac:dyDescent="0.25">
      <c r="N290" t="str">
        <f>IFERROR(INDEX(Başvuru!$C:$C,MATCH(282,Başvuru!$W:$W,0)),"")</f>
        <v>Doç. Dr. Nursel AKKAYA</v>
      </c>
    </row>
    <row r="291" spans="14:14" ht="15" customHeight="1" x14ac:dyDescent="0.25">
      <c r="N291" t="str">
        <f>IFERROR(INDEX(Başvuru!$C:$C,MATCH(283,Başvuru!$W:$W,0)),"")</f>
        <v>Öğr. Gör. Dr. Kemal SARUHAN</v>
      </c>
    </row>
    <row r="292" spans="14:14" ht="15" customHeight="1" x14ac:dyDescent="0.25">
      <c r="N292" t="str">
        <f>IFERROR(INDEX(Başvuru!$C:$C,MATCH(284,Başvuru!$W:$W,0)),"")</f>
        <v>Arş. Gör. Dr. Eymen YILMAZ</v>
      </c>
    </row>
    <row r="293" spans="14:14" ht="15" customHeight="1" x14ac:dyDescent="0.25">
      <c r="N293" t="str">
        <f>IFERROR(INDEX(Başvuru!$C:$C,MATCH(285,Başvuru!$W:$W,0)),"")</f>
        <v>Dr. Öğr. Gör. Tuğçe TAŞKINDERE ABBASOĞLU</v>
      </c>
    </row>
    <row r="294" spans="14:14" ht="15" customHeight="1" x14ac:dyDescent="0.25">
      <c r="N294" t="str">
        <f>IFERROR(INDEX(Başvuru!$C:$C,MATCH(286,Başvuru!$W:$W,0)),"")</f>
        <v>Prof. Dr. Lokman UZUN</v>
      </c>
    </row>
    <row r="295" spans="14:14" ht="15" customHeight="1" x14ac:dyDescent="0.25">
      <c r="N295" t="str">
        <f>IFERROR(INDEX(Başvuru!$C:$C,MATCH(287,Başvuru!$W:$W,0)),"")</f>
        <v>Doç. Dr. Melike OCAK</v>
      </c>
    </row>
    <row r="296" spans="14:14" ht="15" customHeight="1" x14ac:dyDescent="0.25">
      <c r="N296" t="str">
        <f>IFERROR(INDEX(Başvuru!$C:$C,MATCH(288,Başvuru!$W:$W,0)),"")</f>
        <v>Arş. Gör. Dr. Pınar YAVUZ TAZE</v>
      </c>
    </row>
    <row r="297" spans="14:14" ht="15" customHeight="1" x14ac:dyDescent="0.25">
      <c r="N297" t="str">
        <f>IFERROR(INDEX(Başvuru!$C:$C,MATCH(289,Başvuru!$W:$W,0)),"")</f>
        <v>Prof. Dr. Levent ÖZÇAKAR</v>
      </c>
    </row>
    <row r="298" spans="14:14" ht="15" customHeight="1" x14ac:dyDescent="0.25">
      <c r="N298" t="str">
        <f>IFERROR(INDEX(Başvuru!$C:$C,MATCH(290,Başvuru!$W:$W,0)),"")</f>
        <v>Doç. Dr. Elif Günay BULUT</v>
      </c>
    </row>
    <row r="299" spans="14:14" ht="15" customHeight="1" x14ac:dyDescent="0.25">
      <c r="N299" t="str">
        <f>IFERROR(INDEX(Başvuru!$C:$C,MATCH(291,Başvuru!$W:$W,0)),"")</f>
        <v>Prof. Dr. Ahmet SERPER</v>
      </c>
    </row>
    <row r="300" spans="14:14" ht="15" customHeight="1" x14ac:dyDescent="0.25">
      <c r="N300" t="str">
        <f>IFERROR(INDEX(Başvuru!$C:$C,MATCH(292,Başvuru!$W:$W,0)),"")</f>
        <v>Doç. Dr. İsmail UYANIK</v>
      </c>
    </row>
    <row r="301" spans="14:14" ht="15" customHeight="1" x14ac:dyDescent="0.25">
      <c r="N301" t="str">
        <f>IFERROR(INDEX(Başvuru!$C:$C,MATCH(293,Başvuru!$W:$W,0)),"")</f>
        <v>Prof. Dr. Selin AYTAÇ EYÜPOĞLU</v>
      </c>
    </row>
    <row r="302" spans="14:14" ht="15" customHeight="1" x14ac:dyDescent="0.25">
      <c r="N302" t="str">
        <f>IFERROR(INDEX(Başvuru!$C:$C,MATCH(294,Başvuru!$W:$W,0)),"")</f>
        <v>Prof. Dr. B. Barış KUŞKONMAZ</v>
      </c>
    </row>
    <row r="303" spans="14:14" ht="15" customHeight="1" x14ac:dyDescent="0.25">
      <c r="N303" t="str">
        <f>IFERROR(INDEX(Başvuru!$C:$C,MATCH(295,Başvuru!$W:$W,0)),"")</f>
        <v>Prof. Dr. Yelda BİLGİNER</v>
      </c>
    </row>
    <row r="304" spans="14:14" ht="15" customHeight="1" x14ac:dyDescent="0.25">
      <c r="N304" t="str">
        <f>IFERROR(INDEX(Başvuru!$C:$C,MATCH(296,Başvuru!$W:$W,0)),"")</f>
        <v>Dr. Öğr. Üyesi Aslı Şan DAĞLI GÜL</v>
      </c>
    </row>
    <row r="305" spans="14:14" ht="15" customHeight="1" x14ac:dyDescent="0.25">
      <c r="N305" t="str">
        <f>IFERROR(INDEX(Başvuru!$C:$C,MATCH(297,Başvuru!$W:$W,0)),"")</f>
        <v>Doç. Dr. Fatima AERTS KAYA</v>
      </c>
    </row>
    <row r="306" spans="14:14" ht="15" customHeight="1" x14ac:dyDescent="0.25">
      <c r="N306" t="str">
        <f>IFERROR(INDEX(Başvuru!$C:$C,MATCH(298,Başvuru!$W:$W,0)),"")</f>
        <v>Prof. Dr. İlker ERTUĞRUL</v>
      </c>
    </row>
    <row r="307" spans="14:14" ht="15" customHeight="1" x14ac:dyDescent="0.25">
      <c r="N307" t="str">
        <f>IFERROR(INDEX(Başvuru!$C:$C,MATCH(299,Başvuru!$W:$W,0)),"")</f>
        <v>Prof. Dr. Uzay KOÇ VURAL</v>
      </c>
    </row>
    <row r="308" spans="14:14" ht="15" customHeight="1" x14ac:dyDescent="0.25">
      <c r="N308" t="str">
        <f>IFERROR(INDEX(Başvuru!$C:$C,MATCH(300,Başvuru!$W:$W,0)),"")</f>
        <v>Prof. Dr. Reyhan ATASÜ TOPÇUOĞLU</v>
      </c>
    </row>
    <row r="309" spans="14:14" ht="15" customHeight="1" x14ac:dyDescent="0.25">
      <c r="N309" t="str">
        <f>IFERROR(INDEX(Başvuru!$C:$C,MATCH(301,Başvuru!$W:$W,0)),"")</f>
        <v>Dr. Öğr. Üyesi Yavuz Kemal ARIBAŞ</v>
      </c>
    </row>
    <row r="310" spans="14:14" ht="15" customHeight="1" x14ac:dyDescent="0.25">
      <c r="N310" t="str">
        <f>IFERROR(INDEX(Başvuru!$C:$C,MATCH(302,Başvuru!$W:$W,0)),"")</f>
        <v>Dr. Öğr. Üyesi Aydın Onur GERÇEK</v>
      </c>
    </row>
    <row r="311" spans="14:14" ht="15" customHeight="1" x14ac:dyDescent="0.25">
      <c r="N311" t="str">
        <f>IFERROR(INDEX(Başvuru!$C:$C,MATCH(303,Başvuru!$W:$W,0)),"")</f>
        <v>Prof. Dr. Selis ÖNEL KAYRAN</v>
      </c>
    </row>
    <row r="312" spans="14:14" ht="15" customHeight="1" x14ac:dyDescent="0.25">
      <c r="N312" t="str">
        <f>IFERROR(INDEX(Başvuru!$C:$C,MATCH(304,Başvuru!$W:$W,0)),"")</f>
        <v>Doç. Dr. Ülkühan ÖZTOPRAK</v>
      </c>
    </row>
    <row r="313" spans="14:14" ht="15" customHeight="1" x14ac:dyDescent="0.25">
      <c r="N313" t="str">
        <f>IFERROR(INDEX(Başvuru!$C:$C,MATCH(305,Başvuru!$W:$W,0)),"")</f>
        <v>Dr. Öğr. Üyesi Eylem Şerife KALKAN</v>
      </c>
    </row>
    <row r="314" spans="14:14" ht="15" customHeight="1" x14ac:dyDescent="0.25">
      <c r="N314" t="str">
        <f>IFERROR(INDEX(Başvuru!$C:$C,MATCH(306,Başvuru!$W:$W,0)),"")</f>
        <v>Dr. Öğr. Üyesi Gülden OLGUN</v>
      </c>
    </row>
    <row r="315" spans="14:14" ht="15" customHeight="1" x14ac:dyDescent="0.25">
      <c r="N315" t="str">
        <f>IFERROR(INDEX(Başvuru!$C:$C,MATCH(307,Başvuru!$W:$W,0)),"")</f>
        <v>Arş. Gör. Dr. Kadir İNTAŞ</v>
      </c>
    </row>
    <row r="316" spans="14:14" ht="15" customHeight="1" x14ac:dyDescent="0.25">
      <c r="N316" t="str">
        <f>IFERROR(INDEX(Başvuru!$C:$C,MATCH(308,Başvuru!$W:$W,0)),"")</f>
        <v>Prof. Dr. Şükrü Alpan CİNEMRE</v>
      </c>
    </row>
    <row r="317" spans="14:14" ht="15" customHeight="1" x14ac:dyDescent="0.25">
      <c r="N317" t="str">
        <f>IFERROR(INDEX(Başvuru!$C:$C,MATCH(309,Başvuru!$W:$W,0)),"")</f>
        <v>Doç. Dr. Ferdi ÇAY</v>
      </c>
    </row>
    <row r="318" spans="14:14" ht="15" customHeight="1" x14ac:dyDescent="0.25">
      <c r="N318" t="str">
        <f>IFERROR(INDEX(Başvuru!$C:$C,MATCH(310,Başvuru!$W:$W,0)),"")</f>
        <v>Doç. Dr. Ahmet Erim PAMUK</v>
      </c>
    </row>
    <row r="319" spans="14:14" ht="15" customHeight="1" x14ac:dyDescent="0.25">
      <c r="N319" t="str">
        <f>IFERROR(INDEX(Başvuru!$C:$C,MATCH(311,Başvuru!$W:$W,0)),"")</f>
        <v>Doç. Dr. Yasemin GÜZEL</v>
      </c>
    </row>
    <row r="320" spans="14:14" ht="15" customHeight="1" x14ac:dyDescent="0.25">
      <c r="N320" t="str">
        <f>IFERROR(INDEX(Başvuru!$C:$C,MATCH(312,Başvuru!$W:$W,0)),"")</f>
        <v>Dr. Öğr. Üyesi Sinan BALCI</v>
      </c>
    </row>
    <row r="321" spans="14:14" ht="15" customHeight="1" x14ac:dyDescent="0.25">
      <c r="N321" t="str">
        <f>IFERROR(INDEX(Başvuru!$C:$C,MATCH(313,Başvuru!$W:$W,0)),"")</f>
        <v>Arş. Gör. Dr. Oğuzhan SERİN</v>
      </c>
    </row>
    <row r="322" spans="14:14" ht="15" customHeight="1" x14ac:dyDescent="0.25">
      <c r="N322" t="str">
        <f>IFERROR(INDEX(Başvuru!$C:$C,MATCH(314,Başvuru!$W:$W,0)),"")</f>
        <v>Dr. Öğr. Üyesi Sevinç ASKERBEYLİ ÖRS</v>
      </c>
    </row>
    <row r="323" spans="14:14" ht="15" customHeight="1" x14ac:dyDescent="0.25">
      <c r="N323" t="str">
        <f>IFERROR(INDEX(Başvuru!$C:$C,MATCH(315,Başvuru!$W:$W,0)),"")</f>
        <v>Dr. Öğr. Üyesi Yasin SARIKAYA</v>
      </c>
    </row>
    <row r="324" spans="14:14" ht="15" customHeight="1" x14ac:dyDescent="0.25">
      <c r="N324" t="str">
        <f>IFERROR(INDEX(Başvuru!$C:$C,MATCH(316,Başvuru!$W:$W,0)),"")</f>
        <v>Doç. Dr. Halide Özge BAŞARAN</v>
      </c>
    </row>
    <row r="325" spans="14:14" ht="15" customHeight="1" x14ac:dyDescent="0.25">
      <c r="N325" t="str">
        <f>IFERROR(INDEX(Başvuru!$C:$C,MATCH(317,Başvuru!$W:$W,0)),"")</f>
        <v>Prof. Dr. Serap AYDIN</v>
      </c>
    </row>
    <row r="326" spans="14:14" ht="15" customHeight="1" x14ac:dyDescent="0.25">
      <c r="N326" t="str">
        <f>IFERROR(INDEX(Başvuru!$C:$C,MATCH(318,Başvuru!$W:$W,0)),"")</f>
        <v>Prof. Dr. Göknur HALİLOĞLU</v>
      </c>
    </row>
    <row r="327" spans="14:14" ht="15" customHeight="1" x14ac:dyDescent="0.25">
      <c r="N327" t="str">
        <f>IFERROR(INDEX(Başvuru!$C:$C,MATCH(319,Başvuru!$W:$W,0)),"")</f>
        <v>Dr. Öğr. Üyesi Müge DEMİR</v>
      </c>
    </row>
    <row r="328" spans="14:14" ht="15" customHeight="1" x14ac:dyDescent="0.25">
      <c r="N328" t="str">
        <f>IFERROR(INDEX(Başvuru!$C:$C,MATCH(320,Başvuru!$W:$W,0)),"")</f>
        <v>Prof. Dr. Arzu TOPELİ İSKİT</v>
      </c>
    </row>
    <row r="329" spans="14:14" ht="15" customHeight="1" x14ac:dyDescent="0.25">
      <c r="N329" t="str">
        <f>IFERROR(INDEX(Başvuru!$C:$C,MATCH(321,Başvuru!$W:$W,0)),"")</f>
        <v>Prof. Dr. Ümit Murat ŞAHİNER</v>
      </c>
    </row>
    <row r="330" spans="14:14" ht="15" customHeight="1" x14ac:dyDescent="0.25">
      <c r="N330" t="str">
        <f>IFERROR(INDEX(Başvuru!$C:$C,MATCH(322,Başvuru!$W:$W,0)),"")</f>
        <v>Prof. Dr. Ali AKDOĞAN</v>
      </c>
    </row>
    <row r="331" spans="14:14" ht="15" customHeight="1" x14ac:dyDescent="0.25">
      <c r="N331" t="str">
        <f>IFERROR(INDEX(Başvuru!$C:$C,MATCH(323,Başvuru!$W:$W,0)),"")</f>
        <v>Prof. Dr. Meryem UZAMIŞ TEKÇİÇEK</v>
      </c>
    </row>
    <row r="332" spans="14:14" ht="15" customHeight="1" x14ac:dyDescent="0.25">
      <c r="N332" t="str">
        <f>IFERROR(INDEX(Başvuru!$C:$C,MATCH(324,Başvuru!$W:$W,0)),"")</f>
        <v>Prof. Dr. Özge UYSAL SOYER</v>
      </c>
    </row>
    <row r="333" spans="14:14" ht="15" customHeight="1" x14ac:dyDescent="0.25">
      <c r="N333" t="str">
        <f>IFERROR(INDEX(Başvuru!$C:$C,MATCH(325,Başvuru!$W:$W,0)),"")</f>
        <v>Arş. Gör. Dr. İsmail Çağrı ÖZÜTOK</v>
      </c>
    </row>
    <row r="334" spans="14:14" ht="15" customHeight="1" x14ac:dyDescent="0.25">
      <c r="N334" t="str">
        <f>IFERROR(INDEX(Başvuru!$C:$C,MATCH(326,Başvuru!$W:$W,0)),"")</f>
        <v>Dr. Öğr. Üyesi Bengi ÖZTÜRK</v>
      </c>
    </row>
    <row r="335" spans="14:14" ht="15" customHeight="1" x14ac:dyDescent="0.25">
      <c r="N335" t="str">
        <f>IFERROR(INDEX(Başvuru!$C:$C,MATCH(327,Başvuru!$W:$W,0)),"")</f>
        <v>Prof. Dr. Turgut Emrah BOZKURT</v>
      </c>
    </row>
    <row r="336" spans="14:14" ht="15" customHeight="1" x14ac:dyDescent="0.25">
      <c r="N336" t="str">
        <f>IFERROR(INDEX(Başvuru!$C:$C,MATCH(328,Başvuru!$W:$W,0)),"")</f>
        <v>Doç. Dr. Murat KARA</v>
      </c>
    </row>
    <row r="337" spans="14:14" ht="15" customHeight="1" x14ac:dyDescent="0.25">
      <c r="N337" t="str">
        <f>IFERROR(INDEX(Başvuru!$C:$C,MATCH(329,Başvuru!$W:$W,0)),"")</f>
        <v/>
      </c>
    </row>
    <row r="338" spans="14:14" ht="15" customHeight="1" x14ac:dyDescent="0.25">
      <c r="N338" t="str">
        <f>IFERROR(INDEX(Başvuru!$C:$C,MATCH(330,Başvuru!$W:$W,0)),"")</f>
        <v/>
      </c>
    </row>
    <row r="339" spans="14:14" ht="15" customHeight="1" x14ac:dyDescent="0.25">
      <c r="N339" t="str">
        <f>IFERROR(INDEX(Başvuru!$C:$C,MATCH(331,Başvuru!$W:$W,0)),"")</f>
        <v/>
      </c>
    </row>
    <row r="340" spans="14:14" ht="15" customHeight="1" x14ac:dyDescent="0.25">
      <c r="N340" t="str">
        <f>IFERROR(INDEX(Başvuru!$C:$C,MATCH(332,Başvuru!$W:$W,0)),"")</f>
        <v/>
      </c>
    </row>
    <row r="341" spans="14:14" ht="15" customHeight="1" x14ac:dyDescent="0.25">
      <c r="N341" t="str">
        <f>IFERROR(INDEX(Başvuru!$C:$C,MATCH(333,Başvuru!$W:$W,0)),"")</f>
        <v/>
      </c>
    </row>
    <row r="342" spans="14:14" ht="15" customHeight="1" x14ac:dyDescent="0.25">
      <c r="N342" t="str">
        <f>IFERROR(INDEX(Başvuru!$C:$C,MATCH(334,Başvuru!$W:$W,0)),"")</f>
        <v/>
      </c>
    </row>
    <row r="343" spans="14:14" ht="15" customHeight="1" x14ac:dyDescent="0.25">
      <c r="N343" t="str">
        <f>IFERROR(INDEX(Başvuru!$C:$C,MATCH(335,Başvuru!$W:$W,0)),"")</f>
        <v/>
      </c>
    </row>
    <row r="344" spans="14:14" ht="15" customHeight="1" x14ac:dyDescent="0.25">
      <c r="N344" t="str">
        <f>IFERROR(INDEX(Başvuru!$C:$C,MATCH(336,Başvuru!$W:$W,0)),"")</f>
        <v/>
      </c>
    </row>
    <row r="345" spans="14:14" ht="15" customHeight="1" x14ac:dyDescent="0.25">
      <c r="N345" t="str">
        <f>IFERROR(INDEX(Başvuru!$C:$C,MATCH(337,Başvuru!$W:$W,0)),"")</f>
        <v/>
      </c>
    </row>
    <row r="346" spans="14:14" ht="15" customHeight="1" x14ac:dyDescent="0.25">
      <c r="N346" t="str">
        <f>IFERROR(INDEX(Başvuru!$C:$C,MATCH(338,Başvuru!$W:$W,0)),"")</f>
        <v/>
      </c>
    </row>
    <row r="347" spans="14:14" ht="15" customHeight="1" x14ac:dyDescent="0.25">
      <c r="N347" t="str">
        <f>IFERROR(INDEX(Başvuru!$C:$C,MATCH(339,Başvuru!$W:$W,0)),"")</f>
        <v/>
      </c>
    </row>
    <row r="348" spans="14:14" ht="15" customHeight="1" x14ac:dyDescent="0.25">
      <c r="N348" t="str">
        <f>IFERROR(INDEX(Başvuru!$C:$C,MATCH(340,Başvuru!$W:$W,0)),"")</f>
        <v/>
      </c>
    </row>
    <row r="349" spans="14:14" ht="15" customHeight="1" x14ac:dyDescent="0.25">
      <c r="N349" t="str">
        <f>IFERROR(INDEX(Başvuru!$C:$C,MATCH(341,Başvuru!$W:$W,0)),"")</f>
        <v/>
      </c>
    </row>
    <row r="350" spans="14:14" ht="15" customHeight="1" x14ac:dyDescent="0.25">
      <c r="N350" t="str">
        <f>IFERROR(INDEX(Başvuru!$C:$C,MATCH(342,Başvuru!$W:$W,0)),"")</f>
        <v/>
      </c>
    </row>
    <row r="351" spans="14:14" ht="15" customHeight="1" x14ac:dyDescent="0.25">
      <c r="N351" t="str">
        <f>IFERROR(INDEX(Başvuru!$C:$C,MATCH(343,Başvuru!$W:$W,0)),"")</f>
        <v/>
      </c>
    </row>
    <row r="352" spans="14:14" ht="15" customHeight="1" x14ac:dyDescent="0.25">
      <c r="N352" t="str">
        <f>IFERROR(INDEX(Başvuru!$C:$C,MATCH(344,Başvuru!$W:$W,0)),"")</f>
        <v/>
      </c>
    </row>
    <row r="353" spans="14:14" ht="15" customHeight="1" x14ac:dyDescent="0.25">
      <c r="N353" t="str">
        <f>IFERROR(INDEX(Başvuru!$C:$C,MATCH(345,Başvuru!$W:$W,0)),"")</f>
        <v/>
      </c>
    </row>
    <row r="354" spans="14:14" ht="15" customHeight="1" x14ac:dyDescent="0.25">
      <c r="N354" t="str">
        <f>IFERROR(INDEX(Başvuru!$C:$C,MATCH(346,Başvuru!$W:$W,0)),"")</f>
        <v/>
      </c>
    </row>
    <row r="355" spans="14:14" ht="15" customHeight="1" x14ac:dyDescent="0.25">
      <c r="N355" t="str">
        <f>IFERROR(INDEX(Başvuru!$C:$C,MATCH(347,Başvuru!$W:$W,0)),"")</f>
        <v/>
      </c>
    </row>
    <row r="356" spans="14:14" ht="15" customHeight="1" x14ac:dyDescent="0.25">
      <c r="N356" t="str">
        <f>IFERROR(INDEX(Başvuru!$C:$C,MATCH(348,Başvuru!$W:$W,0)),"")</f>
        <v/>
      </c>
    </row>
    <row r="357" spans="14:14" ht="15" customHeight="1" x14ac:dyDescent="0.25">
      <c r="N357" t="str">
        <f>IFERROR(INDEX(Başvuru!$C:$C,MATCH(349,Başvuru!$W:$W,0)),"")</f>
        <v/>
      </c>
    </row>
    <row r="358" spans="14:14" ht="15" customHeight="1" x14ac:dyDescent="0.25">
      <c r="N358" t="str">
        <f>IFERROR(INDEX(Başvuru!$C:$C,MATCH(350,Başvuru!$W:$W,0)),"")</f>
        <v/>
      </c>
    </row>
    <row r="359" spans="14:14" ht="15" customHeight="1" x14ac:dyDescent="0.25">
      <c r="N359" t="str">
        <f>IFERROR(INDEX(Başvuru!$C:$C,MATCH(351,Başvuru!$W:$W,0)),"")</f>
        <v/>
      </c>
    </row>
    <row r="360" spans="14:14" ht="15" customHeight="1" x14ac:dyDescent="0.25">
      <c r="N360" t="str">
        <f>IFERROR(INDEX(Başvuru!$C:$C,MATCH(352,Başvuru!$W:$W,0)),"")</f>
        <v/>
      </c>
    </row>
    <row r="361" spans="14:14" ht="15" customHeight="1" x14ac:dyDescent="0.25">
      <c r="N361" t="str">
        <f>IFERROR(INDEX(Başvuru!$C:$C,MATCH(353,Başvuru!$W:$W,0)),"")</f>
        <v/>
      </c>
    </row>
    <row r="362" spans="14:14" ht="15" customHeight="1" x14ac:dyDescent="0.25">
      <c r="N362" t="str">
        <f>IFERROR(INDEX(Başvuru!$C:$C,MATCH(354,Başvuru!$W:$W,0)),"")</f>
        <v/>
      </c>
    </row>
    <row r="363" spans="14:14" ht="15" customHeight="1" x14ac:dyDescent="0.25">
      <c r="N363" t="str">
        <f>IFERROR(INDEX(Başvuru!$C:$C,MATCH(355,Başvuru!$W:$W,0)),"")</f>
        <v/>
      </c>
    </row>
    <row r="364" spans="14:14" ht="15" customHeight="1" x14ac:dyDescent="0.25">
      <c r="N364" t="str">
        <f>IFERROR(INDEX(Başvuru!$C:$C,MATCH(356,Başvuru!$W:$W,0)),"")</f>
        <v/>
      </c>
    </row>
    <row r="365" spans="14:14" ht="15" customHeight="1" x14ac:dyDescent="0.25">
      <c r="N365" t="str">
        <f>IFERROR(INDEX(Başvuru!$C:$C,MATCH(357,Başvuru!$W:$W,0)),"")</f>
        <v/>
      </c>
    </row>
    <row r="366" spans="14:14" ht="15" customHeight="1" x14ac:dyDescent="0.25">
      <c r="N366" t="str">
        <f>IFERROR(INDEX(Başvuru!$C:$C,MATCH(358,Başvuru!$W:$W,0)),"")</f>
        <v/>
      </c>
    </row>
    <row r="367" spans="14:14" ht="15" customHeight="1" x14ac:dyDescent="0.25">
      <c r="N367" t="str">
        <f>IFERROR(INDEX(Başvuru!$C:$C,MATCH(359,Başvuru!$W:$W,0)),"")</f>
        <v/>
      </c>
    </row>
    <row r="368" spans="14:14" ht="15" customHeight="1" x14ac:dyDescent="0.25">
      <c r="N368" t="str">
        <f>IFERROR(INDEX(Başvuru!$C:$C,MATCH(360,Başvuru!$W:$W,0)),"")</f>
        <v/>
      </c>
    </row>
    <row r="369" spans="14:14" ht="15" customHeight="1" x14ac:dyDescent="0.25">
      <c r="N369" t="str">
        <f>IFERROR(INDEX(Başvuru!$C:$C,MATCH(361,Başvuru!$W:$W,0)),"")</f>
        <v/>
      </c>
    </row>
    <row r="370" spans="14:14" ht="15" customHeight="1" x14ac:dyDescent="0.25">
      <c r="N370" t="str">
        <f>IFERROR(INDEX(Başvuru!$C:$C,MATCH(362,Başvuru!$W:$W,0)),"")</f>
        <v/>
      </c>
    </row>
    <row r="371" spans="14:14" ht="15" customHeight="1" x14ac:dyDescent="0.25">
      <c r="N371" t="str">
        <f>IFERROR(INDEX(Başvuru!$C:$C,MATCH(363,Başvuru!$W:$W,0)),"")</f>
        <v/>
      </c>
    </row>
    <row r="372" spans="14:14" ht="15" customHeight="1" x14ac:dyDescent="0.25">
      <c r="N372" t="str">
        <f>IFERROR(INDEX(Başvuru!$C:$C,MATCH(364,Başvuru!$W:$W,0)),"")</f>
        <v/>
      </c>
    </row>
    <row r="373" spans="14:14" ht="15" customHeight="1" x14ac:dyDescent="0.25">
      <c r="N373" t="str">
        <f>IFERROR(INDEX(Başvuru!$C:$C,MATCH(365,Başvuru!$W:$W,0)),"")</f>
        <v/>
      </c>
    </row>
    <row r="374" spans="14:14" ht="15" customHeight="1" x14ac:dyDescent="0.25">
      <c r="N374" t="str">
        <f>IFERROR(INDEX(Başvuru!$C:$C,MATCH(366,Başvuru!$W:$W,0)),"")</f>
        <v/>
      </c>
    </row>
    <row r="375" spans="14:14" ht="15" customHeight="1" x14ac:dyDescent="0.25">
      <c r="N375" t="str">
        <f>IFERROR(INDEX(Başvuru!$C:$C,MATCH(367,Başvuru!$W:$W,0)),"")</f>
        <v/>
      </c>
    </row>
    <row r="376" spans="14:14" ht="15" customHeight="1" x14ac:dyDescent="0.25">
      <c r="N376" t="str">
        <f>IFERROR(INDEX(Başvuru!$C:$C,MATCH(368,Başvuru!$W:$W,0)),"")</f>
        <v/>
      </c>
    </row>
    <row r="377" spans="14:14" ht="15" customHeight="1" x14ac:dyDescent="0.25">
      <c r="N377" t="str">
        <f>IFERROR(INDEX(Başvuru!$C:$C,MATCH(369,Başvuru!$W:$W,0)),"")</f>
        <v/>
      </c>
    </row>
    <row r="378" spans="14:14" ht="15" customHeight="1" x14ac:dyDescent="0.25">
      <c r="N378" t="str">
        <f>IFERROR(INDEX(Başvuru!$C:$C,MATCH(370,Başvuru!$W:$W,0)),"")</f>
        <v/>
      </c>
    </row>
    <row r="379" spans="14:14" ht="15" customHeight="1" x14ac:dyDescent="0.25">
      <c r="N379" t="str">
        <f>IFERROR(INDEX(Başvuru!$C:$C,MATCH(371,Başvuru!$W:$W,0)),"")</f>
        <v/>
      </c>
    </row>
    <row r="380" spans="14:14" ht="15" customHeight="1" x14ac:dyDescent="0.25">
      <c r="N380" t="str">
        <f>IFERROR(INDEX(Başvuru!$C:$C,MATCH(372,Başvuru!$W:$W,0)),"")</f>
        <v/>
      </c>
    </row>
    <row r="381" spans="14:14" ht="15" customHeight="1" x14ac:dyDescent="0.25">
      <c r="N381" t="str">
        <f>IFERROR(INDEX(Başvuru!$C:$C,MATCH(373,Başvuru!$W:$W,0)),"")</f>
        <v/>
      </c>
    </row>
    <row r="382" spans="14:14" ht="15" customHeight="1" x14ac:dyDescent="0.25">
      <c r="N382" t="str">
        <f>IFERROR(INDEX(Başvuru!$C:$C,MATCH(374,Başvuru!$W:$W,0)),"")</f>
        <v/>
      </c>
    </row>
    <row r="383" spans="14:14" ht="15" customHeight="1" x14ac:dyDescent="0.25">
      <c r="N383" t="str">
        <f>IFERROR(INDEX(Başvuru!$C:$C,MATCH(375,Başvuru!$W:$W,0)),"")</f>
        <v/>
      </c>
    </row>
    <row r="384" spans="14:14" ht="15" customHeight="1" x14ac:dyDescent="0.25">
      <c r="N384" t="str">
        <f>IFERROR(INDEX(Başvuru!$C:$C,MATCH(376,Başvuru!$W:$W,0)),"")</f>
        <v/>
      </c>
    </row>
    <row r="385" spans="14:14" ht="15" customHeight="1" x14ac:dyDescent="0.25">
      <c r="N385" t="str">
        <f>IFERROR(INDEX(Başvuru!$C:$C,MATCH(377,Başvuru!$W:$W,0)),"")</f>
        <v/>
      </c>
    </row>
    <row r="386" spans="14:14" ht="15" customHeight="1" x14ac:dyDescent="0.25">
      <c r="N386" t="str">
        <f>IFERROR(INDEX(Başvuru!$C:$C,MATCH(378,Başvuru!$W:$W,0)),"")</f>
        <v/>
      </c>
    </row>
    <row r="387" spans="14:14" ht="15" customHeight="1" x14ac:dyDescent="0.25">
      <c r="N387" t="str">
        <f>IFERROR(INDEX(Başvuru!$C:$C,MATCH(379,Başvuru!$W:$W,0)),"")</f>
        <v/>
      </c>
    </row>
    <row r="388" spans="14:14" ht="15" customHeight="1" x14ac:dyDescent="0.25">
      <c r="N388" t="str">
        <f>IFERROR(INDEX(Başvuru!$C:$C,MATCH(380,Başvuru!$W:$W,0)),"")</f>
        <v/>
      </c>
    </row>
    <row r="389" spans="14:14" ht="15" customHeight="1" x14ac:dyDescent="0.25">
      <c r="N389" t="str">
        <f>IFERROR(INDEX(Başvuru!$C:$C,MATCH(381,Başvuru!$W:$W,0)),"")</f>
        <v/>
      </c>
    </row>
    <row r="390" spans="14:14" ht="15" customHeight="1" x14ac:dyDescent="0.25">
      <c r="N390" t="str">
        <f>IFERROR(INDEX(Başvuru!$C:$C,MATCH(382,Başvuru!$W:$W,0)),"")</f>
        <v/>
      </c>
    </row>
    <row r="391" spans="14:14" ht="15" customHeight="1" x14ac:dyDescent="0.25">
      <c r="N391" t="str">
        <f>IFERROR(INDEX(Başvuru!$C:$C,MATCH(383,Başvuru!$W:$W,0)),"")</f>
        <v/>
      </c>
    </row>
    <row r="392" spans="14:14" ht="15" customHeight="1" x14ac:dyDescent="0.25">
      <c r="N392" t="str">
        <f>IFERROR(INDEX(Başvuru!$C:$C,MATCH(384,Başvuru!$W:$W,0)),"")</f>
        <v/>
      </c>
    </row>
    <row r="393" spans="14:14" ht="15" customHeight="1" x14ac:dyDescent="0.25">
      <c r="N393" t="str">
        <f>IFERROR(INDEX(Başvuru!$C:$C,MATCH(385,Başvuru!$W:$W,0)),"")</f>
        <v/>
      </c>
    </row>
    <row r="394" spans="14:14" ht="15" customHeight="1" x14ac:dyDescent="0.25">
      <c r="N394" t="str">
        <f>IFERROR(INDEX(Başvuru!$C:$C,MATCH(386,Başvuru!$W:$W,0)),"")</f>
        <v/>
      </c>
    </row>
    <row r="395" spans="14:14" ht="15" customHeight="1" x14ac:dyDescent="0.25">
      <c r="N395" t="str">
        <f>IFERROR(INDEX(Başvuru!$C:$C,MATCH(387,Başvuru!$W:$W,0)),"")</f>
        <v/>
      </c>
    </row>
    <row r="396" spans="14:14" ht="15" customHeight="1" x14ac:dyDescent="0.25">
      <c r="N396" t="str">
        <f>IFERROR(INDEX(Başvuru!$C:$C,MATCH(388,Başvuru!$W:$W,0)),"")</f>
        <v/>
      </c>
    </row>
    <row r="397" spans="14:14" ht="15" customHeight="1" x14ac:dyDescent="0.25">
      <c r="N397" t="str">
        <f>IFERROR(INDEX(Başvuru!$C:$C,MATCH(389,Başvuru!$W:$W,0)),"")</f>
        <v/>
      </c>
    </row>
    <row r="398" spans="14:14" ht="15" customHeight="1" x14ac:dyDescent="0.25">
      <c r="N398" t="str">
        <f>IFERROR(INDEX(Başvuru!$C:$C,MATCH(390,Başvuru!$W:$W,0)),"")</f>
        <v/>
      </c>
    </row>
    <row r="399" spans="14:14" ht="15" customHeight="1" x14ac:dyDescent="0.25">
      <c r="N399" t="str">
        <f>IFERROR(INDEX(Başvuru!$C:$C,MATCH(391,Başvuru!$W:$W,0)),"")</f>
        <v/>
      </c>
    </row>
    <row r="400" spans="14:14" ht="15" customHeight="1" x14ac:dyDescent="0.25">
      <c r="N400" t="str">
        <f>IFERROR(INDEX(Başvuru!$C:$C,MATCH(392,Başvuru!$W:$W,0)),"")</f>
        <v/>
      </c>
    </row>
    <row r="401" spans="14:14" ht="15" customHeight="1" x14ac:dyDescent="0.25">
      <c r="N401" t="str">
        <f>IFERROR(INDEX(Başvuru!$C:$C,MATCH(393,Başvuru!$W:$W,0)),"")</f>
        <v/>
      </c>
    </row>
    <row r="402" spans="14:14" ht="15" customHeight="1" x14ac:dyDescent="0.25">
      <c r="N402" t="str">
        <f>IFERROR(INDEX(Başvuru!$C:$C,MATCH(394,Başvuru!$W:$W,0)),"")</f>
        <v/>
      </c>
    </row>
    <row r="403" spans="14:14" ht="15" customHeight="1" x14ac:dyDescent="0.25">
      <c r="N403" t="str">
        <f>IFERROR(INDEX(Başvuru!$C:$C,MATCH(395,Başvuru!$W:$W,0)),"")</f>
        <v/>
      </c>
    </row>
    <row r="404" spans="14:14" ht="15" customHeight="1" x14ac:dyDescent="0.25">
      <c r="N404" t="str">
        <f>IFERROR(INDEX(Başvuru!$C:$C,MATCH(396,Başvuru!$W:$W,0)),"")</f>
        <v/>
      </c>
    </row>
    <row r="405" spans="14:14" ht="15" customHeight="1" x14ac:dyDescent="0.25">
      <c r="N405" t="str">
        <f>IFERROR(INDEX(Başvuru!$C:$C,MATCH(397,Başvuru!$W:$W,0)),"")</f>
        <v/>
      </c>
    </row>
    <row r="406" spans="14:14" ht="15" customHeight="1" x14ac:dyDescent="0.25">
      <c r="N406" t="str">
        <f>IFERROR(INDEX(Başvuru!$C:$C,MATCH(398,Başvuru!$W:$W,0)),"")</f>
        <v/>
      </c>
    </row>
    <row r="407" spans="14:14" ht="15" customHeight="1" x14ac:dyDescent="0.25">
      <c r="N407" t="str">
        <f>IFERROR(INDEX(Başvuru!$C:$C,MATCH(399,Başvuru!$W:$W,0)),"")</f>
        <v/>
      </c>
    </row>
    <row r="408" spans="14:14" ht="15" customHeight="1" x14ac:dyDescent="0.25">
      <c r="N408" t="str">
        <f>IFERROR(INDEX(Başvuru!$C:$C,MATCH(400,Başvuru!$W:$W,0)),"")</f>
        <v/>
      </c>
    </row>
  </sheetData>
  <mergeCells count="4">
    <mergeCell ref="B2:J2"/>
    <mergeCell ref="B3:J3"/>
    <mergeCell ref="C5:F5"/>
    <mergeCell ref="B39:J39"/>
  </mergeCells>
  <dataValidations count="1">
    <dataValidation type="list" allowBlank="1" errorTitle="Geçersiz seçim" error="Lütfen listeden bir araştırmacı seçin." promptTitle="Araştırmacı Seç" prompt="Açılır listeden bir araştırmacı seçin" sqref="C5" xr:uid="{00000000-0002-0000-0700-000000000000}">
      <formula1>ArastirmaciListesi</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C30" sqref="C30"/>
    </sheetView>
  </sheetViews>
  <sheetFormatPr defaultColWidth="9.140625" defaultRowHeight="15.75" x14ac:dyDescent="0.25"/>
  <cols>
    <col min="1" max="1" width="9.140625" style="28"/>
    <col min="2" max="2" width="17.85546875" style="28" customWidth="1"/>
    <col min="3" max="3" width="18" style="28" customWidth="1"/>
    <col min="4" max="42" width="9.7109375" style="28" customWidth="1"/>
    <col min="43" max="43" width="12.85546875" style="28" customWidth="1"/>
    <col min="44" max="16384" width="9.140625" style="28"/>
  </cols>
  <sheetData>
    <row r="1" spans="1:6" ht="15.75" customHeight="1" x14ac:dyDescent="0.25">
      <c r="A1" s="257" t="s">
        <v>4368</v>
      </c>
      <c r="B1" s="257"/>
      <c r="C1" s="257"/>
      <c r="D1" s="257"/>
      <c r="E1" s="257"/>
      <c r="F1" s="257"/>
    </row>
    <row r="3" spans="1:6" ht="15.75" customHeight="1" x14ac:dyDescent="0.25">
      <c r="A3" s="217" t="s">
        <v>39</v>
      </c>
      <c r="B3" s="217" t="s">
        <v>4369</v>
      </c>
      <c r="C3" s="217" t="s">
        <v>4370</v>
      </c>
      <c r="D3" s="217" t="s">
        <v>4318</v>
      </c>
      <c r="E3" s="217" t="s">
        <v>4371</v>
      </c>
      <c r="F3" s="217" t="s">
        <v>4372</v>
      </c>
    </row>
    <row r="4" spans="1:6" ht="15.75" customHeight="1" x14ac:dyDescent="0.25">
      <c r="A4" s="217" t="s">
        <v>61</v>
      </c>
      <c r="B4" s="218">
        <v>46028</v>
      </c>
      <c r="C4" s="61">
        <v>55</v>
      </c>
      <c r="D4" s="61">
        <v>16</v>
      </c>
      <c r="E4" s="61">
        <v>9</v>
      </c>
      <c r="F4" s="61">
        <f t="shared" ref="F4:F26" si="0">SUM(C4:E4)</f>
        <v>80</v>
      </c>
    </row>
    <row r="5" spans="1:6" ht="15.75" customHeight="1" x14ac:dyDescent="0.25">
      <c r="A5" s="217" t="s">
        <v>71</v>
      </c>
      <c r="B5" s="218">
        <v>46042</v>
      </c>
      <c r="C5" s="61">
        <v>45</v>
      </c>
      <c r="D5" s="61">
        <v>13</v>
      </c>
      <c r="E5" s="61">
        <v>11</v>
      </c>
      <c r="F5" s="61">
        <f t="shared" si="0"/>
        <v>69</v>
      </c>
    </row>
    <row r="6" spans="1:6" ht="15.75" customHeight="1" x14ac:dyDescent="0.25">
      <c r="A6" s="217" t="s">
        <v>79</v>
      </c>
      <c r="B6" s="218">
        <v>46057</v>
      </c>
      <c r="C6" s="61">
        <v>45</v>
      </c>
      <c r="D6" s="61">
        <v>12</v>
      </c>
      <c r="E6" s="61">
        <v>15</v>
      </c>
      <c r="F6" s="61">
        <f t="shared" si="0"/>
        <v>72</v>
      </c>
    </row>
    <row r="7" spans="1:6" ht="15.75" customHeight="1" x14ac:dyDescent="0.25">
      <c r="A7" s="217" t="s">
        <v>88</v>
      </c>
      <c r="B7" s="218">
        <v>46070</v>
      </c>
      <c r="C7" s="61">
        <v>45</v>
      </c>
      <c r="D7" s="61">
        <v>17</v>
      </c>
      <c r="E7" s="61">
        <v>6</v>
      </c>
      <c r="F7" s="61">
        <f t="shared" si="0"/>
        <v>68</v>
      </c>
    </row>
    <row r="8" spans="1:6" ht="15.75" customHeight="1" x14ac:dyDescent="0.25">
      <c r="A8" s="217" t="s">
        <v>98</v>
      </c>
      <c r="B8" s="218">
        <v>46084</v>
      </c>
      <c r="C8" s="61">
        <v>35</v>
      </c>
      <c r="D8" s="61">
        <v>19</v>
      </c>
      <c r="E8" s="61">
        <v>8</v>
      </c>
      <c r="F8" s="61">
        <f t="shared" si="0"/>
        <v>62</v>
      </c>
    </row>
    <row r="9" spans="1:6" ht="15.75" customHeight="1" x14ac:dyDescent="0.25">
      <c r="A9" s="217" t="s">
        <v>107</v>
      </c>
      <c r="B9" s="218">
        <v>46098</v>
      </c>
      <c r="C9" s="61">
        <v>47</v>
      </c>
      <c r="D9" s="61">
        <v>21</v>
      </c>
      <c r="E9" s="61">
        <v>14</v>
      </c>
      <c r="F9" s="61">
        <f t="shared" si="0"/>
        <v>82</v>
      </c>
    </row>
    <row r="10" spans="1:6" ht="15.75" customHeight="1" x14ac:dyDescent="0.25">
      <c r="A10" s="217" t="s">
        <v>115</v>
      </c>
      <c r="B10" s="218">
        <v>46112</v>
      </c>
      <c r="C10" s="61">
        <v>40</v>
      </c>
      <c r="D10" s="61">
        <v>15</v>
      </c>
      <c r="E10" s="61">
        <v>11</v>
      </c>
      <c r="F10" s="61">
        <f t="shared" si="0"/>
        <v>66</v>
      </c>
    </row>
    <row r="11" spans="1:6" ht="15.75" customHeight="1" x14ac:dyDescent="0.25">
      <c r="A11" s="217" t="s">
        <v>123</v>
      </c>
      <c r="B11" s="218">
        <v>46126</v>
      </c>
      <c r="C11" s="61">
        <v>40</v>
      </c>
      <c r="D11" s="61">
        <v>15</v>
      </c>
      <c r="E11" s="61">
        <v>6</v>
      </c>
      <c r="F11" s="61">
        <f t="shared" si="0"/>
        <v>61</v>
      </c>
    </row>
    <row r="12" spans="1:6" ht="15.75" customHeight="1" x14ac:dyDescent="0.25">
      <c r="A12" s="217" t="s">
        <v>130</v>
      </c>
      <c r="B12" s="218">
        <v>46140</v>
      </c>
      <c r="C12" s="61">
        <v>48</v>
      </c>
      <c r="D12" s="61">
        <v>14</v>
      </c>
      <c r="E12" s="61">
        <v>9</v>
      </c>
      <c r="F12" s="61">
        <f t="shared" si="0"/>
        <v>71</v>
      </c>
    </row>
    <row r="13" spans="1:6" ht="15.75" customHeight="1" x14ac:dyDescent="0.25">
      <c r="A13" s="217" t="s">
        <v>137</v>
      </c>
      <c r="B13" s="218">
        <v>46154</v>
      </c>
      <c r="C13" s="61">
        <v>52</v>
      </c>
      <c r="D13" s="61">
        <v>16</v>
      </c>
      <c r="E13" s="61">
        <v>13</v>
      </c>
      <c r="F13" s="61">
        <f t="shared" si="0"/>
        <v>81</v>
      </c>
    </row>
    <row r="14" spans="1:6" ht="15.75" customHeight="1" x14ac:dyDescent="0.25">
      <c r="A14" s="217" t="s">
        <v>144</v>
      </c>
      <c r="B14" s="218">
        <v>46175</v>
      </c>
      <c r="C14" s="61">
        <v>40</v>
      </c>
      <c r="D14" s="61">
        <v>24</v>
      </c>
      <c r="E14" s="61">
        <v>10</v>
      </c>
      <c r="F14" s="61">
        <f t="shared" si="0"/>
        <v>74</v>
      </c>
    </row>
    <row r="15" spans="1:6" ht="15.75" customHeight="1" x14ac:dyDescent="0.25">
      <c r="A15" s="217" t="s">
        <v>150</v>
      </c>
      <c r="B15" s="218">
        <v>46196</v>
      </c>
      <c r="C15" s="61">
        <f>COUNTIFS(Başvuru!$I:$I,B15,Başvuru!$I:$I,"&lt;&gt;"&amp;"")</f>
        <v>46</v>
      </c>
      <c r="D15" s="61">
        <v>18</v>
      </c>
      <c r="E15" s="61">
        <v>10</v>
      </c>
      <c r="F15" s="61">
        <f t="shared" si="0"/>
        <v>74</v>
      </c>
    </row>
    <row r="16" spans="1:6" ht="15.75" customHeight="1" x14ac:dyDescent="0.25">
      <c r="A16" s="217" t="s">
        <v>158</v>
      </c>
      <c r="B16" s="218">
        <v>46217</v>
      </c>
      <c r="C16" s="61">
        <v>50</v>
      </c>
      <c r="D16" s="61">
        <v>17</v>
      </c>
      <c r="E16" s="61">
        <v>17</v>
      </c>
      <c r="F16" s="61">
        <f t="shared" si="0"/>
        <v>84</v>
      </c>
    </row>
    <row r="17" spans="1:6" ht="15.75" customHeight="1" x14ac:dyDescent="0.25">
      <c r="A17" s="217" t="s">
        <v>165</v>
      </c>
      <c r="B17" s="218">
        <v>46224</v>
      </c>
      <c r="C17" s="61">
        <v>51</v>
      </c>
      <c r="D17" s="61">
        <v>5</v>
      </c>
      <c r="E17" s="61">
        <v>3</v>
      </c>
      <c r="F17" s="61">
        <f t="shared" si="0"/>
        <v>59</v>
      </c>
    </row>
    <row r="18" spans="1:6" ht="15.75" customHeight="1" x14ac:dyDescent="0.25">
      <c r="A18" s="217" t="s">
        <v>172</v>
      </c>
      <c r="B18" s="218">
        <v>46231</v>
      </c>
      <c r="C18" s="61">
        <v>24</v>
      </c>
      <c r="D18" s="61"/>
      <c r="E18" s="61"/>
      <c r="F18" s="61">
        <f t="shared" si="0"/>
        <v>24</v>
      </c>
    </row>
    <row r="19" spans="1:6" ht="15.75" customHeight="1" x14ac:dyDescent="0.25">
      <c r="A19" s="217" t="s">
        <v>180</v>
      </c>
      <c r="B19" s="218"/>
      <c r="C19" s="61"/>
      <c r="D19" s="61"/>
      <c r="E19" s="61"/>
      <c r="F19" s="61">
        <f t="shared" si="0"/>
        <v>0</v>
      </c>
    </row>
    <row r="20" spans="1:6" ht="15.75" customHeight="1" x14ac:dyDescent="0.25">
      <c r="A20" s="217" t="s">
        <v>186</v>
      </c>
      <c r="B20" s="218"/>
      <c r="C20" s="61"/>
      <c r="D20" s="61"/>
      <c r="E20" s="61"/>
      <c r="F20" s="61">
        <f t="shared" si="0"/>
        <v>0</v>
      </c>
    </row>
    <row r="21" spans="1:6" ht="15.75" customHeight="1" x14ac:dyDescent="0.25">
      <c r="A21" s="217" t="s">
        <v>193</v>
      </c>
      <c r="B21" s="218"/>
      <c r="C21" s="61"/>
      <c r="D21" s="61"/>
      <c r="E21" s="61"/>
      <c r="F21" s="61">
        <f t="shared" si="0"/>
        <v>0</v>
      </c>
    </row>
    <row r="22" spans="1:6" ht="15.75" customHeight="1" x14ac:dyDescent="0.25">
      <c r="A22" s="217" t="s">
        <v>200</v>
      </c>
      <c r="B22" s="218"/>
      <c r="C22" s="61"/>
      <c r="D22" s="61"/>
      <c r="E22" s="61"/>
      <c r="F22" s="61">
        <f t="shared" si="0"/>
        <v>0</v>
      </c>
    </row>
    <row r="23" spans="1:6" ht="15.75" customHeight="1" x14ac:dyDescent="0.25">
      <c r="A23" s="217" t="s">
        <v>207</v>
      </c>
      <c r="B23" s="218"/>
      <c r="C23" s="61"/>
      <c r="D23" s="61"/>
      <c r="E23" s="61"/>
      <c r="F23" s="61">
        <f t="shared" si="0"/>
        <v>0</v>
      </c>
    </row>
    <row r="24" spans="1:6" ht="15.75" customHeight="1" x14ac:dyDescent="0.25">
      <c r="A24" s="217" t="s">
        <v>212</v>
      </c>
      <c r="B24" s="218"/>
      <c r="C24" s="61"/>
      <c r="D24" s="61"/>
      <c r="E24" s="61"/>
      <c r="F24" s="61">
        <f t="shared" si="0"/>
        <v>0</v>
      </c>
    </row>
    <row r="25" spans="1:6" ht="15.75" customHeight="1" x14ac:dyDescent="0.25">
      <c r="A25" s="217" t="s">
        <v>220</v>
      </c>
      <c r="B25" s="218"/>
      <c r="C25" s="61"/>
      <c r="D25" s="61"/>
      <c r="E25" s="61"/>
      <c r="F25" s="61">
        <f t="shared" si="0"/>
        <v>0</v>
      </c>
    </row>
    <row r="26" spans="1:6" ht="15.75" customHeight="1" x14ac:dyDescent="0.25">
      <c r="A26" s="217" t="s">
        <v>226</v>
      </c>
      <c r="B26" s="218"/>
      <c r="C26" s="61"/>
      <c r="D26" s="61"/>
      <c r="E26" s="61"/>
      <c r="F26" s="61">
        <f t="shared" si="0"/>
        <v>0</v>
      </c>
    </row>
    <row r="27" spans="1:6" ht="20.25" customHeight="1" x14ac:dyDescent="0.25">
      <c r="A27" s="258" t="s">
        <v>4</v>
      </c>
      <c r="B27" s="258"/>
      <c r="C27" s="219">
        <f>SUM(C4:C26)</f>
        <v>663</v>
      </c>
      <c r="D27" s="220">
        <f>SUM(D4:D26)</f>
        <v>222</v>
      </c>
      <c r="E27" s="221">
        <f>SUM(E4:E26)</f>
        <v>142</v>
      </c>
      <c r="F27" s="219">
        <f>SUM(F4:F26)</f>
        <v>1027</v>
      </c>
    </row>
    <row r="28" spans="1:6" ht="15.75" customHeight="1" x14ac:dyDescent="0.25">
      <c r="D28" s="259">
        <f>SUM(D27:E27)</f>
        <v>364</v>
      </c>
      <c r="E28" s="259"/>
    </row>
    <row r="29" spans="1:6" ht="15.75" customHeight="1" x14ac:dyDescent="0.25">
      <c r="D29" s="260">
        <f>F27-D28</f>
        <v>663</v>
      </c>
      <c r="E29" s="260"/>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62"/>
  <sheetViews>
    <sheetView showZeros="0" topLeftCell="A4" zoomScale="117" zoomScaleNormal="117" workbookViewId="0">
      <selection activeCell="B1" sqref="B1:C31"/>
    </sheetView>
  </sheetViews>
  <sheetFormatPr defaultColWidth="64" defaultRowHeight="15.75" x14ac:dyDescent="0.25"/>
  <cols>
    <col min="1" max="3" width="45" style="222" customWidth="1"/>
    <col min="4" max="4" width="64" style="223"/>
    <col min="5" max="5" width="33.85546875" style="31" customWidth="1"/>
    <col min="6" max="16384" width="64" style="223"/>
  </cols>
  <sheetData>
    <row r="1" spans="1:3" ht="15.75" customHeight="1" x14ac:dyDescent="0.25">
      <c r="A1" s="222" t="s">
        <v>68</v>
      </c>
      <c r="B1" s="222" t="str">
        <f t="shared" ref="B1:C27" si="0">INDEX($A:$A, (ROW()-1)*2 + COLUMN()-1)</f>
        <v>Doç. Dr. Kübra AYKAÇ</v>
      </c>
      <c r="C1" s="222" t="str">
        <f t="shared" si="0"/>
        <v>Prof. Dr. Ayşe KİN İŞLER</v>
      </c>
    </row>
    <row r="2" spans="1:3" ht="15.75" customHeight="1" x14ac:dyDescent="0.25">
      <c r="A2" s="222" t="s">
        <v>113</v>
      </c>
      <c r="B2" s="222" t="str">
        <f t="shared" si="0"/>
        <v>Doç. Dr. Kübra AYKAÇ</v>
      </c>
      <c r="C2" s="222" t="str">
        <f t="shared" si="0"/>
        <v>Prof. Dr. Ayşe KİN İŞLER</v>
      </c>
    </row>
    <row r="3" spans="1:3" ht="15.75" customHeight="1" x14ac:dyDescent="0.25">
      <c r="A3" s="222" t="s">
        <v>68</v>
      </c>
      <c r="B3" s="222" t="str">
        <f t="shared" si="0"/>
        <v>Prof. Dr. Yavuz AYHAN</v>
      </c>
      <c r="C3" s="222" t="str">
        <f t="shared" si="0"/>
        <v>Doç. Dr. Tolga ÇAKMAK</v>
      </c>
    </row>
    <row r="4" spans="1:3" ht="15.75" customHeight="1" x14ac:dyDescent="0.25">
      <c r="A4" s="222" t="s">
        <v>113</v>
      </c>
      <c r="B4" s="222" t="str">
        <f t="shared" si="0"/>
        <v>Prof. Dr. Yavuz AYHAN</v>
      </c>
      <c r="C4" s="222" t="str">
        <f t="shared" si="0"/>
        <v>Doç. Dr. Burcu ERSÖZ ALAN</v>
      </c>
    </row>
    <row r="5" spans="1:3" ht="15.75" customHeight="1" x14ac:dyDescent="0.25">
      <c r="A5" s="222" t="s">
        <v>104</v>
      </c>
      <c r="B5" s="222" t="str">
        <f t="shared" si="0"/>
        <v>Prof. Dr. Gözde GİRGİN</v>
      </c>
      <c r="C5" s="222" t="str">
        <f t="shared" si="0"/>
        <v>Doç. Dr. Ekim GÜMELER BÜYÜKBAYRAM</v>
      </c>
    </row>
    <row r="6" spans="1:3" ht="15.75" customHeight="1" x14ac:dyDescent="0.25">
      <c r="A6" s="222" t="s">
        <v>94</v>
      </c>
      <c r="B6" s="222" t="str">
        <f t="shared" si="0"/>
        <v>Prof. Dr. Gözde GİRGİN</v>
      </c>
      <c r="C6" s="222" t="str">
        <f t="shared" si="0"/>
        <v>Doç. Dr. Ekim GÜMELER BÜYÜKBAYRAM</v>
      </c>
    </row>
    <row r="7" spans="1:3" ht="15.75" customHeight="1" x14ac:dyDescent="0.25">
      <c r="A7" s="222" t="s">
        <v>104</v>
      </c>
      <c r="B7" s="222" t="str">
        <f t="shared" si="0"/>
        <v>Doç. Dr. Tolga ÇAKMAK</v>
      </c>
      <c r="C7" s="222" t="str">
        <f t="shared" si="0"/>
        <v>Prof. Dr. Nazmiye Ebru ORTAÇ ERSOY</v>
      </c>
    </row>
    <row r="8" spans="1:3" ht="15.75" customHeight="1" x14ac:dyDescent="0.25">
      <c r="A8" s="222" t="s">
        <v>95</v>
      </c>
      <c r="B8" s="222" t="str">
        <f t="shared" si="0"/>
        <v>Prof. Dr. Ayşe Nurten AKARSU</v>
      </c>
      <c r="C8" s="222" t="str">
        <f t="shared" si="0"/>
        <v>Doç. Dr. Tolga ÇAKMAK</v>
      </c>
    </row>
    <row r="9" spans="1:3" ht="15.75" customHeight="1" x14ac:dyDescent="0.25">
      <c r="A9" s="222" t="s">
        <v>77</v>
      </c>
      <c r="B9" s="222" t="str">
        <f t="shared" si="0"/>
        <v>Prof. Dr. Nazmiye Ebru ORTAÇ ERSOY</v>
      </c>
      <c r="C9" s="222" t="str">
        <f t="shared" si="0"/>
        <v>Prof. Dr. Gözde GİRGİN</v>
      </c>
    </row>
    <row r="10" spans="1:3" ht="15.75" customHeight="1" x14ac:dyDescent="0.25">
      <c r="A10" s="222" t="s">
        <v>4373</v>
      </c>
      <c r="B10" s="222" t="str">
        <f t="shared" si="0"/>
        <v>Prof. Dr. Yavuz AYHAN</v>
      </c>
      <c r="C10" s="222" t="str">
        <f t="shared" si="0"/>
        <v>Prof. Dr. Gözde GİRGİN</v>
      </c>
    </row>
    <row r="11" spans="1:3" ht="15.75" customHeight="1" x14ac:dyDescent="0.25">
      <c r="A11" s="222" t="s">
        <v>77</v>
      </c>
      <c r="B11" s="222" t="str">
        <f t="shared" si="0"/>
        <v>Prof. Dr. Gözde GİRGİN</v>
      </c>
      <c r="C11" s="222" t="str">
        <f t="shared" si="0"/>
        <v>Prof. Dr. Yavuz AYHAN</v>
      </c>
    </row>
    <row r="12" spans="1:3" ht="15.75" customHeight="1" x14ac:dyDescent="0.25">
      <c r="A12" s="222" t="s">
        <v>4373</v>
      </c>
      <c r="B12" s="222" t="str">
        <f t="shared" si="0"/>
        <v>Prof. Dr. Ayşe Nurten AKARSU</v>
      </c>
      <c r="C12" s="222" t="str">
        <f t="shared" si="0"/>
        <v>Doç. Dr. Kübra AYKAÇ</v>
      </c>
    </row>
    <row r="13" spans="1:3" ht="15.75" customHeight="1" x14ac:dyDescent="0.25">
      <c r="A13" s="222" t="s">
        <v>94</v>
      </c>
      <c r="B13" s="222" t="str">
        <f t="shared" si="0"/>
        <v>Prof. Dr. Ayşe Nurten AKARSU</v>
      </c>
      <c r="C13" s="222" t="str">
        <f t="shared" si="0"/>
        <v>Doç. Dr. Ekim GÜMELER BÜYÜKBAYRAM</v>
      </c>
    </row>
    <row r="14" spans="1:3" ht="15.75" customHeight="1" x14ac:dyDescent="0.25">
      <c r="A14" s="222" t="s">
        <v>128</v>
      </c>
      <c r="B14" s="222" t="str">
        <f t="shared" si="0"/>
        <v>Doç. Dr. Kübra AYKAÇ</v>
      </c>
      <c r="C14" s="222" t="str">
        <f t="shared" si="0"/>
        <v>Prof. Dr. M. Özgür UYANIK</v>
      </c>
    </row>
    <row r="15" spans="1:3" ht="15.75" customHeight="1" x14ac:dyDescent="0.25">
      <c r="A15" s="222" t="s">
        <v>67</v>
      </c>
      <c r="B15" s="222" t="str">
        <f t="shared" si="0"/>
        <v>Prof. Dr. Melih Önder BABAOĞLU</v>
      </c>
      <c r="C15" s="222" t="str">
        <f t="shared" si="0"/>
        <v>Doç. Dr. Burcu ERSÖZ ALAN</v>
      </c>
    </row>
    <row r="16" spans="1:3" ht="15.75" customHeight="1" x14ac:dyDescent="0.25">
      <c r="A16" s="222" t="s">
        <v>94</v>
      </c>
      <c r="B16" s="222" t="str">
        <f t="shared" si="0"/>
        <v>Doç. Dr. Ekim GÜMELER BÜYÜKBAYRAM</v>
      </c>
      <c r="C16" s="222" t="str">
        <f t="shared" si="0"/>
        <v>Prof. Dr. Nazmiye Ebru ORTAÇ ERSOY</v>
      </c>
    </row>
    <row r="17" spans="1:3" ht="15.75" customHeight="1" x14ac:dyDescent="0.25">
      <c r="A17" s="222" t="s">
        <v>128</v>
      </c>
      <c r="B17" s="222" t="str">
        <f t="shared" si="0"/>
        <v>Doç. Dr. Ekim GÜMELER BÜYÜKBAYRAM</v>
      </c>
      <c r="C17" s="222" t="str">
        <f t="shared" si="0"/>
        <v>Doç. Dr. Burcu ERSÖZ ALAN</v>
      </c>
    </row>
    <row r="18" spans="1:3" ht="15.75" customHeight="1" x14ac:dyDescent="0.25">
      <c r="A18" s="222" t="s">
        <v>77</v>
      </c>
      <c r="B18" s="222" t="str">
        <f t="shared" si="0"/>
        <v>Prof. Dr. M. Özgür UYANIK</v>
      </c>
      <c r="C18" s="222" t="str">
        <f t="shared" si="0"/>
        <v>Prof. Dr. Ayşe KİN İŞLER</v>
      </c>
    </row>
    <row r="19" spans="1:3" ht="15.75" customHeight="1" x14ac:dyDescent="0.25">
      <c r="A19" s="222" t="s">
        <v>104</v>
      </c>
      <c r="B19" s="222" t="str">
        <f t="shared" si="0"/>
        <v>Prof. Dr. M. Özgür UYANIK</v>
      </c>
      <c r="C19" s="222" t="str">
        <f t="shared" si="0"/>
        <v>Prof. Dr. Ayşe KİN İŞLER</v>
      </c>
    </row>
    <row r="20" spans="1:3" ht="15.75" customHeight="1" x14ac:dyDescent="0.25">
      <c r="A20" s="222" t="s">
        <v>77</v>
      </c>
      <c r="B20" s="222" t="str">
        <f t="shared" si="0"/>
        <v>Doç. Dr. Tolga ÇAKMAK</v>
      </c>
      <c r="C20" s="222" t="str">
        <f t="shared" si="0"/>
        <v>Doç. Dr. Burcu ERSÖZ ALAN</v>
      </c>
    </row>
    <row r="21" spans="1:3" ht="15.75" customHeight="1" x14ac:dyDescent="0.25">
      <c r="A21" s="222" t="s">
        <v>77</v>
      </c>
      <c r="B21" s="222" t="str">
        <f t="shared" si="0"/>
        <v>Doç. Dr. Tolga ÇAKMAK</v>
      </c>
      <c r="C21" s="222" t="str">
        <f t="shared" si="0"/>
        <v>Doç. Dr. Burcu ERSÖZ ALAN</v>
      </c>
    </row>
    <row r="22" spans="1:3" ht="15.75" customHeight="1" x14ac:dyDescent="0.25">
      <c r="A22" s="222" t="s">
        <v>104</v>
      </c>
      <c r="B22" s="222" t="str">
        <f t="shared" si="0"/>
        <v>Prof. Dr. Ayşe KİN İŞLER</v>
      </c>
      <c r="C22" s="222" t="str">
        <f t="shared" si="0"/>
        <v>Prof. Dr. Nazmiye Ebru ORTAÇ ERSOY</v>
      </c>
    </row>
    <row r="23" spans="1:3" ht="15.75" customHeight="1" x14ac:dyDescent="0.25">
      <c r="A23" s="222" t="s">
        <v>67</v>
      </c>
      <c r="B23" s="222" t="str">
        <f t="shared" si="0"/>
        <v>Prof. Dr. Nazmiye Ebru ORTAÇ ERSOY</v>
      </c>
      <c r="C23" s="222" t="str">
        <f t="shared" si="0"/>
        <v>Doç. Dr. Tolga ÇAKMAK</v>
      </c>
    </row>
    <row r="24" spans="1:3" ht="15.75" customHeight="1" x14ac:dyDescent="0.25">
      <c r="A24" s="222" t="s">
        <v>68</v>
      </c>
      <c r="B24" s="222" t="str">
        <f t="shared" si="0"/>
        <v>Prof. Dr. Yavuz AYHAN</v>
      </c>
      <c r="C24" s="222" t="str">
        <f t="shared" si="0"/>
        <v>Doç. Dr. Kübra AYKAÇ</v>
      </c>
    </row>
    <row r="25" spans="1:3" ht="15.75" customHeight="1" x14ac:dyDescent="0.25">
      <c r="A25" s="222" t="s">
        <v>67</v>
      </c>
      <c r="B25" s="222" t="str">
        <f t="shared" si="0"/>
        <v>Doç. Dr. Burcu ERSÖZ ALAN</v>
      </c>
      <c r="C25" s="222" t="str">
        <f t="shared" si="0"/>
        <v>Doç. Dr. Kübra AYKAÇ</v>
      </c>
    </row>
    <row r="26" spans="1:3" ht="15.75" customHeight="1" x14ac:dyDescent="0.25">
      <c r="A26" s="222" t="s">
        <v>4373</v>
      </c>
      <c r="B26" s="222" t="str">
        <f t="shared" si="0"/>
        <v>Prof. Dr. Ayşe Nurten AKARSU</v>
      </c>
      <c r="C26" s="222" t="str">
        <f t="shared" si="0"/>
        <v>Prof. Dr. Nazmiye Ebru ORTAÇ ERSOY</v>
      </c>
    </row>
    <row r="27" spans="1:3" ht="15.75" customHeight="1" x14ac:dyDescent="0.25">
      <c r="A27" s="222" t="s">
        <v>68</v>
      </c>
      <c r="B27" s="222" t="str">
        <f t="shared" si="0"/>
        <v>Prof. Dr. Ayşe Nurten AKARSU</v>
      </c>
      <c r="C27" s="222" t="str">
        <f t="shared" si="0"/>
        <v>Prof. Dr. Gözde GİRGİN</v>
      </c>
    </row>
    <row r="28" spans="1:3" x14ac:dyDescent="0.25">
      <c r="A28" s="222" t="s">
        <v>121</v>
      </c>
      <c r="B28" s="222" t="str">
        <f t="shared" ref="B28:C62" si="1">INDEX($A:$A, (ROW()-1)*2 + COLUMN()-1)</f>
        <v>Prof. Dr. Melih Önder BABAOĞLU</v>
      </c>
      <c r="C28" s="222" t="str">
        <f t="shared" si="1"/>
        <v>Doç. Dr. Ekim GÜMELER BÜYÜKBAYRAM</v>
      </c>
    </row>
    <row r="29" spans="1:3" x14ac:dyDescent="0.25">
      <c r="A29" s="222" t="s">
        <v>105</v>
      </c>
      <c r="B29" s="222" t="str">
        <f t="shared" si="1"/>
        <v>Prof. Dr. Ayşe Nurten AKARSU</v>
      </c>
      <c r="C29" s="222" t="str">
        <f t="shared" si="1"/>
        <v>Prof. Dr. M. Özgür UYANIK</v>
      </c>
    </row>
    <row r="30" spans="1:3" x14ac:dyDescent="0.25">
      <c r="A30" s="222" t="s">
        <v>95</v>
      </c>
      <c r="B30" s="222" t="str">
        <f t="shared" si="1"/>
        <v>Prof. Dr. Yavuz AYHAN</v>
      </c>
      <c r="C30" s="222" t="str">
        <f t="shared" si="1"/>
        <v>Prof. Dr. M. Özgür UYANIK</v>
      </c>
    </row>
    <row r="31" spans="1:3" x14ac:dyDescent="0.25">
      <c r="A31" s="222" t="s">
        <v>4373</v>
      </c>
      <c r="B31" s="222" t="str">
        <f t="shared" si="1"/>
        <v>Prof. Dr. Ayşe Nurten AKARSU</v>
      </c>
      <c r="C31" s="222" t="str">
        <f t="shared" si="1"/>
        <v>Prof. Dr. Ayşe KİN İŞLER</v>
      </c>
    </row>
    <row r="32" spans="1:3" x14ac:dyDescent="0.25">
      <c r="A32" s="222" t="s">
        <v>128</v>
      </c>
      <c r="B32" s="222">
        <f t="shared" si="1"/>
        <v>0</v>
      </c>
      <c r="C32" s="222">
        <f t="shared" si="1"/>
        <v>0</v>
      </c>
    </row>
    <row r="33" spans="1:3" x14ac:dyDescent="0.25">
      <c r="A33" s="222" t="s">
        <v>4373</v>
      </c>
      <c r="B33" s="222">
        <f t="shared" si="1"/>
        <v>0</v>
      </c>
      <c r="C33" s="222">
        <f t="shared" si="1"/>
        <v>0</v>
      </c>
    </row>
    <row r="34" spans="1:3" x14ac:dyDescent="0.25">
      <c r="A34" s="222" t="s">
        <v>95</v>
      </c>
      <c r="B34" s="222">
        <f t="shared" si="1"/>
        <v>0</v>
      </c>
      <c r="C34" s="222">
        <f t="shared" si="1"/>
        <v>0</v>
      </c>
    </row>
    <row r="35" spans="1:3" x14ac:dyDescent="0.25">
      <c r="A35" s="222" t="s">
        <v>121</v>
      </c>
      <c r="B35" s="222">
        <f t="shared" si="1"/>
        <v>0</v>
      </c>
      <c r="C35" s="222">
        <f t="shared" si="1"/>
        <v>0</v>
      </c>
    </row>
    <row r="36" spans="1:3" x14ac:dyDescent="0.25">
      <c r="A36" s="222" t="s">
        <v>113</v>
      </c>
      <c r="B36" s="222">
        <f t="shared" si="1"/>
        <v>0</v>
      </c>
      <c r="C36" s="222">
        <f t="shared" si="1"/>
        <v>0</v>
      </c>
    </row>
    <row r="37" spans="1:3" x14ac:dyDescent="0.25">
      <c r="A37" s="222" t="s">
        <v>121</v>
      </c>
      <c r="B37" s="222">
        <f t="shared" si="1"/>
        <v>0</v>
      </c>
      <c r="C37" s="222">
        <f t="shared" si="1"/>
        <v>0</v>
      </c>
    </row>
    <row r="38" spans="1:3" x14ac:dyDescent="0.25">
      <c r="A38" s="222" t="s">
        <v>113</v>
      </c>
      <c r="B38" s="222">
        <f t="shared" si="1"/>
        <v>0</v>
      </c>
      <c r="C38" s="222">
        <f t="shared" si="1"/>
        <v>0</v>
      </c>
    </row>
    <row r="39" spans="1:3" x14ac:dyDescent="0.25">
      <c r="A39" s="222" t="s">
        <v>94</v>
      </c>
      <c r="B39" s="222">
        <f t="shared" si="1"/>
        <v>0</v>
      </c>
      <c r="C39" s="222">
        <f t="shared" si="1"/>
        <v>0</v>
      </c>
    </row>
    <row r="40" spans="1:3" x14ac:dyDescent="0.25">
      <c r="A40" s="222" t="s">
        <v>95</v>
      </c>
      <c r="B40" s="222">
        <f t="shared" si="1"/>
        <v>0</v>
      </c>
      <c r="C40" s="222">
        <f t="shared" si="1"/>
        <v>0</v>
      </c>
    </row>
    <row r="41" spans="1:3" x14ac:dyDescent="0.25">
      <c r="A41" s="222" t="s">
        <v>94</v>
      </c>
      <c r="B41" s="222">
        <f t="shared" si="1"/>
        <v>0</v>
      </c>
      <c r="C41" s="222">
        <f t="shared" si="1"/>
        <v>0</v>
      </c>
    </row>
    <row r="42" spans="1:3" x14ac:dyDescent="0.25">
      <c r="A42" s="222" t="s">
        <v>95</v>
      </c>
      <c r="B42" s="222">
        <f t="shared" si="1"/>
        <v>0</v>
      </c>
      <c r="C42" s="222">
        <f t="shared" si="1"/>
        <v>0</v>
      </c>
    </row>
    <row r="43" spans="1:3" x14ac:dyDescent="0.25">
      <c r="A43" s="222" t="s">
        <v>113</v>
      </c>
      <c r="B43" s="222">
        <f t="shared" si="1"/>
        <v>0</v>
      </c>
      <c r="C43" s="222">
        <f t="shared" si="1"/>
        <v>0</v>
      </c>
    </row>
    <row r="44" spans="1:3" x14ac:dyDescent="0.25">
      <c r="A44" s="222" t="s">
        <v>128</v>
      </c>
      <c r="B44" s="222">
        <f t="shared" si="1"/>
        <v>0</v>
      </c>
      <c r="C44" s="222">
        <f t="shared" si="1"/>
        <v>0</v>
      </c>
    </row>
    <row r="45" spans="1:3" x14ac:dyDescent="0.25">
      <c r="A45" s="222" t="s">
        <v>128</v>
      </c>
      <c r="B45" s="222">
        <f t="shared" si="1"/>
        <v>0</v>
      </c>
      <c r="C45" s="222">
        <f t="shared" si="1"/>
        <v>0</v>
      </c>
    </row>
    <row r="46" spans="1:3" x14ac:dyDescent="0.25">
      <c r="A46" s="222" t="s">
        <v>94</v>
      </c>
      <c r="B46" s="222">
        <f t="shared" si="1"/>
        <v>0</v>
      </c>
      <c r="C46" s="222">
        <f t="shared" si="1"/>
        <v>0</v>
      </c>
    </row>
    <row r="47" spans="1:3" x14ac:dyDescent="0.25">
      <c r="A47" s="222" t="s">
        <v>104</v>
      </c>
      <c r="B47" s="222">
        <f t="shared" si="1"/>
        <v>0</v>
      </c>
      <c r="C47" s="222">
        <f t="shared" si="1"/>
        <v>0</v>
      </c>
    </row>
    <row r="48" spans="1:3" x14ac:dyDescent="0.25">
      <c r="A48" s="222" t="s">
        <v>68</v>
      </c>
      <c r="B48" s="222">
        <f t="shared" si="1"/>
        <v>0</v>
      </c>
      <c r="C48" s="222">
        <f t="shared" si="1"/>
        <v>0</v>
      </c>
    </row>
    <row r="49" spans="1:3" x14ac:dyDescent="0.25">
      <c r="A49" s="222" t="s">
        <v>95</v>
      </c>
      <c r="B49" s="222">
        <f t="shared" si="1"/>
        <v>0</v>
      </c>
      <c r="C49" s="222">
        <f t="shared" si="1"/>
        <v>0</v>
      </c>
    </row>
    <row r="50" spans="1:3" x14ac:dyDescent="0.25">
      <c r="A50" s="222" t="s">
        <v>68</v>
      </c>
      <c r="B50" s="222">
        <f t="shared" si="1"/>
        <v>0</v>
      </c>
      <c r="C50" s="222">
        <f t="shared" si="1"/>
        <v>0</v>
      </c>
    </row>
    <row r="51" spans="1:3" x14ac:dyDescent="0.25">
      <c r="A51" s="222" t="s">
        <v>67</v>
      </c>
      <c r="B51" s="222">
        <f t="shared" si="1"/>
        <v>0</v>
      </c>
      <c r="C51" s="222">
        <f t="shared" si="1"/>
        <v>0</v>
      </c>
    </row>
    <row r="52" spans="1:3" x14ac:dyDescent="0.25">
      <c r="A52" s="222" t="s">
        <v>128</v>
      </c>
      <c r="B52" s="222">
        <f t="shared" si="1"/>
        <v>0</v>
      </c>
      <c r="C52" s="222">
        <f t="shared" si="1"/>
        <v>0</v>
      </c>
    </row>
    <row r="53" spans="1:3" x14ac:dyDescent="0.25">
      <c r="A53" s="222" t="s">
        <v>67</v>
      </c>
      <c r="B53" s="222">
        <f t="shared" si="1"/>
        <v>0</v>
      </c>
      <c r="C53" s="222">
        <f t="shared" si="1"/>
        <v>0</v>
      </c>
    </row>
    <row r="54" spans="1:3" x14ac:dyDescent="0.25">
      <c r="A54" s="222" t="s">
        <v>77</v>
      </c>
      <c r="B54" s="222">
        <f t="shared" si="1"/>
        <v>0</v>
      </c>
      <c r="C54" s="222">
        <f t="shared" si="1"/>
        <v>0</v>
      </c>
    </row>
    <row r="55" spans="1:3" x14ac:dyDescent="0.25">
      <c r="A55" s="222" t="s">
        <v>105</v>
      </c>
      <c r="B55" s="222">
        <f t="shared" si="1"/>
        <v>0</v>
      </c>
      <c r="C55" s="222">
        <f t="shared" si="1"/>
        <v>0</v>
      </c>
    </row>
    <row r="56" spans="1:3" x14ac:dyDescent="0.25">
      <c r="A56" s="222" t="s">
        <v>4373</v>
      </c>
      <c r="B56" s="222">
        <f t="shared" si="1"/>
        <v>0</v>
      </c>
      <c r="C56" s="222">
        <f t="shared" si="1"/>
        <v>0</v>
      </c>
    </row>
    <row r="57" spans="1:3" x14ac:dyDescent="0.25">
      <c r="A57" s="222" t="s">
        <v>67</v>
      </c>
      <c r="B57" s="222">
        <f t="shared" si="1"/>
        <v>0</v>
      </c>
      <c r="C57" s="222">
        <f t="shared" si="1"/>
        <v>0</v>
      </c>
    </row>
    <row r="58" spans="1:3" x14ac:dyDescent="0.25">
      <c r="A58" s="222" t="s">
        <v>121</v>
      </c>
      <c r="B58" s="222">
        <f t="shared" si="1"/>
        <v>0</v>
      </c>
      <c r="C58" s="222">
        <f t="shared" si="1"/>
        <v>0</v>
      </c>
    </row>
    <row r="59" spans="1:3" x14ac:dyDescent="0.25">
      <c r="A59" s="222" t="s">
        <v>104</v>
      </c>
      <c r="B59" s="222">
        <f t="shared" si="1"/>
        <v>0</v>
      </c>
      <c r="C59" s="222">
        <f t="shared" si="1"/>
        <v>0</v>
      </c>
    </row>
    <row r="60" spans="1:3" x14ac:dyDescent="0.25">
      <c r="A60" s="222" t="s">
        <v>121</v>
      </c>
      <c r="B60" s="222">
        <f t="shared" si="1"/>
        <v>0</v>
      </c>
      <c r="C60" s="222">
        <f t="shared" si="1"/>
        <v>0</v>
      </c>
    </row>
    <row r="61" spans="1:3" x14ac:dyDescent="0.25">
      <c r="A61" s="222" t="s">
        <v>67</v>
      </c>
      <c r="B61" s="222">
        <f t="shared" si="1"/>
        <v>0</v>
      </c>
      <c r="C61" s="222">
        <f t="shared" si="1"/>
        <v>0</v>
      </c>
    </row>
    <row r="62" spans="1:3" x14ac:dyDescent="0.25">
      <c r="A62" s="222" t="s">
        <v>113</v>
      </c>
      <c r="B62" s="222">
        <f t="shared" si="1"/>
        <v>0</v>
      </c>
      <c r="C62" s="222">
        <f t="shared" si="1"/>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5" customWidth="1"/>
    <col min="2" max="2" width="18.85546875" style="25" customWidth="1"/>
    <col min="3" max="3" width="46.28515625" style="25" customWidth="1"/>
    <col min="4" max="4" width="50.7109375" style="26" customWidth="1"/>
    <col min="5" max="16384" width="9.140625" style="28"/>
  </cols>
  <sheetData>
    <row r="1" spans="1:4" ht="31.5" customHeight="1" x14ac:dyDescent="0.25">
      <c r="A1" s="224" t="s">
        <v>61</v>
      </c>
      <c r="B1" s="224" t="s">
        <v>4374</v>
      </c>
      <c r="C1" s="225" t="s">
        <v>4375</v>
      </c>
      <c r="D1" s="65" t="s">
        <v>3232</v>
      </c>
    </row>
    <row r="2" spans="1:4" ht="31.5" customHeight="1" x14ac:dyDescent="0.25">
      <c r="A2" s="224" t="s">
        <v>71</v>
      </c>
      <c r="B2" s="224" t="s">
        <v>4376</v>
      </c>
      <c r="C2" s="225" t="s">
        <v>4377</v>
      </c>
      <c r="D2" s="65" t="s">
        <v>3233</v>
      </c>
    </row>
    <row r="3" spans="1:4" ht="47.25" customHeight="1" x14ac:dyDescent="0.25">
      <c r="A3" s="224" t="s">
        <v>79</v>
      </c>
      <c r="B3" s="224" t="s">
        <v>4378</v>
      </c>
      <c r="C3" s="225" t="s">
        <v>1384</v>
      </c>
      <c r="D3" s="65" t="s">
        <v>3234</v>
      </c>
    </row>
    <row r="4" spans="1:4" ht="63" customHeight="1" x14ac:dyDescent="0.25">
      <c r="A4" s="224" t="s">
        <v>88</v>
      </c>
      <c r="B4" s="224" t="s">
        <v>4379</v>
      </c>
      <c r="C4" s="225" t="s">
        <v>1384</v>
      </c>
      <c r="D4" s="65" t="s">
        <v>3235</v>
      </c>
    </row>
    <row r="5" spans="1:4" ht="47.25" customHeight="1" x14ac:dyDescent="0.25">
      <c r="A5" s="224" t="s">
        <v>98</v>
      </c>
      <c r="B5" s="224" t="s">
        <v>4380</v>
      </c>
      <c r="C5" s="225" t="s">
        <v>450</v>
      </c>
      <c r="D5" s="65" t="s">
        <v>3236</v>
      </c>
    </row>
    <row r="6" spans="1:4" ht="31.5" customHeight="1" x14ac:dyDescent="0.25">
      <c r="A6" s="224" t="s">
        <v>107</v>
      </c>
      <c r="B6" s="224" t="s">
        <v>4381</v>
      </c>
      <c r="C6" s="225" t="s">
        <v>1360</v>
      </c>
      <c r="D6" s="65" t="s">
        <v>3237</v>
      </c>
    </row>
    <row r="7" spans="1:4" ht="31.5" customHeight="1" x14ac:dyDescent="0.25">
      <c r="A7" s="224" t="s">
        <v>115</v>
      </c>
      <c r="B7" s="224" t="s">
        <v>4382</v>
      </c>
      <c r="C7" s="225" t="s">
        <v>1616</v>
      </c>
      <c r="D7" s="65" t="s">
        <v>3238</v>
      </c>
    </row>
    <row r="8" spans="1:4" ht="47.25" customHeight="1" x14ac:dyDescent="0.25">
      <c r="A8" s="224" t="s">
        <v>123</v>
      </c>
      <c r="B8" s="224" t="s">
        <v>4383</v>
      </c>
      <c r="C8" s="225" t="s">
        <v>1616</v>
      </c>
      <c r="D8" s="65" t="s">
        <v>3239</v>
      </c>
    </row>
    <row r="9" spans="1:4" ht="31.5" customHeight="1" x14ac:dyDescent="0.25">
      <c r="A9" s="224" t="s">
        <v>130</v>
      </c>
      <c r="B9" s="224" t="s">
        <v>4384</v>
      </c>
      <c r="C9" s="225" t="s">
        <v>4385</v>
      </c>
      <c r="D9" s="65" t="s">
        <v>3240</v>
      </c>
    </row>
    <row r="10" spans="1:4" ht="47.25" customHeight="1" x14ac:dyDescent="0.25">
      <c r="A10" s="224" t="s">
        <v>137</v>
      </c>
      <c r="B10" s="224" t="s">
        <v>4386</v>
      </c>
      <c r="C10" s="225" t="s">
        <v>707</v>
      </c>
      <c r="D10" s="65" t="s">
        <v>3241</v>
      </c>
    </row>
    <row r="11" spans="1:4" ht="63" customHeight="1" x14ac:dyDescent="0.25">
      <c r="A11" s="224" t="s">
        <v>144</v>
      </c>
      <c r="B11" s="224" t="s">
        <v>4387</v>
      </c>
      <c r="C11" s="225" t="s">
        <v>4388</v>
      </c>
      <c r="D11" s="65" t="s">
        <v>3242</v>
      </c>
    </row>
    <row r="12" spans="1:4" ht="31.5" customHeight="1" x14ac:dyDescent="0.25">
      <c r="A12" s="224" t="s">
        <v>150</v>
      </c>
      <c r="B12" s="224" t="s">
        <v>4389</v>
      </c>
      <c r="C12" s="225" t="s">
        <v>410</v>
      </c>
      <c r="D12" s="65" t="s">
        <v>3243</v>
      </c>
    </row>
    <row r="13" spans="1:4" ht="31.5" customHeight="1" x14ac:dyDescent="0.25">
      <c r="A13" s="224" t="s">
        <v>158</v>
      </c>
      <c r="B13" s="224" t="s">
        <v>4390</v>
      </c>
      <c r="C13" s="225" t="s">
        <v>1137</v>
      </c>
      <c r="D13" s="65" t="s">
        <v>3244</v>
      </c>
    </row>
    <row r="14" spans="1:4" ht="31.5" customHeight="1" x14ac:dyDescent="0.25">
      <c r="A14" s="224" t="s">
        <v>165</v>
      </c>
      <c r="B14" s="224" t="s">
        <v>4391</v>
      </c>
      <c r="C14" s="225" t="s">
        <v>4392</v>
      </c>
      <c r="D14" s="65" t="s">
        <v>3245</v>
      </c>
    </row>
    <row r="15" spans="1:4" ht="31.5" customHeight="1" x14ac:dyDescent="0.25">
      <c r="A15" s="224" t="s">
        <v>172</v>
      </c>
      <c r="B15" s="224" t="s">
        <v>4393</v>
      </c>
      <c r="C15" s="225" t="s">
        <v>4392</v>
      </c>
      <c r="D15" s="65" t="s">
        <v>3246</v>
      </c>
    </row>
    <row r="16" spans="1:4" ht="31.5" customHeight="1" x14ac:dyDescent="0.25">
      <c r="A16" s="224" t="s">
        <v>180</v>
      </c>
      <c r="B16" s="224" t="s">
        <v>4394</v>
      </c>
      <c r="C16" s="225" t="s">
        <v>283</v>
      </c>
      <c r="D16" s="65" t="s">
        <v>3247</v>
      </c>
    </row>
    <row r="17" spans="1:4" ht="47.25" customHeight="1" x14ac:dyDescent="0.25">
      <c r="A17" s="224" t="s">
        <v>186</v>
      </c>
      <c r="B17" s="224" t="s">
        <v>4395</v>
      </c>
      <c r="C17" s="225" t="s">
        <v>520</v>
      </c>
      <c r="D17" s="65" t="s">
        <v>3248</v>
      </c>
    </row>
    <row r="18" spans="1:4" ht="31.5" customHeight="1" x14ac:dyDescent="0.25">
      <c r="A18" s="224" t="s">
        <v>193</v>
      </c>
      <c r="B18" s="224" t="s">
        <v>4396</v>
      </c>
      <c r="C18" s="225" t="s">
        <v>202</v>
      </c>
      <c r="D18" s="65" t="s">
        <v>3249</v>
      </c>
    </row>
    <row r="19" spans="1:4" ht="47.25" customHeight="1" x14ac:dyDescent="0.25">
      <c r="A19" s="224" t="s">
        <v>200</v>
      </c>
      <c r="B19" s="224" t="s">
        <v>4397</v>
      </c>
      <c r="C19" s="225" t="s">
        <v>4398</v>
      </c>
      <c r="D19" s="65" t="s">
        <v>3250</v>
      </c>
    </row>
    <row r="20" spans="1:4" ht="47.25" customHeight="1" x14ac:dyDescent="0.25">
      <c r="A20" s="224" t="s">
        <v>207</v>
      </c>
      <c r="B20" s="224" t="s">
        <v>4399</v>
      </c>
      <c r="C20" s="225" t="s">
        <v>591</v>
      </c>
      <c r="D20" s="65" t="s">
        <v>3251</v>
      </c>
    </row>
    <row r="21" spans="1:4" ht="47.25" customHeight="1" x14ac:dyDescent="0.25">
      <c r="A21" s="224" t="s">
        <v>212</v>
      </c>
      <c r="B21" s="224" t="s">
        <v>4400</v>
      </c>
      <c r="C21" s="225" t="s">
        <v>635</v>
      </c>
      <c r="D21" s="65" t="s">
        <v>3252</v>
      </c>
    </row>
    <row r="22" spans="1:4" ht="47.25" customHeight="1" x14ac:dyDescent="0.25">
      <c r="A22" s="224" t="s">
        <v>220</v>
      </c>
      <c r="B22" s="224" t="s">
        <v>4401</v>
      </c>
      <c r="C22" s="225" t="s">
        <v>4402</v>
      </c>
      <c r="D22" s="65" t="s">
        <v>3253</v>
      </c>
    </row>
    <row r="23" spans="1:4" ht="31.5" customHeight="1" x14ac:dyDescent="0.25">
      <c r="A23" s="224" t="s">
        <v>226</v>
      </c>
      <c r="B23" s="224" t="s">
        <v>4403</v>
      </c>
      <c r="C23" s="225" t="s">
        <v>4402</v>
      </c>
      <c r="D23" s="65" t="s">
        <v>3254</v>
      </c>
    </row>
    <row r="24" spans="1:4" ht="31.5" customHeight="1" x14ac:dyDescent="0.25">
      <c r="A24" s="224" t="s">
        <v>234</v>
      </c>
      <c r="B24" s="224" t="s">
        <v>4404</v>
      </c>
      <c r="C24" s="225" t="s">
        <v>4402</v>
      </c>
      <c r="D24" s="65" t="s">
        <v>3255</v>
      </c>
    </row>
    <row r="25" spans="1:4" ht="31.5" customHeight="1" x14ac:dyDescent="0.25">
      <c r="A25" s="224" t="s">
        <v>241</v>
      </c>
      <c r="B25" s="224" t="s">
        <v>4405</v>
      </c>
      <c r="C25" s="225" t="s">
        <v>4402</v>
      </c>
      <c r="D25" s="65" t="s">
        <v>3256</v>
      </c>
    </row>
    <row r="26" spans="1:4" ht="31.5" customHeight="1" x14ac:dyDescent="0.25">
      <c r="A26" s="224" t="s">
        <v>248</v>
      </c>
      <c r="B26" s="224" t="s">
        <v>4406</v>
      </c>
      <c r="C26" s="225" t="s">
        <v>4407</v>
      </c>
      <c r="D26" s="65" t="s">
        <v>3257</v>
      </c>
    </row>
    <row r="27" spans="1:4" ht="47.25" customHeight="1" x14ac:dyDescent="0.25">
      <c r="A27" s="224" t="s">
        <v>255</v>
      </c>
      <c r="B27" s="224" t="s">
        <v>4408</v>
      </c>
      <c r="C27" s="225" t="s">
        <v>1458</v>
      </c>
      <c r="D27" s="65" t="s">
        <v>3258</v>
      </c>
    </row>
    <row r="28" spans="1:4" ht="47.25" customHeight="1" x14ac:dyDescent="0.25">
      <c r="A28" s="224" t="s">
        <v>260</v>
      </c>
      <c r="B28" s="224" t="s">
        <v>4409</v>
      </c>
      <c r="C28" s="225" t="s">
        <v>1458</v>
      </c>
      <c r="D28" s="65" t="s">
        <v>3259</v>
      </c>
    </row>
    <row r="29" spans="1:4" ht="47.25" customHeight="1" x14ac:dyDescent="0.25">
      <c r="A29" s="224" t="s">
        <v>266</v>
      </c>
      <c r="B29" s="224" t="s">
        <v>4410</v>
      </c>
      <c r="C29" s="225" t="s">
        <v>4411</v>
      </c>
      <c r="D29" s="65" t="s">
        <v>3260</v>
      </c>
    </row>
    <row r="30" spans="1:4" ht="31.5" customHeight="1" x14ac:dyDescent="0.25">
      <c r="A30" s="224" t="s">
        <v>272</v>
      </c>
      <c r="B30" s="224" t="s">
        <v>4412</v>
      </c>
      <c r="C30" s="225" t="s">
        <v>4411</v>
      </c>
      <c r="D30" s="65" t="s">
        <v>3261</v>
      </c>
    </row>
    <row r="31" spans="1:4" ht="63" customHeight="1" x14ac:dyDescent="0.25">
      <c r="A31" s="224" t="s">
        <v>277</v>
      </c>
      <c r="B31" s="224" t="s">
        <v>4413</v>
      </c>
      <c r="C31" s="225" t="s">
        <v>579</v>
      </c>
      <c r="D31" s="65" t="s">
        <v>3262</v>
      </c>
    </row>
    <row r="32" spans="1:4" ht="47.25" customHeight="1" x14ac:dyDescent="0.25">
      <c r="A32" s="224" t="s">
        <v>281</v>
      </c>
      <c r="B32" s="224" t="s">
        <v>4414</v>
      </c>
      <c r="C32" s="225" t="s">
        <v>996</v>
      </c>
      <c r="D32" s="65" t="s">
        <v>3263</v>
      </c>
    </row>
    <row r="33" spans="1:4" ht="63" customHeight="1" x14ac:dyDescent="0.25">
      <c r="A33" s="224" t="s">
        <v>287</v>
      </c>
      <c r="B33" s="224" t="s">
        <v>4415</v>
      </c>
      <c r="C33" s="225" t="s">
        <v>4416</v>
      </c>
      <c r="D33" s="65" t="s">
        <v>3264</v>
      </c>
    </row>
    <row r="34" spans="1:4" ht="47.25" customHeight="1" x14ac:dyDescent="0.25">
      <c r="A34" s="224" t="s">
        <v>292</v>
      </c>
      <c r="B34" s="224" t="s">
        <v>4417</v>
      </c>
      <c r="C34" s="225" t="s">
        <v>109</v>
      </c>
      <c r="D34" s="65" t="s">
        <v>3265</v>
      </c>
    </row>
    <row r="35" spans="1:4" ht="47.25" customHeight="1" x14ac:dyDescent="0.25">
      <c r="A35" s="224" t="s">
        <v>299</v>
      </c>
      <c r="B35" s="224" t="s">
        <v>4418</v>
      </c>
      <c r="C35" s="225" t="s">
        <v>109</v>
      </c>
      <c r="D35" s="65" t="s">
        <v>3266</v>
      </c>
    </row>
    <row r="36" spans="1:4" ht="47.25" customHeight="1" x14ac:dyDescent="0.25">
      <c r="A36" s="224" t="s">
        <v>304</v>
      </c>
      <c r="B36" s="224" t="s">
        <v>4419</v>
      </c>
      <c r="C36" s="225" t="s">
        <v>4420</v>
      </c>
      <c r="D36" s="65" t="s">
        <v>3267</v>
      </c>
    </row>
    <row r="37" spans="1:4" ht="47.25" customHeight="1" x14ac:dyDescent="0.25">
      <c r="A37" s="224" t="s">
        <v>311</v>
      </c>
      <c r="B37" s="224" t="s">
        <v>4421</v>
      </c>
      <c r="C37" s="225" t="s">
        <v>1690</v>
      </c>
      <c r="D37" s="65" t="s">
        <v>3268</v>
      </c>
    </row>
    <row r="38" spans="1:4" ht="47.25" customHeight="1" x14ac:dyDescent="0.25">
      <c r="A38" s="224" t="s">
        <v>317</v>
      </c>
      <c r="B38" s="224" t="s">
        <v>4422</v>
      </c>
      <c r="C38" s="225" t="s">
        <v>1690</v>
      </c>
      <c r="D38" s="65" t="s">
        <v>3269</v>
      </c>
    </row>
    <row r="39" spans="1:4" ht="63" customHeight="1" x14ac:dyDescent="0.25">
      <c r="A39" s="224" t="s">
        <v>324</v>
      </c>
      <c r="B39" s="224" t="s">
        <v>4423</v>
      </c>
      <c r="C39" s="225" t="s">
        <v>4424</v>
      </c>
      <c r="D39" s="65" t="s">
        <v>3270</v>
      </c>
    </row>
    <row r="40" spans="1:4" ht="78.75" customHeight="1" x14ac:dyDescent="0.25">
      <c r="A40" s="224" t="s">
        <v>331</v>
      </c>
      <c r="B40" s="224" t="s">
        <v>4425</v>
      </c>
      <c r="C40" s="225" t="s">
        <v>4424</v>
      </c>
      <c r="D40" s="65" t="s">
        <v>3271</v>
      </c>
    </row>
    <row r="41" spans="1:4" ht="31.5" customHeight="1" x14ac:dyDescent="0.25">
      <c r="A41" s="224" t="s">
        <v>336</v>
      </c>
      <c r="B41" s="224" t="s">
        <v>4426</v>
      </c>
      <c r="C41" s="225" t="s">
        <v>659</v>
      </c>
      <c r="D41" s="65" t="s">
        <v>3272</v>
      </c>
    </row>
    <row r="42" spans="1:4" ht="47.25" customHeight="1" x14ac:dyDescent="0.25">
      <c r="A42" s="224" t="s">
        <v>341</v>
      </c>
      <c r="B42" s="224" t="s">
        <v>4427</v>
      </c>
      <c r="C42" s="225" t="s">
        <v>4428</v>
      </c>
      <c r="D42" s="65" t="s">
        <v>3273</v>
      </c>
    </row>
    <row r="43" spans="1:4" ht="63" customHeight="1" x14ac:dyDescent="0.25">
      <c r="A43" s="224" t="s">
        <v>345</v>
      </c>
      <c r="B43" s="224" t="s">
        <v>4429</v>
      </c>
      <c r="C43" s="225" t="s">
        <v>4430</v>
      </c>
      <c r="D43" s="65" t="s">
        <v>3274</v>
      </c>
    </row>
    <row r="44" spans="1:4" ht="63" customHeight="1" x14ac:dyDescent="0.25">
      <c r="A44" s="224" t="s">
        <v>348</v>
      </c>
      <c r="B44" s="224" t="s">
        <v>4431</v>
      </c>
      <c r="C44" s="225" t="s">
        <v>4432</v>
      </c>
      <c r="D44" s="65" t="s">
        <v>3275</v>
      </c>
    </row>
    <row r="45" spans="1:4" ht="31.5" customHeight="1" x14ac:dyDescent="0.25">
      <c r="A45" s="224" t="s">
        <v>353</v>
      </c>
      <c r="B45" s="224" t="s">
        <v>4433</v>
      </c>
      <c r="C45" s="225" t="s">
        <v>405</v>
      </c>
      <c r="D45" s="65" t="s">
        <v>3276</v>
      </c>
    </row>
    <row r="46" spans="1:4" ht="31.5" customHeight="1" x14ac:dyDescent="0.25">
      <c r="A46" s="224" t="s">
        <v>359</v>
      </c>
      <c r="B46" s="224" t="s">
        <v>4434</v>
      </c>
      <c r="C46" s="225" t="s">
        <v>160</v>
      </c>
      <c r="D46" s="65" t="s">
        <v>3277</v>
      </c>
    </row>
    <row r="47" spans="1:4" ht="31.5" customHeight="1" x14ac:dyDescent="0.25">
      <c r="A47" s="224" t="s">
        <v>364</v>
      </c>
      <c r="B47" s="224" t="s">
        <v>4435</v>
      </c>
      <c r="C47" s="225" t="s">
        <v>160</v>
      </c>
      <c r="D47" s="65" t="s">
        <v>3278</v>
      </c>
    </row>
    <row r="48" spans="1:4" ht="31.5" customHeight="1" x14ac:dyDescent="0.25">
      <c r="A48" s="224" t="s">
        <v>369</v>
      </c>
      <c r="B48" s="224" t="s">
        <v>4436</v>
      </c>
      <c r="C48" s="225" t="s">
        <v>2542</v>
      </c>
      <c r="D48" s="65" t="s">
        <v>3279</v>
      </c>
    </row>
    <row r="49" spans="1:4" ht="31.5" customHeight="1" x14ac:dyDescent="0.25">
      <c r="A49" s="224" t="s">
        <v>375</v>
      </c>
      <c r="B49" s="224" t="s">
        <v>4437</v>
      </c>
      <c r="C49" s="225" t="s">
        <v>4438</v>
      </c>
      <c r="D49" s="65" t="s">
        <v>3280</v>
      </c>
    </row>
    <row r="50" spans="1:4" ht="31.5" customHeight="1" x14ac:dyDescent="0.25">
      <c r="A50" s="224" t="s">
        <v>381</v>
      </c>
      <c r="B50" s="224" t="s">
        <v>4439</v>
      </c>
      <c r="C50" s="225" t="s">
        <v>3107</v>
      </c>
      <c r="D50" s="65" t="s">
        <v>3281</v>
      </c>
    </row>
    <row r="51" spans="1:4" ht="31.5" customHeight="1" x14ac:dyDescent="0.25">
      <c r="A51" s="224" t="s">
        <v>387</v>
      </c>
      <c r="B51" s="224" t="s">
        <v>4440</v>
      </c>
      <c r="C51" s="225" t="s">
        <v>4375</v>
      </c>
      <c r="D51" s="65" t="s">
        <v>3282</v>
      </c>
    </row>
    <row r="52" spans="1:4" ht="47.25" customHeight="1" x14ac:dyDescent="0.25">
      <c r="A52" s="224" t="s">
        <v>392</v>
      </c>
      <c r="B52" s="224" t="s">
        <v>4441</v>
      </c>
      <c r="C52" s="225" t="s">
        <v>4442</v>
      </c>
      <c r="D52" s="65" t="s">
        <v>3283</v>
      </c>
    </row>
    <row r="53" spans="1:4" ht="31.5" customHeight="1" x14ac:dyDescent="0.25">
      <c r="A53" s="224" t="s">
        <v>398</v>
      </c>
      <c r="B53" s="224" t="s">
        <v>4443</v>
      </c>
      <c r="C53" s="225" t="s">
        <v>4444</v>
      </c>
      <c r="D53" s="65" t="s">
        <v>3284</v>
      </c>
    </row>
    <row r="54" spans="1:4" ht="63" customHeight="1" x14ac:dyDescent="0.25">
      <c r="A54" s="224" t="s">
        <v>403</v>
      </c>
      <c r="B54" s="224" t="s">
        <v>4445</v>
      </c>
      <c r="C54" s="225" t="s">
        <v>4446</v>
      </c>
      <c r="D54" s="65" t="s">
        <v>3285</v>
      </c>
    </row>
    <row r="55" spans="1:4" ht="47.25" customHeight="1" x14ac:dyDescent="0.25">
      <c r="A55" s="224" t="s">
        <v>408</v>
      </c>
      <c r="B55" s="224" t="s">
        <v>4447</v>
      </c>
      <c r="C55" s="225" t="s">
        <v>333</v>
      </c>
      <c r="D55" s="65" t="s">
        <v>3286</v>
      </c>
    </row>
    <row r="56" spans="1:4" ht="47.25" customHeight="1" x14ac:dyDescent="0.25">
      <c r="A56" s="224" t="s">
        <v>413</v>
      </c>
      <c r="B56" s="224" t="s">
        <v>4448</v>
      </c>
      <c r="C56" s="225" t="s">
        <v>4449</v>
      </c>
      <c r="D56" s="65" t="s">
        <v>3287</v>
      </c>
    </row>
    <row r="57" spans="1:4" ht="31.5" customHeight="1" x14ac:dyDescent="0.25">
      <c r="A57" s="224" t="s">
        <v>419</v>
      </c>
      <c r="B57" s="224" t="s">
        <v>4450</v>
      </c>
      <c r="C57" s="226" t="s">
        <v>4451</v>
      </c>
      <c r="D57" s="65" t="s">
        <v>3288</v>
      </c>
    </row>
    <row r="58" spans="1:4" ht="31.5" customHeight="1" x14ac:dyDescent="0.25">
      <c r="A58" s="224" t="s">
        <v>425</v>
      </c>
      <c r="B58" s="224" t="s">
        <v>4452</v>
      </c>
      <c r="C58" s="225" t="s">
        <v>4453</v>
      </c>
      <c r="D58" s="65" t="s">
        <v>3289</v>
      </c>
    </row>
    <row r="59" spans="1:4" ht="47.25" customHeight="1" x14ac:dyDescent="0.25">
      <c r="A59" s="224" t="s">
        <v>432</v>
      </c>
      <c r="B59" s="224" t="s">
        <v>4454</v>
      </c>
      <c r="C59" s="225" t="s">
        <v>4455</v>
      </c>
      <c r="D59" s="65" t="s">
        <v>3290</v>
      </c>
    </row>
    <row r="60" spans="1:4" ht="31.5" customHeight="1" x14ac:dyDescent="0.25">
      <c r="A60" s="224" t="s">
        <v>438</v>
      </c>
      <c r="B60" s="224" t="s">
        <v>4456</v>
      </c>
      <c r="C60" s="225" t="s">
        <v>1534</v>
      </c>
      <c r="D60" s="65" t="s">
        <v>3291</v>
      </c>
    </row>
    <row r="61" spans="1:4" ht="47.25" customHeight="1" x14ac:dyDescent="0.25">
      <c r="A61" s="224" t="s">
        <v>442</v>
      </c>
      <c r="B61" s="224" t="s">
        <v>4457</v>
      </c>
      <c r="C61" s="225" t="s">
        <v>4458</v>
      </c>
      <c r="D61" s="65" t="s">
        <v>3292</v>
      </c>
    </row>
    <row r="62" spans="1:4" ht="63" customHeight="1" x14ac:dyDescent="0.25">
      <c r="A62" s="224" t="s">
        <v>448</v>
      </c>
      <c r="B62" s="224" t="s">
        <v>4459</v>
      </c>
      <c r="C62" s="225" t="s">
        <v>545</v>
      </c>
      <c r="D62" s="65" t="s">
        <v>3293</v>
      </c>
    </row>
    <row r="63" spans="1:4" ht="31.5" customHeight="1" x14ac:dyDescent="0.25">
      <c r="A63" s="224" t="s">
        <v>453</v>
      </c>
      <c r="B63" s="224" t="s">
        <v>4460</v>
      </c>
      <c r="C63" s="225" t="s">
        <v>4461</v>
      </c>
      <c r="D63" s="65" t="s">
        <v>3294</v>
      </c>
    </row>
    <row r="64" spans="1:4" ht="47.25" customHeight="1" x14ac:dyDescent="0.25">
      <c r="A64" s="224" t="s">
        <v>458</v>
      </c>
      <c r="B64" s="224" t="s">
        <v>4462</v>
      </c>
      <c r="C64" s="225" t="s">
        <v>4463</v>
      </c>
      <c r="D64" s="65" t="s">
        <v>3295</v>
      </c>
    </row>
    <row r="65" spans="1:4" ht="31.5" customHeight="1" x14ac:dyDescent="0.25">
      <c r="A65" s="224" t="s">
        <v>464</v>
      </c>
      <c r="B65" s="224" t="s">
        <v>4464</v>
      </c>
      <c r="C65" s="225" t="s">
        <v>4465</v>
      </c>
      <c r="D65" s="65" t="s">
        <v>3296</v>
      </c>
    </row>
    <row r="66" spans="1:4" ht="31.5" customHeight="1" x14ac:dyDescent="0.25">
      <c r="A66" s="224" t="s">
        <v>468</v>
      </c>
      <c r="B66" s="224" t="s">
        <v>4466</v>
      </c>
      <c r="C66" s="225" t="s">
        <v>3080</v>
      </c>
      <c r="D66" s="65" t="s">
        <v>3297</v>
      </c>
    </row>
    <row r="67" spans="1:4" ht="63" customHeight="1" x14ac:dyDescent="0.25">
      <c r="A67" s="224" t="s">
        <v>473</v>
      </c>
      <c r="B67" s="224" t="s">
        <v>4467</v>
      </c>
      <c r="C67" s="226" t="s">
        <v>3080</v>
      </c>
      <c r="D67" s="65" t="s">
        <v>3298</v>
      </c>
    </row>
    <row r="68" spans="1:4" ht="47.25" customHeight="1" x14ac:dyDescent="0.25">
      <c r="A68" s="224" t="s">
        <v>478</v>
      </c>
      <c r="B68" s="224" t="s">
        <v>4468</v>
      </c>
      <c r="C68" s="225" t="s">
        <v>313</v>
      </c>
      <c r="D68" s="65" t="s">
        <v>3299</v>
      </c>
    </row>
    <row r="69" spans="1:4" ht="31.5" customHeight="1" x14ac:dyDescent="0.25">
      <c r="A69" s="224" t="s">
        <v>482</v>
      </c>
      <c r="B69" s="224" t="s">
        <v>4469</v>
      </c>
      <c r="C69" s="225" t="s">
        <v>4470</v>
      </c>
      <c r="D69" s="65" t="s">
        <v>3300</v>
      </c>
    </row>
    <row r="70" spans="1:4" ht="31.5" customHeight="1" x14ac:dyDescent="0.25">
      <c r="A70" s="224" t="s">
        <v>486</v>
      </c>
      <c r="B70" s="224" t="s">
        <v>4471</v>
      </c>
      <c r="C70" s="225" t="s">
        <v>410</v>
      </c>
      <c r="D70" s="65" t="s">
        <v>3301</v>
      </c>
    </row>
    <row r="71" spans="1:4" ht="31.5" customHeight="1" x14ac:dyDescent="0.25">
      <c r="A71" s="224" t="s">
        <v>491</v>
      </c>
      <c r="B71" s="224" t="s">
        <v>4472</v>
      </c>
      <c r="C71" s="225" t="s">
        <v>1866</v>
      </c>
      <c r="D71" s="65" t="s">
        <v>3302</v>
      </c>
    </row>
    <row r="72" spans="1:4" ht="31.5" customHeight="1" x14ac:dyDescent="0.25">
      <c r="A72" s="224" t="s">
        <v>497</v>
      </c>
      <c r="B72" s="42" t="s">
        <v>4473</v>
      </c>
      <c r="C72" s="43" t="s">
        <v>688</v>
      </c>
      <c r="D72" s="44" t="s">
        <v>3303</v>
      </c>
    </row>
    <row r="73" spans="1:4" ht="63" customHeight="1" x14ac:dyDescent="0.25">
      <c r="A73" s="224" t="s">
        <v>502</v>
      </c>
      <c r="B73" s="42" t="s">
        <v>4474</v>
      </c>
      <c r="C73" s="43" t="s">
        <v>4475</v>
      </c>
      <c r="D73" s="44" t="s">
        <v>3304</v>
      </c>
    </row>
    <row r="74" spans="1:4" ht="63" customHeight="1" x14ac:dyDescent="0.25">
      <c r="A74" s="224" t="s">
        <v>506</v>
      </c>
      <c r="B74" s="42" t="s">
        <v>4476</v>
      </c>
      <c r="C74" s="43" t="s">
        <v>1690</v>
      </c>
      <c r="D74" s="44" t="s">
        <v>3305</v>
      </c>
    </row>
    <row r="75" spans="1:4" ht="31.5" customHeight="1" x14ac:dyDescent="0.25">
      <c r="A75" s="224" t="s">
        <v>512</v>
      </c>
      <c r="B75" s="42" t="s">
        <v>4477</v>
      </c>
      <c r="C75" s="43" t="s">
        <v>1621</v>
      </c>
      <c r="D75" s="44" t="s">
        <v>3306</v>
      </c>
    </row>
    <row r="76" spans="1:4" ht="47.25" customHeight="1" x14ac:dyDescent="0.25">
      <c r="A76" s="224" t="s">
        <v>518</v>
      </c>
      <c r="B76" s="42" t="s">
        <v>4478</v>
      </c>
      <c r="C76" s="43" t="s">
        <v>2542</v>
      </c>
      <c r="D76" s="44" t="s">
        <v>3307</v>
      </c>
    </row>
    <row r="77" spans="1:4" ht="31.5" customHeight="1" x14ac:dyDescent="0.25">
      <c r="A77" s="224" t="s">
        <v>523</v>
      </c>
      <c r="B77" s="42" t="s">
        <v>4479</v>
      </c>
      <c r="C77" s="43" t="s">
        <v>4480</v>
      </c>
      <c r="D77" s="44" t="s">
        <v>3308</v>
      </c>
    </row>
    <row r="78" spans="1:4" ht="31.5" customHeight="1" x14ac:dyDescent="0.25">
      <c r="A78" s="224" t="s">
        <v>528</v>
      </c>
      <c r="B78" s="42" t="s">
        <v>4481</v>
      </c>
      <c r="C78" s="43" t="s">
        <v>996</v>
      </c>
      <c r="D78" s="44" t="s">
        <v>3309</v>
      </c>
    </row>
    <row r="79" spans="1:4" ht="63" customHeight="1" x14ac:dyDescent="0.25">
      <c r="A79" s="224" t="s">
        <v>532</v>
      </c>
      <c r="B79" s="42" t="s">
        <v>4482</v>
      </c>
      <c r="C79" s="43" t="s">
        <v>4483</v>
      </c>
      <c r="D79" s="44" t="s">
        <v>3310</v>
      </c>
    </row>
    <row r="80" spans="1:4" ht="31.5" customHeight="1" x14ac:dyDescent="0.25">
      <c r="A80" s="42" t="s">
        <v>130</v>
      </c>
      <c r="B80" s="42" t="s">
        <v>4484</v>
      </c>
      <c r="C80" s="43" t="s">
        <v>702</v>
      </c>
      <c r="D80" s="44" t="s">
        <v>3311</v>
      </c>
    </row>
    <row r="81" spans="1:4" ht="47.25" customHeight="1" x14ac:dyDescent="0.25">
      <c r="A81" s="42" t="s">
        <v>137</v>
      </c>
      <c r="B81" s="42" t="s">
        <v>4485</v>
      </c>
      <c r="C81" s="43" t="s">
        <v>4486</v>
      </c>
      <c r="D81" s="44" t="s">
        <v>3312</v>
      </c>
    </row>
    <row r="82" spans="1:4" ht="47.25" customHeight="1" x14ac:dyDescent="0.25">
      <c r="A82" s="42" t="s">
        <v>144</v>
      </c>
      <c r="B82" s="42" t="s">
        <v>4487</v>
      </c>
      <c r="C82" s="43" t="s">
        <v>4488</v>
      </c>
      <c r="D82" s="44" t="s">
        <v>3313</v>
      </c>
    </row>
    <row r="83" spans="1:4" ht="47.25" customHeight="1" x14ac:dyDescent="0.25">
      <c r="A83" s="42" t="s">
        <v>150</v>
      </c>
      <c r="B83" s="42" t="s">
        <v>4489</v>
      </c>
      <c r="C83" s="43" t="s">
        <v>4490</v>
      </c>
      <c r="D83" s="44" t="s">
        <v>3314</v>
      </c>
    </row>
    <row r="84" spans="1:4" ht="47.25" customHeight="1" x14ac:dyDescent="0.25">
      <c r="A84" s="42" t="s">
        <v>158</v>
      </c>
      <c r="B84" s="42" t="s">
        <v>4491</v>
      </c>
      <c r="C84" s="43" t="s">
        <v>4492</v>
      </c>
      <c r="D84" s="44" t="s">
        <v>3315</v>
      </c>
    </row>
    <row r="85" spans="1:4" ht="31.5" customHeight="1" x14ac:dyDescent="0.25">
      <c r="A85" s="42" t="s">
        <v>165</v>
      </c>
      <c r="B85" s="42" t="s">
        <v>4493</v>
      </c>
      <c r="C85" s="43" t="s">
        <v>4494</v>
      </c>
      <c r="D85" s="44" t="s">
        <v>3316</v>
      </c>
    </row>
    <row r="86" spans="1:4" ht="47.25" customHeight="1" x14ac:dyDescent="0.25">
      <c r="A86" s="42" t="s">
        <v>172</v>
      </c>
      <c r="B86" s="42" t="s">
        <v>4495</v>
      </c>
      <c r="C86" s="43" t="s">
        <v>783</v>
      </c>
      <c r="D86" s="44" t="s">
        <v>3317</v>
      </c>
    </row>
    <row r="87" spans="1:4" ht="31.5" customHeight="1" x14ac:dyDescent="0.25">
      <c r="A87" s="42" t="s">
        <v>180</v>
      </c>
      <c r="B87" s="42" t="s">
        <v>4496</v>
      </c>
      <c r="C87" s="43" t="s">
        <v>4497</v>
      </c>
      <c r="D87" s="44" t="s">
        <v>3318</v>
      </c>
    </row>
    <row r="88" spans="1:4" ht="47.25" customHeight="1" x14ac:dyDescent="0.25">
      <c r="A88" s="42" t="s">
        <v>186</v>
      </c>
      <c r="B88" s="42" t="s">
        <v>4498</v>
      </c>
      <c r="C88" s="43" t="s">
        <v>4499</v>
      </c>
      <c r="D88" s="44" t="s">
        <v>3319</v>
      </c>
    </row>
    <row r="89" spans="1:4" ht="47.25" customHeight="1" x14ac:dyDescent="0.25">
      <c r="A89" s="42" t="s">
        <v>193</v>
      </c>
      <c r="B89" s="42" t="s">
        <v>4500</v>
      </c>
      <c r="C89" s="43" t="s">
        <v>4501</v>
      </c>
      <c r="D89" s="44" t="s">
        <v>3320</v>
      </c>
    </row>
    <row r="90" spans="1:4" ht="47.25" customHeight="1" x14ac:dyDescent="0.25">
      <c r="A90" s="42" t="s">
        <v>200</v>
      </c>
      <c r="B90" s="42" t="s">
        <v>4502</v>
      </c>
      <c r="C90" s="43" t="s">
        <v>4503</v>
      </c>
      <c r="D90" s="44" t="s">
        <v>3321</v>
      </c>
    </row>
    <row r="91" spans="1:4" ht="47.25" customHeight="1" x14ac:dyDescent="0.25">
      <c r="A91" s="42" t="s">
        <v>207</v>
      </c>
      <c r="B91" s="42" t="s">
        <v>4504</v>
      </c>
      <c r="C91" s="43" t="s">
        <v>4505</v>
      </c>
      <c r="D91" s="44" t="s">
        <v>3322</v>
      </c>
    </row>
    <row r="92" spans="1:4" ht="47.25" customHeight="1" x14ac:dyDescent="0.25">
      <c r="A92" s="42" t="s">
        <v>212</v>
      </c>
      <c r="B92" s="42" t="s">
        <v>4506</v>
      </c>
      <c r="C92" s="43" t="s">
        <v>955</v>
      </c>
      <c r="D92" s="44" t="s">
        <v>3323</v>
      </c>
    </row>
    <row r="93" spans="1:4" ht="78.75" customHeight="1" x14ac:dyDescent="0.25">
      <c r="A93" s="42" t="s">
        <v>220</v>
      </c>
      <c r="B93" s="42" t="s">
        <v>4507</v>
      </c>
      <c r="C93" s="43" t="s">
        <v>770</v>
      </c>
      <c r="D93" s="44" t="s">
        <v>3324</v>
      </c>
    </row>
    <row r="94" spans="1:4" ht="78.75" customHeight="1" x14ac:dyDescent="0.25">
      <c r="A94" s="42" t="s">
        <v>226</v>
      </c>
      <c r="B94" s="42" t="s">
        <v>4508</v>
      </c>
      <c r="C94" s="43" t="s">
        <v>4509</v>
      </c>
      <c r="D94" s="44" t="s">
        <v>3325</v>
      </c>
    </row>
    <row r="95" spans="1:4" ht="31.5" customHeight="1" x14ac:dyDescent="0.25">
      <c r="A95" s="42" t="s">
        <v>234</v>
      </c>
      <c r="B95" s="42" t="s">
        <v>4510</v>
      </c>
      <c r="C95" s="43" t="s">
        <v>4511</v>
      </c>
      <c r="D95" s="44" t="s">
        <v>3326</v>
      </c>
    </row>
    <row r="96" spans="1:4" ht="31.5" customHeight="1" x14ac:dyDescent="0.25">
      <c r="A96" s="42" t="s">
        <v>241</v>
      </c>
      <c r="B96" s="42" t="s">
        <v>4512</v>
      </c>
      <c r="C96" s="43" t="s">
        <v>4513</v>
      </c>
      <c r="D96" s="44" t="s">
        <v>3327</v>
      </c>
    </row>
    <row r="97" spans="1:4" ht="63" customHeight="1" x14ac:dyDescent="0.25">
      <c r="A97" s="42" t="s">
        <v>248</v>
      </c>
      <c r="B97" s="42" t="s">
        <v>4514</v>
      </c>
      <c r="C97" s="43" t="s">
        <v>427</v>
      </c>
      <c r="D97" s="44" t="s">
        <v>3328</v>
      </c>
    </row>
    <row r="98" spans="1:4" ht="31.5" customHeight="1" x14ac:dyDescent="0.25">
      <c r="A98" s="42" t="s">
        <v>255</v>
      </c>
      <c r="B98" s="42" t="s">
        <v>4515</v>
      </c>
      <c r="C98" s="43" t="s">
        <v>3098</v>
      </c>
      <c r="D98" s="44" t="s">
        <v>3329</v>
      </c>
    </row>
    <row r="99" spans="1:4" ht="47.25" customHeight="1" x14ac:dyDescent="0.25">
      <c r="A99" s="42" t="s">
        <v>260</v>
      </c>
      <c r="B99" s="42" t="s">
        <v>4516</v>
      </c>
      <c r="C99" s="43" t="s">
        <v>1137</v>
      </c>
      <c r="D99" s="44" t="s">
        <v>3330</v>
      </c>
    </row>
    <row r="100" spans="1:4" ht="47.25" customHeight="1" x14ac:dyDescent="0.25">
      <c r="A100" s="42" t="s">
        <v>266</v>
      </c>
      <c r="B100" s="42" t="s">
        <v>4517</v>
      </c>
      <c r="C100" s="43" t="s">
        <v>109</v>
      </c>
      <c r="D100" s="44" t="s">
        <v>3331</v>
      </c>
    </row>
    <row r="101" spans="1:4" ht="63" customHeight="1" x14ac:dyDescent="0.25">
      <c r="A101" s="42" t="s">
        <v>272</v>
      </c>
      <c r="B101" s="42" t="s">
        <v>4518</v>
      </c>
      <c r="C101" s="43" t="s">
        <v>125</v>
      </c>
      <c r="D101" s="44" t="s">
        <v>3332</v>
      </c>
    </row>
    <row r="102" spans="1:4" ht="31.5" customHeight="1" x14ac:dyDescent="0.25">
      <c r="A102" s="42" t="s">
        <v>277</v>
      </c>
      <c r="B102" s="42" t="s">
        <v>4519</v>
      </c>
      <c r="C102" s="43" t="s">
        <v>783</v>
      </c>
      <c r="D102" s="44" t="s">
        <v>3333</v>
      </c>
    </row>
    <row r="103" spans="1:4" ht="47.25" customHeight="1" x14ac:dyDescent="0.25">
      <c r="A103" s="42" t="s">
        <v>281</v>
      </c>
      <c r="B103" s="42" t="s">
        <v>4520</v>
      </c>
      <c r="C103" s="43" t="s">
        <v>564</v>
      </c>
      <c r="D103" s="44" t="s">
        <v>3334</v>
      </c>
    </row>
    <row r="104" spans="1:4" ht="63" customHeight="1" x14ac:dyDescent="0.25">
      <c r="A104" s="42" t="s">
        <v>287</v>
      </c>
      <c r="B104" s="42" t="s">
        <v>4521</v>
      </c>
      <c r="C104" s="43" t="s">
        <v>4522</v>
      </c>
      <c r="D104" s="44" t="s">
        <v>3335</v>
      </c>
    </row>
    <row r="105" spans="1:4" ht="47.25" customHeight="1" x14ac:dyDescent="0.25">
      <c r="A105" s="42" t="s">
        <v>292</v>
      </c>
      <c r="B105" s="42" t="s">
        <v>4523</v>
      </c>
      <c r="C105" s="43" t="s">
        <v>3016</v>
      </c>
      <c r="D105" s="44" t="s">
        <v>3336</v>
      </c>
    </row>
    <row r="106" spans="1:4" ht="47.25" customHeight="1" x14ac:dyDescent="0.25">
      <c r="A106" s="42" t="s">
        <v>299</v>
      </c>
      <c r="B106" s="42" t="s">
        <v>4524</v>
      </c>
      <c r="C106" s="43" t="s">
        <v>3016</v>
      </c>
      <c r="D106" s="44" t="s">
        <v>3337</v>
      </c>
    </row>
    <row r="107" spans="1:4" ht="47.25" customHeight="1" x14ac:dyDescent="0.25">
      <c r="A107" s="42" t="s">
        <v>304</v>
      </c>
      <c r="B107" s="42" t="s">
        <v>4525</v>
      </c>
      <c r="C107" s="43" t="s">
        <v>540</v>
      </c>
      <c r="D107" s="44" t="s">
        <v>3338</v>
      </c>
    </row>
    <row r="108" spans="1:4" ht="47.25" customHeight="1" x14ac:dyDescent="0.25">
      <c r="A108" s="42" t="s">
        <v>311</v>
      </c>
      <c r="B108" s="42" t="s">
        <v>4526</v>
      </c>
      <c r="C108" s="43" t="s">
        <v>540</v>
      </c>
      <c r="D108" s="44" t="s">
        <v>3339</v>
      </c>
    </row>
    <row r="109" spans="1:4" ht="47.25" customHeight="1" x14ac:dyDescent="0.25">
      <c r="A109" s="42" t="s">
        <v>317</v>
      </c>
      <c r="B109" s="42" t="s">
        <v>4527</v>
      </c>
      <c r="C109" s="43" t="s">
        <v>1137</v>
      </c>
      <c r="D109" s="44" t="s">
        <v>3340</v>
      </c>
    </row>
    <row r="110" spans="1:4" ht="31.5" customHeight="1" x14ac:dyDescent="0.25">
      <c r="A110" s="42" t="s">
        <v>324</v>
      </c>
      <c r="B110" s="42" t="s">
        <v>4528</v>
      </c>
      <c r="C110" s="43" t="s">
        <v>683</v>
      </c>
      <c r="D110" s="44" t="s">
        <v>3341</v>
      </c>
    </row>
    <row r="111" spans="1:4" ht="31.5" customHeight="1" x14ac:dyDescent="0.25">
      <c r="A111" s="42" t="s">
        <v>331</v>
      </c>
      <c r="B111" s="42" t="s">
        <v>4529</v>
      </c>
      <c r="C111" s="43" t="s">
        <v>683</v>
      </c>
      <c r="D111" s="44" t="s">
        <v>3342</v>
      </c>
    </row>
    <row r="112" spans="1:4" ht="63" customHeight="1" x14ac:dyDescent="0.25">
      <c r="A112" s="42" t="s">
        <v>336</v>
      </c>
      <c r="B112" s="42" t="s">
        <v>4530</v>
      </c>
      <c r="C112" s="43" t="s">
        <v>1384</v>
      </c>
      <c r="D112" s="44" t="s">
        <v>3343</v>
      </c>
    </row>
    <row r="113" spans="1:4" ht="47.25" customHeight="1" x14ac:dyDescent="0.25">
      <c r="A113" s="42" t="s">
        <v>341</v>
      </c>
      <c r="B113" s="42" t="s">
        <v>4531</v>
      </c>
      <c r="C113" s="43" t="s">
        <v>688</v>
      </c>
      <c r="D113" s="44" t="s">
        <v>3344</v>
      </c>
    </row>
    <row r="114" spans="1:4" ht="47.25" customHeight="1" x14ac:dyDescent="0.25">
      <c r="A114" s="42" t="s">
        <v>345</v>
      </c>
      <c r="B114" s="42" t="s">
        <v>4532</v>
      </c>
      <c r="C114" s="43" t="s">
        <v>470</v>
      </c>
      <c r="D114" s="44" t="s">
        <v>3345</v>
      </c>
    </row>
    <row r="115" spans="1:4" ht="47.25" customHeight="1" x14ac:dyDescent="0.25">
      <c r="A115" s="42" t="s">
        <v>348</v>
      </c>
      <c r="B115" s="42" t="s">
        <v>4533</v>
      </c>
      <c r="C115" s="43" t="s">
        <v>4534</v>
      </c>
      <c r="D115" s="44" t="s">
        <v>3346</v>
      </c>
    </row>
    <row r="116" spans="1:4" ht="63" customHeight="1" x14ac:dyDescent="0.25">
      <c r="A116" s="42" t="s">
        <v>353</v>
      </c>
      <c r="B116" s="42" t="s">
        <v>4535</v>
      </c>
      <c r="C116" s="43" t="s">
        <v>4536</v>
      </c>
      <c r="D116" s="44" t="s">
        <v>3347</v>
      </c>
    </row>
    <row r="117" spans="1:4" ht="31.5" customHeight="1" x14ac:dyDescent="0.25">
      <c r="A117" s="42" t="s">
        <v>359</v>
      </c>
      <c r="B117" s="42" t="s">
        <v>4537</v>
      </c>
      <c r="C117" s="43" t="s">
        <v>195</v>
      </c>
      <c r="D117" s="44" t="s">
        <v>3348</v>
      </c>
    </row>
    <row r="118" spans="1:4" ht="31.5" customHeight="1" x14ac:dyDescent="0.25">
      <c r="A118" s="42" t="s">
        <v>364</v>
      </c>
      <c r="B118" s="42" t="s">
        <v>4538</v>
      </c>
      <c r="C118" s="43" t="s">
        <v>2436</v>
      </c>
      <c r="D118" s="44" t="s">
        <v>3349</v>
      </c>
    </row>
    <row r="119" spans="1:4" ht="63" customHeight="1" x14ac:dyDescent="0.25">
      <c r="A119" s="42" t="s">
        <v>369</v>
      </c>
      <c r="B119" s="42" t="s">
        <v>4539</v>
      </c>
      <c r="C119" s="43" t="s">
        <v>1529</v>
      </c>
      <c r="D119" s="44" t="s">
        <v>3350</v>
      </c>
    </row>
    <row r="120" spans="1:4" ht="47.25" customHeight="1" x14ac:dyDescent="0.25">
      <c r="A120" s="42" t="s">
        <v>375</v>
      </c>
      <c r="B120" s="42" t="s">
        <v>4540</v>
      </c>
      <c r="C120" s="43" t="s">
        <v>113</v>
      </c>
      <c r="D120" s="44" t="s">
        <v>3351</v>
      </c>
    </row>
    <row r="121" spans="1:4" ht="47.25" customHeight="1" x14ac:dyDescent="0.25">
      <c r="A121" s="42" t="s">
        <v>381</v>
      </c>
      <c r="B121" s="42" t="s">
        <v>4541</v>
      </c>
      <c r="C121" s="43" t="s">
        <v>333</v>
      </c>
      <c r="D121" s="44" t="s">
        <v>3352</v>
      </c>
    </row>
    <row r="122" spans="1:4" ht="31.5" customHeight="1" x14ac:dyDescent="0.25">
      <c r="A122" s="42" t="s">
        <v>387</v>
      </c>
      <c r="B122" s="42" t="s">
        <v>4542</v>
      </c>
      <c r="C122" s="43" t="s">
        <v>4543</v>
      </c>
      <c r="D122" s="44" t="s">
        <v>3353</v>
      </c>
    </row>
    <row r="123" spans="1:4" ht="63" customHeight="1" x14ac:dyDescent="0.25">
      <c r="A123" s="42" t="s">
        <v>392</v>
      </c>
      <c r="B123" s="42" t="s">
        <v>4544</v>
      </c>
      <c r="C123" s="43" t="s">
        <v>2363</v>
      </c>
      <c r="D123" s="44" t="s">
        <v>3354</v>
      </c>
    </row>
    <row r="124" spans="1:4" ht="78.75" customHeight="1" x14ac:dyDescent="0.25">
      <c r="A124" s="42" t="s">
        <v>398</v>
      </c>
      <c r="B124" s="42" t="s">
        <v>4545</v>
      </c>
      <c r="C124" s="43" t="s">
        <v>4546</v>
      </c>
      <c r="D124" s="44" t="s">
        <v>3355</v>
      </c>
    </row>
    <row r="125" spans="1:4" ht="31.5" customHeight="1" x14ac:dyDescent="0.25">
      <c r="A125" s="42" t="s">
        <v>403</v>
      </c>
      <c r="B125" s="42" t="s">
        <v>4547</v>
      </c>
      <c r="C125" s="43" t="s">
        <v>4548</v>
      </c>
      <c r="D125" s="44" t="s">
        <v>3356</v>
      </c>
    </row>
    <row r="126" spans="1:4" ht="31.5" customHeight="1" x14ac:dyDescent="0.25">
      <c r="A126" s="42" t="s">
        <v>408</v>
      </c>
      <c r="B126" s="42" t="s">
        <v>4549</v>
      </c>
      <c r="C126" s="43" t="s">
        <v>313</v>
      </c>
      <c r="D126" s="44" t="s">
        <v>3357</v>
      </c>
    </row>
    <row r="127" spans="1:4" ht="31.5" customHeight="1" x14ac:dyDescent="0.25">
      <c r="A127" s="42" t="s">
        <v>413</v>
      </c>
      <c r="B127" s="42" t="s">
        <v>4550</v>
      </c>
      <c r="C127" s="43" t="s">
        <v>195</v>
      </c>
      <c r="D127" s="44" t="s">
        <v>3358</v>
      </c>
    </row>
    <row r="128" spans="1:4" ht="31.5" customHeight="1" x14ac:dyDescent="0.25">
      <c r="A128" s="42" t="s">
        <v>419</v>
      </c>
      <c r="B128" s="42" t="s">
        <v>4551</v>
      </c>
      <c r="C128" s="43" t="s">
        <v>4552</v>
      </c>
      <c r="D128" s="44" t="s">
        <v>3359</v>
      </c>
    </row>
    <row r="129" spans="1:4" ht="31.5" customHeight="1" x14ac:dyDescent="0.25">
      <c r="A129" s="42" t="s">
        <v>425</v>
      </c>
      <c r="B129" s="42" t="s">
        <v>4553</v>
      </c>
      <c r="C129" s="43" t="s">
        <v>4554</v>
      </c>
      <c r="D129" s="44" t="s">
        <v>3360</v>
      </c>
    </row>
    <row r="130" spans="1:4" ht="31.5" customHeight="1" x14ac:dyDescent="0.25">
      <c r="A130" s="42" t="s">
        <v>432</v>
      </c>
      <c r="B130" s="42" t="s">
        <v>4555</v>
      </c>
      <c r="C130" s="43" t="s">
        <v>410</v>
      </c>
      <c r="D130" s="44" t="s">
        <v>3361</v>
      </c>
    </row>
    <row r="131" spans="1:4" ht="47.25" customHeight="1" x14ac:dyDescent="0.25">
      <c r="A131" s="42" t="s">
        <v>438</v>
      </c>
      <c r="B131" s="42" t="s">
        <v>4556</v>
      </c>
      <c r="C131" s="43" t="s">
        <v>125</v>
      </c>
      <c r="D131" s="44" t="s">
        <v>3362</v>
      </c>
    </row>
    <row r="132" spans="1:4" ht="47.25" customHeight="1" x14ac:dyDescent="0.25">
      <c r="A132" s="42" t="s">
        <v>442</v>
      </c>
      <c r="B132" s="42" t="s">
        <v>4557</v>
      </c>
      <c r="C132" s="43" t="s">
        <v>4558</v>
      </c>
      <c r="D132" s="44" t="s">
        <v>3363</v>
      </c>
    </row>
    <row r="133" spans="1:4" ht="47.25" customHeight="1" x14ac:dyDescent="0.25">
      <c r="A133" s="42" t="s">
        <v>448</v>
      </c>
      <c r="B133" s="42" t="s">
        <v>4559</v>
      </c>
      <c r="C133" s="43" t="s">
        <v>4558</v>
      </c>
      <c r="D133" s="44" t="s">
        <v>3364</v>
      </c>
    </row>
    <row r="134" spans="1:4" ht="78.75" customHeight="1" x14ac:dyDescent="0.25">
      <c r="A134" s="42" t="s">
        <v>453</v>
      </c>
      <c r="B134" s="42" t="s">
        <v>4560</v>
      </c>
      <c r="C134" s="43" t="s">
        <v>4561</v>
      </c>
      <c r="D134" s="44" t="s">
        <v>3365</v>
      </c>
    </row>
    <row r="135" spans="1:4" ht="47.25" customHeight="1" x14ac:dyDescent="0.25">
      <c r="A135" s="42" t="s">
        <v>458</v>
      </c>
      <c r="B135" s="42" t="s">
        <v>4562</v>
      </c>
      <c r="C135" s="43" t="s">
        <v>2049</v>
      </c>
      <c r="D135" s="44" t="s">
        <v>3366</v>
      </c>
    </row>
    <row r="136" spans="1:4" ht="47.25" customHeight="1" x14ac:dyDescent="0.25">
      <c r="A136" s="42" t="s">
        <v>464</v>
      </c>
      <c r="B136" s="42" t="s">
        <v>4563</v>
      </c>
      <c r="C136" s="43" t="s">
        <v>3075</v>
      </c>
      <c r="D136" s="44" t="s">
        <v>3367</v>
      </c>
    </row>
    <row r="137" spans="1:4" ht="47.25" customHeight="1" x14ac:dyDescent="0.25">
      <c r="A137" s="42" t="s">
        <v>468</v>
      </c>
      <c r="B137" s="42" t="s">
        <v>4564</v>
      </c>
      <c r="C137" s="43" t="s">
        <v>4565</v>
      </c>
      <c r="D137" s="44" t="s">
        <v>3368</v>
      </c>
    </row>
    <row r="138" spans="1:4" ht="47.25" customHeight="1" x14ac:dyDescent="0.25">
      <c r="A138" s="42" t="s">
        <v>473</v>
      </c>
      <c r="B138" s="42" t="s">
        <v>4566</v>
      </c>
      <c r="C138" s="43" t="s">
        <v>4565</v>
      </c>
      <c r="D138" s="44" t="s">
        <v>3369</v>
      </c>
    </row>
    <row r="139" spans="1:4" ht="31.5" customHeight="1" x14ac:dyDescent="0.25">
      <c r="A139" s="42" t="s">
        <v>478</v>
      </c>
      <c r="B139" s="42" t="s">
        <v>4567</v>
      </c>
      <c r="C139" s="43" t="s">
        <v>4568</v>
      </c>
      <c r="D139" s="44" t="s">
        <v>3370</v>
      </c>
    </row>
    <row r="140" spans="1:4" ht="47.25" customHeight="1" x14ac:dyDescent="0.25">
      <c r="A140" s="42" t="s">
        <v>482</v>
      </c>
      <c r="B140" s="42" t="s">
        <v>4569</v>
      </c>
      <c r="C140" s="43" t="s">
        <v>4568</v>
      </c>
      <c r="D140" s="44" t="s">
        <v>3371</v>
      </c>
    </row>
    <row r="141" spans="1:4" ht="31.5" customHeight="1" x14ac:dyDescent="0.25">
      <c r="A141" s="42" t="s">
        <v>486</v>
      </c>
      <c r="B141" s="42" t="s">
        <v>4570</v>
      </c>
      <c r="C141" s="43" t="s">
        <v>4568</v>
      </c>
      <c r="D141" s="44" t="s">
        <v>3372</v>
      </c>
    </row>
    <row r="142" spans="1:4" ht="110.25" customHeight="1" x14ac:dyDescent="0.25">
      <c r="A142" s="42" t="s">
        <v>491</v>
      </c>
      <c r="B142" s="42" t="s">
        <v>4571</v>
      </c>
      <c r="C142" s="43" t="s">
        <v>4572</v>
      </c>
      <c r="D142" s="44" t="s">
        <v>3373</v>
      </c>
    </row>
    <row r="143" spans="1:4" ht="31.5" customHeight="1" x14ac:dyDescent="0.25">
      <c r="A143" s="42" t="s">
        <v>497</v>
      </c>
      <c r="B143" s="42" t="s">
        <v>4573</v>
      </c>
      <c r="C143" s="43" t="s">
        <v>831</v>
      </c>
      <c r="D143" s="44" t="s">
        <v>3374</v>
      </c>
    </row>
    <row r="144" spans="1:4" ht="47.25" customHeight="1" x14ac:dyDescent="0.25">
      <c r="A144" s="42" t="s">
        <v>502</v>
      </c>
      <c r="B144" s="42" t="s">
        <v>4574</v>
      </c>
      <c r="C144" s="43" t="s">
        <v>564</v>
      </c>
      <c r="D144" s="44" t="s">
        <v>3375</v>
      </c>
    </row>
    <row r="145" spans="1:4" ht="31.5" customHeight="1" x14ac:dyDescent="0.25">
      <c r="A145" s="42" t="s">
        <v>506</v>
      </c>
      <c r="B145" s="42" t="s">
        <v>4575</v>
      </c>
      <c r="C145" s="43" t="s">
        <v>564</v>
      </c>
      <c r="D145" s="44" t="s">
        <v>3376</v>
      </c>
    </row>
    <row r="146" spans="1:4" ht="47.25" customHeight="1" x14ac:dyDescent="0.25">
      <c r="A146" s="42" t="s">
        <v>512</v>
      </c>
      <c r="B146" s="42" t="s">
        <v>4576</v>
      </c>
      <c r="C146" s="43" t="s">
        <v>4505</v>
      </c>
      <c r="D146" s="44" t="s">
        <v>3377</v>
      </c>
    </row>
    <row r="147" spans="1:4" ht="63" customHeight="1" x14ac:dyDescent="0.25">
      <c r="A147" s="42" t="s">
        <v>518</v>
      </c>
      <c r="B147" s="42" t="s">
        <v>4577</v>
      </c>
      <c r="C147" s="43" t="s">
        <v>4578</v>
      </c>
      <c r="D147" s="44" t="s">
        <v>3378</v>
      </c>
    </row>
    <row r="148" spans="1:4" ht="63" customHeight="1" x14ac:dyDescent="0.25">
      <c r="A148" s="42" t="s">
        <v>523</v>
      </c>
      <c r="B148" s="42" t="s">
        <v>4579</v>
      </c>
      <c r="C148" s="43" t="s">
        <v>250</v>
      </c>
      <c r="D148" s="44" t="s">
        <v>3379</v>
      </c>
    </row>
    <row r="149" spans="1:4" ht="31.5" customHeight="1" x14ac:dyDescent="0.25">
      <c r="A149" s="42" t="s">
        <v>528</v>
      </c>
      <c r="B149" s="42" t="s">
        <v>4580</v>
      </c>
      <c r="C149" s="43" t="s">
        <v>1228</v>
      </c>
      <c r="D149" s="44" t="s">
        <v>3380</v>
      </c>
    </row>
    <row r="150" spans="1:4" ht="47.25" customHeight="1" x14ac:dyDescent="0.25">
      <c r="A150" s="42" t="s">
        <v>532</v>
      </c>
      <c r="B150" s="42" t="s">
        <v>4581</v>
      </c>
      <c r="C150" s="43" t="s">
        <v>973</v>
      </c>
      <c r="D150" s="44" t="s">
        <v>3381</v>
      </c>
    </row>
    <row r="151" spans="1:4" ht="47.25" customHeight="1" x14ac:dyDescent="0.25">
      <c r="A151" s="42" t="s">
        <v>538</v>
      </c>
      <c r="B151" s="42" t="s">
        <v>4582</v>
      </c>
      <c r="C151" s="43" t="s">
        <v>460</v>
      </c>
      <c r="D151" s="44" t="s">
        <v>3382</v>
      </c>
    </row>
    <row r="152" spans="1:4" ht="47.25" customHeight="1" x14ac:dyDescent="0.25">
      <c r="A152" s="42" t="s">
        <v>543</v>
      </c>
      <c r="B152" s="42" t="s">
        <v>4583</v>
      </c>
      <c r="C152" s="43" t="s">
        <v>609</v>
      </c>
      <c r="D152" s="44" t="s">
        <v>3383</v>
      </c>
    </row>
    <row r="153" spans="1:4" ht="47.25" customHeight="1" x14ac:dyDescent="0.25">
      <c r="A153" s="42" t="s">
        <v>548</v>
      </c>
      <c r="B153" s="42" t="s">
        <v>4584</v>
      </c>
      <c r="C153" s="43" t="s">
        <v>4585</v>
      </c>
      <c r="D153" s="44" t="s">
        <v>3384</v>
      </c>
    </row>
    <row r="154" spans="1:4" ht="47.25" customHeight="1" x14ac:dyDescent="0.25">
      <c r="A154" s="42" t="s">
        <v>553</v>
      </c>
      <c r="B154" s="42" t="s">
        <v>4586</v>
      </c>
      <c r="C154" s="43" t="s">
        <v>350</v>
      </c>
      <c r="D154" s="44" t="s">
        <v>3385</v>
      </c>
    </row>
    <row r="155" spans="1:4" ht="47.25" customHeight="1" x14ac:dyDescent="0.25">
      <c r="A155" s="42" t="s">
        <v>558</v>
      </c>
      <c r="B155" s="42" t="s">
        <v>4587</v>
      </c>
      <c r="C155" s="43" t="s">
        <v>4588</v>
      </c>
      <c r="D155" s="44" t="s">
        <v>3386</v>
      </c>
    </row>
    <row r="156" spans="1:4" ht="63" customHeight="1" x14ac:dyDescent="0.25">
      <c r="A156" s="42" t="s">
        <v>562</v>
      </c>
      <c r="B156" s="42" t="s">
        <v>4589</v>
      </c>
      <c r="C156" s="43" t="s">
        <v>4590</v>
      </c>
      <c r="D156" s="44" t="s">
        <v>3387</v>
      </c>
    </row>
    <row r="157" spans="1:4" ht="63" customHeight="1" x14ac:dyDescent="0.25">
      <c r="A157" s="42" t="s">
        <v>567</v>
      </c>
      <c r="B157" s="42" t="s">
        <v>4591</v>
      </c>
      <c r="C157" s="43" t="s">
        <v>4588</v>
      </c>
      <c r="D157" s="44" t="s">
        <v>3388</v>
      </c>
    </row>
    <row r="158" spans="1:4" ht="78.75" customHeight="1" x14ac:dyDescent="0.25">
      <c r="A158" s="42" t="s">
        <v>573</v>
      </c>
      <c r="B158" s="42" t="s">
        <v>4592</v>
      </c>
      <c r="C158" s="43" t="s">
        <v>4593</v>
      </c>
      <c r="D158" s="44" t="s">
        <v>3389</v>
      </c>
    </row>
    <row r="159" spans="1:4" ht="47.25" customHeight="1" x14ac:dyDescent="0.25">
      <c r="A159" s="42" t="s">
        <v>577</v>
      </c>
      <c r="B159" s="42" t="s">
        <v>4594</v>
      </c>
      <c r="C159" s="43" t="s">
        <v>1957</v>
      </c>
      <c r="D159" s="44" t="s">
        <v>3390</v>
      </c>
    </row>
    <row r="160" spans="1:4" ht="31.5" customHeight="1" x14ac:dyDescent="0.25">
      <c r="A160" s="42" t="s">
        <v>582</v>
      </c>
      <c r="B160" s="42" t="s">
        <v>4595</v>
      </c>
      <c r="C160" s="43" t="s">
        <v>1094</v>
      </c>
      <c r="D160" s="44" t="s">
        <v>3391</v>
      </c>
    </row>
    <row r="161" spans="1:4" ht="31.5" customHeight="1" x14ac:dyDescent="0.25">
      <c r="A161" s="42" t="s">
        <v>585</v>
      </c>
      <c r="B161" s="42" t="s">
        <v>4596</v>
      </c>
      <c r="C161" s="43" t="s">
        <v>4597</v>
      </c>
      <c r="D161" s="44" t="s">
        <v>3392</v>
      </c>
    </row>
    <row r="162" spans="1:4" ht="15.75" customHeight="1" x14ac:dyDescent="0.25">
      <c r="A162" s="42" t="s">
        <v>589</v>
      </c>
      <c r="B162" s="42" t="s">
        <v>4598</v>
      </c>
      <c r="C162" s="43" t="s">
        <v>2092</v>
      </c>
      <c r="D162" s="44" t="s">
        <v>3393</v>
      </c>
    </row>
    <row r="163" spans="1:4" ht="31.5" customHeight="1" x14ac:dyDescent="0.25">
      <c r="A163" s="42" t="s">
        <v>594</v>
      </c>
      <c r="B163" s="42" t="s">
        <v>4599</v>
      </c>
      <c r="C163" s="43" t="s">
        <v>2193</v>
      </c>
      <c r="D163" s="44" t="s">
        <v>3394</v>
      </c>
    </row>
    <row r="164" spans="1:4" ht="47.25" customHeight="1" x14ac:dyDescent="0.25">
      <c r="A164" s="42" t="s">
        <v>598</v>
      </c>
      <c r="B164" s="42" t="s">
        <v>4600</v>
      </c>
      <c r="C164" s="43" t="s">
        <v>4601</v>
      </c>
      <c r="D164" s="44" t="s">
        <v>3395</v>
      </c>
    </row>
    <row r="165" spans="1:4" ht="47.25" customHeight="1" x14ac:dyDescent="0.25">
      <c r="A165" s="42" t="s">
        <v>602</v>
      </c>
      <c r="B165" s="42" t="s">
        <v>4602</v>
      </c>
      <c r="C165" s="54" t="s">
        <v>4603</v>
      </c>
      <c r="D165" s="44" t="s">
        <v>3396</v>
      </c>
    </row>
    <row r="166" spans="1:4" ht="47.25" customHeight="1" x14ac:dyDescent="0.25">
      <c r="A166" s="42" t="s">
        <v>607</v>
      </c>
      <c r="B166" s="42" t="s">
        <v>4604</v>
      </c>
      <c r="C166" s="43" t="s">
        <v>4605</v>
      </c>
      <c r="D166" s="44" t="s">
        <v>3397</v>
      </c>
    </row>
    <row r="167" spans="1:4" ht="47.25" customHeight="1" x14ac:dyDescent="0.25">
      <c r="A167" s="42" t="s">
        <v>612</v>
      </c>
      <c r="B167" s="42" t="s">
        <v>4606</v>
      </c>
      <c r="C167" s="43" t="s">
        <v>4607</v>
      </c>
      <c r="D167" s="44" t="s">
        <v>3398</v>
      </c>
    </row>
    <row r="168" spans="1:4" ht="47.25" customHeight="1" x14ac:dyDescent="0.25">
      <c r="A168" s="42" t="s">
        <v>618</v>
      </c>
      <c r="B168" s="42" t="s">
        <v>4608</v>
      </c>
      <c r="C168" s="43" t="s">
        <v>1384</v>
      </c>
      <c r="D168" s="44" t="s">
        <v>3399</v>
      </c>
    </row>
    <row r="169" spans="1:4" ht="47.25" customHeight="1" x14ac:dyDescent="0.25">
      <c r="A169" s="42" t="s">
        <v>622</v>
      </c>
      <c r="B169" s="42" t="s">
        <v>4609</v>
      </c>
      <c r="C169" s="43" t="s">
        <v>996</v>
      </c>
      <c r="D169" s="44" t="s">
        <v>3400</v>
      </c>
    </row>
    <row r="170" spans="1:4" ht="31.5" customHeight="1" x14ac:dyDescent="0.25">
      <c r="A170" s="42" t="s">
        <v>625</v>
      </c>
      <c r="B170" s="42" t="s">
        <v>4610</v>
      </c>
      <c r="C170" s="43" t="s">
        <v>1137</v>
      </c>
      <c r="D170" s="44" t="s">
        <v>3401</v>
      </c>
    </row>
    <row r="171" spans="1:4" ht="47.25" customHeight="1" x14ac:dyDescent="0.25">
      <c r="A171" s="42" t="s">
        <v>629</v>
      </c>
      <c r="B171" s="42" t="s">
        <v>4611</v>
      </c>
      <c r="C171" s="43" t="s">
        <v>1957</v>
      </c>
      <c r="D171" s="44" t="s">
        <v>3402</v>
      </c>
    </row>
    <row r="172" spans="1:4" ht="47.25" customHeight="1" x14ac:dyDescent="0.25">
      <c r="A172" s="42" t="s">
        <v>633</v>
      </c>
      <c r="B172" s="42" t="s">
        <v>4612</v>
      </c>
      <c r="C172" s="43" t="s">
        <v>728</v>
      </c>
      <c r="D172" s="44" t="s">
        <v>3403</v>
      </c>
    </row>
    <row r="173" spans="1:4" ht="47.25" customHeight="1" x14ac:dyDescent="0.25">
      <c r="A173" s="42" t="s">
        <v>638</v>
      </c>
      <c r="B173" s="42" t="s">
        <v>4613</v>
      </c>
      <c r="C173" s="43" t="s">
        <v>4505</v>
      </c>
      <c r="D173" s="44" t="s">
        <v>3404</v>
      </c>
    </row>
    <row r="174" spans="1:4" ht="47.25" customHeight="1" x14ac:dyDescent="0.25">
      <c r="A174" s="42" t="s">
        <v>643</v>
      </c>
      <c r="B174" s="42" t="s">
        <v>4614</v>
      </c>
      <c r="C174" s="43" t="s">
        <v>2351</v>
      </c>
      <c r="D174" s="44" t="s">
        <v>3405</v>
      </c>
    </row>
    <row r="175" spans="1:4" ht="31.5" customHeight="1" x14ac:dyDescent="0.25">
      <c r="A175" s="42" t="s">
        <v>647</v>
      </c>
      <c r="B175" s="42" t="s">
        <v>4615</v>
      </c>
      <c r="C175" s="43" t="s">
        <v>1559</v>
      </c>
      <c r="D175" s="44" t="s">
        <v>3406</v>
      </c>
    </row>
    <row r="176" spans="1:4" ht="31.5" customHeight="1" x14ac:dyDescent="0.25">
      <c r="A176" s="42" t="s">
        <v>652</v>
      </c>
      <c r="B176" s="42" t="s">
        <v>4616</v>
      </c>
      <c r="C176" s="43" t="s">
        <v>1160</v>
      </c>
      <c r="D176" s="44" t="s">
        <v>3407</v>
      </c>
    </row>
    <row r="177" spans="1:4" ht="47.25" customHeight="1" x14ac:dyDescent="0.25">
      <c r="A177" s="42" t="s">
        <v>657</v>
      </c>
      <c r="B177" s="42" t="s">
        <v>4617</v>
      </c>
      <c r="C177" s="43" t="s">
        <v>4618</v>
      </c>
      <c r="D177" s="44" t="s">
        <v>3408</v>
      </c>
    </row>
    <row r="178" spans="1:4" ht="63" customHeight="1" x14ac:dyDescent="0.25">
      <c r="A178" s="42" t="s">
        <v>662</v>
      </c>
      <c r="B178" s="42" t="s">
        <v>4619</v>
      </c>
      <c r="C178" s="43" t="s">
        <v>1160</v>
      </c>
      <c r="D178" s="44" t="s">
        <v>3409</v>
      </c>
    </row>
    <row r="179" spans="1:4" ht="31.5" customHeight="1" x14ac:dyDescent="0.25">
      <c r="A179" s="42" t="s">
        <v>667</v>
      </c>
      <c r="B179" s="42" t="s">
        <v>4620</v>
      </c>
      <c r="C179" s="43" t="s">
        <v>4621</v>
      </c>
      <c r="D179" s="44" t="s">
        <v>3410</v>
      </c>
    </row>
    <row r="180" spans="1:4" ht="31.5" customHeight="1" x14ac:dyDescent="0.25">
      <c r="A180" s="42" t="s">
        <v>672</v>
      </c>
      <c r="B180" s="42" t="s">
        <v>4622</v>
      </c>
      <c r="C180" s="43" t="s">
        <v>4623</v>
      </c>
      <c r="D180" s="44" t="s">
        <v>3411</v>
      </c>
    </row>
    <row r="181" spans="1:4" ht="63" customHeight="1" x14ac:dyDescent="0.25">
      <c r="A181" s="42" t="s">
        <v>677</v>
      </c>
      <c r="B181" s="42" t="s">
        <v>4624</v>
      </c>
      <c r="C181" s="43" t="s">
        <v>4625</v>
      </c>
      <c r="D181" s="44" t="s">
        <v>3412</v>
      </c>
    </row>
    <row r="182" spans="1:4" ht="47.25" customHeight="1" x14ac:dyDescent="0.25">
      <c r="A182" s="42" t="s">
        <v>681</v>
      </c>
      <c r="B182" s="42" t="s">
        <v>4626</v>
      </c>
      <c r="C182" s="43" t="s">
        <v>4627</v>
      </c>
      <c r="D182" s="44" t="s">
        <v>3413</v>
      </c>
    </row>
    <row r="183" spans="1:4" ht="31.5" customHeight="1" x14ac:dyDescent="0.25">
      <c r="A183" s="42" t="s">
        <v>686</v>
      </c>
      <c r="B183" s="42" t="s">
        <v>4628</v>
      </c>
      <c r="C183" s="43" t="s">
        <v>4627</v>
      </c>
      <c r="D183" s="44" t="s">
        <v>3414</v>
      </c>
    </row>
    <row r="184" spans="1:4" ht="47.25" customHeight="1" x14ac:dyDescent="0.25">
      <c r="A184" s="42" t="s">
        <v>691</v>
      </c>
      <c r="B184" s="42" t="s">
        <v>4629</v>
      </c>
      <c r="C184" s="43" t="s">
        <v>4630</v>
      </c>
      <c r="D184" s="44" t="s">
        <v>3415</v>
      </c>
    </row>
    <row r="185" spans="1:4" ht="47.25" customHeight="1" x14ac:dyDescent="0.25">
      <c r="A185" s="42" t="s">
        <v>696</v>
      </c>
      <c r="B185" s="42" t="s">
        <v>4631</v>
      </c>
      <c r="C185" s="43" t="s">
        <v>4632</v>
      </c>
      <c r="D185" s="44" t="s">
        <v>3416</v>
      </c>
    </row>
    <row r="186" spans="1:4" ht="31.5" customHeight="1" x14ac:dyDescent="0.25">
      <c r="A186" s="42" t="s">
        <v>700</v>
      </c>
      <c r="B186" s="42" t="s">
        <v>4633</v>
      </c>
      <c r="C186" s="43" t="s">
        <v>1458</v>
      </c>
      <c r="D186" s="44" t="s">
        <v>3417</v>
      </c>
    </row>
    <row r="187" spans="1:4" ht="31.5" customHeight="1" x14ac:dyDescent="0.25">
      <c r="A187" s="42" t="s">
        <v>705</v>
      </c>
      <c r="B187" s="42" t="s">
        <v>4634</v>
      </c>
      <c r="C187" s="43" t="s">
        <v>1458</v>
      </c>
      <c r="D187" s="44" t="s">
        <v>3418</v>
      </c>
    </row>
    <row r="188" spans="1:4" ht="63" customHeight="1" x14ac:dyDescent="0.25">
      <c r="A188" s="42" t="s">
        <v>710</v>
      </c>
      <c r="B188" s="42" t="s">
        <v>4635</v>
      </c>
      <c r="C188" s="43" t="s">
        <v>4636</v>
      </c>
      <c r="D188" s="44" t="s">
        <v>3419</v>
      </c>
    </row>
    <row r="189" spans="1:4" ht="31.5" customHeight="1" x14ac:dyDescent="0.25">
      <c r="A189" s="42" t="s">
        <v>715</v>
      </c>
      <c r="B189" s="42" t="s">
        <v>4637</v>
      </c>
      <c r="C189" s="43" t="s">
        <v>4638</v>
      </c>
      <c r="D189" s="44" t="s">
        <v>3420</v>
      </c>
    </row>
    <row r="190" spans="1:4" ht="47.25" customHeight="1" x14ac:dyDescent="0.25">
      <c r="A190" s="42" t="s">
        <v>721</v>
      </c>
      <c r="B190" s="42" t="s">
        <v>4639</v>
      </c>
      <c r="C190" s="43" t="s">
        <v>2206</v>
      </c>
      <c r="D190" s="44" t="s">
        <v>3421</v>
      </c>
    </row>
    <row r="191" spans="1:4" ht="31.5" customHeight="1" x14ac:dyDescent="0.25">
      <c r="A191" s="42" t="s">
        <v>726</v>
      </c>
      <c r="B191" s="42" t="s">
        <v>4640</v>
      </c>
      <c r="C191" s="43" t="s">
        <v>405</v>
      </c>
      <c r="D191" s="44" t="s">
        <v>3422</v>
      </c>
    </row>
    <row r="192" spans="1:4" ht="63" customHeight="1" x14ac:dyDescent="0.25">
      <c r="A192" s="42" t="s">
        <v>732</v>
      </c>
      <c r="B192" s="42" t="s">
        <v>4641</v>
      </c>
      <c r="C192" s="43" t="s">
        <v>81</v>
      </c>
      <c r="D192" s="44" t="s">
        <v>3423</v>
      </c>
    </row>
    <row r="193" spans="1:4" ht="78.75" customHeight="1" x14ac:dyDescent="0.25">
      <c r="A193" s="42" t="s">
        <v>736</v>
      </c>
      <c r="B193" s="42" t="s">
        <v>4642</v>
      </c>
      <c r="C193" s="43" t="s">
        <v>4643</v>
      </c>
      <c r="D193" s="44" t="s">
        <v>3424</v>
      </c>
    </row>
    <row r="194" spans="1:4" ht="31.5" customHeight="1" x14ac:dyDescent="0.25">
      <c r="A194" s="42" t="s">
        <v>740</v>
      </c>
      <c r="B194" s="42" t="s">
        <v>4644</v>
      </c>
      <c r="C194" s="43" t="s">
        <v>1788</v>
      </c>
      <c r="D194" s="44" t="s">
        <v>3425</v>
      </c>
    </row>
    <row r="195" spans="1:4" ht="47.25" customHeight="1" x14ac:dyDescent="0.25">
      <c r="A195" s="42" t="s">
        <v>745</v>
      </c>
      <c r="B195" s="42" t="s">
        <v>4645</v>
      </c>
      <c r="C195" s="43" t="s">
        <v>174</v>
      </c>
      <c r="D195" s="44" t="s">
        <v>3426</v>
      </c>
    </row>
    <row r="196" spans="1:4" ht="47.25" customHeight="1" x14ac:dyDescent="0.25">
      <c r="A196" s="42" t="s">
        <v>749</v>
      </c>
      <c r="B196" s="42" t="s">
        <v>4646</v>
      </c>
      <c r="C196" s="43" t="s">
        <v>174</v>
      </c>
      <c r="D196" s="44" t="s">
        <v>3427</v>
      </c>
    </row>
    <row r="197" spans="1:4" ht="47.25" customHeight="1" x14ac:dyDescent="0.25">
      <c r="A197" s="42" t="s">
        <v>753</v>
      </c>
      <c r="B197" s="42" t="s">
        <v>4647</v>
      </c>
      <c r="C197" s="43" t="s">
        <v>1208</v>
      </c>
      <c r="D197" s="44" t="s">
        <v>3428</v>
      </c>
    </row>
    <row r="198" spans="1:4" ht="31.5" customHeight="1" x14ac:dyDescent="0.25">
      <c r="A198" s="42" t="s">
        <v>759</v>
      </c>
      <c r="B198" s="42" t="s">
        <v>4648</v>
      </c>
      <c r="C198" s="43" t="s">
        <v>109</v>
      </c>
      <c r="D198" s="44" t="s">
        <v>3429</v>
      </c>
    </row>
    <row r="199" spans="1:4" ht="31.5" customHeight="1" x14ac:dyDescent="0.25">
      <c r="A199" s="42" t="s">
        <v>763</v>
      </c>
      <c r="B199" s="42" t="s">
        <v>4649</v>
      </c>
      <c r="C199" s="43" t="s">
        <v>4650</v>
      </c>
      <c r="D199" s="44" t="s">
        <v>3430</v>
      </c>
    </row>
    <row r="200" spans="1:4" ht="31.5" customHeight="1" x14ac:dyDescent="0.25">
      <c r="A200" s="42" t="s">
        <v>768</v>
      </c>
      <c r="B200" s="42" t="s">
        <v>4651</v>
      </c>
      <c r="C200" s="43" t="s">
        <v>1137</v>
      </c>
      <c r="D200" s="44" t="s">
        <v>3431</v>
      </c>
    </row>
    <row r="201" spans="1:4" ht="31.5" customHeight="1" x14ac:dyDescent="0.25">
      <c r="A201" s="42" t="s">
        <v>773</v>
      </c>
      <c r="B201" s="42" t="s">
        <v>4652</v>
      </c>
      <c r="C201" s="43" t="s">
        <v>4653</v>
      </c>
      <c r="D201" s="44" t="s">
        <v>3432</v>
      </c>
    </row>
    <row r="202" spans="1:4" ht="47.25" customHeight="1" x14ac:dyDescent="0.25">
      <c r="A202" s="42" t="s">
        <v>778</v>
      </c>
      <c r="B202" s="42" t="s">
        <v>4654</v>
      </c>
      <c r="C202" s="43" t="s">
        <v>4627</v>
      </c>
      <c r="D202" s="44" t="s">
        <v>3433</v>
      </c>
    </row>
    <row r="203" spans="1:4" ht="47.25" customHeight="1" x14ac:dyDescent="0.25">
      <c r="A203" s="42" t="s">
        <v>781</v>
      </c>
      <c r="B203" s="42" t="s">
        <v>4655</v>
      </c>
      <c r="C203" s="43" t="s">
        <v>1621</v>
      </c>
      <c r="D203" s="44" t="s">
        <v>3434</v>
      </c>
    </row>
    <row r="204" spans="1:4" ht="63" customHeight="1" x14ac:dyDescent="0.25">
      <c r="A204" s="42" t="s">
        <v>786</v>
      </c>
      <c r="B204" s="42" t="s">
        <v>4656</v>
      </c>
      <c r="C204" s="43" t="s">
        <v>4657</v>
      </c>
      <c r="D204" s="44" t="s">
        <v>3435</v>
      </c>
    </row>
    <row r="205" spans="1:4" ht="63" customHeight="1" x14ac:dyDescent="0.25">
      <c r="A205" s="42" t="s">
        <v>791</v>
      </c>
      <c r="B205" s="42" t="s">
        <v>4658</v>
      </c>
      <c r="C205" s="43" t="s">
        <v>1291</v>
      </c>
      <c r="D205" s="44" t="s">
        <v>3436</v>
      </c>
    </row>
    <row r="206" spans="1:4" ht="31.5" customHeight="1" x14ac:dyDescent="0.25">
      <c r="A206" s="42" t="s">
        <v>795</v>
      </c>
      <c r="B206" s="42" t="s">
        <v>4659</v>
      </c>
      <c r="C206" s="43" t="s">
        <v>4494</v>
      </c>
      <c r="D206" s="44" t="s">
        <v>3437</v>
      </c>
    </row>
    <row r="207" spans="1:4" ht="31.5" customHeight="1" x14ac:dyDescent="0.25">
      <c r="A207" s="42" t="s">
        <v>799</v>
      </c>
      <c r="B207" s="42" t="s">
        <v>4660</v>
      </c>
      <c r="C207" s="43" t="s">
        <v>1534</v>
      </c>
      <c r="D207" s="44" t="s">
        <v>3438</v>
      </c>
    </row>
    <row r="208" spans="1:4" ht="47.25" customHeight="1" x14ac:dyDescent="0.25">
      <c r="A208" s="42" t="s">
        <v>805</v>
      </c>
      <c r="B208" s="42" t="s">
        <v>4661</v>
      </c>
      <c r="C208" s="43" t="s">
        <v>1137</v>
      </c>
      <c r="D208" s="44" t="s">
        <v>3439</v>
      </c>
    </row>
    <row r="209" spans="1:4" ht="31.5" customHeight="1" x14ac:dyDescent="0.25">
      <c r="A209" s="42" t="s">
        <v>810</v>
      </c>
      <c r="B209" s="42" t="s">
        <v>4662</v>
      </c>
      <c r="C209" s="43" t="s">
        <v>4663</v>
      </c>
      <c r="D209" s="44" t="s">
        <v>3440</v>
      </c>
    </row>
    <row r="210" spans="1:4" ht="31.5" customHeight="1" x14ac:dyDescent="0.25">
      <c r="A210" s="42" t="s">
        <v>815</v>
      </c>
      <c r="B210" s="42" t="s">
        <v>4664</v>
      </c>
      <c r="C210" s="43" t="s">
        <v>4442</v>
      </c>
      <c r="D210" s="44" t="s">
        <v>3441</v>
      </c>
    </row>
    <row r="211" spans="1:4" ht="63" customHeight="1" x14ac:dyDescent="0.25">
      <c r="A211" s="42" t="s">
        <v>820</v>
      </c>
      <c r="B211" s="42" t="s">
        <v>4665</v>
      </c>
      <c r="C211" s="43" t="s">
        <v>4666</v>
      </c>
      <c r="D211" s="44" t="s">
        <v>3442</v>
      </c>
    </row>
    <row r="212" spans="1:4" ht="31.5" customHeight="1" x14ac:dyDescent="0.25">
      <c r="A212" s="42" t="s">
        <v>824</v>
      </c>
      <c r="B212" s="42" t="s">
        <v>4667</v>
      </c>
      <c r="C212" s="43" t="s">
        <v>783</v>
      </c>
      <c r="D212" s="44" t="s">
        <v>3443</v>
      </c>
    </row>
    <row r="213" spans="1:4" ht="47.25" customHeight="1" x14ac:dyDescent="0.25">
      <c r="A213" s="42" t="s">
        <v>829</v>
      </c>
      <c r="B213" s="42" t="s">
        <v>4668</v>
      </c>
      <c r="C213" s="43" t="s">
        <v>4669</v>
      </c>
      <c r="D213" s="44" t="s">
        <v>3444</v>
      </c>
    </row>
    <row r="214" spans="1:4" ht="47.25" customHeight="1" x14ac:dyDescent="0.25">
      <c r="A214" s="42" t="s">
        <v>834</v>
      </c>
      <c r="B214" s="42" t="s">
        <v>4670</v>
      </c>
      <c r="C214" s="43" t="s">
        <v>333</v>
      </c>
      <c r="D214" s="44" t="s">
        <v>3445</v>
      </c>
    </row>
    <row r="215" spans="1:4" ht="47.25" customHeight="1" x14ac:dyDescent="0.25">
      <c r="A215" s="42" t="s">
        <v>838</v>
      </c>
      <c r="B215" s="42" t="s">
        <v>4671</v>
      </c>
      <c r="C215" s="43" t="s">
        <v>4428</v>
      </c>
      <c r="D215" s="44" t="s">
        <v>3446</v>
      </c>
    </row>
    <row r="216" spans="1:4" ht="47.25" customHeight="1" x14ac:dyDescent="0.25">
      <c r="A216" s="42" t="s">
        <v>843</v>
      </c>
      <c r="B216" s="42" t="s">
        <v>4672</v>
      </c>
      <c r="C216" s="43" t="s">
        <v>4673</v>
      </c>
      <c r="D216" s="44" t="s">
        <v>3447</v>
      </c>
    </row>
    <row r="217" spans="1:4" ht="47.25" customHeight="1" x14ac:dyDescent="0.25">
      <c r="A217" s="42" t="s">
        <v>847</v>
      </c>
      <c r="B217" s="42" t="s">
        <v>4674</v>
      </c>
      <c r="C217" s="43" t="s">
        <v>4578</v>
      </c>
      <c r="D217" s="44" t="s">
        <v>3448</v>
      </c>
    </row>
    <row r="218" spans="1:4" ht="47.25" customHeight="1" x14ac:dyDescent="0.25">
      <c r="A218" s="42" t="s">
        <v>853</v>
      </c>
      <c r="B218" s="42" t="s">
        <v>4675</v>
      </c>
      <c r="C218" s="43" t="s">
        <v>1384</v>
      </c>
      <c r="D218" s="44" t="s">
        <v>3449</v>
      </c>
    </row>
    <row r="219" spans="1:4" ht="47.25" customHeight="1" x14ac:dyDescent="0.25">
      <c r="A219" s="42" t="s">
        <v>858</v>
      </c>
      <c r="B219" s="42" t="s">
        <v>4676</v>
      </c>
      <c r="C219" s="43" t="s">
        <v>555</v>
      </c>
      <c r="D219" s="44" t="s">
        <v>3450</v>
      </c>
    </row>
    <row r="220" spans="1:4" ht="63" customHeight="1" x14ac:dyDescent="0.25">
      <c r="A220" s="42" t="s">
        <v>862</v>
      </c>
      <c r="B220" s="42" t="s">
        <v>4677</v>
      </c>
      <c r="C220" s="43" t="s">
        <v>4678</v>
      </c>
      <c r="D220" s="44" t="s">
        <v>3451</v>
      </c>
    </row>
    <row r="221" spans="1:4" ht="47.25" customHeight="1" x14ac:dyDescent="0.25">
      <c r="A221" s="42" t="s">
        <v>865</v>
      </c>
      <c r="B221" s="42" t="s">
        <v>4679</v>
      </c>
      <c r="C221" s="43" t="s">
        <v>4680</v>
      </c>
      <c r="D221" s="44" t="s">
        <v>3452</v>
      </c>
    </row>
    <row r="222" spans="1:4" ht="47.25" customHeight="1" x14ac:dyDescent="0.25">
      <c r="A222" s="42" t="s">
        <v>869</v>
      </c>
      <c r="B222" s="42" t="s">
        <v>4681</v>
      </c>
      <c r="C222" s="43" t="s">
        <v>2132</v>
      </c>
      <c r="D222" s="44" t="s">
        <v>3453</v>
      </c>
    </row>
    <row r="223" spans="1:4" ht="31.5" customHeight="1" x14ac:dyDescent="0.25">
      <c r="A223" s="42" t="s">
        <v>873</v>
      </c>
      <c r="B223" s="42" t="s">
        <v>4682</v>
      </c>
      <c r="C223" s="43" t="s">
        <v>4683</v>
      </c>
      <c r="D223" s="44" t="s">
        <v>3454</v>
      </c>
    </row>
    <row r="224" spans="1:4" ht="31.5" customHeight="1" x14ac:dyDescent="0.25">
      <c r="A224" s="42" t="s">
        <v>877</v>
      </c>
      <c r="B224" s="42" t="s">
        <v>4684</v>
      </c>
      <c r="C224" s="43" t="s">
        <v>1534</v>
      </c>
      <c r="D224" s="44" t="s">
        <v>3455</v>
      </c>
    </row>
    <row r="225" spans="1:4" ht="47.25" customHeight="1" x14ac:dyDescent="0.25">
      <c r="A225" s="42" t="s">
        <v>882</v>
      </c>
      <c r="B225" s="42" t="s">
        <v>4685</v>
      </c>
      <c r="C225" s="43" t="s">
        <v>68</v>
      </c>
      <c r="D225" s="44" t="s">
        <v>3456</v>
      </c>
    </row>
    <row r="226" spans="1:4" ht="47.25" customHeight="1" x14ac:dyDescent="0.25">
      <c r="A226" s="42" t="s">
        <v>887</v>
      </c>
      <c r="B226" s="42" t="s">
        <v>4686</v>
      </c>
      <c r="C226" s="43" t="s">
        <v>4687</v>
      </c>
      <c r="D226" s="44" t="s">
        <v>3457</v>
      </c>
    </row>
    <row r="227" spans="1:4" ht="31.5" customHeight="1" x14ac:dyDescent="0.25">
      <c r="A227" s="42" t="s">
        <v>892</v>
      </c>
      <c r="B227" s="42" t="s">
        <v>4688</v>
      </c>
      <c r="C227" s="43" t="s">
        <v>421</v>
      </c>
      <c r="D227" s="44" t="s">
        <v>3458</v>
      </c>
    </row>
    <row r="228" spans="1:4" ht="31.5" customHeight="1" x14ac:dyDescent="0.25">
      <c r="A228" s="42" t="s">
        <v>896</v>
      </c>
      <c r="B228" s="42" t="s">
        <v>4689</v>
      </c>
      <c r="C228" s="43" t="s">
        <v>1094</v>
      </c>
      <c r="D228" s="44" t="s">
        <v>3459</v>
      </c>
    </row>
    <row r="229" spans="1:4" ht="31.5" customHeight="1" x14ac:dyDescent="0.25">
      <c r="A229" s="42" t="s">
        <v>901</v>
      </c>
      <c r="B229" s="42" t="s">
        <v>4690</v>
      </c>
      <c r="C229" s="43" t="s">
        <v>2118</v>
      </c>
      <c r="D229" s="44" t="s">
        <v>3460</v>
      </c>
    </row>
    <row r="230" spans="1:4" ht="31.5" customHeight="1" x14ac:dyDescent="0.25">
      <c r="A230" s="42" t="s">
        <v>906</v>
      </c>
      <c r="B230" s="42" t="s">
        <v>4691</v>
      </c>
      <c r="C230" s="43" t="s">
        <v>2782</v>
      </c>
      <c r="D230" s="44" t="s">
        <v>3461</v>
      </c>
    </row>
    <row r="231" spans="1:4" ht="31.5" customHeight="1" x14ac:dyDescent="0.25">
      <c r="A231" s="42" t="s">
        <v>911</v>
      </c>
      <c r="B231" s="42" t="s">
        <v>4692</v>
      </c>
      <c r="C231" s="43" t="s">
        <v>4693</v>
      </c>
      <c r="D231" s="44" t="s">
        <v>3462</v>
      </c>
    </row>
    <row r="232" spans="1:4" ht="63" customHeight="1" x14ac:dyDescent="0.25">
      <c r="A232" s="42" t="s">
        <v>916</v>
      </c>
      <c r="B232" s="42" t="s">
        <v>4694</v>
      </c>
      <c r="C232" s="43" t="s">
        <v>2316</v>
      </c>
      <c r="D232" s="44" t="s">
        <v>3463</v>
      </c>
    </row>
    <row r="233" spans="1:4" ht="31.5" customHeight="1" x14ac:dyDescent="0.25">
      <c r="A233" s="42" t="s">
        <v>920</v>
      </c>
      <c r="B233" s="42" t="s">
        <v>4695</v>
      </c>
      <c r="C233" s="43" t="s">
        <v>4601</v>
      </c>
      <c r="D233" s="44" t="s">
        <v>3464</v>
      </c>
    </row>
    <row r="234" spans="1:4" ht="47.25" customHeight="1" x14ac:dyDescent="0.25">
      <c r="A234" s="42" t="s">
        <v>926</v>
      </c>
      <c r="B234" s="42" t="s">
        <v>4696</v>
      </c>
      <c r="C234" s="43" t="s">
        <v>4601</v>
      </c>
      <c r="D234" s="44" t="s">
        <v>3465</v>
      </c>
    </row>
    <row r="235" spans="1:4" ht="47.25" customHeight="1" x14ac:dyDescent="0.25">
      <c r="A235" s="42" t="s">
        <v>930</v>
      </c>
      <c r="B235" s="42" t="s">
        <v>4697</v>
      </c>
      <c r="C235" s="43" t="s">
        <v>4698</v>
      </c>
      <c r="D235" s="44" t="s">
        <v>3466</v>
      </c>
    </row>
    <row r="236" spans="1:4" ht="47.25" customHeight="1" x14ac:dyDescent="0.25">
      <c r="A236" s="42" t="s">
        <v>934</v>
      </c>
      <c r="B236" s="42" t="s">
        <v>4699</v>
      </c>
      <c r="C236" s="43" t="s">
        <v>2316</v>
      </c>
      <c r="D236" s="44" t="s">
        <v>3467</v>
      </c>
    </row>
    <row r="237" spans="1:4" ht="47.25" customHeight="1" x14ac:dyDescent="0.25">
      <c r="A237" s="42" t="s">
        <v>938</v>
      </c>
      <c r="B237" s="42" t="s">
        <v>4700</v>
      </c>
      <c r="C237" s="43" t="s">
        <v>4701</v>
      </c>
      <c r="D237" s="44" t="s">
        <v>3468</v>
      </c>
    </row>
    <row r="238" spans="1:4" ht="47.25" customHeight="1" x14ac:dyDescent="0.25">
      <c r="A238" s="42" t="s">
        <v>942</v>
      </c>
      <c r="B238" s="42" t="s">
        <v>4702</v>
      </c>
      <c r="C238" s="43" t="s">
        <v>4698</v>
      </c>
      <c r="D238" s="44" t="s">
        <v>3469</v>
      </c>
    </row>
    <row r="239" spans="1:4" ht="47.25" customHeight="1" x14ac:dyDescent="0.25">
      <c r="A239" s="42" t="s">
        <v>945</v>
      </c>
      <c r="B239" s="42" t="s">
        <v>4703</v>
      </c>
      <c r="C239" s="43" t="s">
        <v>4698</v>
      </c>
      <c r="D239" s="44" t="s">
        <v>3470</v>
      </c>
    </row>
    <row r="240" spans="1:4" ht="47.25" customHeight="1" x14ac:dyDescent="0.25">
      <c r="A240" s="42" t="s">
        <v>949</v>
      </c>
      <c r="B240" s="42" t="s">
        <v>4704</v>
      </c>
      <c r="C240" s="43" t="s">
        <v>4411</v>
      </c>
      <c r="D240" s="44" t="s">
        <v>3471</v>
      </c>
    </row>
    <row r="241" spans="1:4" ht="31.5" customHeight="1" x14ac:dyDescent="0.25">
      <c r="A241" s="42" t="s">
        <v>953</v>
      </c>
      <c r="B241" s="42" t="s">
        <v>4705</v>
      </c>
      <c r="C241" s="43" t="s">
        <v>555</v>
      </c>
      <c r="D241" s="44" t="s">
        <v>3472</v>
      </c>
    </row>
    <row r="242" spans="1:4" ht="31.5" customHeight="1" x14ac:dyDescent="0.25">
      <c r="A242" s="42" t="s">
        <v>958</v>
      </c>
      <c r="B242" s="42" t="s">
        <v>4706</v>
      </c>
      <c r="C242" s="43" t="s">
        <v>1827</v>
      </c>
      <c r="D242" s="44" t="s">
        <v>3473</v>
      </c>
    </row>
    <row r="243" spans="1:4" ht="47.25" customHeight="1" x14ac:dyDescent="0.25">
      <c r="A243" s="42" t="s">
        <v>962</v>
      </c>
      <c r="B243" s="42" t="s">
        <v>4707</v>
      </c>
      <c r="C243" s="43" t="s">
        <v>68</v>
      </c>
      <c r="D243" s="44" t="s">
        <v>3474</v>
      </c>
    </row>
    <row r="244" spans="1:4" ht="31.5" customHeight="1" x14ac:dyDescent="0.25">
      <c r="A244" s="42" t="s">
        <v>966</v>
      </c>
      <c r="B244" s="42" t="s">
        <v>4708</v>
      </c>
      <c r="C244" s="43" t="s">
        <v>4709</v>
      </c>
      <c r="D244" s="44" t="s">
        <v>3475</v>
      </c>
    </row>
    <row r="245" spans="1:4" ht="47.25" customHeight="1" x14ac:dyDescent="0.25">
      <c r="A245" s="42" t="s">
        <v>971</v>
      </c>
      <c r="B245" s="42" t="s">
        <v>4710</v>
      </c>
      <c r="C245" s="43" t="s">
        <v>555</v>
      </c>
      <c r="D245" s="44" t="s">
        <v>3476</v>
      </c>
    </row>
    <row r="246" spans="1:4" ht="47.25" customHeight="1" x14ac:dyDescent="0.25">
      <c r="A246" s="42" t="s">
        <v>976</v>
      </c>
      <c r="B246" s="42" t="s">
        <v>4711</v>
      </c>
      <c r="C246" s="43" t="s">
        <v>1173</v>
      </c>
      <c r="D246" s="44" t="s">
        <v>3477</v>
      </c>
    </row>
    <row r="247" spans="1:4" ht="31.5" customHeight="1" x14ac:dyDescent="0.25">
      <c r="A247" s="42" t="s">
        <v>981</v>
      </c>
      <c r="B247" s="42" t="s">
        <v>4712</v>
      </c>
      <c r="C247" s="43" t="s">
        <v>1222</v>
      </c>
      <c r="D247" s="44" t="s">
        <v>3478</v>
      </c>
    </row>
    <row r="248" spans="1:4" ht="47.25" customHeight="1" x14ac:dyDescent="0.25">
      <c r="A248" s="42" t="s">
        <v>986</v>
      </c>
      <c r="B248" s="42" t="s">
        <v>4713</v>
      </c>
      <c r="C248" s="43" t="s">
        <v>68</v>
      </c>
      <c r="D248" s="44" t="s">
        <v>3479</v>
      </c>
    </row>
    <row r="249" spans="1:4" ht="31.5" customHeight="1" x14ac:dyDescent="0.25">
      <c r="A249" s="42" t="s">
        <v>991</v>
      </c>
      <c r="B249" s="42" t="s">
        <v>4714</v>
      </c>
      <c r="C249" s="43" t="s">
        <v>2158</v>
      </c>
      <c r="D249" s="44" t="s">
        <v>3480</v>
      </c>
    </row>
    <row r="250" spans="1:4" ht="47.25" customHeight="1" x14ac:dyDescent="0.25">
      <c r="A250" s="42" t="s">
        <v>994</v>
      </c>
      <c r="B250" s="42" t="s">
        <v>4715</v>
      </c>
      <c r="C250" s="43" t="s">
        <v>1705</v>
      </c>
      <c r="D250" s="44" t="s">
        <v>3481</v>
      </c>
    </row>
    <row r="251" spans="1:4" ht="31.5" customHeight="1" x14ac:dyDescent="0.25">
      <c r="A251" s="42" t="s">
        <v>1000</v>
      </c>
      <c r="B251" s="42" t="s">
        <v>4716</v>
      </c>
      <c r="C251" s="43" t="s">
        <v>540</v>
      </c>
      <c r="D251" s="44" t="s">
        <v>3482</v>
      </c>
    </row>
    <row r="252" spans="1:4" ht="31.5" customHeight="1" x14ac:dyDescent="0.25">
      <c r="A252" s="42" t="s">
        <v>1004</v>
      </c>
      <c r="B252" s="42" t="s">
        <v>4717</v>
      </c>
      <c r="C252" s="43" t="s">
        <v>540</v>
      </c>
      <c r="D252" s="44" t="s">
        <v>3483</v>
      </c>
    </row>
    <row r="253" spans="1:4" ht="31.5" customHeight="1" x14ac:dyDescent="0.25">
      <c r="A253" s="42" t="s">
        <v>1009</v>
      </c>
      <c r="B253" s="42" t="s">
        <v>4718</v>
      </c>
      <c r="C253" s="43" t="s">
        <v>400</v>
      </c>
      <c r="D253" s="44" t="s">
        <v>3484</v>
      </c>
    </row>
    <row r="254" spans="1:4" ht="63" customHeight="1" x14ac:dyDescent="0.25">
      <c r="A254" s="42" t="s">
        <v>1014</v>
      </c>
      <c r="B254" s="42" t="s">
        <v>4719</v>
      </c>
      <c r="C254" s="43" t="s">
        <v>202</v>
      </c>
      <c r="D254" s="44" t="s">
        <v>3485</v>
      </c>
    </row>
    <row r="255" spans="1:4" ht="31.5" customHeight="1" x14ac:dyDescent="0.25">
      <c r="A255" s="42" t="s">
        <v>1019</v>
      </c>
      <c r="B255" s="42" t="s">
        <v>4720</v>
      </c>
      <c r="C255" s="43" t="s">
        <v>2070</v>
      </c>
      <c r="D255" s="44" t="s">
        <v>3486</v>
      </c>
    </row>
    <row r="256" spans="1:4" ht="31.5" customHeight="1" x14ac:dyDescent="0.25">
      <c r="A256" s="42" t="s">
        <v>1025</v>
      </c>
      <c r="B256" s="42" t="s">
        <v>4721</v>
      </c>
      <c r="C256" s="43" t="s">
        <v>4722</v>
      </c>
      <c r="D256" s="44" t="s">
        <v>3487</v>
      </c>
    </row>
    <row r="257" spans="1:4" ht="47.25" customHeight="1" x14ac:dyDescent="0.25">
      <c r="A257" s="42" t="s">
        <v>1029</v>
      </c>
      <c r="B257" s="42" t="s">
        <v>4723</v>
      </c>
      <c r="C257" s="43" t="s">
        <v>4724</v>
      </c>
      <c r="D257" s="44" t="s">
        <v>3488</v>
      </c>
    </row>
    <row r="258" spans="1:4" ht="31.5" customHeight="1" x14ac:dyDescent="0.25">
      <c r="A258" s="42" t="s">
        <v>1033</v>
      </c>
      <c r="B258" s="42" t="s">
        <v>4725</v>
      </c>
      <c r="C258" s="43" t="s">
        <v>68</v>
      </c>
      <c r="D258" s="44" t="s">
        <v>3489</v>
      </c>
    </row>
    <row r="259" spans="1:4" ht="31.5" customHeight="1" x14ac:dyDescent="0.25">
      <c r="A259" s="42" t="s">
        <v>1038</v>
      </c>
      <c r="B259" s="42" t="s">
        <v>4726</v>
      </c>
      <c r="C259" s="43" t="s">
        <v>313</v>
      </c>
      <c r="D259" s="44" t="s">
        <v>3490</v>
      </c>
    </row>
    <row r="260" spans="1:4" ht="31.5" customHeight="1" x14ac:dyDescent="0.25">
      <c r="A260" s="42" t="s">
        <v>1043</v>
      </c>
      <c r="B260" s="42" t="s">
        <v>4727</v>
      </c>
      <c r="C260" s="43" t="s">
        <v>4728</v>
      </c>
      <c r="D260" s="44" t="s">
        <v>3491</v>
      </c>
    </row>
    <row r="261" spans="1:4" ht="47.25" customHeight="1" x14ac:dyDescent="0.25">
      <c r="A261" s="42" t="s">
        <v>1048</v>
      </c>
      <c r="B261" s="42" t="s">
        <v>4729</v>
      </c>
      <c r="C261" s="43" t="s">
        <v>415</v>
      </c>
      <c r="D261" s="44" t="s">
        <v>3492</v>
      </c>
    </row>
    <row r="262" spans="1:4" ht="47.25" customHeight="1" x14ac:dyDescent="0.25">
      <c r="A262" s="42" t="s">
        <v>1053</v>
      </c>
      <c r="B262" s="42" t="s">
        <v>4730</v>
      </c>
      <c r="C262" s="43" t="s">
        <v>775</v>
      </c>
      <c r="D262" s="44" t="s">
        <v>3493</v>
      </c>
    </row>
    <row r="263" spans="1:4" ht="47.25" customHeight="1" x14ac:dyDescent="0.25">
      <c r="A263" s="42" t="s">
        <v>1057</v>
      </c>
      <c r="B263" s="42" t="s">
        <v>4731</v>
      </c>
      <c r="C263" s="43" t="s">
        <v>635</v>
      </c>
      <c r="D263" s="44" t="s">
        <v>3494</v>
      </c>
    </row>
    <row r="264" spans="1:4" ht="78.75" customHeight="1" x14ac:dyDescent="0.25">
      <c r="A264" s="42" t="s">
        <v>1062</v>
      </c>
      <c r="B264" s="42" t="s">
        <v>4732</v>
      </c>
      <c r="C264" s="43" t="s">
        <v>817</v>
      </c>
      <c r="D264" s="44" t="s">
        <v>3495</v>
      </c>
    </row>
    <row r="265" spans="1:4" ht="31.5" customHeight="1" x14ac:dyDescent="0.25">
      <c r="A265" s="42" t="s">
        <v>1066</v>
      </c>
      <c r="B265" s="42" t="s">
        <v>4733</v>
      </c>
      <c r="C265" s="43" t="s">
        <v>410</v>
      </c>
      <c r="D265" s="44" t="s">
        <v>3496</v>
      </c>
    </row>
    <row r="266" spans="1:4" ht="47.25" customHeight="1" x14ac:dyDescent="0.25">
      <c r="A266" s="42" t="s">
        <v>1072</v>
      </c>
      <c r="B266" s="42" t="s">
        <v>4734</v>
      </c>
      <c r="C266" s="43" t="s">
        <v>1508</v>
      </c>
      <c r="D266" s="44" t="s">
        <v>3497</v>
      </c>
    </row>
    <row r="267" spans="1:4" ht="63" customHeight="1" x14ac:dyDescent="0.25">
      <c r="A267" s="42" t="s">
        <v>1077</v>
      </c>
      <c r="B267" s="42" t="s">
        <v>4735</v>
      </c>
      <c r="C267" s="43" t="s">
        <v>243</v>
      </c>
      <c r="D267" s="44" t="s">
        <v>3498</v>
      </c>
    </row>
    <row r="268" spans="1:4" ht="47.25" customHeight="1" x14ac:dyDescent="0.25">
      <c r="A268" s="42" t="s">
        <v>1081</v>
      </c>
      <c r="B268" s="42" t="s">
        <v>4736</v>
      </c>
      <c r="C268" s="43" t="s">
        <v>1016</v>
      </c>
      <c r="D268" s="44" t="s">
        <v>3499</v>
      </c>
    </row>
    <row r="269" spans="1:4" ht="47.25" customHeight="1" x14ac:dyDescent="0.25">
      <c r="A269" s="42" t="s">
        <v>1086</v>
      </c>
      <c r="B269" s="42" t="s">
        <v>4737</v>
      </c>
      <c r="C269" s="43" t="s">
        <v>4738</v>
      </c>
      <c r="D269" s="44" t="s">
        <v>3500</v>
      </c>
    </row>
    <row r="270" spans="1:4" ht="47.25" customHeight="1" x14ac:dyDescent="0.25">
      <c r="A270" s="42" t="s">
        <v>1089</v>
      </c>
      <c r="B270" s="42" t="s">
        <v>4739</v>
      </c>
      <c r="C270" s="43" t="s">
        <v>1534</v>
      </c>
      <c r="D270" s="44" t="s">
        <v>3501</v>
      </c>
    </row>
    <row r="271" spans="1:4" ht="47.25" customHeight="1" x14ac:dyDescent="0.25">
      <c r="A271" s="42" t="s">
        <v>1092</v>
      </c>
      <c r="B271" s="42" t="s">
        <v>4740</v>
      </c>
      <c r="C271" s="43" t="s">
        <v>4741</v>
      </c>
      <c r="D271" s="44" t="s">
        <v>3502</v>
      </c>
    </row>
    <row r="272" spans="1:4" ht="31.5" customHeight="1" x14ac:dyDescent="0.25">
      <c r="A272" s="42" t="s">
        <v>1097</v>
      </c>
      <c r="B272" s="42" t="s">
        <v>4742</v>
      </c>
      <c r="C272" s="43" t="s">
        <v>1160</v>
      </c>
      <c r="D272" s="44" t="s">
        <v>3503</v>
      </c>
    </row>
    <row r="273" spans="1:4" ht="47.25" customHeight="1" x14ac:dyDescent="0.25">
      <c r="A273" s="42" t="s">
        <v>1101</v>
      </c>
      <c r="B273" s="42" t="s">
        <v>4743</v>
      </c>
      <c r="C273" s="43" t="s">
        <v>313</v>
      </c>
      <c r="D273" s="44" t="s">
        <v>3504</v>
      </c>
    </row>
    <row r="274" spans="1:4" ht="78.75" customHeight="1" x14ac:dyDescent="0.25">
      <c r="A274" s="42" t="s">
        <v>1107</v>
      </c>
      <c r="B274" s="42" t="s">
        <v>4744</v>
      </c>
      <c r="C274" s="43" t="s">
        <v>1137</v>
      </c>
      <c r="D274" s="44" t="s">
        <v>3505</v>
      </c>
    </row>
    <row r="275" spans="1:4" ht="47.25" customHeight="1" x14ac:dyDescent="0.25">
      <c r="A275" s="42" t="s">
        <v>1112</v>
      </c>
      <c r="B275" s="42" t="s">
        <v>4745</v>
      </c>
      <c r="C275" s="43" t="s">
        <v>4746</v>
      </c>
      <c r="D275" s="44" t="s">
        <v>3506</v>
      </c>
    </row>
    <row r="276" spans="1:4" ht="47.25" customHeight="1" x14ac:dyDescent="0.25">
      <c r="A276" s="42" t="s">
        <v>1116</v>
      </c>
      <c r="B276" s="42" t="s">
        <v>4747</v>
      </c>
      <c r="C276" s="43" t="s">
        <v>2316</v>
      </c>
      <c r="D276" s="44" t="s">
        <v>3507</v>
      </c>
    </row>
    <row r="277" spans="1:4" ht="47.25" customHeight="1" x14ac:dyDescent="0.25">
      <c r="A277" s="42" t="s">
        <v>1121</v>
      </c>
      <c r="B277" s="42" t="s">
        <v>4748</v>
      </c>
      <c r="C277" s="43" t="s">
        <v>4749</v>
      </c>
      <c r="D277" s="44" t="s">
        <v>3508</v>
      </c>
    </row>
    <row r="278" spans="1:4" ht="31.5" customHeight="1" x14ac:dyDescent="0.25">
      <c r="A278" s="42" t="s">
        <v>1126</v>
      </c>
      <c r="B278" s="42" t="s">
        <v>4750</v>
      </c>
      <c r="C278" s="43" t="s">
        <v>1137</v>
      </c>
      <c r="D278" s="44" t="s">
        <v>3509</v>
      </c>
    </row>
    <row r="279" spans="1:4" ht="63" customHeight="1" x14ac:dyDescent="0.25">
      <c r="A279" s="42" t="s">
        <v>1131</v>
      </c>
      <c r="B279" s="42" t="s">
        <v>4751</v>
      </c>
      <c r="C279" s="43" t="s">
        <v>4752</v>
      </c>
      <c r="D279" s="44" t="s">
        <v>3510</v>
      </c>
    </row>
    <row r="280" spans="1:4" ht="47.25" customHeight="1" x14ac:dyDescent="0.25">
      <c r="A280" s="42" t="s">
        <v>1135</v>
      </c>
      <c r="B280" s="42" t="s">
        <v>4753</v>
      </c>
      <c r="C280" s="43" t="s">
        <v>4643</v>
      </c>
      <c r="D280" s="44" t="s">
        <v>3511</v>
      </c>
    </row>
    <row r="281" spans="1:4" ht="47.25" customHeight="1" x14ac:dyDescent="0.25">
      <c r="A281" s="42" t="s">
        <v>1140</v>
      </c>
      <c r="B281" s="42" t="s">
        <v>4754</v>
      </c>
      <c r="C281" s="43" t="s">
        <v>2295</v>
      </c>
      <c r="D281" s="44" t="s">
        <v>3512</v>
      </c>
    </row>
    <row r="282" spans="1:4" ht="47.25" customHeight="1" x14ac:dyDescent="0.25">
      <c r="A282" s="42" t="s">
        <v>1144</v>
      </c>
      <c r="B282" s="42" t="s">
        <v>4755</v>
      </c>
      <c r="C282" s="43" t="s">
        <v>4756</v>
      </c>
      <c r="D282" s="44" t="s">
        <v>3513</v>
      </c>
    </row>
    <row r="283" spans="1:4" ht="47.25" customHeight="1" x14ac:dyDescent="0.25">
      <c r="A283" s="42" t="s">
        <v>1149</v>
      </c>
      <c r="B283" s="42" t="s">
        <v>4757</v>
      </c>
      <c r="C283" s="43" t="s">
        <v>1137</v>
      </c>
      <c r="D283" s="44" t="s">
        <v>3514</v>
      </c>
    </row>
    <row r="284" spans="1:4" ht="31.5" customHeight="1" x14ac:dyDescent="0.25">
      <c r="A284" s="42" t="s">
        <v>1153</v>
      </c>
      <c r="B284" s="42" t="s">
        <v>4758</v>
      </c>
      <c r="C284" s="43" t="s">
        <v>3016</v>
      </c>
      <c r="D284" s="44" t="s">
        <v>3515</v>
      </c>
    </row>
    <row r="285" spans="1:4" ht="31.5" customHeight="1" x14ac:dyDescent="0.25">
      <c r="A285" s="42" t="s">
        <v>1158</v>
      </c>
      <c r="B285" s="42" t="s">
        <v>4759</v>
      </c>
      <c r="C285" s="43" t="s">
        <v>3016</v>
      </c>
      <c r="D285" s="44" t="s">
        <v>3516</v>
      </c>
    </row>
    <row r="286" spans="1:4" ht="31.5" customHeight="1" x14ac:dyDescent="0.25">
      <c r="A286" s="42" t="s">
        <v>1163</v>
      </c>
      <c r="B286" s="42" t="s">
        <v>4760</v>
      </c>
      <c r="C286" s="43" t="s">
        <v>3016</v>
      </c>
      <c r="D286" s="44" t="s">
        <v>3517</v>
      </c>
    </row>
    <row r="287" spans="1:4" ht="31.5" customHeight="1" x14ac:dyDescent="0.25">
      <c r="A287" s="42" t="s">
        <v>1167</v>
      </c>
      <c r="B287" s="42" t="s">
        <v>4761</v>
      </c>
      <c r="C287" s="43" t="s">
        <v>3016</v>
      </c>
      <c r="D287" s="44" t="s">
        <v>3518</v>
      </c>
    </row>
    <row r="288" spans="1:4" ht="31.5" customHeight="1" x14ac:dyDescent="0.25">
      <c r="A288" s="42" t="s">
        <v>1171</v>
      </c>
      <c r="B288" s="42" t="s">
        <v>4762</v>
      </c>
      <c r="C288" s="43" t="s">
        <v>1360</v>
      </c>
      <c r="D288" s="44" t="s">
        <v>3519</v>
      </c>
    </row>
    <row r="289" spans="1:4" ht="31.5" customHeight="1" x14ac:dyDescent="0.25">
      <c r="A289" s="42" t="s">
        <v>1177</v>
      </c>
      <c r="B289" s="42" t="s">
        <v>4763</v>
      </c>
      <c r="C289" s="43" t="s">
        <v>3107</v>
      </c>
      <c r="D289" s="44" t="s">
        <v>3520</v>
      </c>
    </row>
    <row r="290" spans="1:4" ht="47.25" customHeight="1" x14ac:dyDescent="0.25">
      <c r="A290" s="42" t="s">
        <v>1181</v>
      </c>
      <c r="B290" s="42" t="s">
        <v>4764</v>
      </c>
      <c r="C290" s="43" t="s">
        <v>3107</v>
      </c>
      <c r="D290" s="44" t="s">
        <v>3521</v>
      </c>
    </row>
    <row r="291" spans="1:4" ht="31.5" customHeight="1" x14ac:dyDescent="0.25">
      <c r="A291" s="42" t="s">
        <v>1185</v>
      </c>
      <c r="B291" s="42" t="s">
        <v>4765</v>
      </c>
      <c r="C291" s="43" t="s">
        <v>2740</v>
      </c>
      <c r="D291" s="44" t="s">
        <v>3522</v>
      </c>
    </row>
    <row r="292" spans="1:4" ht="31.5" customHeight="1" x14ac:dyDescent="0.25">
      <c r="A292" s="42" t="s">
        <v>1190</v>
      </c>
      <c r="B292" s="42" t="s">
        <v>4766</v>
      </c>
      <c r="C292" s="43" t="s">
        <v>649</v>
      </c>
      <c r="D292" s="44" t="s">
        <v>3523</v>
      </c>
    </row>
    <row r="293" spans="1:4" ht="31.5" customHeight="1" x14ac:dyDescent="0.25">
      <c r="A293" s="42" t="s">
        <v>1196</v>
      </c>
      <c r="B293" s="42" t="s">
        <v>4767</v>
      </c>
      <c r="C293" s="43" t="s">
        <v>4768</v>
      </c>
      <c r="D293" s="44" t="s">
        <v>3524</v>
      </c>
    </row>
    <row r="294" spans="1:4" ht="63" customHeight="1" x14ac:dyDescent="0.25">
      <c r="A294" s="42" t="s">
        <v>1202</v>
      </c>
      <c r="B294" s="42" t="s">
        <v>4769</v>
      </c>
      <c r="C294" s="43" t="s">
        <v>4636</v>
      </c>
      <c r="D294" s="44" t="s">
        <v>3525</v>
      </c>
    </row>
    <row r="295" spans="1:4" ht="31.5" customHeight="1" x14ac:dyDescent="0.25">
      <c r="A295" s="42" t="s">
        <v>1206</v>
      </c>
      <c r="B295" s="42" t="s">
        <v>4770</v>
      </c>
      <c r="C295" s="43" t="s">
        <v>326</v>
      </c>
      <c r="D295" s="44" t="s">
        <v>3526</v>
      </c>
    </row>
    <row r="296" spans="1:4" ht="63" customHeight="1" x14ac:dyDescent="0.25">
      <c r="A296" s="42" t="s">
        <v>1211</v>
      </c>
      <c r="B296" s="42" t="s">
        <v>4771</v>
      </c>
      <c r="C296" s="43" t="s">
        <v>996</v>
      </c>
      <c r="D296" s="44" t="s">
        <v>3527</v>
      </c>
    </row>
    <row r="297" spans="1:4" ht="47.25" customHeight="1" x14ac:dyDescent="0.25">
      <c r="A297" s="42" t="s">
        <v>1215</v>
      </c>
      <c r="B297" s="42" t="s">
        <v>4772</v>
      </c>
      <c r="C297" s="43" t="s">
        <v>4773</v>
      </c>
      <c r="D297" s="44" t="s">
        <v>3528</v>
      </c>
    </row>
    <row r="298" spans="1:4" ht="63" customHeight="1" x14ac:dyDescent="0.25">
      <c r="A298" s="42" t="s">
        <v>1220</v>
      </c>
      <c r="B298" s="42" t="s">
        <v>4774</v>
      </c>
      <c r="C298" s="43" t="s">
        <v>421</v>
      </c>
      <c r="D298" s="44" t="s">
        <v>3529</v>
      </c>
    </row>
    <row r="299" spans="1:4" ht="31.5" customHeight="1" x14ac:dyDescent="0.25">
      <c r="A299" s="42" t="s">
        <v>1226</v>
      </c>
      <c r="B299" s="42" t="s">
        <v>4775</v>
      </c>
      <c r="C299" s="43" t="s">
        <v>4776</v>
      </c>
      <c r="D299" s="44" t="s">
        <v>3530</v>
      </c>
    </row>
    <row r="300" spans="1:4" ht="63" customHeight="1" x14ac:dyDescent="0.25">
      <c r="A300" s="42" t="s">
        <v>1231</v>
      </c>
      <c r="B300" s="42" t="s">
        <v>4777</v>
      </c>
      <c r="C300" s="43" t="s">
        <v>4776</v>
      </c>
      <c r="D300" s="44" t="s">
        <v>3531</v>
      </c>
    </row>
    <row r="301" spans="1:4" ht="63" customHeight="1" x14ac:dyDescent="0.25">
      <c r="A301" s="42" t="s">
        <v>1236</v>
      </c>
      <c r="B301" s="42" t="s">
        <v>4778</v>
      </c>
      <c r="C301" s="43" t="s">
        <v>514</v>
      </c>
      <c r="D301" s="44" t="s">
        <v>3532</v>
      </c>
    </row>
    <row r="302" spans="1:4" ht="31.5" customHeight="1" x14ac:dyDescent="0.25">
      <c r="A302" s="42" t="s">
        <v>1241</v>
      </c>
      <c r="B302" s="42" t="s">
        <v>4779</v>
      </c>
      <c r="C302" s="43" t="s">
        <v>955</v>
      </c>
      <c r="D302" s="44" t="s">
        <v>3533</v>
      </c>
    </row>
    <row r="303" spans="1:4" ht="31.5" customHeight="1" x14ac:dyDescent="0.25">
      <c r="A303" s="42" t="s">
        <v>1245</v>
      </c>
      <c r="B303" s="42" t="s">
        <v>4780</v>
      </c>
      <c r="C303" s="43" t="s">
        <v>1472</v>
      </c>
      <c r="D303" s="44" t="s">
        <v>3534</v>
      </c>
    </row>
    <row r="304" spans="1:4" ht="31.5" customHeight="1" x14ac:dyDescent="0.25">
      <c r="A304" s="42" t="s">
        <v>1248</v>
      </c>
      <c r="B304" s="42" t="s">
        <v>4781</v>
      </c>
      <c r="C304" s="43" t="s">
        <v>1137</v>
      </c>
      <c r="D304" s="44" t="s">
        <v>3535</v>
      </c>
    </row>
    <row r="305" spans="1:4" ht="47.25" customHeight="1" x14ac:dyDescent="0.25">
      <c r="A305" s="42" t="s">
        <v>1251</v>
      </c>
      <c r="B305" s="42" t="s">
        <v>4782</v>
      </c>
      <c r="C305" s="43" t="s">
        <v>1137</v>
      </c>
      <c r="D305" s="44" t="s">
        <v>3536</v>
      </c>
    </row>
    <row r="306" spans="1:4" ht="31.5" customHeight="1" x14ac:dyDescent="0.25">
      <c r="A306" s="42" t="s">
        <v>1254</v>
      </c>
      <c r="B306" s="42" t="s">
        <v>4783</v>
      </c>
      <c r="C306" s="43" t="s">
        <v>1331</v>
      </c>
      <c r="D306" s="44" t="s">
        <v>3537</v>
      </c>
    </row>
    <row r="307" spans="1:4" ht="31.5" customHeight="1" x14ac:dyDescent="0.25">
      <c r="A307" s="42" t="s">
        <v>1257</v>
      </c>
      <c r="B307" s="42" t="s">
        <v>4784</v>
      </c>
      <c r="C307" s="43" t="s">
        <v>405</v>
      </c>
      <c r="D307" s="44" t="s">
        <v>3538</v>
      </c>
    </row>
    <row r="308" spans="1:4" ht="31.5" customHeight="1" x14ac:dyDescent="0.25">
      <c r="A308" s="42" t="s">
        <v>1262</v>
      </c>
      <c r="B308" s="42" t="s">
        <v>4785</v>
      </c>
      <c r="C308" s="43" t="s">
        <v>4786</v>
      </c>
      <c r="D308" s="44" t="s">
        <v>3539</v>
      </c>
    </row>
    <row r="309" spans="1:4" ht="31.5" customHeight="1" x14ac:dyDescent="0.25">
      <c r="A309" s="42" t="s">
        <v>1267</v>
      </c>
      <c r="B309" s="42" t="s">
        <v>4787</v>
      </c>
      <c r="C309" s="43" t="s">
        <v>614</v>
      </c>
      <c r="D309" s="44" t="s">
        <v>3540</v>
      </c>
    </row>
    <row r="310" spans="1:4" ht="47.25" customHeight="1" x14ac:dyDescent="0.25">
      <c r="A310" s="42" t="s">
        <v>1272</v>
      </c>
      <c r="B310" s="42" t="s">
        <v>4788</v>
      </c>
      <c r="C310" s="43" t="s">
        <v>1508</v>
      </c>
      <c r="D310" s="44" t="s">
        <v>3541</v>
      </c>
    </row>
    <row r="311" spans="1:4" ht="63" customHeight="1" x14ac:dyDescent="0.25">
      <c r="A311" s="42" t="s">
        <v>1276</v>
      </c>
      <c r="B311" s="42" t="s">
        <v>4789</v>
      </c>
      <c r="C311" s="43" t="s">
        <v>117</v>
      </c>
      <c r="D311" s="44" t="s">
        <v>3542</v>
      </c>
    </row>
    <row r="312" spans="1:4" ht="63" customHeight="1" x14ac:dyDescent="0.25">
      <c r="A312" s="42" t="s">
        <v>1281</v>
      </c>
      <c r="B312" s="42" t="s">
        <v>4790</v>
      </c>
      <c r="C312" s="43" t="s">
        <v>146</v>
      </c>
      <c r="D312" s="44" t="s">
        <v>3543</v>
      </c>
    </row>
    <row r="313" spans="1:4" ht="47.25" customHeight="1" x14ac:dyDescent="0.25">
      <c r="A313" s="42" t="s">
        <v>1285</v>
      </c>
      <c r="B313" s="42" t="s">
        <v>4791</v>
      </c>
      <c r="C313" s="43" t="s">
        <v>955</v>
      </c>
      <c r="D313" s="44" t="s">
        <v>3544</v>
      </c>
    </row>
    <row r="314" spans="1:4" ht="47.25" customHeight="1" x14ac:dyDescent="0.25">
      <c r="A314" s="42" t="s">
        <v>1289</v>
      </c>
      <c r="B314" s="42" t="s">
        <v>4792</v>
      </c>
      <c r="C314" s="43" t="s">
        <v>4793</v>
      </c>
      <c r="D314" s="44" t="s">
        <v>3545</v>
      </c>
    </row>
    <row r="315" spans="1:4" ht="47.25" customHeight="1" x14ac:dyDescent="0.25">
      <c r="A315" s="42" t="s">
        <v>1294</v>
      </c>
      <c r="B315" s="42" t="s">
        <v>4794</v>
      </c>
      <c r="C315" s="43" t="s">
        <v>4795</v>
      </c>
      <c r="D315" s="44" t="s">
        <v>3546</v>
      </c>
    </row>
    <row r="316" spans="1:4" ht="31.5" customHeight="1" x14ac:dyDescent="0.25">
      <c r="A316" s="42" t="s">
        <v>1298</v>
      </c>
      <c r="B316" s="42" t="s">
        <v>4796</v>
      </c>
      <c r="C316" s="43" t="s">
        <v>1508</v>
      </c>
      <c r="D316" s="44" t="s">
        <v>3547</v>
      </c>
    </row>
    <row r="317" spans="1:4" ht="47.25" customHeight="1" x14ac:dyDescent="0.25">
      <c r="A317" s="42" t="s">
        <v>1302</v>
      </c>
      <c r="B317" s="42" t="s">
        <v>4797</v>
      </c>
      <c r="C317" s="43" t="s">
        <v>4798</v>
      </c>
      <c r="D317" s="44" t="s">
        <v>3548</v>
      </c>
    </row>
    <row r="318" spans="1:4" ht="31.5" customHeight="1" x14ac:dyDescent="0.25">
      <c r="A318" s="42" t="s">
        <v>1307</v>
      </c>
      <c r="B318" s="42" t="s">
        <v>4799</v>
      </c>
      <c r="C318" s="43" t="s">
        <v>1384</v>
      </c>
      <c r="D318" s="44" t="s">
        <v>3549</v>
      </c>
    </row>
    <row r="319" spans="1:4" ht="47.25" customHeight="1" x14ac:dyDescent="0.25">
      <c r="A319" s="42" t="s">
        <v>1313</v>
      </c>
      <c r="B319" s="42" t="s">
        <v>4800</v>
      </c>
      <c r="C319" s="43" t="s">
        <v>4565</v>
      </c>
      <c r="D319" s="44" t="s">
        <v>3550</v>
      </c>
    </row>
    <row r="320" spans="1:4" ht="31.5" customHeight="1" x14ac:dyDescent="0.25">
      <c r="A320" s="42" t="s">
        <v>1317</v>
      </c>
      <c r="B320" s="42" t="s">
        <v>4801</v>
      </c>
      <c r="C320" s="43" t="s">
        <v>1458</v>
      </c>
      <c r="D320" s="44" t="s">
        <v>3551</v>
      </c>
    </row>
    <row r="321" spans="1:4" ht="31.5" customHeight="1" x14ac:dyDescent="0.25">
      <c r="A321" s="42" t="s">
        <v>1321</v>
      </c>
      <c r="B321" s="42" t="s">
        <v>4802</v>
      </c>
      <c r="C321" s="43" t="s">
        <v>1137</v>
      </c>
      <c r="D321" s="44" t="s">
        <v>3552</v>
      </c>
    </row>
    <row r="322" spans="1:4" ht="94.5" customHeight="1" x14ac:dyDescent="0.25">
      <c r="A322" s="42" t="s">
        <v>1325</v>
      </c>
      <c r="B322" s="42" t="s">
        <v>4803</v>
      </c>
      <c r="C322" s="43" t="s">
        <v>2092</v>
      </c>
      <c r="D322" s="44" t="s">
        <v>3553</v>
      </c>
    </row>
    <row r="323" spans="1:4" ht="31.5" customHeight="1" x14ac:dyDescent="0.25">
      <c r="A323" s="42" t="s">
        <v>1329</v>
      </c>
      <c r="B323" s="42" t="s">
        <v>4804</v>
      </c>
      <c r="C323" s="43" t="s">
        <v>4805</v>
      </c>
      <c r="D323" s="44" t="s">
        <v>3554</v>
      </c>
    </row>
    <row r="324" spans="1:4" ht="47.25" customHeight="1" x14ac:dyDescent="0.25">
      <c r="A324" s="42" t="s">
        <v>1334</v>
      </c>
      <c r="B324" s="42" t="s">
        <v>4806</v>
      </c>
      <c r="C324" s="43" t="s">
        <v>955</v>
      </c>
      <c r="D324" s="44" t="s">
        <v>3555</v>
      </c>
    </row>
    <row r="325" spans="1:4" ht="47.25" customHeight="1" x14ac:dyDescent="0.25">
      <c r="A325" s="42" t="s">
        <v>1338</v>
      </c>
      <c r="B325" s="42" t="s">
        <v>4807</v>
      </c>
      <c r="C325" s="43" t="s">
        <v>1352</v>
      </c>
      <c r="D325" s="44" t="s">
        <v>3556</v>
      </c>
    </row>
    <row r="326" spans="1:4" ht="31.5" customHeight="1" x14ac:dyDescent="0.25">
      <c r="A326" s="42" t="s">
        <v>1342</v>
      </c>
      <c r="B326" s="42" t="s">
        <v>4808</v>
      </c>
      <c r="C326" s="43" t="s">
        <v>410</v>
      </c>
      <c r="D326" s="44" t="s">
        <v>3557</v>
      </c>
    </row>
    <row r="327" spans="1:4" ht="63" customHeight="1" x14ac:dyDescent="0.25">
      <c r="A327" s="42" t="s">
        <v>1346</v>
      </c>
      <c r="B327" s="42" t="s">
        <v>4809</v>
      </c>
      <c r="C327" s="43" t="s">
        <v>2070</v>
      </c>
      <c r="D327" s="44" t="s">
        <v>3558</v>
      </c>
    </row>
    <row r="328" spans="1:4" ht="31.5" customHeight="1" x14ac:dyDescent="0.25">
      <c r="A328" s="42" t="s">
        <v>1350</v>
      </c>
      <c r="B328" s="42" t="s">
        <v>4810</v>
      </c>
      <c r="C328" s="43" t="s">
        <v>2164</v>
      </c>
      <c r="D328" s="44" t="s">
        <v>3559</v>
      </c>
    </row>
    <row r="329" spans="1:4" ht="47.25" customHeight="1" x14ac:dyDescent="0.25">
      <c r="A329" s="42" t="s">
        <v>1355</v>
      </c>
      <c r="B329" s="42" t="s">
        <v>4811</v>
      </c>
      <c r="C329" s="43" t="s">
        <v>1360</v>
      </c>
      <c r="D329" s="44" t="s">
        <v>3560</v>
      </c>
    </row>
    <row r="330" spans="1:4" ht="31.5" customHeight="1" x14ac:dyDescent="0.25">
      <c r="A330" s="42" t="s">
        <v>1358</v>
      </c>
      <c r="B330" s="42" t="s">
        <v>4812</v>
      </c>
      <c r="C330" s="43" t="s">
        <v>4813</v>
      </c>
      <c r="D330" s="44" t="s">
        <v>3561</v>
      </c>
    </row>
    <row r="331" spans="1:4" ht="31.5" customHeight="1" x14ac:dyDescent="0.25">
      <c r="A331" s="42" t="s">
        <v>1363</v>
      </c>
      <c r="B331" s="42" t="s">
        <v>4814</v>
      </c>
      <c r="C331" s="43" t="s">
        <v>294</v>
      </c>
      <c r="D331" s="44" t="s">
        <v>3562</v>
      </c>
    </row>
    <row r="332" spans="1:4" ht="47.25" customHeight="1" x14ac:dyDescent="0.25">
      <c r="A332" s="42" t="s">
        <v>1367</v>
      </c>
      <c r="B332" s="42" t="s">
        <v>4815</v>
      </c>
      <c r="C332" s="43" t="s">
        <v>4385</v>
      </c>
      <c r="D332" s="44" t="s">
        <v>3563</v>
      </c>
    </row>
    <row r="333" spans="1:4" ht="47.25" customHeight="1" x14ac:dyDescent="0.25">
      <c r="A333" s="42" t="s">
        <v>1372</v>
      </c>
      <c r="B333" s="42" t="s">
        <v>4816</v>
      </c>
      <c r="C333" s="43" t="s">
        <v>1764</v>
      </c>
      <c r="D333" s="44" t="s">
        <v>3564</v>
      </c>
    </row>
    <row r="334" spans="1:4" ht="47.25" customHeight="1" x14ac:dyDescent="0.25">
      <c r="A334" s="42" t="s">
        <v>1378</v>
      </c>
      <c r="B334" s="42" t="s">
        <v>4817</v>
      </c>
      <c r="C334" s="43" t="s">
        <v>1384</v>
      </c>
      <c r="D334" s="44" t="s">
        <v>3565</v>
      </c>
    </row>
    <row r="335" spans="1:4" ht="47.25" customHeight="1" x14ac:dyDescent="0.25">
      <c r="A335" s="42" t="s">
        <v>1382</v>
      </c>
      <c r="B335" s="42" t="s">
        <v>4818</v>
      </c>
      <c r="C335" s="43" t="s">
        <v>1508</v>
      </c>
      <c r="D335" s="44" t="s">
        <v>3566</v>
      </c>
    </row>
    <row r="336" spans="1:4" ht="47.25" customHeight="1" x14ac:dyDescent="0.25">
      <c r="A336" s="42" t="s">
        <v>1387</v>
      </c>
      <c r="B336" s="42" t="s">
        <v>4819</v>
      </c>
      <c r="C336" s="43" t="s">
        <v>1616</v>
      </c>
      <c r="D336" s="44" t="s">
        <v>3567</v>
      </c>
    </row>
    <row r="337" spans="1:4" ht="31.5" customHeight="1" x14ac:dyDescent="0.25">
      <c r="A337" s="42" t="s">
        <v>1390</v>
      </c>
      <c r="B337" s="42" t="s">
        <v>4820</v>
      </c>
      <c r="C337" s="43" t="s">
        <v>973</v>
      </c>
      <c r="D337" s="44" t="s">
        <v>3568</v>
      </c>
    </row>
    <row r="338" spans="1:4" ht="47.25" customHeight="1" x14ac:dyDescent="0.25">
      <c r="A338" s="42" t="s">
        <v>1394</v>
      </c>
      <c r="B338" s="42" t="s">
        <v>4821</v>
      </c>
      <c r="C338" s="43" t="s">
        <v>4822</v>
      </c>
      <c r="D338" s="44" t="s">
        <v>3569</v>
      </c>
    </row>
    <row r="339" spans="1:4" ht="47.25" customHeight="1" x14ac:dyDescent="0.25">
      <c r="A339" s="42" t="s">
        <v>1399</v>
      </c>
      <c r="B339" s="42" t="s">
        <v>4823</v>
      </c>
      <c r="C339" s="43" t="s">
        <v>121</v>
      </c>
      <c r="D339" s="44" t="s">
        <v>3570</v>
      </c>
    </row>
    <row r="340" spans="1:4" ht="31.5" customHeight="1" x14ac:dyDescent="0.25">
      <c r="A340" s="42" t="s">
        <v>1403</v>
      </c>
      <c r="B340" s="42" t="s">
        <v>4824</v>
      </c>
      <c r="C340" s="43" t="s">
        <v>4825</v>
      </c>
      <c r="D340" s="44" t="s">
        <v>3571</v>
      </c>
    </row>
    <row r="341" spans="1:4" ht="31.5" customHeight="1" x14ac:dyDescent="0.25">
      <c r="A341" s="42" t="s">
        <v>1408</v>
      </c>
      <c r="B341" s="42" t="s">
        <v>4826</v>
      </c>
      <c r="C341" s="43" t="s">
        <v>3080</v>
      </c>
      <c r="D341" s="44" t="s">
        <v>3572</v>
      </c>
    </row>
    <row r="342" spans="1:4" ht="31.5" customHeight="1" x14ac:dyDescent="0.25">
      <c r="A342" s="42" t="s">
        <v>1413</v>
      </c>
      <c r="B342" s="42" t="s">
        <v>4827</v>
      </c>
      <c r="C342" s="43" t="s">
        <v>4828</v>
      </c>
      <c r="D342" s="44" t="s">
        <v>3573</v>
      </c>
    </row>
    <row r="343" spans="1:4" ht="47.25" customHeight="1" x14ac:dyDescent="0.25">
      <c r="A343" s="42" t="s">
        <v>1417</v>
      </c>
      <c r="B343" s="42" t="s">
        <v>4829</v>
      </c>
      <c r="C343" s="43" t="s">
        <v>4830</v>
      </c>
      <c r="D343" s="44" t="s">
        <v>3574</v>
      </c>
    </row>
    <row r="344" spans="1:4" ht="31.5" customHeight="1" x14ac:dyDescent="0.25">
      <c r="A344" s="42" t="s">
        <v>1421</v>
      </c>
      <c r="B344" s="42" t="s">
        <v>4831</v>
      </c>
      <c r="C344" s="43" t="s">
        <v>683</v>
      </c>
      <c r="D344" s="44" t="s">
        <v>3575</v>
      </c>
    </row>
    <row r="345" spans="1:4" ht="31.5" customHeight="1" x14ac:dyDescent="0.25">
      <c r="A345" s="42" t="s">
        <v>1425</v>
      </c>
      <c r="B345" s="42" t="s">
        <v>4832</v>
      </c>
      <c r="C345" s="43" t="s">
        <v>683</v>
      </c>
      <c r="D345" s="44" t="s">
        <v>3576</v>
      </c>
    </row>
    <row r="346" spans="1:4" ht="63" customHeight="1" x14ac:dyDescent="0.25">
      <c r="A346" s="42" t="s">
        <v>1429</v>
      </c>
      <c r="B346" s="42" t="s">
        <v>4833</v>
      </c>
      <c r="C346" s="43" t="s">
        <v>1905</v>
      </c>
      <c r="D346" s="44" t="s">
        <v>3577</v>
      </c>
    </row>
    <row r="347" spans="1:4" ht="47.25" customHeight="1" x14ac:dyDescent="0.25">
      <c r="A347" s="42" t="s">
        <v>1433</v>
      </c>
      <c r="B347" s="42" t="s">
        <v>4834</v>
      </c>
      <c r="C347" s="43" t="s">
        <v>4835</v>
      </c>
      <c r="D347" s="44" t="s">
        <v>3578</v>
      </c>
    </row>
    <row r="348" spans="1:4" ht="47.25" customHeight="1" x14ac:dyDescent="0.25">
      <c r="A348" s="42" t="s">
        <v>1438</v>
      </c>
      <c r="B348" s="42" t="s">
        <v>4836</v>
      </c>
      <c r="C348" s="43" t="s">
        <v>4837</v>
      </c>
      <c r="D348" s="44" t="s">
        <v>3579</v>
      </c>
    </row>
    <row r="349" spans="1:4" ht="47.25" customHeight="1" x14ac:dyDescent="0.25">
      <c r="A349" s="42" t="s">
        <v>1443</v>
      </c>
      <c r="B349" s="42" t="s">
        <v>4838</v>
      </c>
      <c r="C349" s="43" t="s">
        <v>2542</v>
      </c>
      <c r="D349" s="44" t="s">
        <v>3580</v>
      </c>
    </row>
    <row r="350" spans="1:4" ht="47.25" customHeight="1" x14ac:dyDescent="0.25">
      <c r="A350" s="42" t="s">
        <v>1448</v>
      </c>
      <c r="B350" s="42" t="s">
        <v>4839</v>
      </c>
      <c r="C350" s="43" t="s">
        <v>4840</v>
      </c>
      <c r="D350" s="44" t="s">
        <v>3581</v>
      </c>
    </row>
    <row r="351" spans="1:4" ht="63" customHeight="1" x14ac:dyDescent="0.25">
      <c r="A351" s="42" t="s">
        <v>1452</v>
      </c>
      <c r="B351" s="42" t="s">
        <v>4841</v>
      </c>
      <c r="C351" s="43" t="s">
        <v>4840</v>
      </c>
      <c r="D351" s="44" t="s">
        <v>3582</v>
      </c>
    </row>
    <row r="352" spans="1:4" ht="63" customHeight="1" x14ac:dyDescent="0.25">
      <c r="A352" s="42" t="s">
        <v>1456</v>
      </c>
      <c r="B352" s="42" t="s">
        <v>4842</v>
      </c>
      <c r="C352" s="43" t="s">
        <v>4843</v>
      </c>
      <c r="D352" s="44" t="s">
        <v>3583</v>
      </c>
    </row>
    <row r="353" spans="1:4" ht="47.25" customHeight="1" x14ac:dyDescent="0.25">
      <c r="A353" s="42" t="s">
        <v>1461</v>
      </c>
      <c r="B353" s="42" t="s">
        <v>4844</v>
      </c>
      <c r="C353" s="43" t="s">
        <v>4845</v>
      </c>
      <c r="D353" s="44" t="s">
        <v>3584</v>
      </c>
    </row>
    <row r="354" spans="1:4" ht="63" customHeight="1" x14ac:dyDescent="0.25">
      <c r="A354" s="42" t="s">
        <v>1466</v>
      </c>
      <c r="B354" s="42" t="s">
        <v>4846</v>
      </c>
      <c r="C354" s="43" t="s">
        <v>525</v>
      </c>
      <c r="D354" s="44" t="s">
        <v>3585</v>
      </c>
    </row>
    <row r="355" spans="1:4" ht="78.75" customHeight="1" x14ac:dyDescent="0.25">
      <c r="A355" s="42" t="s">
        <v>1470</v>
      </c>
      <c r="B355" s="42" t="s">
        <v>4847</v>
      </c>
      <c r="C355" s="43" t="s">
        <v>688</v>
      </c>
      <c r="D355" s="44" t="s">
        <v>3586</v>
      </c>
    </row>
    <row r="356" spans="1:4" ht="31.5" customHeight="1" x14ac:dyDescent="0.25">
      <c r="A356" s="42" t="s">
        <v>1475</v>
      </c>
      <c r="B356" s="42" t="s">
        <v>4848</v>
      </c>
      <c r="C356" s="43" t="s">
        <v>579</v>
      </c>
      <c r="D356" s="44" t="s">
        <v>3587</v>
      </c>
    </row>
    <row r="357" spans="1:4" ht="78.75" customHeight="1" x14ac:dyDescent="0.25">
      <c r="A357" s="42" t="s">
        <v>1479</v>
      </c>
      <c r="B357" s="42" t="s">
        <v>4849</v>
      </c>
      <c r="C357" s="43" t="s">
        <v>635</v>
      </c>
      <c r="D357" s="44" t="s">
        <v>3588</v>
      </c>
    </row>
    <row r="358" spans="1:4" ht="47.25" customHeight="1" x14ac:dyDescent="0.25">
      <c r="A358" s="42" t="s">
        <v>1483</v>
      </c>
      <c r="B358" s="42" t="s">
        <v>4850</v>
      </c>
      <c r="C358" s="43" t="s">
        <v>4851</v>
      </c>
      <c r="D358" s="44" t="s">
        <v>3589</v>
      </c>
    </row>
    <row r="359" spans="1:4" ht="31.5" customHeight="1" x14ac:dyDescent="0.25">
      <c r="A359" s="42" t="s">
        <v>1488</v>
      </c>
      <c r="B359" s="42" t="s">
        <v>4852</v>
      </c>
      <c r="C359" s="43" t="s">
        <v>4546</v>
      </c>
      <c r="D359" s="44" t="s">
        <v>3590</v>
      </c>
    </row>
    <row r="360" spans="1:4" ht="78.75" customHeight="1" x14ac:dyDescent="0.25">
      <c r="A360" s="42" t="s">
        <v>1492</v>
      </c>
      <c r="B360" s="42" t="s">
        <v>4853</v>
      </c>
      <c r="C360" s="43" t="s">
        <v>250</v>
      </c>
      <c r="D360" s="44" t="s">
        <v>3591</v>
      </c>
    </row>
    <row r="361" spans="1:4" ht="31.5" customHeight="1" x14ac:dyDescent="0.25">
      <c r="A361" s="42" t="s">
        <v>1496</v>
      </c>
      <c r="B361" s="42" t="s">
        <v>4854</v>
      </c>
      <c r="C361" s="43" t="s">
        <v>4855</v>
      </c>
      <c r="D361" s="44" t="s">
        <v>3592</v>
      </c>
    </row>
    <row r="362" spans="1:4" ht="47.25" customHeight="1" x14ac:dyDescent="0.25">
      <c r="A362" s="42" t="s">
        <v>1501</v>
      </c>
      <c r="B362" s="42" t="s">
        <v>4856</v>
      </c>
      <c r="C362" s="43" t="s">
        <v>4855</v>
      </c>
      <c r="D362" s="44" t="s">
        <v>3593</v>
      </c>
    </row>
    <row r="363" spans="1:4" ht="31.5" customHeight="1" x14ac:dyDescent="0.25">
      <c r="A363" s="42" t="s">
        <v>1506</v>
      </c>
      <c r="B363" s="42" t="s">
        <v>4857</v>
      </c>
      <c r="C363" s="43" t="s">
        <v>4698</v>
      </c>
      <c r="D363" s="44" t="s">
        <v>3594</v>
      </c>
    </row>
    <row r="364" spans="1:4" ht="63" customHeight="1" x14ac:dyDescent="0.25">
      <c r="A364" s="42" t="s">
        <v>1511</v>
      </c>
      <c r="B364" s="42" t="s">
        <v>4858</v>
      </c>
      <c r="C364" s="54" t="s">
        <v>4859</v>
      </c>
      <c r="D364" s="44" t="s">
        <v>3595</v>
      </c>
    </row>
    <row r="365" spans="1:4" ht="78.75" customHeight="1" x14ac:dyDescent="0.25">
      <c r="A365" s="42" t="s">
        <v>1516</v>
      </c>
      <c r="B365" s="42" t="s">
        <v>4860</v>
      </c>
      <c r="C365" s="43" t="s">
        <v>283</v>
      </c>
      <c r="D365" s="44" t="s">
        <v>3596</v>
      </c>
    </row>
    <row r="366" spans="1:4" ht="63" customHeight="1" x14ac:dyDescent="0.25">
      <c r="A366" s="42" t="s">
        <v>1521</v>
      </c>
      <c r="B366" s="42" t="s">
        <v>4861</v>
      </c>
      <c r="C366" s="43" t="s">
        <v>1764</v>
      </c>
      <c r="D366" s="44" t="s">
        <v>3597</v>
      </c>
    </row>
    <row r="367" spans="1:4" ht="31.5" customHeight="1" x14ac:dyDescent="0.25">
      <c r="A367" s="42" t="s">
        <v>1527</v>
      </c>
      <c r="B367" s="42" t="s">
        <v>4862</v>
      </c>
      <c r="C367" s="43" t="s">
        <v>4863</v>
      </c>
      <c r="D367" s="44" t="s">
        <v>3598</v>
      </c>
    </row>
    <row r="368" spans="1:4" ht="31.5" customHeight="1" x14ac:dyDescent="0.25">
      <c r="A368" s="42" t="s">
        <v>1532</v>
      </c>
      <c r="B368" s="42" t="s">
        <v>4864</v>
      </c>
      <c r="C368" s="43" t="s">
        <v>167</v>
      </c>
      <c r="D368" s="44" t="s">
        <v>3599</v>
      </c>
    </row>
    <row r="369" spans="1:4" ht="31.5" customHeight="1" x14ac:dyDescent="0.25">
      <c r="A369" s="42" t="s">
        <v>1537</v>
      </c>
      <c r="B369" s="42" t="s">
        <v>4865</v>
      </c>
      <c r="C369" s="43" t="s">
        <v>4866</v>
      </c>
      <c r="D369" s="44" t="s">
        <v>3600</v>
      </c>
    </row>
    <row r="370" spans="1:4" ht="47.25" customHeight="1" x14ac:dyDescent="0.25">
      <c r="A370" s="42" t="s">
        <v>1541</v>
      </c>
      <c r="B370" s="42" t="s">
        <v>4867</v>
      </c>
      <c r="C370" s="43" t="s">
        <v>434</v>
      </c>
      <c r="D370" s="44" t="s">
        <v>3601</v>
      </c>
    </row>
    <row r="371" spans="1:4" ht="47.25" customHeight="1" x14ac:dyDescent="0.25">
      <c r="A371" s="42" t="s">
        <v>1545</v>
      </c>
      <c r="B371" s="42" t="s">
        <v>4868</v>
      </c>
      <c r="C371" s="43" t="s">
        <v>4869</v>
      </c>
      <c r="D371" s="44" t="s">
        <v>3602</v>
      </c>
    </row>
    <row r="372" spans="1:4" ht="31.5" customHeight="1" x14ac:dyDescent="0.25">
      <c r="A372" s="42" t="s">
        <v>1549</v>
      </c>
      <c r="B372" s="42" t="s">
        <v>4870</v>
      </c>
      <c r="C372" s="43" t="s">
        <v>550</v>
      </c>
      <c r="D372" s="44" t="s">
        <v>3603</v>
      </c>
    </row>
    <row r="373" spans="1:4" ht="31.5" customHeight="1" x14ac:dyDescent="0.25">
      <c r="A373" s="42" t="s">
        <v>1553</v>
      </c>
      <c r="B373" s="42" t="s">
        <v>4871</v>
      </c>
      <c r="C373" s="43" t="s">
        <v>4438</v>
      </c>
      <c r="D373" s="44" t="s">
        <v>3604</v>
      </c>
    </row>
    <row r="374" spans="1:4" ht="30.75" customHeight="1" x14ac:dyDescent="0.25">
      <c r="A374" s="42" t="s">
        <v>1557</v>
      </c>
      <c r="B374" s="42" t="s">
        <v>4872</v>
      </c>
      <c r="C374" s="43" t="s">
        <v>683</v>
      </c>
      <c r="D374" s="44" t="s">
        <v>3605</v>
      </c>
    </row>
    <row r="375" spans="1:4" ht="31.5" customHeight="1" x14ac:dyDescent="0.25">
      <c r="A375" s="42" t="s">
        <v>1562</v>
      </c>
      <c r="B375" s="42" t="s">
        <v>4873</v>
      </c>
      <c r="C375" s="43" t="s">
        <v>4546</v>
      </c>
      <c r="D375" s="44" t="s">
        <v>3606</v>
      </c>
    </row>
    <row r="376" spans="1:4" ht="31.5" customHeight="1" x14ac:dyDescent="0.25">
      <c r="A376" s="42" t="s">
        <v>1567</v>
      </c>
      <c r="B376" s="42" t="s">
        <v>4874</v>
      </c>
      <c r="C376" s="43" t="s">
        <v>4845</v>
      </c>
      <c r="D376" s="44" t="s">
        <v>3607</v>
      </c>
    </row>
    <row r="377" spans="1:4" ht="31.5" customHeight="1" x14ac:dyDescent="0.25">
      <c r="A377" s="42" t="s">
        <v>1572</v>
      </c>
      <c r="B377" s="42" t="s">
        <v>4875</v>
      </c>
      <c r="C377" s="43" t="s">
        <v>1228</v>
      </c>
      <c r="D377" s="44" t="s">
        <v>3608</v>
      </c>
    </row>
    <row r="378" spans="1:4" ht="63" customHeight="1" x14ac:dyDescent="0.25">
      <c r="A378" s="42" t="s">
        <v>1576</v>
      </c>
      <c r="B378" s="42" t="s">
        <v>4876</v>
      </c>
      <c r="C378" s="43" t="s">
        <v>355</v>
      </c>
      <c r="D378" s="44" t="s">
        <v>3609</v>
      </c>
    </row>
    <row r="379" spans="1:4" ht="47.25" customHeight="1" x14ac:dyDescent="0.25">
      <c r="A379" s="42" t="s">
        <v>1579</v>
      </c>
      <c r="B379" s="42" t="s">
        <v>4877</v>
      </c>
      <c r="C379" s="43" t="s">
        <v>4878</v>
      </c>
      <c r="D379" s="44" t="s">
        <v>3610</v>
      </c>
    </row>
    <row r="380" spans="1:4" ht="47.25" customHeight="1" x14ac:dyDescent="0.25">
      <c r="A380" s="42" t="s">
        <v>1584</v>
      </c>
      <c r="B380" s="42" t="s">
        <v>4879</v>
      </c>
      <c r="C380" s="43" t="s">
        <v>125</v>
      </c>
      <c r="D380" s="44" t="s">
        <v>3611</v>
      </c>
    </row>
    <row r="381" spans="1:4" ht="31.5" customHeight="1" x14ac:dyDescent="0.25">
      <c r="A381" s="42" t="s">
        <v>1588</v>
      </c>
      <c r="B381" s="42" t="s">
        <v>4880</v>
      </c>
      <c r="C381" s="43" t="s">
        <v>4881</v>
      </c>
      <c r="D381" s="44" t="s">
        <v>3612</v>
      </c>
    </row>
    <row r="382" spans="1:4" ht="31.5" customHeight="1" x14ac:dyDescent="0.25">
      <c r="A382" s="42" t="s">
        <v>1592</v>
      </c>
      <c r="B382" s="42" t="s">
        <v>4882</v>
      </c>
      <c r="C382" s="43" t="s">
        <v>3075</v>
      </c>
      <c r="D382" s="44" t="s">
        <v>3613</v>
      </c>
    </row>
    <row r="383" spans="1:4" ht="31.5" customHeight="1" x14ac:dyDescent="0.25">
      <c r="A383" s="42" t="s">
        <v>1597</v>
      </c>
      <c r="B383" s="42" t="s">
        <v>4883</v>
      </c>
      <c r="C383" s="43" t="s">
        <v>788</v>
      </c>
      <c r="D383" s="44" t="s">
        <v>3614</v>
      </c>
    </row>
    <row r="384" spans="1:4" ht="47.25" customHeight="1" x14ac:dyDescent="0.25">
      <c r="A384" s="42" t="s">
        <v>1602</v>
      </c>
      <c r="B384" s="42" t="s">
        <v>4884</v>
      </c>
      <c r="C384" s="43" t="s">
        <v>4840</v>
      </c>
      <c r="D384" s="44" t="s">
        <v>3615</v>
      </c>
    </row>
    <row r="385" spans="1:4" ht="47.25" customHeight="1" x14ac:dyDescent="0.25">
      <c r="A385" s="42" t="s">
        <v>1606</v>
      </c>
      <c r="B385" s="42" t="s">
        <v>4885</v>
      </c>
      <c r="C385" s="43" t="s">
        <v>4840</v>
      </c>
      <c r="D385" s="44" t="s">
        <v>3616</v>
      </c>
    </row>
    <row r="386" spans="1:4" ht="31.5" customHeight="1" x14ac:dyDescent="0.25">
      <c r="A386" s="42" t="s">
        <v>1610</v>
      </c>
      <c r="B386" s="42" t="s">
        <v>4886</v>
      </c>
      <c r="C386" s="43" t="s">
        <v>4835</v>
      </c>
      <c r="D386" s="44" t="s">
        <v>3617</v>
      </c>
    </row>
    <row r="387" spans="1:4" ht="47.25" customHeight="1" x14ac:dyDescent="0.25">
      <c r="A387" s="42" t="s">
        <v>1614</v>
      </c>
      <c r="B387" s="42" t="s">
        <v>4887</v>
      </c>
      <c r="C387" s="43" t="s">
        <v>4438</v>
      </c>
      <c r="D387" s="44" t="s">
        <v>3618</v>
      </c>
    </row>
    <row r="388" spans="1:4" ht="31.5" customHeight="1" x14ac:dyDescent="0.25">
      <c r="A388" s="42" t="s">
        <v>1619</v>
      </c>
      <c r="B388" s="42" t="s">
        <v>4888</v>
      </c>
      <c r="C388" s="43" t="s">
        <v>788</v>
      </c>
      <c r="D388" s="44" t="s">
        <v>3619</v>
      </c>
    </row>
    <row r="389" spans="1:4" ht="47.25" customHeight="1" x14ac:dyDescent="0.25">
      <c r="A389" s="42" t="s">
        <v>1624</v>
      </c>
      <c r="B389" s="42" t="s">
        <v>4889</v>
      </c>
      <c r="C389" s="43" t="s">
        <v>427</v>
      </c>
      <c r="D389" s="44" t="s">
        <v>3620</v>
      </c>
    </row>
    <row r="390" spans="1:4" ht="31.5" customHeight="1" x14ac:dyDescent="0.25">
      <c r="A390" s="42" t="s">
        <v>1630</v>
      </c>
      <c r="B390" s="42" t="s">
        <v>4890</v>
      </c>
      <c r="C390" s="43" t="s">
        <v>2861</v>
      </c>
      <c r="D390" s="44" t="s">
        <v>3621</v>
      </c>
    </row>
    <row r="391" spans="1:4" ht="63" customHeight="1" x14ac:dyDescent="0.25">
      <c r="A391" s="42" t="s">
        <v>1634</v>
      </c>
      <c r="B391" s="42" t="s">
        <v>4891</v>
      </c>
      <c r="C391" s="43" t="s">
        <v>2127</v>
      </c>
      <c r="D391" s="44" t="s">
        <v>3622</v>
      </c>
    </row>
    <row r="392" spans="1:4" ht="47.25" customHeight="1" x14ac:dyDescent="0.25">
      <c r="A392" s="42" t="s">
        <v>1638</v>
      </c>
      <c r="B392" s="42" t="s">
        <v>4892</v>
      </c>
      <c r="C392" s="43" t="s">
        <v>283</v>
      </c>
      <c r="D392" s="44" t="s">
        <v>3623</v>
      </c>
    </row>
    <row r="393" spans="1:4" ht="47.25" customHeight="1" x14ac:dyDescent="0.25">
      <c r="A393" s="42" t="s">
        <v>1642</v>
      </c>
      <c r="B393" s="42" t="s">
        <v>4893</v>
      </c>
      <c r="C393" s="43" t="s">
        <v>775</v>
      </c>
      <c r="D393" s="44" t="s">
        <v>3624</v>
      </c>
    </row>
    <row r="394" spans="1:4" ht="31.5" customHeight="1" x14ac:dyDescent="0.25">
      <c r="A394" s="42" t="s">
        <v>1646</v>
      </c>
      <c r="B394" s="42" t="s">
        <v>4894</v>
      </c>
      <c r="C394" s="43" t="s">
        <v>635</v>
      </c>
      <c r="D394" s="44" t="s">
        <v>3625</v>
      </c>
    </row>
    <row r="395" spans="1:4" ht="47.25" customHeight="1" x14ac:dyDescent="0.25">
      <c r="A395" s="42" t="s">
        <v>1650</v>
      </c>
      <c r="B395" s="42" t="s">
        <v>4895</v>
      </c>
      <c r="C395" s="43" t="s">
        <v>996</v>
      </c>
      <c r="D395" s="44" t="s">
        <v>3626</v>
      </c>
    </row>
    <row r="396" spans="1:4" ht="31.5" customHeight="1" x14ac:dyDescent="0.25">
      <c r="A396" s="42" t="s">
        <v>1654</v>
      </c>
      <c r="B396" s="42" t="s">
        <v>4896</v>
      </c>
      <c r="C396" s="43" t="s">
        <v>3107</v>
      </c>
      <c r="D396" s="44" t="s">
        <v>3627</v>
      </c>
    </row>
    <row r="397" spans="1:4" ht="63" customHeight="1" x14ac:dyDescent="0.25">
      <c r="A397" s="42" t="s">
        <v>1659</v>
      </c>
      <c r="B397" s="42" t="s">
        <v>4897</v>
      </c>
      <c r="C397" s="43" t="s">
        <v>4898</v>
      </c>
      <c r="D397" s="44" t="s">
        <v>3628</v>
      </c>
    </row>
    <row r="398" spans="1:4" ht="63" customHeight="1" x14ac:dyDescent="0.25">
      <c r="A398" s="42" t="s">
        <v>1663</v>
      </c>
      <c r="B398" s="42" t="s">
        <v>4899</v>
      </c>
      <c r="C398" s="43" t="s">
        <v>4900</v>
      </c>
      <c r="D398" s="44" t="s">
        <v>3629</v>
      </c>
    </row>
    <row r="399" spans="1:4" ht="47.25" customHeight="1" x14ac:dyDescent="0.25">
      <c r="A399" s="42" t="s">
        <v>1667</v>
      </c>
      <c r="B399" s="42" t="s">
        <v>4901</v>
      </c>
      <c r="C399" s="43" t="s">
        <v>591</v>
      </c>
      <c r="D399" s="44" t="s">
        <v>3630</v>
      </c>
    </row>
    <row r="400" spans="1:4" ht="31.5" customHeight="1" x14ac:dyDescent="0.25">
      <c r="A400" s="42" t="s">
        <v>1672</v>
      </c>
      <c r="B400" s="42" t="s">
        <v>4902</v>
      </c>
      <c r="C400" s="43" t="s">
        <v>68</v>
      </c>
      <c r="D400" s="44" t="s">
        <v>3631</v>
      </c>
    </row>
    <row r="401" spans="1:4" ht="47.25" customHeight="1" x14ac:dyDescent="0.25">
      <c r="A401" s="42" t="s">
        <v>1676</v>
      </c>
      <c r="B401" s="42" t="s">
        <v>4903</v>
      </c>
      <c r="C401" s="43" t="s">
        <v>4904</v>
      </c>
      <c r="D401" s="44" t="s">
        <v>3632</v>
      </c>
    </row>
    <row r="402" spans="1:4" ht="47.25" customHeight="1" x14ac:dyDescent="0.25">
      <c r="A402" s="42" t="s">
        <v>1680</v>
      </c>
      <c r="B402" s="42" t="s">
        <v>4905</v>
      </c>
      <c r="C402" s="43" t="s">
        <v>4607</v>
      </c>
      <c r="D402" s="44" t="s">
        <v>3633</v>
      </c>
    </row>
    <row r="403" spans="1:4" ht="63" customHeight="1" x14ac:dyDescent="0.25">
      <c r="A403" s="42" t="s">
        <v>1684</v>
      </c>
      <c r="B403" s="42" t="s">
        <v>4906</v>
      </c>
      <c r="C403" s="43" t="s">
        <v>1559</v>
      </c>
      <c r="D403" s="44" t="s">
        <v>3634</v>
      </c>
    </row>
    <row r="404" spans="1:4" ht="47.25" customHeight="1" x14ac:dyDescent="0.25">
      <c r="A404" s="42" t="s">
        <v>1688</v>
      </c>
      <c r="B404" s="42" t="s">
        <v>4907</v>
      </c>
      <c r="C404" s="43" t="s">
        <v>1083</v>
      </c>
      <c r="D404" s="44" t="s">
        <v>3635</v>
      </c>
    </row>
    <row r="405" spans="1:4" ht="31.5" customHeight="1" x14ac:dyDescent="0.25">
      <c r="A405" s="42" t="s">
        <v>1693</v>
      </c>
      <c r="B405" s="42" t="s">
        <v>4908</v>
      </c>
      <c r="C405" s="43" t="s">
        <v>2363</v>
      </c>
      <c r="D405" s="44" t="s">
        <v>3636</v>
      </c>
    </row>
    <row r="406" spans="1:4" ht="47.25" customHeight="1" x14ac:dyDescent="0.25">
      <c r="A406" s="42" t="s">
        <v>1699</v>
      </c>
      <c r="B406" s="42" t="s">
        <v>4909</v>
      </c>
      <c r="C406" s="43" t="s">
        <v>4910</v>
      </c>
      <c r="D406" s="44" t="s">
        <v>3637</v>
      </c>
    </row>
    <row r="407" spans="1:4" ht="47.25" customHeight="1" x14ac:dyDescent="0.25">
      <c r="A407" s="42" t="s">
        <v>1703</v>
      </c>
      <c r="B407" s="42" t="s">
        <v>4911</v>
      </c>
      <c r="C407" s="43" t="s">
        <v>2450</v>
      </c>
      <c r="D407" s="44" t="s">
        <v>3638</v>
      </c>
    </row>
    <row r="408" spans="1:4" ht="31.5" customHeight="1" x14ac:dyDescent="0.25">
      <c r="A408" s="42" t="s">
        <v>1708</v>
      </c>
      <c r="B408" s="42" t="s">
        <v>4912</v>
      </c>
      <c r="C408" s="43" t="s">
        <v>2815</v>
      </c>
      <c r="D408" s="44" t="s">
        <v>3639</v>
      </c>
    </row>
    <row r="409" spans="1:4" ht="63" customHeight="1" x14ac:dyDescent="0.25">
      <c r="A409" s="42" t="s">
        <v>1713</v>
      </c>
      <c r="B409" s="42" t="s">
        <v>4913</v>
      </c>
      <c r="C409" s="43" t="s">
        <v>4377</v>
      </c>
      <c r="D409" s="44" t="s">
        <v>3640</v>
      </c>
    </row>
    <row r="410" spans="1:4" ht="47.25" customHeight="1" x14ac:dyDescent="0.25">
      <c r="A410" s="42" t="s">
        <v>1718</v>
      </c>
      <c r="B410" s="42" t="s">
        <v>4914</v>
      </c>
      <c r="C410" s="43" t="s">
        <v>4673</v>
      </c>
      <c r="D410" s="44" t="s">
        <v>3641</v>
      </c>
    </row>
    <row r="411" spans="1:4" ht="47.25" customHeight="1" x14ac:dyDescent="0.25">
      <c r="A411" s="42" t="s">
        <v>1722</v>
      </c>
      <c r="B411" s="42" t="s">
        <v>4915</v>
      </c>
      <c r="C411" s="43" t="s">
        <v>4916</v>
      </c>
      <c r="D411" s="44" t="s">
        <v>3642</v>
      </c>
    </row>
    <row r="412" spans="1:4" ht="47.25" customHeight="1" x14ac:dyDescent="0.25">
      <c r="A412" s="42" t="s">
        <v>1727</v>
      </c>
      <c r="B412" s="42" t="s">
        <v>4917</v>
      </c>
      <c r="C412" s="43" t="s">
        <v>1866</v>
      </c>
      <c r="D412" s="44" t="s">
        <v>3643</v>
      </c>
    </row>
    <row r="413" spans="1:4" ht="31.5" customHeight="1" x14ac:dyDescent="0.25">
      <c r="A413" s="42" t="s">
        <v>1732</v>
      </c>
      <c r="B413" s="42" t="s">
        <v>4918</v>
      </c>
      <c r="C413" s="43" t="s">
        <v>1957</v>
      </c>
      <c r="D413" s="44" t="s">
        <v>3644</v>
      </c>
    </row>
    <row r="414" spans="1:4" ht="47.25" customHeight="1" x14ac:dyDescent="0.25">
      <c r="A414" s="42" t="s">
        <v>1737</v>
      </c>
      <c r="B414" s="42" t="s">
        <v>4919</v>
      </c>
      <c r="C414" s="43" t="s">
        <v>4840</v>
      </c>
      <c r="D414" s="44" t="s">
        <v>3645</v>
      </c>
    </row>
    <row r="415" spans="1:4" ht="31.5" customHeight="1" x14ac:dyDescent="0.25">
      <c r="A415" s="42" t="s">
        <v>1742</v>
      </c>
      <c r="B415" s="42" t="s">
        <v>4920</v>
      </c>
      <c r="C415" s="43" t="s">
        <v>1458</v>
      </c>
      <c r="D415" s="44" t="s">
        <v>3646</v>
      </c>
    </row>
    <row r="416" spans="1:4" ht="31.5" customHeight="1" x14ac:dyDescent="0.25">
      <c r="A416" s="42" t="s">
        <v>1746</v>
      </c>
      <c r="B416" s="42" t="s">
        <v>4921</v>
      </c>
      <c r="C416" s="43" t="s">
        <v>4881</v>
      </c>
      <c r="D416" s="44" t="s">
        <v>3647</v>
      </c>
    </row>
    <row r="417" spans="1:4" ht="47.25" customHeight="1" x14ac:dyDescent="0.25">
      <c r="A417" s="42" t="s">
        <v>1750</v>
      </c>
      <c r="B417" s="42" t="s">
        <v>4922</v>
      </c>
      <c r="C417" s="43" t="s">
        <v>1616</v>
      </c>
      <c r="D417" s="44" t="s">
        <v>3648</v>
      </c>
    </row>
    <row r="418" spans="1:4" ht="63" customHeight="1" x14ac:dyDescent="0.25">
      <c r="A418" s="42" t="s">
        <v>1754</v>
      </c>
      <c r="B418" s="42" t="s">
        <v>4923</v>
      </c>
      <c r="C418" s="43" t="s">
        <v>4900</v>
      </c>
      <c r="D418" s="44" t="s">
        <v>3649</v>
      </c>
    </row>
    <row r="419" spans="1:4" ht="47.25" customHeight="1" x14ac:dyDescent="0.25">
      <c r="A419" s="42" t="s">
        <v>1758</v>
      </c>
      <c r="B419" s="42" t="s">
        <v>4924</v>
      </c>
      <c r="C419" s="43" t="s">
        <v>4925</v>
      </c>
      <c r="D419" s="44" t="s">
        <v>3650</v>
      </c>
    </row>
    <row r="420" spans="1:4" ht="63" customHeight="1" x14ac:dyDescent="0.25">
      <c r="A420" s="42" t="s">
        <v>1762</v>
      </c>
      <c r="B420" s="42" t="s">
        <v>4926</v>
      </c>
      <c r="C420" s="43" t="s">
        <v>2070</v>
      </c>
      <c r="D420" s="44" t="s">
        <v>3651</v>
      </c>
    </row>
    <row r="421" spans="1:4" ht="47.25" customHeight="1" x14ac:dyDescent="0.25">
      <c r="A421" s="42" t="s">
        <v>1767</v>
      </c>
      <c r="B421" s="42" t="s">
        <v>4927</v>
      </c>
      <c r="C421" s="43" t="s">
        <v>4749</v>
      </c>
      <c r="D421" s="44" t="s">
        <v>3652</v>
      </c>
    </row>
    <row r="422" spans="1:4" ht="47.25" customHeight="1" x14ac:dyDescent="0.25">
      <c r="A422" s="42" t="s">
        <v>1771</v>
      </c>
      <c r="B422" s="42" t="s">
        <v>4928</v>
      </c>
      <c r="C422" s="43" t="s">
        <v>405</v>
      </c>
      <c r="D422" s="44" t="s">
        <v>3653</v>
      </c>
    </row>
    <row r="423" spans="1:4" ht="31.5" customHeight="1" x14ac:dyDescent="0.25">
      <c r="A423" s="42" t="s">
        <v>1775</v>
      </c>
      <c r="B423" s="42" t="s">
        <v>4929</v>
      </c>
      <c r="C423" s="43" t="s">
        <v>540</v>
      </c>
      <c r="D423" s="44" t="s">
        <v>3654</v>
      </c>
    </row>
    <row r="424" spans="1:4" ht="63" customHeight="1" x14ac:dyDescent="0.25">
      <c r="A424" s="42" t="s">
        <v>1779</v>
      </c>
      <c r="B424" s="42" t="s">
        <v>4930</v>
      </c>
      <c r="C424" s="43" t="s">
        <v>4931</v>
      </c>
      <c r="D424" s="44" t="s">
        <v>3655</v>
      </c>
    </row>
    <row r="425" spans="1:4" ht="31.5" customHeight="1" x14ac:dyDescent="0.25">
      <c r="A425" s="42" t="s">
        <v>1782</v>
      </c>
      <c r="B425" s="42" t="s">
        <v>4932</v>
      </c>
      <c r="C425" s="43" t="s">
        <v>540</v>
      </c>
      <c r="D425" s="44" t="s">
        <v>3656</v>
      </c>
    </row>
    <row r="426" spans="1:4" ht="63" customHeight="1" x14ac:dyDescent="0.25">
      <c r="A426" s="42" t="s">
        <v>1786</v>
      </c>
      <c r="B426" s="42" t="s">
        <v>4933</v>
      </c>
      <c r="C426" s="43" t="s">
        <v>3021</v>
      </c>
      <c r="D426" s="44" t="s">
        <v>3657</v>
      </c>
    </row>
    <row r="427" spans="1:4" ht="47.25" customHeight="1" x14ac:dyDescent="0.25">
      <c r="A427" s="42" t="s">
        <v>1791</v>
      </c>
      <c r="B427" s="42" t="s">
        <v>4934</v>
      </c>
      <c r="C427" s="43" t="s">
        <v>4776</v>
      </c>
      <c r="D427" s="44" t="s">
        <v>3658</v>
      </c>
    </row>
    <row r="428" spans="1:4" ht="47.25" customHeight="1" x14ac:dyDescent="0.25">
      <c r="A428" s="42" t="s">
        <v>1796</v>
      </c>
      <c r="B428" s="42" t="s">
        <v>4935</v>
      </c>
      <c r="C428" s="43" t="s">
        <v>3098</v>
      </c>
      <c r="D428" s="44" t="s">
        <v>3659</v>
      </c>
    </row>
    <row r="429" spans="1:4" ht="47.25" customHeight="1" x14ac:dyDescent="0.25">
      <c r="A429" s="42" t="s">
        <v>1800</v>
      </c>
      <c r="B429" s="42" t="s">
        <v>4936</v>
      </c>
      <c r="C429" s="43" t="s">
        <v>520</v>
      </c>
      <c r="D429" s="44" t="s">
        <v>3660</v>
      </c>
    </row>
    <row r="430" spans="1:4" ht="47.25" customHeight="1" x14ac:dyDescent="0.25">
      <c r="A430" s="42" t="s">
        <v>1804</v>
      </c>
      <c r="B430" s="42" t="s">
        <v>4937</v>
      </c>
      <c r="C430" s="43" t="s">
        <v>520</v>
      </c>
      <c r="D430" s="44" t="s">
        <v>3661</v>
      </c>
    </row>
    <row r="431" spans="1:4" ht="47.25" customHeight="1" x14ac:dyDescent="0.25">
      <c r="A431" s="42" t="s">
        <v>1808</v>
      </c>
      <c r="B431" s="42" t="s">
        <v>4938</v>
      </c>
      <c r="C431" s="43" t="s">
        <v>4522</v>
      </c>
      <c r="D431" s="44" t="s">
        <v>3662</v>
      </c>
    </row>
    <row r="432" spans="1:4" ht="47.25" customHeight="1" x14ac:dyDescent="0.25">
      <c r="A432" s="42" t="s">
        <v>1812</v>
      </c>
      <c r="B432" s="42" t="s">
        <v>4939</v>
      </c>
      <c r="C432" s="43" t="s">
        <v>1569</v>
      </c>
      <c r="D432" s="44" t="s">
        <v>3663</v>
      </c>
    </row>
    <row r="433" spans="1:4" ht="47.25" customHeight="1" x14ac:dyDescent="0.25">
      <c r="A433" s="42" t="s">
        <v>1816</v>
      </c>
      <c r="B433" s="42" t="s">
        <v>4940</v>
      </c>
      <c r="C433" s="43" t="s">
        <v>4638</v>
      </c>
      <c r="D433" s="44" t="s">
        <v>3664</v>
      </c>
    </row>
    <row r="434" spans="1:4" ht="31.5" customHeight="1" x14ac:dyDescent="0.25">
      <c r="A434" s="42" t="s">
        <v>1820</v>
      </c>
      <c r="B434" s="42" t="s">
        <v>4941</v>
      </c>
      <c r="C434" s="43" t="s">
        <v>4752</v>
      </c>
      <c r="D434" s="44" t="s">
        <v>3665</v>
      </c>
    </row>
    <row r="435" spans="1:4" ht="63" customHeight="1" x14ac:dyDescent="0.25">
      <c r="A435" s="42" t="s">
        <v>1825</v>
      </c>
      <c r="B435" s="42" t="s">
        <v>4942</v>
      </c>
      <c r="C435" s="43" t="s">
        <v>410</v>
      </c>
      <c r="D435" s="44" t="s">
        <v>3666</v>
      </c>
    </row>
    <row r="436" spans="1:4" ht="63" customHeight="1" x14ac:dyDescent="0.25">
      <c r="A436" s="42" t="s">
        <v>1830</v>
      </c>
      <c r="B436" s="42" t="s">
        <v>4943</v>
      </c>
      <c r="C436" s="43" t="s">
        <v>4673</v>
      </c>
      <c r="D436" s="44" t="s">
        <v>3667</v>
      </c>
    </row>
    <row r="437" spans="1:4" ht="63" customHeight="1" x14ac:dyDescent="0.25">
      <c r="A437" s="42" t="s">
        <v>1833</v>
      </c>
      <c r="B437" s="42" t="s">
        <v>4944</v>
      </c>
      <c r="C437" s="43" t="s">
        <v>4945</v>
      </c>
      <c r="D437" s="44" t="s">
        <v>3668</v>
      </c>
    </row>
    <row r="438" spans="1:4" ht="47.25" customHeight="1" x14ac:dyDescent="0.25">
      <c r="A438" s="42" t="s">
        <v>1837</v>
      </c>
      <c r="B438" s="42" t="s">
        <v>4946</v>
      </c>
      <c r="C438" s="43" t="s">
        <v>3050</v>
      </c>
      <c r="D438" s="44" t="s">
        <v>3669</v>
      </c>
    </row>
    <row r="439" spans="1:4" ht="31.5" customHeight="1" x14ac:dyDescent="0.25">
      <c r="A439" s="42" t="s">
        <v>1842</v>
      </c>
      <c r="B439" s="42" t="s">
        <v>4947</v>
      </c>
      <c r="C439" s="43" t="s">
        <v>1146</v>
      </c>
      <c r="D439" s="44" t="s">
        <v>3670</v>
      </c>
    </row>
    <row r="440" spans="1:4" ht="47.25" customHeight="1" x14ac:dyDescent="0.25">
      <c r="A440" s="42" t="s">
        <v>1846</v>
      </c>
      <c r="B440" s="42" t="s">
        <v>4948</v>
      </c>
      <c r="C440" s="43" t="s">
        <v>1146</v>
      </c>
      <c r="D440" s="44" t="s">
        <v>3671</v>
      </c>
    </row>
    <row r="441" spans="1:4" ht="47.25" customHeight="1" x14ac:dyDescent="0.25">
      <c r="A441" s="42" t="s">
        <v>1850</v>
      </c>
      <c r="B441" s="42" t="s">
        <v>4949</v>
      </c>
      <c r="C441" s="43" t="s">
        <v>4673</v>
      </c>
      <c r="D441" s="44" t="s">
        <v>3672</v>
      </c>
    </row>
    <row r="442" spans="1:4" ht="31.5" customHeight="1" x14ac:dyDescent="0.25">
      <c r="A442" s="42" t="s">
        <v>1856</v>
      </c>
      <c r="B442" s="42" t="s">
        <v>4950</v>
      </c>
      <c r="C442" s="43" t="s">
        <v>4951</v>
      </c>
      <c r="D442" s="44" t="s">
        <v>3673</v>
      </c>
    </row>
    <row r="443" spans="1:4" ht="94.5" customHeight="1" x14ac:dyDescent="0.25">
      <c r="A443" s="42" t="s">
        <v>1860</v>
      </c>
      <c r="B443" s="42" t="s">
        <v>4952</v>
      </c>
      <c r="C443" s="43" t="s">
        <v>4953</v>
      </c>
      <c r="D443" s="44" t="s">
        <v>3674</v>
      </c>
    </row>
    <row r="444" spans="1:4" ht="31.5" customHeight="1" x14ac:dyDescent="0.25">
      <c r="A444" s="42" t="s">
        <v>1864</v>
      </c>
      <c r="B444" s="42" t="s">
        <v>4954</v>
      </c>
      <c r="C444" s="43" t="s">
        <v>2278</v>
      </c>
      <c r="D444" s="44" t="s">
        <v>3675</v>
      </c>
    </row>
    <row r="445" spans="1:4" ht="31.5" customHeight="1" x14ac:dyDescent="0.25">
      <c r="A445" s="42" t="s">
        <v>1869</v>
      </c>
      <c r="B445" s="42" t="s">
        <v>4955</v>
      </c>
      <c r="C445" s="43" t="s">
        <v>1739</v>
      </c>
      <c r="D445" s="44" t="s">
        <v>3676</v>
      </c>
    </row>
    <row r="446" spans="1:4" ht="15.75" customHeight="1" x14ac:dyDescent="0.25">
      <c r="A446" s="42" t="s">
        <v>1873</v>
      </c>
      <c r="B446" s="42" t="s">
        <v>4956</v>
      </c>
      <c r="C446" s="43" t="s">
        <v>812</v>
      </c>
      <c r="D446" s="44" t="s">
        <v>3677</v>
      </c>
    </row>
    <row r="447" spans="1:4" ht="47.25" customHeight="1" x14ac:dyDescent="0.25">
      <c r="A447" s="42" t="s">
        <v>1878</v>
      </c>
      <c r="B447" s="42" t="s">
        <v>4957</v>
      </c>
      <c r="C447" s="43" t="s">
        <v>121</v>
      </c>
      <c r="D447" s="44" t="s">
        <v>3678</v>
      </c>
    </row>
    <row r="448" spans="1:4" ht="31.5" customHeight="1" x14ac:dyDescent="0.25">
      <c r="A448" s="42" t="s">
        <v>1882</v>
      </c>
      <c r="B448" s="42" t="s">
        <v>4958</v>
      </c>
      <c r="C448" s="43" t="s">
        <v>4438</v>
      </c>
      <c r="D448" s="44" t="s">
        <v>3679</v>
      </c>
    </row>
    <row r="449" spans="1:4" ht="47.25" customHeight="1" x14ac:dyDescent="0.25">
      <c r="A449" s="42" t="s">
        <v>1886</v>
      </c>
      <c r="B449" s="42" t="s">
        <v>4959</v>
      </c>
      <c r="C449" s="43" t="s">
        <v>4835</v>
      </c>
      <c r="D449" s="44" t="s">
        <v>3680</v>
      </c>
    </row>
    <row r="450" spans="1:4" ht="47.25" customHeight="1" x14ac:dyDescent="0.25">
      <c r="A450" s="42" t="s">
        <v>1890</v>
      </c>
      <c r="B450" s="42" t="s">
        <v>4960</v>
      </c>
      <c r="C450" s="43" t="s">
        <v>1146</v>
      </c>
      <c r="D450" s="44" t="s">
        <v>3681</v>
      </c>
    </row>
    <row r="451" spans="1:4" ht="47.25" customHeight="1" x14ac:dyDescent="0.25">
      <c r="A451" s="42" t="s">
        <v>1894</v>
      </c>
      <c r="B451" s="42" t="s">
        <v>4961</v>
      </c>
      <c r="C451" s="43" t="s">
        <v>68</v>
      </c>
      <c r="D451" s="44" t="s">
        <v>3682</v>
      </c>
    </row>
    <row r="452" spans="1:4" ht="47.25" customHeight="1" x14ac:dyDescent="0.25">
      <c r="A452" s="42" t="s">
        <v>1899</v>
      </c>
      <c r="B452" s="42" t="s">
        <v>4962</v>
      </c>
      <c r="C452" s="43" t="s">
        <v>81</v>
      </c>
      <c r="D452" s="44" t="s">
        <v>3683</v>
      </c>
    </row>
    <row r="453" spans="1:4" ht="47.25" customHeight="1" x14ac:dyDescent="0.25">
      <c r="A453" s="42" t="s">
        <v>1903</v>
      </c>
      <c r="B453" s="42" t="s">
        <v>4963</v>
      </c>
      <c r="C453" s="43" t="s">
        <v>4666</v>
      </c>
      <c r="D453" s="44" t="s">
        <v>3684</v>
      </c>
    </row>
    <row r="454" spans="1:4" ht="47.25" customHeight="1" x14ac:dyDescent="0.25">
      <c r="A454" s="42" t="s">
        <v>1908</v>
      </c>
      <c r="B454" s="42" t="s">
        <v>4964</v>
      </c>
      <c r="C454" s="43" t="s">
        <v>4499</v>
      </c>
      <c r="D454" s="44" t="s">
        <v>3685</v>
      </c>
    </row>
    <row r="455" spans="1:4" ht="63" customHeight="1" x14ac:dyDescent="0.25">
      <c r="A455" s="42" t="s">
        <v>1912</v>
      </c>
      <c r="B455" s="42" t="s">
        <v>4965</v>
      </c>
      <c r="C455" s="43" t="s">
        <v>4966</v>
      </c>
      <c r="D455" s="44" t="s">
        <v>3686</v>
      </c>
    </row>
    <row r="456" spans="1:4" ht="47.25" customHeight="1" x14ac:dyDescent="0.25">
      <c r="A456" s="42" t="s">
        <v>1916</v>
      </c>
      <c r="B456" s="42" t="s">
        <v>4967</v>
      </c>
      <c r="C456" s="43" t="s">
        <v>3050</v>
      </c>
      <c r="D456" s="44" t="s">
        <v>3687</v>
      </c>
    </row>
    <row r="457" spans="1:4" ht="47.25" customHeight="1" x14ac:dyDescent="0.25">
      <c r="A457" s="42" t="s">
        <v>1920</v>
      </c>
      <c r="B457" s="42" t="s">
        <v>4968</v>
      </c>
      <c r="C457" s="43" t="s">
        <v>2295</v>
      </c>
      <c r="D457" s="44" t="s">
        <v>3688</v>
      </c>
    </row>
    <row r="458" spans="1:4" ht="31.5" customHeight="1" x14ac:dyDescent="0.25">
      <c r="A458" s="42" t="s">
        <v>1924</v>
      </c>
      <c r="B458" s="42" t="s">
        <v>4969</v>
      </c>
      <c r="C458" s="43" t="s">
        <v>826</v>
      </c>
      <c r="D458" s="44" t="s">
        <v>3689</v>
      </c>
    </row>
    <row r="459" spans="1:4" ht="63" customHeight="1" x14ac:dyDescent="0.25">
      <c r="A459" s="42" t="s">
        <v>1930</v>
      </c>
      <c r="B459" s="42" t="s">
        <v>4970</v>
      </c>
      <c r="C459" s="43" t="s">
        <v>4971</v>
      </c>
      <c r="D459" s="44" t="s">
        <v>3690</v>
      </c>
    </row>
    <row r="460" spans="1:4" ht="47.25" customHeight="1" x14ac:dyDescent="0.25">
      <c r="A460" s="42" t="s">
        <v>1934</v>
      </c>
      <c r="B460" s="42" t="s">
        <v>4972</v>
      </c>
      <c r="C460" s="43" t="s">
        <v>4966</v>
      </c>
      <c r="D460" s="44" t="s">
        <v>3691</v>
      </c>
    </row>
    <row r="461" spans="1:4" ht="47.25" customHeight="1" x14ac:dyDescent="0.25">
      <c r="A461" s="42" t="s">
        <v>1938</v>
      </c>
      <c r="B461" s="42" t="s">
        <v>4973</v>
      </c>
      <c r="C461" s="43" t="s">
        <v>4558</v>
      </c>
      <c r="D461" s="44" t="s">
        <v>3692</v>
      </c>
    </row>
    <row r="462" spans="1:4" ht="47.25" customHeight="1" x14ac:dyDescent="0.25">
      <c r="A462" s="42" t="s">
        <v>1942</v>
      </c>
      <c r="B462" s="42" t="s">
        <v>4974</v>
      </c>
      <c r="C462" s="43" t="s">
        <v>1137</v>
      </c>
      <c r="D462" s="44" t="s">
        <v>3693</v>
      </c>
    </row>
    <row r="463" spans="1:4" ht="31.5" customHeight="1" x14ac:dyDescent="0.25">
      <c r="A463" s="42" t="s">
        <v>1946</v>
      </c>
      <c r="B463" s="42" t="s">
        <v>4975</v>
      </c>
      <c r="C463" s="43" t="s">
        <v>4966</v>
      </c>
      <c r="D463" s="44" t="s">
        <v>3694</v>
      </c>
    </row>
    <row r="464" spans="1:4" ht="47.25" customHeight="1" x14ac:dyDescent="0.25">
      <c r="A464" s="42" t="s">
        <v>1950</v>
      </c>
      <c r="B464" s="42" t="s">
        <v>4976</v>
      </c>
      <c r="C464" s="43" t="s">
        <v>405</v>
      </c>
      <c r="D464" s="44" t="s">
        <v>3695</v>
      </c>
    </row>
    <row r="465" spans="1:4" ht="31.5" customHeight="1" x14ac:dyDescent="0.25">
      <c r="A465" s="42" t="s">
        <v>1955</v>
      </c>
      <c r="B465" s="42" t="s">
        <v>4977</v>
      </c>
      <c r="C465" s="43" t="s">
        <v>109</v>
      </c>
      <c r="D465" s="44" t="s">
        <v>3696</v>
      </c>
    </row>
    <row r="466" spans="1:4" ht="31.5" customHeight="1" x14ac:dyDescent="0.25">
      <c r="A466" s="42" t="s">
        <v>1960</v>
      </c>
      <c r="B466" s="42" t="s">
        <v>4978</v>
      </c>
      <c r="C466" s="43" t="s">
        <v>109</v>
      </c>
      <c r="D466" s="44" t="s">
        <v>3697</v>
      </c>
    </row>
    <row r="467" spans="1:4" ht="31.5" customHeight="1" x14ac:dyDescent="0.25">
      <c r="A467" s="42" t="s">
        <v>1964</v>
      </c>
      <c r="B467" s="42" t="s">
        <v>4979</v>
      </c>
      <c r="C467" s="43" t="s">
        <v>68</v>
      </c>
      <c r="D467" s="44" t="s">
        <v>3698</v>
      </c>
    </row>
    <row r="468" spans="1:4" ht="31.5" customHeight="1" x14ac:dyDescent="0.25">
      <c r="A468" s="42" t="s">
        <v>1967</v>
      </c>
      <c r="B468" s="42" t="s">
        <v>4980</v>
      </c>
      <c r="C468" s="43" t="s">
        <v>550</v>
      </c>
      <c r="D468" s="44" t="s">
        <v>3699</v>
      </c>
    </row>
    <row r="469" spans="1:4" ht="47.25" customHeight="1" x14ac:dyDescent="0.25">
      <c r="A469" s="42" t="s">
        <v>1972</v>
      </c>
      <c r="B469" s="42" t="s">
        <v>4981</v>
      </c>
      <c r="C469" s="43" t="s">
        <v>4982</v>
      </c>
      <c r="D469" s="44" t="s">
        <v>3700</v>
      </c>
    </row>
    <row r="470" spans="1:4" ht="47.25" customHeight="1" x14ac:dyDescent="0.25">
      <c r="A470" s="42" t="s">
        <v>1978</v>
      </c>
      <c r="B470" s="42" t="s">
        <v>4983</v>
      </c>
      <c r="C470" s="43" t="s">
        <v>4982</v>
      </c>
      <c r="D470" s="44" t="s">
        <v>3701</v>
      </c>
    </row>
    <row r="471" spans="1:4" ht="63" customHeight="1" x14ac:dyDescent="0.25">
      <c r="A471" s="42" t="s">
        <v>1983</v>
      </c>
      <c r="B471" s="42" t="s">
        <v>4984</v>
      </c>
      <c r="C471" s="43" t="s">
        <v>688</v>
      </c>
      <c r="D471" s="44" t="s">
        <v>3702</v>
      </c>
    </row>
    <row r="472" spans="1:4" ht="63" customHeight="1" x14ac:dyDescent="0.25">
      <c r="A472" s="42" t="s">
        <v>1987</v>
      </c>
      <c r="B472" s="42" t="s">
        <v>4985</v>
      </c>
      <c r="C472" s="43" t="s">
        <v>4623</v>
      </c>
      <c r="D472" s="44" t="s">
        <v>3703</v>
      </c>
    </row>
    <row r="473" spans="1:4" ht="31.5" customHeight="1" x14ac:dyDescent="0.25">
      <c r="A473" s="42" t="s">
        <v>1991</v>
      </c>
      <c r="B473" s="42" t="s">
        <v>4986</v>
      </c>
      <c r="C473" s="43" t="s">
        <v>4987</v>
      </c>
      <c r="D473" s="44" t="s">
        <v>3704</v>
      </c>
    </row>
    <row r="474" spans="1:4" ht="31.5" customHeight="1" x14ac:dyDescent="0.25">
      <c r="A474" s="42" t="s">
        <v>1994</v>
      </c>
      <c r="B474" s="42" t="s">
        <v>4988</v>
      </c>
      <c r="C474" s="43" t="s">
        <v>4461</v>
      </c>
      <c r="D474" s="44" t="s">
        <v>3705</v>
      </c>
    </row>
    <row r="475" spans="1:4" ht="31.5" customHeight="1" x14ac:dyDescent="0.25">
      <c r="A475" s="42" t="s">
        <v>1999</v>
      </c>
      <c r="B475" s="42" t="s">
        <v>4989</v>
      </c>
      <c r="C475" s="43" t="s">
        <v>3050</v>
      </c>
      <c r="D475" s="44" t="s">
        <v>3706</v>
      </c>
    </row>
    <row r="476" spans="1:4" ht="31.5" customHeight="1" x14ac:dyDescent="0.25">
      <c r="A476" s="42" t="s">
        <v>2004</v>
      </c>
      <c r="B476" s="42" t="s">
        <v>4990</v>
      </c>
      <c r="C476" s="43" t="s">
        <v>1690</v>
      </c>
      <c r="D476" s="44" t="s">
        <v>3707</v>
      </c>
    </row>
    <row r="477" spans="1:4" ht="63" customHeight="1" x14ac:dyDescent="0.25">
      <c r="A477" s="42" t="s">
        <v>2009</v>
      </c>
      <c r="B477" s="42" t="s">
        <v>4991</v>
      </c>
      <c r="C477" s="43" t="s">
        <v>1173</v>
      </c>
      <c r="D477" s="44" t="s">
        <v>3708</v>
      </c>
    </row>
    <row r="478" spans="1:4" ht="31.5" customHeight="1" x14ac:dyDescent="0.25">
      <c r="A478" s="42" t="s">
        <v>2013</v>
      </c>
      <c r="B478" s="42" t="s">
        <v>4992</v>
      </c>
      <c r="C478" s="43" t="s">
        <v>826</v>
      </c>
      <c r="D478" s="44" t="s">
        <v>3709</v>
      </c>
    </row>
    <row r="479" spans="1:4" ht="31.5" customHeight="1" x14ac:dyDescent="0.25">
      <c r="A479" s="42" t="s">
        <v>2017</v>
      </c>
      <c r="B479" s="42" t="s">
        <v>4993</v>
      </c>
      <c r="C479" s="43" t="s">
        <v>1734</v>
      </c>
      <c r="D479" s="44" t="s">
        <v>3710</v>
      </c>
    </row>
    <row r="480" spans="1:4" ht="47.25" customHeight="1" x14ac:dyDescent="0.25">
      <c r="A480" s="42" t="s">
        <v>2021</v>
      </c>
      <c r="B480" s="42" t="s">
        <v>4994</v>
      </c>
      <c r="C480" s="43" t="s">
        <v>3080</v>
      </c>
      <c r="D480" s="44" t="s">
        <v>3711</v>
      </c>
    </row>
    <row r="481" spans="1:4" ht="47.25" customHeight="1" x14ac:dyDescent="0.25">
      <c r="A481" s="42" t="s">
        <v>2025</v>
      </c>
      <c r="B481" s="42" t="s">
        <v>4995</v>
      </c>
      <c r="C481" s="43" t="s">
        <v>4996</v>
      </c>
      <c r="D481" s="44" t="s">
        <v>3712</v>
      </c>
    </row>
    <row r="482" spans="1:4" ht="47.25" customHeight="1" x14ac:dyDescent="0.25">
      <c r="A482" s="42" t="s">
        <v>2029</v>
      </c>
      <c r="B482" s="42" t="s">
        <v>4997</v>
      </c>
      <c r="C482" s="43" t="s">
        <v>4998</v>
      </c>
      <c r="D482" s="44" t="s">
        <v>3713</v>
      </c>
    </row>
    <row r="483" spans="1:4" ht="31.5" customHeight="1" x14ac:dyDescent="0.25">
      <c r="A483" s="42" t="s">
        <v>2034</v>
      </c>
      <c r="B483" s="42" t="s">
        <v>4999</v>
      </c>
      <c r="C483" s="43" t="s">
        <v>415</v>
      </c>
      <c r="D483" s="44" t="s">
        <v>3714</v>
      </c>
    </row>
    <row r="484" spans="1:4" ht="63" customHeight="1" x14ac:dyDescent="0.25">
      <c r="A484" s="42" t="s">
        <v>2038</v>
      </c>
      <c r="B484" s="42" t="s">
        <v>5000</v>
      </c>
      <c r="C484" s="43" t="s">
        <v>5001</v>
      </c>
      <c r="D484" s="44" t="s">
        <v>3715</v>
      </c>
    </row>
    <row r="485" spans="1:4" ht="31.5" customHeight="1" x14ac:dyDescent="0.25">
      <c r="A485" s="42" t="s">
        <v>2042</v>
      </c>
      <c r="B485" s="42" t="s">
        <v>5002</v>
      </c>
      <c r="C485" s="43" t="s">
        <v>415</v>
      </c>
      <c r="D485" s="44" t="s">
        <v>3716</v>
      </c>
    </row>
    <row r="486" spans="1:4" ht="63" customHeight="1" x14ac:dyDescent="0.25">
      <c r="A486" s="42" t="s">
        <v>2047</v>
      </c>
      <c r="B486" s="42" t="s">
        <v>5003</v>
      </c>
      <c r="C486" s="43" t="s">
        <v>2070</v>
      </c>
      <c r="D486" s="44" t="s">
        <v>3717</v>
      </c>
    </row>
    <row r="487" spans="1:4" ht="47.25" customHeight="1" x14ac:dyDescent="0.25">
      <c r="A487" s="42" t="s">
        <v>2052</v>
      </c>
      <c r="B487" s="42" t="s">
        <v>5004</v>
      </c>
      <c r="C487" s="43" t="s">
        <v>4851</v>
      </c>
      <c r="D487" s="44" t="s">
        <v>3718</v>
      </c>
    </row>
    <row r="488" spans="1:4" ht="63" customHeight="1" x14ac:dyDescent="0.25">
      <c r="A488" s="42" t="s">
        <v>2056</v>
      </c>
      <c r="B488" s="42" t="s">
        <v>5005</v>
      </c>
      <c r="C488" s="43" t="s">
        <v>421</v>
      </c>
      <c r="D488" s="44" t="s">
        <v>3719</v>
      </c>
    </row>
    <row r="489" spans="1:4" ht="31.5" customHeight="1" x14ac:dyDescent="0.25">
      <c r="A489" s="42" t="s">
        <v>2060</v>
      </c>
      <c r="B489" s="42" t="s">
        <v>5006</v>
      </c>
      <c r="C489" s="43" t="s">
        <v>4776</v>
      </c>
      <c r="D489" s="44" t="s">
        <v>3720</v>
      </c>
    </row>
    <row r="490" spans="1:4" ht="47.25" customHeight="1" x14ac:dyDescent="0.25">
      <c r="A490" s="42" t="s">
        <v>2064</v>
      </c>
      <c r="B490" s="42" t="s">
        <v>5007</v>
      </c>
      <c r="C490" s="43" t="s">
        <v>4776</v>
      </c>
      <c r="D490" s="44" t="s">
        <v>3721</v>
      </c>
    </row>
    <row r="491" spans="1:4" ht="47.25" customHeight="1" x14ac:dyDescent="0.25">
      <c r="A491" s="42" t="s">
        <v>2068</v>
      </c>
      <c r="B491" s="42" t="s">
        <v>5008</v>
      </c>
      <c r="C491" s="43" t="s">
        <v>1384</v>
      </c>
      <c r="D491" s="44" t="s">
        <v>3722</v>
      </c>
    </row>
    <row r="492" spans="1:4" ht="47.25" customHeight="1" x14ac:dyDescent="0.25">
      <c r="A492" s="42" t="s">
        <v>2073</v>
      </c>
      <c r="B492" s="42" t="s">
        <v>5009</v>
      </c>
      <c r="C492" s="43" t="s">
        <v>5010</v>
      </c>
      <c r="D492" s="44" t="s">
        <v>3723</v>
      </c>
    </row>
    <row r="493" spans="1:4" ht="31.5" customHeight="1" x14ac:dyDescent="0.25">
      <c r="A493" s="42" t="s">
        <v>2077</v>
      </c>
      <c r="B493" s="42" t="s">
        <v>5011</v>
      </c>
      <c r="C493" s="43" t="s">
        <v>109</v>
      </c>
      <c r="D493" s="44" t="s">
        <v>3724</v>
      </c>
    </row>
    <row r="494" spans="1:4" ht="31.5" customHeight="1" x14ac:dyDescent="0.25">
      <c r="A494" s="42" t="s">
        <v>2081</v>
      </c>
      <c r="B494" s="42" t="s">
        <v>5012</v>
      </c>
      <c r="C494" s="43" t="s">
        <v>1621</v>
      </c>
      <c r="D494" s="44" t="s">
        <v>3725</v>
      </c>
    </row>
    <row r="495" spans="1:4" ht="47.25" customHeight="1" x14ac:dyDescent="0.25">
      <c r="A495" s="42" t="s">
        <v>2086</v>
      </c>
      <c r="B495" s="42" t="s">
        <v>5013</v>
      </c>
      <c r="C495" s="43" t="s">
        <v>5014</v>
      </c>
      <c r="D495" s="44" t="s">
        <v>3726</v>
      </c>
    </row>
    <row r="496" spans="1:4" ht="47.25" customHeight="1" x14ac:dyDescent="0.25">
      <c r="A496" s="42" t="s">
        <v>2090</v>
      </c>
      <c r="B496" s="42" t="s">
        <v>5015</v>
      </c>
      <c r="C496" s="43" t="s">
        <v>5016</v>
      </c>
      <c r="D496" s="44" t="s">
        <v>3727</v>
      </c>
    </row>
    <row r="497" spans="1:4" ht="47.25" customHeight="1" x14ac:dyDescent="0.25">
      <c r="A497" s="42" t="s">
        <v>2095</v>
      </c>
      <c r="B497" s="42" t="s">
        <v>5017</v>
      </c>
      <c r="C497" s="43" t="s">
        <v>5018</v>
      </c>
      <c r="D497" s="44" t="s">
        <v>3728</v>
      </c>
    </row>
    <row r="498" spans="1:4" ht="47.25" customHeight="1" x14ac:dyDescent="0.25">
      <c r="A498" s="42" t="s">
        <v>2099</v>
      </c>
      <c r="B498" s="42" t="s">
        <v>5019</v>
      </c>
      <c r="C498" s="43" t="s">
        <v>908</v>
      </c>
      <c r="D498" s="44" t="s">
        <v>3729</v>
      </c>
    </row>
    <row r="499" spans="1:4" ht="31.5" customHeight="1" x14ac:dyDescent="0.25">
      <c r="A499" s="42" t="s">
        <v>2103</v>
      </c>
      <c r="B499" s="42" t="s">
        <v>5020</v>
      </c>
      <c r="C499" s="43" t="s">
        <v>4522</v>
      </c>
      <c r="D499" s="44" t="s">
        <v>3730</v>
      </c>
    </row>
    <row r="500" spans="1:4" ht="63" customHeight="1" x14ac:dyDescent="0.25">
      <c r="A500" s="42" t="s">
        <v>2108</v>
      </c>
      <c r="B500" s="42" t="s">
        <v>5021</v>
      </c>
      <c r="C500" s="43" t="s">
        <v>5022</v>
      </c>
      <c r="D500" s="44" t="s">
        <v>3731</v>
      </c>
    </row>
    <row r="501" spans="1:4" ht="31.5" customHeight="1" x14ac:dyDescent="0.25">
      <c r="A501" s="42" t="s">
        <v>2113</v>
      </c>
      <c r="B501" s="42" t="s">
        <v>5023</v>
      </c>
      <c r="C501" s="43" t="s">
        <v>3075</v>
      </c>
      <c r="D501" s="44" t="s">
        <v>3732</v>
      </c>
    </row>
    <row r="502" spans="1:4" ht="63" customHeight="1" x14ac:dyDescent="0.25">
      <c r="A502" s="42" t="s">
        <v>2116</v>
      </c>
      <c r="B502" s="42" t="s">
        <v>5024</v>
      </c>
      <c r="C502" s="43" t="s">
        <v>4561</v>
      </c>
      <c r="D502" s="44" t="s">
        <v>3733</v>
      </c>
    </row>
    <row r="503" spans="1:4" ht="31.5" customHeight="1" x14ac:dyDescent="0.25">
      <c r="A503" s="42" t="s">
        <v>2121</v>
      </c>
      <c r="B503" s="42" t="s">
        <v>5025</v>
      </c>
      <c r="C503" s="43" t="s">
        <v>2110</v>
      </c>
      <c r="D503" s="44" t="s">
        <v>3734</v>
      </c>
    </row>
    <row r="504" spans="1:4" ht="47.25" customHeight="1" x14ac:dyDescent="0.25">
      <c r="A504" s="42" t="s">
        <v>2125</v>
      </c>
      <c r="B504" s="42" t="s">
        <v>5026</v>
      </c>
      <c r="C504" s="43" t="s">
        <v>5027</v>
      </c>
      <c r="D504" s="44" t="s">
        <v>3735</v>
      </c>
    </row>
    <row r="505" spans="1:4" ht="31.5" customHeight="1" x14ac:dyDescent="0.25">
      <c r="A505" s="42" t="s">
        <v>2130</v>
      </c>
      <c r="B505" s="42" t="s">
        <v>5028</v>
      </c>
      <c r="C505" s="43" t="s">
        <v>5029</v>
      </c>
      <c r="D505" s="44" t="s">
        <v>3736</v>
      </c>
    </row>
    <row r="506" spans="1:4" ht="63" customHeight="1" x14ac:dyDescent="0.25">
      <c r="A506" s="42" t="s">
        <v>2135</v>
      </c>
      <c r="B506" s="42" t="s">
        <v>5030</v>
      </c>
      <c r="C506" s="43" t="s">
        <v>400</v>
      </c>
      <c r="D506" s="44" t="s">
        <v>3737</v>
      </c>
    </row>
    <row r="507" spans="1:4" ht="31.5" customHeight="1" x14ac:dyDescent="0.25">
      <c r="A507" s="42" t="s">
        <v>2140</v>
      </c>
      <c r="B507" s="42" t="s">
        <v>5031</v>
      </c>
      <c r="C507" s="43" t="s">
        <v>4673</v>
      </c>
      <c r="D507" s="44" t="s">
        <v>3738</v>
      </c>
    </row>
    <row r="508" spans="1:4" ht="47.25" customHeight="1" x14ac:dyDescent="0.25">
      <c r="A508" s="42" t="s">
        <v>2144</v>
      </c>
      <c r="B508" s="42" t="s">
        <v>5032</v>
      </c>
      <c r="C508" s="43" t="s">
        <v>4673</v>
      </c>
      <c r="D508" s="44" t="s">
        <v>3739</v>
      </c>
    </row>
    <row r="509" spans="1:4" ht="63" customHeight="1" x14ac:dyDescent="0.25">
      <c r="A509" s="42" t="s">
        <v>2148</v>
      </c>
      <c r="B509" s="42" t="s">
        <v>5033</v>
      </c>
      <c r="C509" s="43" t="s">
        <v>5034</v>
      </c>
      <c r="D509" s="44" t="s">
        <v>3740</v>
      </c>
    </row>
    <row r="510" spans="1:4" ht="47.25" customHeight="1" x14ac:dyDescent="0.25">
      <c r="A510" s="42" t="s">
        <v>2152</v>
      </c>
      <c r="B510" s="42" t="s">
        <v>5035</v>
      </c>
      <c r="C510" s="43" t="s">
        <v>174</v>
      </c>
      <c r="D510" s="44" t="s">
        <v>3741</v>
      </c>
    </row>
    <row r="511" spans="1:4" ht="78.75" customHeight="1" x14ac:dyDescent="0.25">
      <c r="A511" s="42" t="s">
        <v>2156</v>
      </c>
      <c r="B511" s="42" t="s">
        <v>5036</v>
      </c>
      <c r="C511" s="43" t="s">
        <v>1472</v>
      </c>
      <c r="D511" s="44" t="s">
        <v>3742</v>
      </c>
    </row>
    <row r="512" spans="1:4" ht="63" customHeight="1" x14ac:dyDescent="0.25">
      <c r="A512" s="42" t="s">
        <v>2162</v>
      </c>
      <c r="B512" s="42" t="s">
        <v>5037</v>
      </c>
      <c r="C512" s="43" t="s">
        <v>5038</v>
      </c>
      <c r="D512" s="44" t="s">
        <v>3743</v>
      </c>
    </row>
    <row r="513" spans="1:4" ht="63" customHeight="1" x14ac:dyDescent="0.25">
      <c r="A513" s="42" t="s">
        <v>2167</v>
      </c>
      <c r="B513" s="42" t="s">
        <v>5039</v>
      </c>
      <c r="C513" s="43" t="s">
        <v>1331</v>
      </c>
      <c r="D513" s="44" t="s">
        <v>3744</v>
      </c>
    </row>
    <row r="514" spans="1:4" ht="31.5" customHeight="1" x14ac:dyDescent="0.25">
      <c r="A514" s="42" t="s">
        <v>2170</v>
      </c>
      <c r="B514" s="42" t="s">
        <v>5040</v>
      </c>
      <c r="C514" s="43" t="s">
        <v>1764</v>
      </c>
      <c r="D514" s="44" t="s">
        <v>3745</v>
      </c>
    </row>
    <row r="515" spans="1:4" ht="31.5" customHeight="1" x14ac:dyDescent="0.25">
      <c r="A515" s="42" t="s">
        <v>2174</v>
      </c>
      <c r="B515" s="42" t="s">
        <v>5041</v>
      </c>
      <c r="C515" s="43" t="s">
        <v>95</v>
      </c>
      <c r="D515" s="44" t="s">
        <v>3746</v>
      </c>
    </row>
    <row r="516" spans="1:4" ht="31.5" customHeight="1" x14ac:dyDescent="0.25">
      <c r="A516" s="42" t="s">
        <v>2179</v>
      </c>
      <c r="B516" s="42" t="s">
        <v>5042</v>
      </c>
      <c r="C516" s="43" t="s">
        <v>4461</v>
      </c>
      <c r="D516" s="44" t="s">
        <v>3747</v>
      </c>
    </row>
    <row r="517" spans="1:4" ht="31.5" customHeight="1" x14ac:dyDescent="0.25">
      <c r="A517" s="42" t="s">
        <v>2183</v>
      </c>
      <c r="B517" s="42" t="s">
        <v>5043</v>
      </c>
      <c r="C517" s="43" t="s">
        <v>591</v>
      </c>
      <c r="D517" s="44" t="s">
        <v>3748</v>
      </c>
    </row>
    <row r="518" spans="1:4" ht="47.25" customHeight="1" x14ac:dyDescent="0.25">
      <c r="A518" s="42" t="s">
        <v>2187</v>
      </c>
      <c r="B518" s="42" t="s">
        <v>5044</v>
      </c>
      <c r="C518" s="43" t="s">
        <v>1705</v>
      </c>
      <c r="D518" s="44" t="s">
        <v>3749</v>
      </c>
    </row>
    <row r="519" spans="1:4" ht="31.5" customHeight="1" x14ac:dyDescent="0.25">
      <c r="A519" s="42" t="s">
        <v>2191</v>
      </c>
      <c r="B519" s="42" t="s">
        <v>5045</v>
      </c>
      <c r="C519" s="43" t="s">
        <v>2253</v>
      </c>
      <c r="D519" s="44" t="s">
        <v>3750</v>
      </c>
    </row>
    <row r="520" spans="1:4" ht="47.25" customHeight="1" x14ac:dyDescent="0.25">
      <c r="A520" s="42" t="s">
        <v>2196</v>
      </c>
      <c r="B520" s="42" t="s">
        <v>5046</v>
      </c>
      <c r="C520" s="43" t="s">
        <v>649</v>
      </c>
      <c r="D520" s="44" t="s">
        <v>3751</v>
      </c>
    </row>
    <row r="521" spans="1:4" ht="31.5" customHeight="1" x14ac:dyDescent="0.25">
      <c r="A521" s="42" t="s">
        <v>2200</v>
      </c>
      <c r="B521" s="42" t="s">
        <v>5047</v>
      </c>
      <c r="C521" s="43" t="s">
        <v>1926</v>
      </c>
      <c r="D521" s="44" t="s">
        <v>3752</v>
      </c>
    </row>
    <row r="522" spans="1:4" ht="47.25" customHeight="1" x14ac:dyDescent="0.25">
      <c r="A522" s="42" t="s">
        <v>2204</v>
      </c>
      <c r="B522" s="42" t="s">
        <v>5048</v>
      </c>
      <c r="C522" s="43" t="s">
        <v>1137</v>
      </c>
      <c r="D522" s="44" t="s">
        <v>3753</v>
      </c>
    </row>
    <row r="523" spans="1:4" ht="31.5" customHeight="1" x14ac:dyDescent="0.25">
      <c r="A523" s="42" t="s">
        <v>2209</v>
      </c>
      <c r="B523" s="42" t="s">
        <v>5049</v>
      </c>
      <c r="C523" s="43" t="s">
        <v>2955</v>
      </c>
      <c r="D523" s="44" t="s">
        <v>3754</v>
      </c>
    </row>
    <row r="524" spans="1:4" ht="31.5" customHeight="1" x14ac:dyDescent="0.25">
      <c r="A524" s="42" t="s">
        <v>2214</v>
      </c>
      <c r="B524" s="42" t="s">
        <v>5050</v>
      </c>
      <c r="C524" s="43" t="s">
        <v>410</v>
      </c>
      <c r="D524" s="44" t="s">
        <v>3755</v>
      </c>
    </row>
    <row r="525" spans="1:4" ht="31.5" customHeight="1" x14ac:dyDescent="0.25">
      <c r="A525" s="42" t="s">
        <v>2217</v>
      </c>
      <c r="B525" s="42" t="s">
        <v>5051</v>
      </c>
      <c r="C525" s="43" t="s">
        <v>499</v>
      </c>
      <c r="D525" s="44" t="s">
        <v>3756</v>
      </c>
    </row>
    <row r="526" spans="1:4" ht="47.25" customHeight="1" x14ac:dyDescent="0.25">
      <c r="A526" s="42" t="s">
        <v>2220</v>
      </c>
      <c r="B526" s="42" t="s">
        <v>5052</v>
      </c>
      <c r="C526" s="43" t="s">
        <v>5053</v>
      </c>
      <c r="D526" s="44" t="s">
        <v>3757</v>
      </c>
    </row>
    <row r="527" spans="1:4" ht="47.25" customHeight="1" x14ac:dyDescent="0.25">
      <c r="A527" s="42" t="s">
        <v>2225</v>
      </c>
      <c r="B527" s="42" t="s">
        <v>5054</v>
      </c>
      <c r="C527" s="43" t="s">
        <v>5055</v>
      </c>
      <c r="D527" s="44" t="s">
        <v>3758</v>
      </c>
    </row>
    <row r="528" spans="1:4" ht="47.25" customHeight="1" x14ac:dyDescent="0.25">
      <c r="A528" s="42" t="s">
        <v>2229</v>
      </c>
      <c r="B528" s="42" t="s">
        <v>5056</v>
      </c>
      <c r="C528" s="43" t="s">
        <v>2740</v>
      </c>
      <c r="D528" s="44" t="s">
        <v>3759</v>
      </c>
    </row>
    <row r="529" spans="1:4" ht="47.25" customHeight="1" x14ac:dyDescent="0.25">
      <c r="A529" s="42" t="s">
        <v>2232</v>
      </c>
      <c r="B529" s="42" t="s">
        <v>5057</v>
      </c>
      <c r="C529" s="43" t="s">
        <v>2740</v>
      </c>
      <c r="D529" s="44" t="s">
        <v>3760</v>
      </c>
    </row>
    <row r="530" spans="1:4" ht="47.25" customHeight="1" x14ac:dyDescent="0.25">
      <c r="A530" s="42" t="s">
        <v>2237</v>
      </c>
      <c r="B530" s="42" t="s">
        <v>5058</v>
      </c>
      <c r="C530" s="43" t="s">
        <v>2740</v>
      </c>
      <c r="D530" s="44" t="s">
        <v>3761</v>
      </c>
    </row>
    <row r="531" spans="1:4" ht="63" customHeight="1" x14ac:dyDescent="0.25">
      <c r="A531" s="42" t="s">
        <v>2241</v>
      </c>
      <c r="B531" s="42" t="s">
        <v>5059</v>
      </c>
      <c r="C531" s="43" t="s">
        <v>3089</v>
      </c>
      <c r="D531" s="44" t="s">
        <v>3762</v>
      </c>
    </row>
    <row r="532" spans="1:4" ht="47.25" customHeight="1" x14ac:dyDescent="0.25">
      <c r="A532" s="42" t="s">
        <v>2245</v>
      </c>
      <c r="B532" s="42" t="s">
        <v>5060</v>
      </c>
      <c r="C532" s="43" t="s">
        <v>775</v>
      </c>
      <c r="D532" s="44" t="s">
        <v>3763</v>
      </c>
    </row>
    <row r="533" spans="1:4" ht="47.25" customHeight="1" x14ac:dyDescent="0.25">
      <c r="A533" s="42" t="s">
        <v>2251</v>
      </c>
      <c r="B533" s="42" t="s">
        <v>5061</v>
      </c>
      <c r="C533" s="43" t="s">
        <v>2070</v>
      </c>
      <c r="D533" s="44" t="s">
        <v>3764</v>
      </c>
    </row>
    <row r="534" spans="1:4" ht="31.5" customHeight="1" x14ac:dyDescent="0.25">
      <c r="A534" s="42" t="s">
        <v>2256</v>
      </c>
      <c r="B534" s="42" t="s">
        <v>5062</v>
      </c>
      <c r="C534" s="43" t="s">
        <v>5063</v>
      </c>
      <c r="D534" s="44" t="s">
        <v>3765</v>
      </c>
    </row>
    <row r="535" spans="1:4" ht="31.5" customHeight="1" x14ac:dyDescent="0.25">
      <c r="A535" s="42" t="s">
        <v>2261</v>
      </c>
      <c r="B535" s="42" t="s">
        <v>5064</v>
      </c>
      <c r="C535" s="43" t="s">
        <v>3050</v>
      </c>
      <c r="D535" s="44" t="s">
        <v>3766</v>
      </c>
    </row>
    <row r="536" spans="1:4" ht="31.5" customHeight="1" x14ac:dyDescent="0.25">
      <c r="A536" s="42" t="s">
        <v>2266</v>
      </c>
      <c r="B536" s="42" t="s">
        <v>5065</v>
      </c>
      <c r="C536" s="43" t="s">
        <v>410</v>
      </c>
      <c r="D536" s="44" t="s">
        <v>3767</v>
      </c>
    </row>
    <row r="537" spans="1:4" ht="47.25" customHeight="1" x14ac:dyDescent="0.25">
      <c r="A537" s="42" t="s">
        <v>2272</v>
      </c>
      <c r="B537" s="42" t="s">
        <v>5066</v>
      </c>
      <c r="C537" s="43" t="s">
        <v>5067</v>
      </c>
      <c r="D537" s="44" t="s">
        <v>3768</v>
      </c>
    </row>
    <row r="538" spans="1:4" ht="47.25" customHeight="1" x14ac:dyDescent="0.25">
      <c r="A538" s="42" t="s">
        <v>2276</v>
      </c>
      <c r="B538" s="42" t="s">
        <v>5068</v>
      </c>
      <c r="C538" s="43" t="s">
        <v>1233</v>
      </c>
      <c r="D538" s="44" t="s">
        <v>3769</v>
      </c>
    </row>
    <row r="539" spans="1:4" ht="47.25" customHeight="1" x14ac:dyDescent="0.25">
      <c r="A539" s="42" t="s">
        <v>2281</v>
      </c>
      <c r="B539" s="42" t="s">
        <v>5069</v>
      </c>
      <c r="C539" s="43" t="s">
        <v>635</v>
      </c>
      <c r="D539" s="44" t="s">
        <v>3770</v>
      </c>
    </row>
    <row r="540" spans="1:4" ht="63" customHeight="1" x14ac:dyDescent="0.25">
      <c r="A540" s="42" t="s">
        <v>2284</v>
      </c>
      <c r="B540" s="42" t="s">
        <v>5070</v>
      </c>
      <c r="C540" s="43" t="s">
        <v>5071</v>
      </c>
      <c r="D540" s="44" t="s">
        <v>3771</v>
      </c>
    </row>
    <row r="541" spans="1:4" ht="47.25" customHeight="1" x14ac:dyDescent="0.25">
      <c r="A541" s="42" t="s">
        <v>2288</v>
      </c>
      <c r="B541" s="42" t="s">
        <v>5072</v>
      </c>
      <c r="C541" s="43" t="s">
        <v>5073</v>
      </c>
      <c r="D541" s="44" t="s">
        <v>3772</v>
      </c>
    </row>
    <row r="542" spans="1:4" ht="31.5" customHeight="1" x14ac:dyDescent="0.25">
      <c r="A542" s="42" t="s">
        <v>2293</v>
      </c>
      <c r="B542" s="42" t="s">
        <v>5074</v>
      </c>
      <c r="C542" s="43" t="s">
        <v>664</v>
      </c>
      <c r="D542" s="44" t="s">
        <v>3773</v>
      </c>
    </row>
    <row r="543" spans="1:4" ht="63" customHeight="1" x14ac:dyDescent="0.25">
      <c r="A543" s="42" t="s">
        <v>2298</v>
      </c>
      <c r="B543" s="42" t="s">
        <v>5075</v>
      </c>
      <c r="C543" s="43" t="s">
        <v>355</v>
      </c>
      <c r="D543" s="44" t="s">
        <v>3774</v>
      </c>
    </row>
    <row r="544" spans="1:4" ht="31.5" customHeight="1" x14ac:dyDescent="0.25">
      <c r="A544" s="42" t="s">
        <v>2304</v>
      </c>
      <c r="B544" s="42" t="s">
        <v>5076</v>
      </c>
      <c r="C544" s="43" t="s">
        <v>333</v>
      </c>
      <c r="D544" s="44" t="s">
        <v>3775</v>
      </c>
    </row>
    <row r="545" spans="1:4" ht="47.25" customHeight="1" x14ac:dyDescent="0.25">
      <c r="A545" s="42" t="s">
        <v>2309</v>
      </c>
      <c r="B545" s="42" t="s">
        <v>5077</v>
      </c>
      <c r="C545" s="43" t="s">
        <v>817</v>
      </c>
      <c r="D545" s="44" t="s">
        <v>3776</v>
      </c>
    </row>
    <row r="546" spans="1:4" ht="47.25" customHeight="1" x14ac:dyDescent="0.25">
      <c r="A546" s="42" t="s">
        <v>2314</v>
      </c>
      <c r="B546" s="42" t="s">
        <v>5078</v>
      </c>
      <c r="C546" s="43" t="s">
        <v>1534</v>
      </c>
      <c r="D546" s="44" t="s">
        <v>3777</v>
      </c>
    </row>
    <row r="547" spans="1:4" ht="47.25" customHeight="1" x14ac:dyDescent="0.25">
      <c r="A547" s="42" t="s">
        <v>2319</v>
      </c>
      <c r="B547" s="42" t="s">
        <v>5079</v>
      </c>
      <c r="C547" s="43" t="s">
        <v>2092</v>
      </c>
      <c r="D547" s="44" t="s">
        <v>3778</v>
      </c>
    </row>
    <row r="548" spans="1:4" ht="47.25" customHeight="1" x14ac:dyDescent="0.25">
      <c r="A548" s="42" t="s">
        <v>2322</v>
      </c>
      <c r="B548" s="42" t="s">
        <v>5080</v>
      </c>
      <c r="C548" s="43" t="s">
        <v>4752</v>
      </c>
      <c r="D548" s="44" t="s">
        <v>3779</v>
      </c>
    </row>
    <row r="549" spans="1:4" ht="47.25" customHeight="1" x14ac:dyDescent="0.25">
      <c r="A549" s="42" t="s">
        <v>2326</v>
      </c>
      <c r="B549" s="42" t="s">
        <v>5081</v>
      </c>
      <c r="C549" s="43" t="s">
        <v>5082</v>
      </c>
      <c r="D549" s="44" t="s">
        <v>3780</v>
      </c>
    </row>
    <row r="550" spans="1:4" ht="63" customHeight="1" x14ac:dyDescent="0.25">
      <c r="A550" s="42" t="s">
        <v>2331</v>
      </c>
      <c r="B550" s="42" t="s">
        <v>5083</v>
      </c>
      <c r="C550" s="43" t="s">
        <v>520</v>
      </c>
      <c r="D550" s="44" t="s">
        <v>3781</v>
      </c>
    </row>
    <row r="551" spans="1:4" ht="78.75" customHeight="1" x14ac:dyDescent="0.25">
      <c r="A551" s="42" t="s">
        <v>2335</v>
      </c>
      <c r="B551" s="42" t="s">
        <v>5084</v>
      </c>
      <c r="C551" s="43" t="s">
        <v>2070</v>
      </c>
      <c r="D551" s="44" t="s">
        <v>3782</v>
      </c>
    </row>
    <row r="552" spans="1:4" ht="63" customHeight="1" x14ac:dyDescent="0.25">
      <c r="A552" s="42" t="s">
        <v>2339</v>
      </c>
      <c r="B552" s="42" t="s">
        <v>5085</v>
      </c>
      <c r="C552" s="43" t="s">
        <v>5082</v>
      </c>
      <c r="D552" s="44" t="s">
        <v>3783</v>
      </c>
    </row>
    <row r="553" spans="1:4" ht="47.25" customHeight="1" x14ac:dyDescent="0.25">
      <c r="A553" s="42" t="s">
        <v>2344</v>
      </c>
      <c r="B553" s="42" t="s">
        <v>5086</v>
      </c>
      <c r="C553" s="43" t="s">
        <v>4835</v>
      </c>
      <c r="D553" s="44" t="s">
        <v>3680</v>
      </c>
    </row>
    <row r="554" spans="1:4" ht="47.25" customHeight="1" x14ac:dyDescent="0.25">
      <c r="A554" s="42" t="s">
        <v>2349</v>
      </c>
      <c r="B554" s="42" t="s">
        <v>5087</v>
      </c>
      <c r="C554" s="43" t="s">
        <v>389</v>
      </c>
      <c r="D554" s="44" t="s">
        <v>3784</v>
      </c>
    </row>
    <row r="555" spans="1:4" ht="63" customHeight="1" x14ac:dyDescent="0.25">
      <c r="A555" s="42" t="s">
        <v>2354</v>
      </c>
      <c r="B555" s="42" t="s">
        <v>5088</v>
      </c>
      <c r="C555" s="43" t="s">
        <v>5089</v>
      </c>
      <c r="D555" s="44" t="s">
        <v>3785</v>
      </c>
    </row>
    <row r="556" spans="1:4" ht="63" customHeight="1" x14ac:dyDescent="0.25">
      <c r="A556" s="42" t="s">
        <v>2358</v>
      </c>
      <c r="B556" s="42" t="s">
        <v>5090</v>
      </c>
      <c r="C556" s="43" t="s">
        <v>5071</v>
      </c>
      <c r="D556" s="44" t="s">
        <v>3786</v>
      </c>
    </row>
    <row r="557" spans="1:4" ht="63" customHeight="1" x14ac:dyDescent="0.25">
      <c r="A557" s="42" t="s">
        <v>2361</v>
      </c>
      <c r="B557" s="42" t="s">
        <v>5091</v>
      </c>
      <c r="C557" s="43" t="s">
        <v>1690</v>
      </c>
      <c r="D557" s="44" t="s">
        <v>3787</v>
      </c>
    </row>
    <row r="558" spans="1:4" ht="78.75" customHeight="1" x14ac:dyDescent="0.25">
      <c r="A558" s="42" t="s">
        <v>2366</v>
      </c>
      <c r="B558" s="42" t="s">
        <v>5092</v>
      </c>
      <c r="C558" s="43" t="s">
        <v>840</v>
      </c>
      <c r="D558" s="44" t="s">
        <v>3788</v>
      </c>
    </row>
    <row r="559" spans="1:4" ht="31.5" customHeight="1" x14ac:dyDescent="0.25">
      <c r="A559" s="42" t="s">
        <v>2369</v>
      </c>
      <c r="B559" s="42" t="s">
        <v>5093</v>
      </c>
      <c r="C559" s="43" t="s">
        <v>5094</v>
      </c>
      <c r="D559" s="44" t="s">
        <v>3789</v>
      </c>
    </row>
    <row r="560" spans="1:4" ht="47.25" customHeight="1" x14ac:dyDescent="0.25">
      <c r="A560" s="42" t="s">
        <v>2373</v>
      </c>
      <c r="B560" s="42" t="s">
        <v>5095</v>
      </c>
      <c r="C560" s="43" t="s">
        <v>389</v>
      </c>
      <c r="D560" s="44" t="s">
        <v>3790</v>
      </c>
    </row>
    <row r="561" spans="1:4" ht="31.5" customHeight="1" x14ac:dyDescent="0.25">
      <c r="A561" s="42" t="s">
        <v>2378</v>
      </c>
      <c r="B561" s="42" t="s">
        <v>5096</v>
      </c>
      <c r="C561" s="43" t="s">
        <v>1352</v>
      </c>
      <c r="D561" s="44" t="s">
        <v>3791</v>
      </c>
    </row>
    <row r="562" spans="1:4" ht="47.25" customHeight="1" x14ac:dyDescent="0.25">
      <c r="A562" s="42" t="s">
        <v>2383</v>
      </c>
      <c r="B562" s="42" t="s">
        <v>5097</v>
      </c>
      <c r="C562" s="43" t="s">
        <v>394</v>
      </c>
      <c r="D562" s="44" t="s">
        <v>3792</v>
      </c>
    </row>
    <row r="563" spans="1:4" ht="31.5" customHeight="1" x14ac:dyDescent="0.25">
      <c r="A563" s="42" t="s">
        <v>2387</v>
      </c>
      <c r="B563" s="42" t="s">
        <v>5098</v>
      </c>
      <c r="C563" s="43" t="s">
        <v>5099</v>
      </c>
      <c r="D563" s="44" t="s">
        <v>3793</v>
      </c>
    </row>
    <row r="564" spans="1:4" ht="31.5" customHeight="1" x14ac:dyDescent="0.25">
      <c r="A564" s="42" t="s">
        <v>2391</v>
      </c>
      <c r="B564" s="42" t="s">
        <v>5100</v>
      </c>
      <c r="C564" s="43" t="s">
        <v>1690</v>
      </c>
      <c r="D564" s="44" t="s">
        <v>3794</v>
      </c>
    </row>
    <row r="565" spans="1:4" ht="31.5" customHeight="1" x14ac:dyDescent="0.25">
      <c r="A565" s="42" t="s">
        <v>2395</v>
      </c>
      <c r="B565" s="42" t="s">
        <v>5101</v>
      </c>
      <c r="C565" s="43" t="s">
        <v>400</v>
      </c>
      <c r="D565" s="44" t="s">
        <v>3795</v>
      </c>
    </row>
    <row r="566" spans="1:4" ht="31.5" customHeight="1" x14ac:dyDescent="0.25">
      <c r="A566" s="42" t="s">
        <v>2399</v>
      </c>
      <c r="B566" s="42" t="s">
        <v>5102</v>
      </c>
      <c r="C566" s="43" t="s">
        <v>5103</v>
      </c>
      <c r="D566" s="44" t="s">
        <v>3796</v>
      </c>
    </row>
    <row r="567" spans="1:4" ht="47.25" customHeight="1" x14ac:dyDescent="0.25">
      <c r="A567" s="42" t="s">
        <v>2404</v>
      </c>
      <c r="B567" s="42" t="s">
        <v>5104</v>
      </c>
      <c r="C567" s="43" t="s">
        <v>591</v>
      </c>
      <c r="D567" s="44" t="s">
        <v>3797</v>
      </c>
    </row>
    <row r="568" spans="1:4" ht="31.5" customHeight="1" x14ac:dyDescent="0.25">
      <c r="A568" s="42" t="s">
        <v>2408</v>
      </c>
      <c r="B568" s="42" t="s">
        <v>5105</v>
      </c>
      <c r="C568" s="43" t="s">
        <v>1352</v>
      </c>
      <c r="D568" s="44" t="s">
        <v>3798</v>
      </c>
    </row>
    <row r="569" spans="1:4" ht="31.5" customHeight="1" x14ac:dyDescent="0.25">
      <c r="A569" s="42" t="s">
        <v>2412</v>
      </c>
      <c r="B569" s="42" t="s">
        <v>5106</v>
      </c>
      <c r="C569" s="43" t="s">
        <v>2994</v>
      </c>
      <c r="D569" s="44" t="s">
        <v>3799</v>
      </c>
    </row>
    <row r="570" spans="1:4" ht="47.25" customHeight="1" x14ac:dyDescent="0.25">
      <c r="A570" s="42" t="s">
        <v>2415</v>
      </c>
      <c r="B570" s="42" t="s">
        <v>5107</v>
      </c>
      <c r="C570" s="43" t="s">
        <v>5016</v>
      </c>
      <c r="D570" s="44" t="s">
        <v>3800</v>
      </c>
    </row>
    <row r="571" spans="1:4" ht="47.25" customHeight="1" x14ac:dyDescent="0.25">
      <c r="A571" s="42" t="s">
        <v>2419</v>
      </c>
      <c r="B571" s="42" t="s">
        <v>5108</v>
      </c>
      <c r="C571" s="43" t="s">
        <v>1360</v>
      </c>
      <c r="D571" s="44" t="s">
        <v>3801</v>
      </c>
    </row>
    <row r="572" spans="1:4" ht="31.5" customHeight="1" x14ac:dyDescent="0.25">
      <c r="A572" s="42" t="s">
        <v>2423</v>
      </c>
      <c r="B572" s="42" t="s">
        <v>5109</v>
      </c>
      <c r="C572" s="43" t="s">
        <v>5103</v>
      </c>
      <c r="D572" s="44" t="s">
        <v>3802</v>
      </c>
    </row>
    <row r="573" spans="1:4" ht="63" customHeight="1" x14ac:dyDescent="0.25">
      <c r="A573" s="42" t="s">
        <v>2427</v>
      </c>
      <c r="B573" s="42" t="s">
        <v>5110</v>
      </c>
      <c r="C573" s="43" t="s">
        <v>5067</v>
      </c>
      <c r="D573" s="44" t="s">
        <v>3803</v>
      </c>
    </row>
    <row r="574" spans="1:4" ht="47.25" customHeight="1" x14ac:dyDescent="0.25">
      <c r="A574" s="42" t="s">
        <v>2431</v>
      </c>
      <c r="B574" s="42" t="s">
        <v>5111</v>
      </c>
      <c r="C574" s="43" t="s">
        <v>410</v>
      </c>
      <c r="D574" s="44" t="s">
        <v>3804</v>
      </c>
    </row>
    <row r="575" spans="1:4" ht="47.25" customHeight="1" x14ac:dyDescent="0.25">
      <c r="A575" s="42" t="s">
        <v>2434</v>
      </c>
      <c r="B575" s="42" t="s">
        <v>5112</v>
      </c>
      <c r="C575" s="43" t="s">
        <v>4565</v>
      </c>
      <c r="D575" s="44" t="s">
        <v>3805</v>
      </c>
    </row>
    <row r="576" spans="1:4" ht="63" customHeight="1" x14ac:dyDescent="0.25">
      <c r="A576" s="42" t="s">
        <v>2439</v>
      </c>
      <c r="B576" s="42" t="s">
        <v>5113</v>
      </c>
      <c r="C576" s="43" t="s">
        <v>775</v>
      </c>
      <c r="D576" s="44" t="s">
        <v>3806</v>
      </c>
    </row>
    <row r="577" spans="1:4" ht="94.5" customHeight="1" x14ac:dyDescent="0.25">
      <c r="A577" s="42" t="s">
        <v>2443</v>
      </c>
      <c r="B577" s="42" t="s">
        <v>5114</v>
      </c>
      <c r="C577" s="43" t="s">
        <v>355</v>
      </c>
      <c r="D577" s="44" t="s">
        <v>3807</v>
      </c>
    </row>
    <row r="578" spans="1:4" ht="110.25" customHeight="1" x14ac:dyDescent="0.25">
      <c r="A578" s="42" t="s">
        <v>2448</v>
      </c>
      <c r="B578" s="42" t="s">
        <v>5115</v>
      </c>
      <c r="C578" s="43" t="s">
        <v>826</v>
      </c>
      <c r="D578" s="44" t="s">
        <v>3808</v>
      </c>
    </row>
    <row r="579" spans="1:4" ht="47.25" customHeight="1" x14ac:dyDescent="0.25">
      <c r="A579" s="42" t="s">
        <v>2453</v>
      </c>
      <c r="B579" s="42" t="s">
        <v>5116</v>
      </c>
      <c r="C579" s="43" t="s">
        <v>4432</v>
      </c>
      <c r="D579" s="44" t="s">
        <v>3809</v>
      </c>
    </row>
    <row r="580" spans="1:4" ht="63" customHeight="1" x14ac:dyDescent="0.25">
      <c r="A580" s="42" t="s">
        <v>2457</v>
      </c>
      <c r="B580" s="42" t="s">
        <v>5117</v>
      </c>
      <c r="C580" s="43" t="s">
        <v>5118</v>
      </c>
      <c r="D580" s="44" t="s">
        <v>3810</v>
      </c>
    </row>
    <row r="581" spans="1:4" ht="31.5" customHeight="1" x14ac:dyDescent="0.25">
      <c r="A581" s="42" t="s">
        <v>2463</v>
      </c>
      <c r="B581" s="42" t="s">
        <v>5119</v>
      </c>
      <c r="C581" s="43" t="s">
        <v>1360</v>
      </c>
      <c r="D581" s="44" t="s">
        <v>3811</v>
      </c>
    </row>
    <row r="582" spans="1:4" ht="47.25" customHeight="1" x14ac:dyDescent="0.25">
      <c r="A582" s="42" t="s">
        <v>2467</v>
      </c>
      <c r="B582" s="42" t="s">
        <v>5120</v>
      </c>
      <c r="C582" s="43" t="s">
        <v>855</v>
      </c>
      <c r="D582" s="44" t="s">
        <v>3812</v>
      </c>
    </row>
    <row r="583" spans="1:4" ht="47.25" customHeight="1" x14ac:dyDescent="0.25">
      <c r="A583" s="42" t="s">
        <v>2471</v>
      </c>
      <c r="B583" s="42" t="s">
        <v>5121</v>
      </c>
      <c r="C583" s="43" t="s">
        <v>2542</v>
      </c>
      <c r="D583" s="44" t="s">
        <v>3813</v>
      </c>
    </row>
    <row r="584" spans="1:4" ht="47.25" customHeight="1" x14ac:dyDescent="0.25">
      <c r="A584" s="42" t="s">
        <v>2476</v>
      </c>
      <c r="B584" s="42" t="s">
        <v>5122</v>
      </c>
      <c r="C584" s="43" t="s">
        <v>2955</v>
      </c>
      <c r="D584" s="44" t="s">
        <v>3814</v>
      </c>
    </row>
    <row r="585" spans="1:4" ht="47.25" customHeight="1" x14ac:dyDescent="0.25">
      <c r="A585" s="42" t="s">
        <v>2479</v>
      </c>
      <c r="B585" s="42" t="s">
        <v>5123</v>
      </c>
      <c r="C585" s="43" t="s">
        <v>5124</v>
      </c>
      <c r="D585" s="44" t="s">
        <v>3815</v>
      </c>
    </row>
    <row r="586" spans="1:4" ht="63" customHeight="1" x14ac:dyDescent="0.25">
      <c r="A586" s="42" t="s">
        <v>2482</v>
      </c>
      <c r="B586" s="42" t="s">
        <v>5125</v>
      </c>
      <c r="C586" s="43" t="s">
        <v>1118</v>
      </c>
      <c r="D586" s="44" t="s">
        <v>3816</v>
      </c>
    </row>
    <row r="587" spans="1:4" ht="31.5" customHeight="1" x14ac:dyDescent="0.25">
      <c r="A587" s="42" t="s">
        <v>2487</v>
      </c>
      <c r="B587" s="42" t="s">
        <v>5126</v>
      </c>
      <c r="C587" s="43" t="s">
        <v>5127</v>
      </c>
      <c r="D587" s="44" t="s">
        <v>3817</v>
      </c>
    </row>
    <row r="588" spans="1:4" ht="63" customHeight="1" x14ac:dyDescent="0.25">
      <c r="A588" s="42" t="s">
        <v>2491</v>
      </c>
      <c r="B588" s="42" t="s">
        <v>5128</v>
      </c>
      <c r="C588" s="43" t="s">
        <v>4687</v>
      </c>
      <c r="D588" s="44" t="s">
        <v>3818</v>
      </c>
    </row>
    <row r="589" spans="1:4" ht="47.25" customHeight="1" x14ac:dyDescent="0.25">
      <c r="A589" s="42" t="s">
        <v>2496</v>
      </c>
      <c r="B589" s="42" t="s">
        <v>5129</v>
      </c>
      <c r="C589" s="43" t="s">
        <v>5130</v>
      </c>
      <c r="D589" s="44" t="s">
        <v>3819</v>
      </c>
    </row>
    <row r="590" spans="1:4" ht="31.5" customHeight="1" x14ac:dyDescent="0.25">
      <c r="A590" s="42" t="s">
        <v>2500</v>
      </c>
      <c r="B590" s="42" t="s">
        <v>5131</v>
      </c>
      <c r="C590" s="43" t="s">
        <v>609</v>
      </c>
      <c r="D590" s="44" t="s">
        <v>3820</v>
      </c>
    </row>
    <row r="591" spans="1:4" ht="47.25" customHeight="1" x14ac:dyDescent="0.25">
      <c r="A591" s="42" t="s">
        <v>2506</v>
      </c>
      <c r="B591" s="42" t="s">
        <v>5132</v>
      </c>
      <c r="C591" s="43" t="s">
        <v>5133</v>
      </c>
      <c r="D591" s="44" t="s">
        <v>3821</v>
      </c>
    </row>
    <row r="592" spans="1:4" ht="47.25" customHeight="1" x14ac:dyDescent="0.25">
      <c r="A592" s="42" t="s">
        <v>2509</v>
      </c>
      <c r="B592" s="42" t="s">
        <v>5134</v>
      </c>
      <c r="C592" s="43" t="s">
        <v>4673</v>
      </c>
      <c r="D592" s="44" t="s">
        <v>3822</v>
      </c>
    </row>
    <row r="593" spans="1:4" ht="47.25" customHeight="1" x14ac:dyDescent="0.25">
      <c r="A593" s="42" t="s">
        <v>2513</v>
      </c>
      <c r="B593" s="42" t="s">
        <v>5135</v>
      </c>
      <c r="C593" s="43" t="s">
        <v>3050</v>
      </c>
      <c r="D593" s="44" t="s">
        <v>3823</v>
      </c>
    </row>
    <row r="594" spans="1:4" ht="47.25" customHeight="1" x14ac:dyDescent="0.25">
      <c r="A594" s="42" t="s">
        <v>2517</v>
      </c>
      <c r="B594" s="42" t="s">
        <v>5136</v>
      </c>
      <c r="C594" s="43" t="s">
        <v>783</v>
      </c>
      <c r="D594" s="44" t="s">
        <v>3824</v>
      </c>
    </row>
    <row r="595" spans="1:4" ht="31.5" customHeight="1" x14ac:dyDescent="0.25">
      <c r="A595" s="42" t="s">
        <v>2521</v>
      </c>
      <c r="B595" s="42" t="s">
        <v>5137</v>
      </c>
      <c r="C595" s="43" t="s">
        <v>5138</v>
      </c>
      <c r="D595" s="44" t="s">
        <v>3825</v>
      </c>
    </row>
    <row r="596" spans="1:4" ht="63" customHeight="1" x14ac:dyDescent="0.25">
      <c r="A596" s="42" t="s">
        <v>2525</v>
      </c>
      <c r="B596" s="42" t="s">
        <v>5139</v>
      </c>
      <c r="C596" s="43" t="s">
        <v>955</v>
      </c>
      <c r="D596" s="44" t="s">
        <v>3826</v>
      </c>
    </row>
    <row r="597" spans="1:4" ht="31.5" customHeight="1" x14ac:dyDescent="0.25">
      <c r="A597" s="42" t="s">
        <v>2529</v>
      </c>
      <c r="B597" s="42" t="s">
        <v>5140</v>
      </c>
      <c r="C597" s="43" t="s">
        <v>5141</v>
      </c>
      <c r="D597" s="44" t="s">
        <v>3827</v>
      </c>
    </row>
    <row r="598" spans="1:4" ht="63" customHeight="1" x14ac:dyDescent="0.25">
      <c r="A598" s="42" t="s">
        <v>2534</v>
      </c>
      <c r="B598" s="42" t="s">
        <v>5142</v>
      </c>
      <c r="C598" s="43" t="s">
        <v>5141</v>
      </c>
      <c r="D598" s="44" t="s">
        <v>3828</v>
      </c>
    </row>
    <row r="599" spans="1:4" ht="31.5" customHeight="1" x14ac:dyDescent="0.25">
      <c r="A599" s="42" t="s">
        <v>2540</v>
      </c>
      <c r="B599" s="42" t="s">
        <v>5143</v>
      </c>
      <c r="C599" s="43" t="s">
        <v>550</v>
      </c>
      <c r="D599" s="44" t="s">
        <v>3829</v>
      </c>
    </row>
    <row r="600" spans="1:4" ht="31.5" customHeight="1" x14ac:dyDescent="0.25">
      <c r="A600" s="42" t="s">
        <v>2545</v>
      </c>
      <c r="B600" s="42" t="s">
        <v>5144</v>
      </c>
      <c r="C600" s="43" t="s">
        <v>550</v>
      </c>
      <c r="D600" s="44" t="s">
        <v>3830</v>
      </c>
    </row>
    <row r="601" spans="1:4" ht="47.25" customHeight="1" x14ac:dyDescent="0.25">
      <c r="A601" s="42" t="s">
        <v>2550</v>
      </c>
      <c r="B601" s="42" t="s">
        <v>5145</v>
      </c>
      <c r="C601" s="43" t="s">
        <v>1626</v>
      </c>
      <c r="D601" s="44" t="s">
        <v>3831</v>
      </c>
    </row>
    <row r="602" spans="1:4" ht="31.5" customHeight="1" x14ac:dyDescent="0.25">
      <c r="A602" s="42" t="s">
        <v>2554</v>
      </c>
      <c r="B602" s="42" t="s">
        <v>5146</v>
      </c>
      <c r="C602" s="43" t="s">
        <v>840</v>
      </c>
      <c r="D602" s="44" t="s">
        <v>3832</v>
      </c>
    </row>
    <row r="603" spans="1:4" ht="31.5" customHeight="1" x14ac:dyDescent="0.25">
      <c r="A603" s="42" t="s">
        <v>2559</v>
      </c>
      <c r="B603" s="42" t="s">
        <v>5147</v>
      </c>
      <c r="C603" s="43" t="s">
        <v>826</v>
      </c>
      <c r="D603" s="44" t="s">
        <v>3833</v>
      </c>
    </row>
    <row r="604" spans="1:4" ht="31.5" customHeight="1" x14ac:dyDescent="0.25">
      <c r="A604" s="42" t="s">
        <v>2563</v>
      </c>
      <c r="B604" s="42" t="s">
        <v>5148</v>
      </c>
      <c r="C604" s="43" t="s">
        <v>306</v>
      </c>
      <c r="D604" s="44" t="s">
        <v>3834</v>
      </c>
    </row>
    <row r="605" spans="1:4" ht="31.5" customHeight="1" x14ac:dyDescent="0.25">
      <c r="A605" s="42" t="s">
        <v>2567</v>
      </c>
      <c r="B605" s="42" t="s">
        <v>5149</v>
      </c>
      <c r="C605" s="43" t="s">
        <v>609</v>
      </c>
      <c r="D605" s="44" t="s">
        <v>3835</v>
      </c>
    </row>
    <row r="606" spans="1:4" ht="31.5" customHeight="1" x14ac:dyDescent="0.25">
      <c r="A606" s="42" t="s">
        <v>2572</v>
      </c>
      <c r="B606" s="42" t="s">
        <v>5150</v>
      </c>
      <c r="C606" s="43" t="s">
        <v>609</v>
      </c>
      <c r="D606" s="44" t="s">
        <v>3836</v>
      </c>
    </row>
    <row r="607" spans="1:4" ht="47.25" customHeight="1" x14ac:dyDescent="0.25">
      <c r="A607" s="42" t="s">
        <v>2576</v>
      </c>
      <c r="B607" s="42" t="s">
        <v>5151</v>
      </c>
      <c r="C607" s="43" t="s">
        <v>5152</v>
      </c>
      <c r="D607" s="44" t="s">
        <v>3837</v>
      </c>
    </row>
    <row r="608" spans="1:4" ht="31.5" customHeight="1" x14ac:dyDescent="0.25">
      <c r="A608" s="42" t="s">
        <v>2580</v>
      </c>
      <c r="B608" s="42" t="s">
        <v>5153</v>
      </c>
      <c r="C608" s="43" t="s">
        <v>294</v>
      </c>
      <c r="D608" s="44" t="s">
        <v>3838</v>
      </c>
    </row>
    <row r="609" spans="1:4" ht="47.25" customHeight="1" x14ac:dyDescent="0.25">
      <c r="A609" s="42" t="s">
        <v>2585</v>
      </c>
      <c r="B609" s="42" t="s">
        <v>5154</v>
      </c>
      <c r="C609" s="43" t="s">
        <v>2955</v>
      </c>
      <c r="D609" s="44" t="s">
        <v>3839</v>
      </c>
    </row>
    <row r="610" spans="1:4" ht="31.5" customHeight="1" x14ac:dyDescent="0.25">
      <c r="A610" s="42" t="s">
        <v>2591</v>
      </c>
      <c r="B610" s="42" t="s">
        <v>5155</v>
      </c>
      <c r="C610" s="43" t="s">
        <v>2436</v>
      </c>
      <c r="D610" s="44" t="s">
        <v>3840</v>
      </c>
    </row>
    <row r="611" spans="1:4" ht="47.25" customHeight="1" x14ac:dyDescent="0.25">
      <c r="A611" s="42" t="s">
        <v>2595</v>
      </c>
      <c r="B611" s="42" t="s">
        <v>5156</v>
      </c>
      <c r="C611" s="43" t="s">
        <v>1094</v>
      </c>
      <c r="D611" s="44" t="s">
        <v>3841</v>
      </c>
    </row>
    <row r="612" spans="1:4" ht="47.25" customHeight="1" x14ac:dyDescent="0.25">
      <c r="A612" s="42" t="s">
        <v>2599</v>
      </c>
      <c r="B612" s="42" t="s">
        <v>5157</v>
      </c>
      <c r="C612" s="43" t="s">
        <v>5158</v>
      </c>
      <c r="D612" s="44" t="s">
        <v>3842</v>
      </c>
    </row>
    <row r="613" spans="1:4" ht="47.25" customHeight="1" x14ac:dyDescent="0.25">
      <c r="A613" s="42" t="s">
        <v>2602</v>
      </c>
      <c r="B613" s="42" t="s">
        <v>5159</v>
      </c>
      <c r="C613" s="43" t="s">
        <v>283</v>
      </c>
      <c r="D613" s="44" t="s">
        <v>3843</v>
      </c>
    </row>
    <row r="614" spans="1:4" ht="31.5" customHeight="1" x14ac:dyDescent="0.25">
      <c r="A614" s="42" t="s">
        <v>2606</v>
      </c>
      <c r="B614" s="42" t="s">
        <v>5160</v>
      </c>
      <c r="C614" s="43" t="s">
        <v>5161</v>
      </c>
      <c r="D614" s="44" t="s">
        <v>3844</v>
      </c>
    </row>
    <row r="615" spans="1:4" ht="31.5" customHeight="1" x14ac:dyDescent="0.25">
      <c r="A615" s="42" t="s">
        <v>2610</v>
      </c>
      <c r="B615" s="42" t="s">
        <v>5162</v>
      </c>
      <c r="C615" s="43" t="s">
        <v>5163</v>
      </c>
      <c r="D615" s="44" t="s">
        <v>3845</v>
      </c>
    </row>
    <row r="616" spans="1:4" ht="47.25" customHeight="1" x14ac:dyDescent="0.25">
      <c r="A616" s="42" t="s">
        <v>2614</v>
      </c>
      <c r="B616" s="42" t="s">
        <v>5164</v>
      </c>
      <c r="C616" s="43" t="s">
        <v>840</v>
      </c>
      <c r="D616" s="44" t="s">
        <v>3846</v>
      </c>
    </row>
    <row r="617" spans="1:4" ht="31.5" customHeight="1" x14ac:dyDescent="0.25">
      <c r="A617" s="42" t="s">
        <v>2618</v>
      </c>
      <c r="B617" s="42" t="s">
        <v>5165</v>
      </c>
      <c r="C617" s="43" t="s">
        <v>5166</v>
      </c>
      <c r="D617" s="44" t="s">
        <v>3847</v>
      </c>
    </row>
    <row r="618" spans="1:4" ht="31.5" customHeight="1" x14ac:dyDescent="0.25">
      <c r="A618" s="42" t="s">
        <v>2623</v>
      </c>
      <c r="B618" s="42" t="s">
        <v>5167</v>
      </c>
      <c r="C618" s="43" t="s">
        <v>1259</v>
      </c>
      <c r="D618" s="44" t="s">
        <v>3848</v>
      </c>
    </row>
    <row r="619" spans="1:4" ht="78.75" customHeight="1" x14ac:dyDescent="0.25">
      <c r="A619" s="42" t="s">
        <v>2626</v>
      </c>
      <c r="B619" s="42" t="s">
        <v>5168</v>
      </c>
      <c r="C619" s="43" t="s">
        <v>712</v>
      </c>
      <c r="D619" s="44" t="s">
        <v>3849</v>
      </c>
    </row>
    <row r="620" spans="1:4" ht="47.25" customHeight="1" x14ac:dyDescent="0.25">
      <c r="A620" s="42" t="s">
        <v>2631</v>
      </c>
      <c r="B620" s="42" t="s">
        <v>5169</v>
      </c>
      <c r="C620" s="43" t="s">
        <v>4776</v>
      </c>
      <c r="D620" s="44" t="s">
        <v>3850</v>
      </c>
    </row>
    <row r="621" spans="1:4" ht="47.25" customHeight="1" x14ac:dyDescent="0.25">
      <c r="A621" s="42" t="s">
        <v>2635</v>
      </c>
      <c r="B621" s="42" t="s">
        <v>5170</v>
      </c>
      <c r="C621" s="43" t="s">
        <v>591</v>
      </c>
      <c r="D621" s="44" t="s">
        <v>3851</v>
      </c>
    </row>
    <row r="622" spans="1:4" ht="31.5" customHeight="1" x14ac:dyDescent="0.25">
      <c r="A622" s="42" t="s">
        <v>2640</v>
      </c>
      <c r="B622" s="42" t="s">
        <v>5171</v>
      </c>
      <c r="C622" s="43" t="s">
        <v>236</v>
      </c>
      <c r="D622" s="44" t="s">
        <v>3852</v>
      </c>
    </row>
    <row r="623" spans="1:4" ht="63" customHeight="1" x14ac:dyDescent="0.25">
      <c r="A623" s="42" t="s">
        <v>2644</v>
      </c>
      <c r="B623" s="42" t="s">
        <v>5172</v>
      </c>
      <c r="C623" s="54" t="s">
        <v>5173</v>
      </c>
      <c r="D623" s="44" t="s">
        <v>3853</v>
      </c>
    </row>
    <row r="624" spans="1:4" ht="47.25" customHeight="1" x14ac:dyDescent="0.25">
      <c r="A624" s="42" t="s">
        <v>2648</v>
      </c>
      <c r="B624" s="42" t="s">
        <v>5174</v>
      </c>
      <c r="C624" s="43" t="s">
        <v>4407</v>
      </c>
      <c r="D624" s="44" t="s">
        <v>3854</v>
      </c>
    </row>
    <row r="625" spans="1:4" ht="47.25" customHeight="1" x14ac:dyDescent="0.25">
      <c r="A625" s="42" t="s">
        <v>2652</v>
      </c>
      <c r="B625" s="42" t="s">
        <v>5175</v>
      </c>
      <c r="C625" s="43" t="s">
        <v>1369</v>
      </c>
      <c r="D625" s="44" t="s">
        <v>3855</v>
      </c>
    </row>
    <row r="626" spans="1:4" ht="47.25" customHeight="1" x14ac:dyDescent="0.25">
      <c r="A626" s="42" t="s">
        <v>2656</v>
      </c>
      <c r="B626" s="42" t="s">
        <v>5176</v>
      </c>
      <c r="C626" s="43" t="s">
        <v>5177</v>
      </c>
      <c r="D626" s="44" t="s">
        <v>3856</v>
      </c>
    </row>
    <row r="627" spans="1:4" ht="31.5" customHeight="1" x14ac:dyDescent="0.25">
      <c r="A627" s="42" t="s">
        <v>2660</v>
      </c>
      <c r="B627" s="42" t="s">
        <v>5178</v>
      </c>
      <c r="C627" s="43" t="s">
        <v>400</v>
      </c>
      <c r="D627" s="44" t="s">
        <v>3857</v>
      </c>
    </row>
    <row r="628" spans="1:4" ht="31.5" customHeight="1" x14ac:dyDescent="0.25">
      <c r="A628" s="42" t="s">
        <v>2664</v>
      </c>
      <c r="B628" s="42" t="s">
        <v>5179</v>
      </c>
      <c r="C628" s="43" t="s">
        <v>4673</v>
      </c>
      <c r="D628" s="44" t="s">
        <v>3858</v>
      </c>
    </row>
    <row r="629" spans="1:4" ht="47.25" customHeight="1" x14ac:dyDescent="0.25">
      <c r="A629" s="42" t="s">
        <v>2669</v>
      </c>
      <c r="B629" s="42" t="s">
        <v>5180</v>
      </c>
      <c r="C629" s="43" t="s">
        <v>4683</v>
      </c>
      <c r="D629" s="44" t="s">
        <v>3859</v>
      </c>
    </row>
    <row r="630" spans="1:4" ht="47.25" customHeight="1" x14ac:dyDescent="0.25">
      <c r="A630" s="42" t="s">
        <v>2673</v>
      </c>
      <c r="B630" s="42" t="s">
        <v>5181</v>
      </c>
      <c r="C630" s="43" t="s">
        <v>5182</v>
      </c>
      <c r="D630" s="44" t="s">
        <v>3860</v>
      </c>
    </row>
    <row r="631" spans="1:4" ht="63" customHeight="1" x14ac:dyDescent="0.25">
      <c r="A631" s="42" t="s">
        <v>2677</v>
      </c>
      <c r="B631" s="42" t="s">
        <v>5183</v>
      </c>
      <c r="C631" s="43" t="s">
        <v>5022</v>
      </c>
      <c r="D631" s="44" t="s">
        <v>3861</v>
      </c>
    </row>
    <row r="632" spans="1:4" ht="47.25" customHeight="1" x14ac:dyDescent="0.25">
      <c r="A632" s="42" t="s">
        <v>2681</v>
      </c>
      <c r="B632" s="42" t="s">
        <v>5184</v>
      </c>
      <c r="C632" s="43" t="s">
        <v>326</v>
      </c>
      <c r="D632" s="44" t="s">
        <v>3862</v>
      </c>
    </row>
    <row r="633" spans="1:4" ht="47.25" customHeight="1" x14ac:dyDescent="0.25">
      <c r="A633" s="42" t="s">
        <v>2685</v>
      </c>
      <c r="B633" s="42" t="s">
        <v>5185</v>
      </c>
      <c r="C633" s="43" t="s">
        <v>4966</v>
      </c>
      <c r="D633" s="44" t="s">
        <v>3863</v>
      </c>
    </row>
    <row r="634" spans="1:4" ht="31.5" customHeight="1" x14ac:dyDescent="0.25">
      <c r="A634" s="42" t="s">
        <v>2690</v>
      </c>
      <c r="B634" s="42" t="s">
        <v>5186</v>
      </c>
      <c r="C634" s="43" t="s">
        <v>5141</v>
      </c>
      <c r="D634" s="44" t="s">
        <v>3864</v>
      </c>
    </row>
    <row r="635" spans="1:4" ht="31.5" customHeight="1" x14ac:dyDescent="0.25">
      <c r="A635" s="42" t="s">
        <v>2696</v>
      </c>
      <c r="B635" s="42" t="s">
        <v>5187</v>
      </c>
      <c r="C635" s="43" t="s">
        <v>4554</v>
      </c>
      <c r="D635" s="44" t="s">
        <v>3865</v>
      </c>
    </row>
    <row r="636" spans="1:4" ht="31.5" customHeight="1" x14ac:dyDescent="0.25">
      <c r="A636" s="42" t="s">
        <v>2700</v>
      </c>
      <c r="B636" s="42" t="s">
        <v>5188</v>
      </c>
      <c r="C636" s="43" t="s">
        <v>4554</v>
      </c>
      <c r="D636" s="44" t="s">
        <v>3866</v>
      </c>
    </row>
    <row r="637" spans="1:4" ht="63" customHeight="1" x14ac:dyDescent="0.25">
      <c r="A637" s="42" t="s">
        <v>2704</v>
      </c>
      <c r="B637" s="42" t="s">
        <v>5189</v>
      </c>
      <c r="C637" s="43" t="s">
        <v>1564</v>
      </c>
      <c r="D637" s="44" t="s">
        <v>3867</v>
      </c>
    </row>
    <row r="638" spans="1:4" ht="31.5" customHeight="1" x14ac:dyDescent="0.25">
      <c r="A638" s="42" t="s">
        <v>2709</v>
      </c>
      <c r="B638" s="42" t="s">
        <v>5190</v>
      </c>
      <c r="C638" s="43" t="s">
        <v>294</v>
      </c>
      <c r="D638" s="44" t="s">
        <v>3868</v>
      </c>
    </row>
    <row r="639" spans="1:4" ht="47.25" customHeight="1" x14ac:dyDescent="0.25">
      <c r="A639" s="42" t="s">
        <v>2713</v>
      </c>
      <c r="B639" s="42" t="s">
        <v>5191</v>
      </c>
      <c r="C639" s="43" t="s">
        <v>5192</v>
      </c>
      <c r="D639" s="44" t="s">
        <v>3869</v>
      </c>
    </row>
    <row r="640" spans="1:4" ht="47.25" customHeight="1" x14ac:dyDescent="0.25">
      <c r="A640" s="42" t="s">
        <v>2717</v>
      </c>
      <c r="B640" s="42" t="s">
        <v>5193</v>
      </c>
      <c r="C640" s="43" t="s">
        <v>4768</v>
      </c>
      <c r="D640" s="44" t="s">
        <v>3870</v>
      </c>
    </row>
    <row r="641" spans="1:4" ht="47.25" customHeight="1" x14ac:dyDescent="0.25">
      <c r="A641" s="42" t="s">
        <v>2721</v>
      </c>
      <c r="B641" s="42" t="s">
        <v>5194</v>
      </c>
      <c r="C641" s="43" t="s">
        <v>5195</v>
      </c>
      <c r="D641" s="44" t="s">
        <v>3871</v>
      </c>
    </row>
    <row r="642" spans="1:4" ht="47.25" customHeight="1" x14ac:dyDescent="0.25">
      <c r="A642" s="42" t="s">
        <v>2726</v>
      </c>
      <c r="B642" s="42" t="s">
        <v>5196</v>
      </c>
      <c r="C642" s="43" t="s">
        <v>635</v>
      </c>
      <c r="D642" s="44" t="s">
        <v>3872</v>
      </c>
    </row>
    <row r="643" spans="1:4" ht="47.25" customHeight="1" x14ac:dyDescent="0.25">
      <c r="A643" s="42" t="s">
        <v>2730</v>
      </c>
      <c r="B643" s="42" t="s">
        <v>5197</v>
      </c>
      <c r="C643" s="43" t="s">
        <v>1228</v>
      </c>
      <c r="D643" s="44" t="s">
        <v>3873</v>
      </c>
    </row>
    <row r="644" spans="1:4" ht="63" customHeight="1" x14ac:dyDescent="0.25">
      <c r="A644" s="42" t="s">
        <v>2734</v>
      </c>
      <c r="B644" s="42" t="s">
        <v>5198</v>
      </c>
      <c r="C644" s="43" t="s">
        <v>5199</v>
      </c>
      <c r="D644" s="44" t="s">
        <v>3874</v>
      </c>
    </row>
    <row r="645" spans="1:4" ht="94.5" customHeight="1" x14ac:dyDescent="0.25">
      <c r="A645" s="42" t="s">
        <v>2738</v>
      </c>
      <c r="B645" s="42" t="s">
        <v>5200</v>
      </c>
      <c r="C645" s="43" t="s">
        <v>978</v>
      </c>
      <c r="D645" s="44" t="s">
        <v>3875</v>
      </c>
    </row>
    <row r="646" spans="1:4" ht="47.25" customHeight="1" x14ac:dyDescent="0.25">
      <c r="A646" s="42" t="s">
        <v>2743</v>
      </c>
      <c r="B646" s="42" t="s">
        <v>5201</v>
      </c>
      <c r="C646" s="43" t="s">
        <v>5202</v>
      </c>
      <c r="D646" s="44" t="s">
        <v>3876</v>
      </c>
    </row>
    <row r="647" spans="1:4" ht="63" customHeight="1" x14ac:dyDescent="0.25">
      <c r="A647" s="42" t="s">
        <v>2747</v>
      </c>
      <c r="B647" s="42" t="s">
        <v>5203</v>
      </c>
      <c r="C647" s="43" t="s">
        <v>5202</v>
      </c>
      <c r="D647" s="44" t="s">
        <v>3877</v>
      </c>
    </row>
    <row r="648" spans="1:4" ht="15.75" customHeight="1" x14ac:dyDescent="0.25">
      <c r="A648" s="42" t="s">
        <v>2751</v>
      </c>
      <c r="B648" s="42" t="s">
        <v>5204</v>
      </c>
      <c r="C648" s="43" t="s">
        <v>664</v>
      </c>
      <c r="D648" s="44" t="s">
        <v>3878</v>
      </c>
    </row>
    <row r="649" spans="1:4" ht="47.25" customHeight="1" x14ac:dyDescent="0.25">
      <c r="A649" s="42" t="s">
        <v>2756</v>
      </c>
      <c r="B649" s="42" t="s">
        <v>5205</v>
      </c>
      <c r="C649" s="43" t="s">
        <v>5141</v>
      </c>
      <c r="D649" s="44" t="s">
        <v>3879</v>
      </c>
    </row>
    <row r="650" spans="1:4" ht="47.25" customHeight="1" x14ac:dyDescent="0.25">
      <c r="A650" s="42" t="s">
        <v>2760</v>
      </c>
      <c r="B650" s="42" t="s">
        <v>5206</v>
      </c>
      <c r="C650" s="43" t="s">
        <v>4480</v>
      </c>
      <c r="D650" s="44" t="s">
        <v>3880</v>
      </c>
    </row>
    <row r="651" spans="1:4" ht="47.25" customHeight="1" x14ac:dyDescent="0.25">
      <c r="A651" s="42" t="s">
        <v>2764</v>
      </c>
      <c r="B651" s="42" t="s">
        <v>5207</v>
      </c>
      <c r="C651" s="43" t="s">
        <v>579</v>
      </c>
      <c r="D651" s="44" t="s">
        <v>3881</v>
      </c>
    </row>
    <row r="652" spans="1:4" ht="63" customHeight="1" x14ac:dyDescent="0.25">
      <c r="A652" s="42" t="s">
        <v>2768</v>
      </c>
      <c r="B652" s="42" t="s">
        <v>5208</v>
      </c>
      <c r="C652" s="43" t="s">
        <v>1228</v>
      </c>
      <c r="D652" s="44" t="s">
        <v>3882</v>
      </c>
    </row>
    <row r="653" spans="1:4" ht="63" customHeight="1" x14ac:dyDescent="0.25">
      <c r="A653" s="42" t="s">
        <v>2772</v>
      </c>
      <c r="B653" s="42" t="s">
        <v>5209</v>
      </c>
      <c r="C653" s="43" t="s">
        <v>1228</v>
      </c>
      <c r="D653" s="44" t="s">
        <v>3883</v>
      </c>
    </row>
    <row r="654" spans="1:4" ht="47.25" customHeight="1" x14ac:dyDescent="0.25">
      <c r="A654" s="42" t="s">
        <v>2776</v>
      </c>
      <c r="B654" s="42" t="s">
        <v>5210</v>
      </c>
      <c r="C654" s="43" t="s">
        <v>2070</v>
      </c>
      <c r="D654" s="44" t="s">
        <v>3884</v>
      </c>
    </row>
    <row r="655" spans="1:4" ht="47.25" customHeight="1" x14ac:dyDescent="0.25">
      <c r="A655" s="42" t="s">
        <v>2780</v>
      </c>
      <c r="B655" s="42" t="s">
        <v>5211</v>
      </c>
      <c r="C655" s="43" t="s">
        <v>2070</v>
      </c>
      <c r="D655" s="44" t="s">
        <v>3885</v>
      </c>
    </row>
    <row r="656" spans="1:4" ht="31.5" customHeight="1" x14ac:dyDescent="0.25">
      <c r="A656" s="42" t="s">
        <v>2785</v>
      </c>
      <c r="B656" s="42" t="s">
        <v>5212</v>
      </c>
      <c r="C656" s="43" t="s">
        <v>2666</v>
      </c>
      <c r="D656" s="44" t="s">
        <v>3886</v>
      </c>
    </row>
    <row r="657" spans="1:4" ht="47.25" customHeight="1" x14ac:dyDescent="0.25">
      <c r="A657" s="42" t="s">
        <v>2789</v>
      </c>
      <c r="B657" s="42" t="s">
        <v>5213</v>
      </c>
      <c r="C657" s="43" t="s">
        <v>635</v>
      </c>
      <c r="D657" s="44" t="s">
        <v>3887</v>
      </c>
    </row>
    <row r="658" spans="1:4" ht="63" customHeight="1" x14ac:dyDescent="0.25">
      <c r="A658" s="42" t="s">
        <v>2793</v>
      </c>
      <c r="B658" s="42" t="s">
        <v>5214</v>
      </c>
      <c r="C658" s="43" t="s">
        <v>5215</v>
      </c>
      <c r="D658" s="44" t="s">
        <v>3888</v>
      </c>
    </row>
    <row r="659" spans="1:4" ht="47.25" customHeight="1" x14ac:dyDescent="0.25">
      <c r="A659" s="42" t="s">
        <v>2797</v>
      </c>
      <c r="B659" s="42" t="s">
        <v>5216</v>
      </c>
      <c r="C659" s="43" t="s">
        <v>550</v>
      </c>
      <c r="D659" s="44" t="s">
        <v>3889</v>
      </c>
    </row>
    <row r="660" spans="1:4" ht="31.5" customHeight="1" x14ac:dyDescent="0.25">
      <c r="A660" s="42" t="s">
        <v>2801</v>
      </c>
      <c r="B660" s="42" t="s">
        <v>5217</v>
      </c>
      <c r="C660" s="43" t="s">
        <v>5218</v>
      </c>
      <c r="D660" s="44" t="s">
        <v>3890</v>
      </c>
    </row>
    <row r="661" spans="1:4" ht="47.25" customHeight="1" x14ac:dyDescent="0.25">
      <c r="A661" s="42" t="s">
        <v>2804</v>
      </c>
      <c r="B661" s="42" t="s">
        <v>5219</v>
      </c>
      <c r="C661" s="43" t="s">
        <v>4953</v>
      </c>
      <c r="D661" s="44" t="s">
        <v>3891</v>
      </c>
    </row>
    <row r="662" spans="1:4" ht="31.5" customHeight="1" x14ac:dyDescent="0.25">
      <c r="A662" s="42" t="s">
        <v>2809</v>
      </c>
      <c r="B662" s="42" t="s">
        <v>5220</v>
      </c>
      <c r="C662" s="43" t="s">
        <v>4724</v>
      </c>
      <c r="D662" s="44" t="s">
        <v>3892</v>
      </c>
    </row>
    <row r="663" spans="1:4" ht="31.5" customHeight="1" x14ac:dyDescent="0.25">
      <c r="A663" s="42" t="s">
        <v>2813</v>
      </c>
      <c r="B663" s="42" t="s">
        <v>5221</v>
      </c>
      <c r="C663" s="43" t="s">
        <v>826</v>
      </c>
      <c r="D663" s="44" t="s">
        <v>3893</v>
      </c>
    </row>
    <row r="664" spans="1:4" ht="47.25" customHeight="1" x14ac:dyDescent="0.25">
      <c r="A664" s="42" t="s">
        <v>2818</v>
      </c>
      <c r="B664" s="42" t="s">
        <v>5222</v>
      </c>
      <c r="C664" s="43" t="s">
        <v>1137</v>
      </c>
      <c r="D664" s="44" t="s">
        <v>3894</v>
      </c>
    </row>
    <row r="665" spans="1:4" ht="31.5" customHeight="1" x14ac:dyDescent="0.25">
      <c r="A665" s="42" t="s">
        <v>2822</v>
      </c>
      <c r="B665" s="42" t="s">
        <v>5223</v>
      </c>
      <c r="C665" s="43" t="s">
        <v>427</v>
      </c>
      <c r="D665" s="44" t="s">
        <v>3895</v>
      </c>
    </row>
    <row r="666" spans="1:4" ht="47.25" customHeight="1" x14ac:dyDescent="0.25">
      <c r="A666" s="42" t="s">
        <v>2826</v>
      </c>
      <c r="B666" s="42" t="s">
        <v>5224</v>
      </c>
      <c r="C666" s="43" t="s">
        <v>5225</v>
      </c>
      <c r="D666" s="44" t="s">
        <v>3896</v>
      </c>
    </row>
    <row r="667" spans="1:4" ht="47.25" customHeight="1" x14ac:dyDescent="0.25">
      <c r="A667" s="42" t="s">
        <v>2830</v>
      </c>
      <c r="B667" s="42" t="s">
        <v>5226</v>
      </c>
      <c r="C667" s="43" t="s">
        <v>5227</v>
      </c>
      <c r="D667" s="44" t="s">
        <v>3897</v>
      </c>
    </row>
    <row r="668" spans="1:4" ht="63" customHeight="1" x14ac:dyDescent="0.25">
      <c r="A668" s="42" t="s">
        <v>2835</v>
      </c>
      <c r="B668" s="42" t="s">
        <v>5228</v>
      </c>
      <c r="C668" s="43" t="s">
        <v>3107</v>
      </c>
      <c r="D668" s="44" t="s">
        <v>3898</v>
      </c>
    </row>
    <row r="669" spans="1:4" ht="31.5" customHeight="1" x14ac:dyDescent="0.25">
      <c r="A669" s="42" t="s">
        <v>2839</v>
      </c>
      <c r="B669" s="42" t="s">
        <v>5229</v>
      </c>
      <c r="C669" s="43" t="s">
        <v>3107</v>
      </c>
      <c r="D669" s="44" t="s">
        <v>3899</v>
      </c>
    </row>
    <row r="670" spans="1:4" ht="31.5" customHeight="1" x14ac:dyDescent="0.25">
      <c r="A670" s="42" t="s">
        <v>2843</v>
      </c>
      <c r="B670" s="42" t="s">
        <v>5230</v>
      </c>
      <c r="C670" s="43" t="s">
        <v>5231</v>
      </c>
      <c r="D670" s="44" t="s">
        <v>3900</v>
      </c>
    </row>
    <row r="671" spans="1:4" ht="31.5" customHeight="1" x14ac:dyDescent="0.25">
      <c r="A671" s="42" t="s">
        <v>2848</v>
      </c>
      <c r="B671" s="42" t="s">
        <v>5232</v>
      </c>
      <c r="C671" s="43" t="s">
        <v>1410</v>
      </c>
      <c r="D671" s="44" t="s">
        <v>3901</v>
      </c>
    </row>
    <row r="672" spans="1:4" ht="63" customHeight="1" x14ac:dyDescent="0.25">
      <c r="A672" s="42" t="s">
        <v>2853</v>
      </c>
      <c r="B672" s="42" t="s">
        <v>5233</v>
      </c>
      <c r="C672" s="43" t="s">
        <v>788</v>
      </c>
      <c r="D672" s="44" t="s">
        <v>3902</v>
      </c>
    </row>
    <row r="673" spans="1:4" ht="47.25" customHeight="1" x14ac:dyDescent="0.25">
      <c r="A673" s="42" t="s">
        <v>2859</v>
      </c>
      <c r="B673" s="42" t="s">
        <v>5234</v>
      </c>
      <c r="C673" s="43" t="s">
        <v>5218</v>
      </c>
      <c r="D673" s="44" t="s">
        <v>3903</v>
      </c>
    </row>
    <row r="674" spans="1:4" ht="63" customHeight="1" x14ac:dyDescent="0.25">
      <c r="A674" s="42" t="s">
        <v>2864</v>
      </c>
      <c r="B674" s="42" t="s">
        <v>5235</v>
      </c>
      <c r="C674" s="43" t="s">
        <v>455</v>
      </c>
      <c r="D674" s="44" t="s">
        <v>3904</v>
      </c>
    </row>
    <row r="675" spans="1:4" ht="63" customHeight="1" x14ac:dyDescent="0.25">
      <c r="A675" s="42" t="s">
        <v>2868</v>
      </c>
      <c r="B675" s="42" t="s">
        <v>5236</v>
      </c>
      <c r="C675" s="43" t="s">
        <v>455</v>
      </c>
      <c r="D675" s="44" t="s">
        <v>3905</v>
      </c>
    </row>
    <row r="676" spans="1:4" ht="47.25" customHeight="1" x14ac:dyDescent="0.25">
      <c r="A676" s="42" t="s">
        <v>2872</v>
      </c>
      <c r="B676" s="42" t="s">
        <v>5237</v>
      </c>
      <c r="C676" s="43" t="s">
        <v>1360</v>
      </c>
      <c r="D676" s="44" t="s">
        <v>3906</v>
      </c>
    </row>
    <row r="677" spans="1:4" ht="31.5" customHeight="1" x14ac:dyDescent="0.25">
      <c r="A677" s="42" t="s">
        <v>2876</v>
      </c>
      <c r="B677" s="42" t="s">
        <v>5238</v>
      </c>
      <c r="C677" s="43" t="s">
        <v>4752</v>
      </c>
      <c r="D677" s="44" t="s">
        <v>3907</v>
      </c>
    </row>
    <row r="678" spans="1:4" ht="31.5" customHeight="1" x14ac:dyDescent="0.25">
      <c r="A678" s="42" t="s">
        <v>2880</v>
      </c>
      <c r="B678" s="42" t="s">
        <v>5239</v>
      </c>
      <c r="C678" s="43" t="s">
        <v>3107</v>
      </c>
      <c r="D678" s="44" t="s">
        <v>3908</v>
      </c>
    </row>
    <row r="679" spans="1:4" ht="47.25" customHeight="1" x14ac:dyDescent="0.25">
      <c r="A679" s="42" t="s">
        <v>2883</v>
      </c>
      <c r="B679" s="42" t="s">
        <v>5240</v>
      </c>
      <c r="C679" s="43" t="s">
        <v>5241</v>
      </c>
      <c r="D679" s="44" t="s">
        <v>3909</v>
      </c>
    </row>
    <row r="680" spans="1:4" ht="31.5" customHeight="1" x14ac:dyDescent="0.25">
      <c r="A680" s="42" t="s">
        <v>2887</v>
      </c>
      <c r="B680" s="42" t="s">
        <v>5242</v>
      </c>
      <c r="C680" s="43" t="s">
        <v>2363</v>
      </c>
      <c r="D680" s="44" t="s">
        <v>3910</v>
      </c>
    </row>
    <row r="681" spans="1:4" ht="47.25" customHeight="1" x14ac:dyDescent="0.25">
      <c r="A681" s="42" t="s">
        <v>2892</v>
      </c>
      <c r="B681" s="42" t="s">
        <v>5243</v>
      </c>
      <c r="C681" s="43" t="s">
        <v>5103</v>
      </c>
      <c r="D681" s="44" t="s">
        <v>3911</v>
      </c>
    </row>
    <row r="682" spans="1:4" ht="31.5" customHeight="1" x14ac:dyDescent="0.25">
      <c r="A682" s="42" t="s">
        <v>2896</v>
      </c>
      <c r="B682" s="42" t="s">
        <v>5244</v>
      </c>
      <c r="C682" s="43" t="s">
        <v>1259</v>
      </c>
      <c r="D682" s="44" t="s">
        <v>3912</v>
      </c>
    </row>
    <row r="683" spans="1:4" ht="31.5" customHeight="1" x14ac:dyDescent="0.25">
      <c r="A683" s="42" t="s">
        <v>2900</v>
      </c>
      <c r="B683" s="42" t="s">
        <v>5245</v>
      </c>
      <c r="C683" s="43" t="s">
        <v>2542</v>
      </c>
      <c r="D683" s="44" t="s">
        <v>3913</v>
      </c>
    </row>
    <row r="684" spans="1:4" ht="31.5" customHeight="1" x14ac:dyDescent="0.25">
      <c r="A684" s="42" t="s">
        <v>2906</v>
      </c>
      <c r="B684" s="42" t="s">
        <v>5246</v>
      </c>
      <c r="C684" s="43" t="s">
        <v>333</v>
      </c>
      <c r="D684" s="44" t="s">
        <v>3914</v>
      </c>
    </row>
    <row r="685" spans="1:4" ht="31.5" customHeight="1" x14ac:dyDescent="0.25">
      <c r="A685" s="42" t="s">
        <v>2910</v>
      </c>
      <c r="B685" s="42" t="s">
        <v>5247</v>
      </c>
      <c r="C685" s="43" t="s">
        <v>4407</v>
      </c>
      <c r="D685" s="44" t="s">
        <v>3915</v>
      </c>
    </row>
    <row r="686" spans="1:4" ht="31.5" customHeight="1" x14ac:dyDescent="0.25">
      <c r="A686" s="42" t="s">
        <v>2915</v>
      </c>
      <c r="B686" s="42" t="s">
        <v>5248</v>
      </c>
      <c r="C686" s="43" t="s">
        <v>326</v>
      </c>
      <c r="D686" s="44" t="s">
        <v>3916</v>
      </c>
    </row>
    <row r="687" spans="1:4" ht="47.25" customHeight="1" x14ac:dyDescent="0.25">
      <c r="A687" s="42" t="s">
        <v>2920</v>
      </c>
      <c r="B687" s="42" t="s">
        <v>5249</v>
      </c>
      <c r="C687" s="43" t="s">
        <v>167</v>
      </c>
      <c r="D687" s="44" t="s">
        <v>3917</v>
      </c>
    </row>
    <row r="688" spans="1:4" ht="47.25" customHeight="1" x14ac:dyDescent="0.25">
      <c r="A688" s="42" t="s">
        <v>2924</v>
      </c>
      <c r="B688" s="42" t="s">
        <v>5250</v>
      </c>
      <c r="C688" s="43" t="s">
        <v>410</v>
      </c>
      <c r="D688" s="44" t="s">
        <v>3918</v>
      </c>
    </row>
    <row r="689" spans="1:4" ht="47.25" customHeight="1" x14ac:dyDescent="0.25">
      <c r="A689" s="42" t="s">
        <v>2928</v>
      </c>
      <c r="B689" s="42" t="s">
        <v>5251</v>
      </c>
      <c r="C689" s="43" t="s">
        <v>5252</v>
      </c>
      <c r="D689" s="44" t="s">
        <v>3919</v>
      </c>
    </row>
    <row r="690" spans="1:4" ht="63" customHeight="1" x14ac:dyDescent="0.25">
      <c r="A690" s="42" t="s">
        <v>2932</v>
      </c>
      <c r="B690" s="42" t="s">
        <v>5253</v>
      </c>
      <c r="C690" s="43" t="s">
        <v>1123</v>
      </c>
      <c r="D690" s="44" t="s">
        <v>3920</v>
      </c>
    </row>
    <row r="691" spans="1:4" ht="47.25" customHeight="1" x14ac:dyDescent="0.25">
      <c r="A691" s="42" t="s">
        <v>2936</v>
      </c>
      <c r="B691" s="42" t="s">
        <v>5254</v>
      </c>
      <c r="C691" s="43" t="s">
        <v>4565</v>
      </c>
      <c r="D691" s="44" t="s">
        <v>3921</v>
      </c>
    </row>
    <row r="692" spans="1:4" ht="47.25" customHeight="1" x14ac:dyDescent="0.25">
      <c r="A692" s="42" t="s">
        <v>2940</v>
      </c>
      <c r="B692" s="42" t="s">
        <v>5255</v>
      </c>
      <c r="C692" s="43" t="s">
        <v>410</v>
      </c>
      <c r="D692" s="44" t="s">
        <v>3922</v>
      </c>
    </row>
    <row r="693" spans="1:4" ht="63" customHeight="1" x14ac:dyDescent="0.25">
      <c r="A693" s="42" t="s">
        <v>2944</v>
      </c>
      <c r="B693" s="42" t="s">
        <v>5256</v>
      </c>
      <c r="C693" s="43" t="s">
        <v>306</v>
      </c>
      <c r="D693" s="44" t="s">
        <v>3923</v>
      </c>
    </row>
    <row r="694" spans="1:4" ht="47.25" customHeight="1" x14ac:dyDescent="0.25">
      <c r="A694" s="42" t="s">
        <v>2948</v>
      </c>
      <c r="B694" s="42" t="s">
        <v>5257</v>
      </c>
      <c r="C694" s="43" t="s">
        <v>2401</v>
      </c>
      <c r="D694" s="44" t="s">
        <v>3924</v>
      </c>
    </row>
    <row r="695" spans="1:4" ht="47.25" customHeight="1" x14ac:dyDescent="0.25">
      <c r="A695" s="42" t="s">
        <v>2953</v>
      </c>
      <c r="B695" s="42" t="s">
        <v>5258</v>
      </c>
      <c r="C695" s="43" t="s">
        <v>1137</v>
      </c>
      <c r="D695" s="44" t="s">
        <v>3925</v>
      </c>
    </row>
    <row r="696" spans="1:4" ht="63" customHeight="1" x14ac:dyDescent="0.25">
      <c r="A696" s="42" t="s">
        <v>2958</v>
      </c>
      <c r="B696" s="42" t="s">
        <v>5259</v>
      </c>
      <c r="C696" s="43" t="s">
        <v>1094</v>
      </c>
      <c r="D696" s="44" t="s">
        <v>3926</v>
      </c>
    </row>
    <row r="697" spans="1:4" ht="63" customHeight="1" x14ac:dyDescent="0.25">
      <c r="A697" s="42" t="s">
        <v>2962</v>
      </c>
      <c r="B697" s="42" t="s">
        <v>5260</v>
      </c>
      <c r="C697" s="43" t="s">
        <v>540</v>
      </c>
      <c r="D697" s="44" t="s">
        <v>3927</v>
      </c>
    </row>
    <row r="698" spans="1:4" ht="47.25" customHeight="1" x14ac:dyDescent="0.25">
      <c r="A698" s="42" t="s">
        <v>2966</v>
      </c>
      <c r="B698" s="42" t="s">
        <v>5261</v>
      </c>
      <c r="C698" s="43" t="s">
        <v>540</v>
      </c>
      <c r="D698" s="44" t="s">
        <v>3928</v>
      </c>
    </row>
    <row r="699" spans="1:4" ht="47.25" customHeight="1" x14ac:dyDescent="0.25">
      <c r="A699" s="42" t="s">
        <v>2971</v>
      </c>
      <c r="B699" s="42" t="s">
        <v>5262</v>
      </c>
      <c r="C699" s="43" t="s">
        <v>5263</v>
      </c>
      <c r="D699" s="44" t="s">
        <v>3929</v>
      </c>
    </row>
    <row r="700" spans="1:4" ht="31.5" customHeight="1" x14ac:dyDescent="0.25">
      <c r="A700" s="42" t="s">
        <v>2976</v>
      </c>
      <c r="B700" s="42" t="s">
        <v>5264</v>
      </c>
      <c r="C700" s="43" t="s">
        <v>1259</v>
      </c>
      <c r="D700" s="44" t="s">
        <v>3930</v>
      </c>
    </row>
    <row r="701" spans="1:4" ht="47.25" customHeight="1" x14ac:dyDescent="0.25">
      <c r="A701" s="42" t="s">
        <v>2981</v>
      </c>
      <c r="B701" s="42" t="s">
        <v>5265</v>
      </c>
      <c r="C701" s="43" t="s">
        <v>1160</v>
      </c>
      <c r="D701" s="44" t="s">
        <v>3931</v>
      </c>
    </row>
    <row r="702" spans="1:4" ht="63" customHeight="1" x14ac:dyDescent="0.25">
      <c r="A702" s="42" t="s">
        <v>2984</v>
      </c>
      <c r="B702" s="42" t="s">
        <v>5266</v>
      </c>
      <c r="C702" s="43" t="s">
        <v>68</v>
      </c>
      <c r="D702" s="44" t="s">
        <v>3932</v>
      </c>
    </row>
    <row r="703" spans="1:4" ht="31.5" customHeight="1" x14ac:dyDescent="0.25">
      <c r="A703" s="42" t="s">
        <v>2988</v>
      </c>
      <c r="B703" s="42" t="s">
        <v>5267</v>
      </c>
      <c r="C703" s="43" t="s">
        <v>5268</v>
      </c>
      <c r="D703" s="44" t="s">
        <v>3933</v>
      </c>
    </row>
    <row r="704" spans="1:4" ht="31.5" customHeight="1" x14ac:dyDescent="0.25">
      <c r="A704" s="42" t="s">
        <v>2992</v>
      </c>
      <c r="B704" s="42" t="s">
        <v>5269</v>
      </c>
      <c r="C704" s="43" t="s">
        <v>2290</v>
      </c>
      <c r="D704" s="44" t="s">
        <v>3934</v>
      </c>
    </row>
    <row r="705" spans="1:4" ht="63" customHeight="1" x14ac:dyDescent="0.25">
      <c r="A705" s="42" t="s">
        <v>2997</v>
      </c>
      <c r="B705" s="42" t="s">
        <v>5270</v>
      </c>
      <c r="C705" s="43" t="s">
        <v>4565</v>
      </c>
      <c r="D705" s="44" t="s">
        <v>3935</v>
      </c>
    </row>
    <row r="706" spans="1:4" ht="31.5" customHeight="1" x14ac:dyDescent="0.25">
      <c r="A706" s="42" t="s">
        <v>3001</v>
      </c>
      <c r="B706" s="42" t="s">
        <v>5271</v>
      </c>
      <c r="C706" s="43" t="s">
        <v>5158</v>
      </c>
      <c r="D706" s="44" t="s">
        <v>3936</v>
      </c>
    </row>
    <row r="707" spans="1:4" ht="63" customHeight="1" x14ac:dyDescent="0.25">
      <c r="A707" s="42" t="s">
        <v>3005</v>
      </c>
      <c r="B707" s="42" t="s">
        <v>5272</v>
      </c>
      <c r="C707" s="43" t="s">
        <v>5273</v>
      </c>
      <c r="D707" s="44" t="s">
        <v>3937</v>
      </c>
    </row>
    <row r="708" spans="1:4" ht="47.25" customHeight="1" x14ac:dyDescent="0.25">
      <c r="A708" s="42" t="s">
        <v>3009</v>
      </c>
      <c r="B708" s="42" t="s">
        <v>5274</v>
      </c>
      <c r="C708" s="43" t="s">
        <v>688</v>
      </c>
      <c r="D708" s="44" t="s">
        <v>3938</v>
      </c>
    </row>
    <row r="709" spans="1:4" ht="31.5" customHeight="1" x14ac:dyDescent="0.25">
      <c r="A709" s="42" t="s">
        <v>3014</v>
      </c>
      <c r="B709" s="42" t="s">
        <v>5275</v>
      </c>
      <c r="C709" s="43" t="s">
        <v>5276</v>
      </c>
      <c r="D709" s="44" t="s">
        <v>3939</v>
      </c>
    </row>
    <row r="710" spans="1:4" ht="63" customHeight="1" x14ac:dyDescent="0.25">
      <c r="A710" s="42" t="s">
        <v>3019</v>
      </c>
      <c r="B710" s="42" t="s">
        <v>5277</v>
      </c>
      <c r="C710" s="43" t="s">
        <v>4904</v>
      </c>
      <c r="D710" s="44" t="s">
        <v>3940</v>
      </c>
    </row>
    <row r="711" spans="1:4" ht="47.25" customHeight="1" x14ac:dyDescent="0.25">
      <c r="A711" s="42" t="s">
        <v>3024</v>
      </c>
      <c r="B711" s="42" t="s">
        <v>5278</v>
      </c>
      <c r="C711" s="43" t="s">
        <v>1187</v>
      </c>
      <c r="D711" s="44" t="s">
        <v>3941</v>
      </c>
    </row>
    <row r="712" spans="1:4" ht="31.5" customHeight="1" x14ac:dyDescent="0.25">
      <c r="A712" s="42" t="s">
        <v>3028</v>
      </c>
      <c r="B712" s="42" t="s">
        <v>5279</v>
      </c>
      <c r="C712" s="43" t="s">
        <v>889</v>
      </c>
      <c r="D712" s="44" t="s">
        <v>3942</v>
      </c>
    </row>
    <row r="713" spans="1:4" ht="47.25" customHeight="1" x14ac:dyDescent="0.25">
      <c r="A713" s="42" t="s">
        <v>3032</v>
      </c>
      <c r="B713" s="42" t="s">
        <v>5280</v>
      </c>
      <c r="C713" s="43" t="s">
        <v>968</v>
      </c>
      <c r="D713" s="44" t="s">
        <v>3943</v>
      </c>
    </row>
    <row r="714" spans="1:4" ht="31.5" customHeight="1" x14ac:dyDescent="0.25">
      <c r="A714" s="42" t="s">
        <v>3036</v>
      </c>
      <c r="B714" s="42" t="s">
        <v>5281</v>
      </c>
      <c r="C714" s="43" t="s">
        <v>2782</v>
      </c>
      <c r="D714" s="44" t="s">
        <v>3944</v>
      </c>
    </row>
    <row r="715" spans="1:4" ht="78.75" customHeight="1" x14ac:dyDescent="0.25">
      <c r="A715" s="42" t="s">
        <v>3040</v>
      </c>
      <c r="B715" s="42" t="s">
        <v>5282</v>
      </c>
      <c r="C715" s="43" t="s">
        <v>5283</v>
      </c>
      <c r="D715" s="44" t="s">
        <v>3945</v>
      </c>
    </row>
    <row r="716" spans="1:4" ht="31.5" customHeight="1" x14ac:dyDescent="0.25">
      <c r="A716" s="42" t="s">
        <v>3044</v>
      </c>
      <c r="B716" s="42" t="s">
        <v>5284</v>
      </c>
      <c r="C716" s="43" t="s">
        <v>1621</v>
      </c>
      <c r="D716" s="44" t="s">
        <v>3946</v>
      </c>
    </row>
    <row r="717" spans="1:4" ht="31.5" customHeight="1" x14ac:dyDescent="0.25">
      <c r="A717" s="42" t="s">
        <v>3048</v>
      </c>
      <c r="B717" s="42" t="s">
        <v>5285</v>
      </c>
      <c r="C717" s="43" t="s">
        <v>591</v>
      </c>
      <c r="D717" s="44" t="s">
        <v>3947</v>
      </c>
    </row>
    <row r="718" spans="1:4" ht="31.5" customHeight="1" x14ac:dyDescent="0.25">
      <c r="A718" s="42" t="s">
        <v>3053</v>
      </c>
      <c r="B718" s="42" t="s">
        <v>5286</v>
      </c>
      <c r="C718" s="43" t="s">
        <v>306</v>
      </c>
      <c r="D718" s="44" t="s">
        <v>3948</v>
      </c>
    </row>
    <row r="719" spans="1:4" ht="31.5" customHeight="1" x14ac:dyDescent="0.25">
      <c r="A719" s="42" t="s">
        <v>3058</v>
      </c>
      <c r="B719" s="42" t="s">
        <v>5287</v>
      </c>
      <c r="C719" s="43" t="s">
        <v>5288</v>
      </c>
      <c r="D719" s="44" t="s">
        <v>3949</v>
      </c>
    </row>
    <row r="720" spans="1:4" ht="63" customHeight="1" x14ac:dyDescent="0.25">
      <c r="A720" s="42" t="s">
        <v>3062</v>
      </c>
      <c r="B720" s="42" t="s">
        <v>5289</v>
      </c>
      <c r="C720" s="43" t="s">
        <v>664</v>
      </c>
      <c r="D720" s="44" t="s">
        <v>3950</v>
      </c>
    </row>
    <row r="721" spans="1:4" ht="47.25" customHeight="1" x14ac:dyDescent="0.25">
      <c r="A721" s="42" t="s">
        <v>3066</v>
      </c>
      <c r="B721" s="42" t="s">
        <v>5290</v>
      </c>
      <c r="C721" s="43" t="s">
        <v>775</v>
      </c>
      <c r="D721" s="44" t="s">
        <v>3951</v>
      </c>
    </row>
    <row r="722" spans="1:4" ht="47.25" customHeight="1" x14ac:dyDescent="0.25">
      <c r="A722" s="42" t="s">
        <v>3069</v>
      </c>
      <c r="B722" s="42" t="s">
        <v>5291</v>
      </c>
      <c r="C722" s="43" t="s">
        <v>1360</v>
      </c>
      <c r="D722" s="44" t="s">
        <v>3952</v>
      </c>
    </row>
    <row r="723" spans="1:4" ht="47.25" customHeight="1" x14ac:dyDescent="0.25">
      <c r="A723" s="42" t="s">
        <v>3073</v>
      </c>
      <c r="B723" s="42" t="s">
        <v>5292</v>
      </c>
      <c r="C723" s="43" t="s">
        <v>2351</v>
      </c>
      <c r="D723" s="44" t="s">
        <v>3953</v>
      </c>
    </row>
    <row r="724" spans="1:4" ht="47.25" customHeight="1" x14ac:dyDescent="0.25">
      <c r="A724" s="42" t="s">
        <v>3078</v>
      </c>
      <c r="B724" s="42" t="s">
        <v>5293</v>
      </c>
      <c r="C724" s="43" t="s">
        <v>4904</v>
      </c>
      <c r="D724" s="44" t="s">
        <v>3954</v>
      </c>
    </row>
    <row r="725" spans="1:4" ht="47.25" customHeight="1" x14ac:dyDescent="0.25">
      <c r="A725" s="42" t="s">
        <v>3083</v>
      </c>
      <c r="B725" s="42" t="s">
        <v>5294</v>
      </c>
      <c r="C725" s="43" t="s">
        <v>5295</v>
      </c>
      <c r="D725" s="44" t="s">
        <v>3955</v>
      </c>
    </row>
    <row r="726" spans="1:4" ht="63" customHeight="1" x14ac:dyDescent="0.25">
      <c r="A726" s="42" t="s">
        <v>3087</v>
      </c>
      <c r="B726" s="42" t="s">
        <v>5296</v>
      </c>
      <c r="C726" s="43" t="s">
        <v>996</v>
      </c>
      <c r="D726" s="44" t="s">
        <v>3956</v>
      </c>
    </row>
    <row r="727" spans="1:4" ht="31.5" customHeight="1" x14ac:dyDescent="0.25">
      <c r="A727" s="42" t="s">
        <v>3092</v>
      </c>
      <c r="B727" s="42" t="s">
        <v>5297</v>
      </c>
      <c r="C727" s="43" t="s">
        <v>1374</v>
      </c>
      <c r="D727" s="44" t="s">
        <v>3957</v>
      </c>
    </row>
    <row r="728" spans="1:4" ht="31.5" customHeight="1" x14ac:dyDescent="0.25">
      <c r="A728" s="42" t="s">
        <v>3096</v>
      </c>
      <c r="B728" s="42" t="s">
        <v>5298</v>
      </c>
      <c r="C728" s="43" t="s">
        <v>1374</v>
      </c>
      <c r="D728" s="44" t="s">
        <v>3958</v>
      </c>
    </row>
    <row r="729" spans="1:4" ht="31.5" customHeight="1" x14ac:dyDescent="0.25">
      <c r="A729" s="42" t="s">
        <v>3101</v>
      </c>
      <c r="B729" s="42" t="s">
        <v>5299</v>
      </c>
      <c r="C729" s="43" t="s">
        <v>1690</v>
      </c>
      <c r="D729" s="44" t="s">
        <v>3959</v>
      </c>
    </row>
    <row r="730" spans="1:4" ht="47.25" customHeight="1" x14ac:dyDescent="0.25">
      <c r="A730" s="42" t="s">
        <v>3105</v>
      </c>
      <c r="B730" s="42" t="s">
        <v>5300</v>
      </c>
      <c r="C730" s="43" t="s">
        <v>5301</v>
      </c>
      <c r="D730" s="44" t="s">
        <v>3960</v>
      </c>
    </row>
    <row r="731" spans="1:4" ht="31.5" customHeight="1" x14ac:dyDescent="0.25">
      <c r="A731" s="42" t="s">
        <v>3110</v>
      </c>
      <c r="B731" s="42" t="s">
        <v>5302</v>
      </c>
      <c r="C731" s="43" t="s">
        <v>4568</v>
      </c>
      <c r="D731" s="44" t="s">
        <v>3961</v>
      </c>
    </row>
    <row r="732" spans="1:4" ht="31.5" customHeight="1" x14ac:dyDescent="0.25">
      <c r="A732" s="42" t="s">
        <v>3114</v>
      </c>
      <c r="B732" s="42" t="s">
        <v>5303</v>
      </c>
      <c r="C732" s="43" t="s">
        <v>4568</v>
      </c>
      <c r="D732" s="44" t="s">
        <v>3962</v>
      </c>
    </row>
    <row r="733" spans="1:4" ht="47.25" customHeight="1" x14ac:dyDescent="0.25">
      <c r="A733" s="42" t="s">
        <v>3117</v>
      </c>
      <c r="B733" s="42" t="s">
        <v>5304</v>
      </c>
      <c r="C733" s="43" t="s">
        <v>1440</v>
      </c>
      <c r="D733" s="44" t="s">
        <v>3963</v>
      </c>
    </row>
    <row r="734" spans="1:4" ht="31.5" customHeight="1" x14ac:dyDescent="0.25">
      <c r="A734" s="42" t="s">
        <v>3121</v>
      </c>
      <c r="B734" s="42" t="s">
        <v>5305</v>
      </c>
      <c r="C734" s="43" t="s">
        <v>4588</v>
      </c>
      <c r="D734" s="44" t="s">
        <v>3964</v>
      </c>
    </row>
    <row r="735" spans="1:4" ht="31.5" customHeight="1" x14ac:dyDescent="0.25">
      <c r="A735" s="42" t="s">
        <v>3125</v>
      </c>
      <c r="B735" s="42" t="s">
        <v>5306</v>
      </c>
      <c r="C735" s="43" t="s">
        <v>723</v>
      </c>
      <c r="D735" s="44" t="s">
        <v>3965</v>
      </c>
    </row>
    <row r="736" spans="1:4" ht="31.5" customHeight="1" x14ac:dyDescent="0.25">
      <c r="A736" s="42" t="s">
        <v>3129</v>
      </c>
      <c r="B736" s="42" t="s">
        <v>5307</v>
      </c>
      <c r="C736" s="43" t="s">
        <v>5308</v>
      </c>
      <c r="D736" s="44" t="s">
        <v>3966</v>
      </c>
    </row>
    <row r="737" spans="1:4" ht="31.5" customHeight="1" x14ac:dyDescent="0.25">
      <c r="A737" s="42" t="s">
        <v>3134</v>
      </c>
      <c r="B737" s="42" t="s">
        <v>5309</v>
      </c>
      <c r="C737" s="43" t="s">
        <v>5310</v>
      </c>
      <c r="D737" s="44" t="s">
        <v>3967</v>
      </c>
    </row>
    <row r="738" spans="1:4" ht="47.25" customHeight="1" x14ac:dyDescent="0.25">
      <c r="A738" s="42" t="s">
        <v>3138</v>
      </c>
      <c r="B738" s="42" t="s">
        <v>5311</v>
      </c>
      <c r="C738" s="43" t="s">
        <v>2950</v>
      </c>
      <c r="D738" s="44" t="s">
        <v>3968</v>
      </c>
    </row>
    <row r="739" spans="1:4" ht="31.5" customHeight="1" x14ac:dyDescent="0.25">
      <c r="A739" s="42" t="s">
        <v>3140</v>
      </c>
      <c r="B739" s="42" t="s">
        <v>5312</v>
      </c>
      <c r="C739" s="43" t="s">
        <v>4513</v>
      </c>
      <c r="D739" s="44" t="s">
        <v>3969</v>
      </c>
    </row>
    <row r="740" spans="1:4" ht="31.5" customHeight="1" x14ac:dyDescent="0.25">
      <c r="A740" s="42" t="s">
        <v>3142</v>
      </c>
      <c r="B740" s="42" t="s">
        <v>5313</v>
      </c>
      <c r="C740" s="43" t="s">
        <v>4513</v>
      </c>
      <c r="D740" s="44" t="s">
        <v>3970</v>
      </c>
    </row>
    <row r="741" spans="1:4" ht="31.5" customHeight="1" x14ac:dyDescent="0.25">
      <c r="A741" s="42" t="s">
        <v>3144</v>
      </c>
      <c r="B741" s="42" t="s">
        <v>5314</v>
      </c>
      <c r="C741" s="43" t="s">
        <v>545</v>
      </c>
      <c r="D741" s="44" t="s">
        <v>3971</v>
      </c>
    </row>
    <row r="742" spans="1:4" ht="47.25" customHeight="1" x14ac:dyDescent="0.25">
      <c r="A742" s="42" t="s">
        <v>3146</v>
      </c>
      <c r="B742" s="42" t="s">
        <v>5315</v>
      </c>
      <c r="C742" s="43" t="s">
        <v>5316</v>
      </c>
      <c r="D742" s="44" t="s">
        <v>3972</v>
      </c>
    </row>
    <row r="743" spans="1:4" ht="31.5" customHeight="1" x14ac:dyDescent="0.25">
      <c r="A743" s="42" t="s">
        <v>3148</v>
      </c>
      <c r="B743" s="42" t="s">
        <v>5317</v>
      </c>
      <c r="C743" s="43" t="s">
        <v>4698</v>
      </c>
      <c r="D743" s="44" t="s">
        <v>3973</v>
      </c>
    </row>
    <row r="744" spans="1:4" ht="63" customHeight="1" x14ac:dyDescent="0.25">
      <c r="A744" s="42" t="s">
        <v>3150</v>
      </c>
      <c r="B744" s="42" t="s">
        <v>5318</v>
      </c>
      <c r="C744" s="43" t="s">
        <v>659</v>
      </c>
      <c r="D744" s="44" t="s">
        <v>3974</v>
      </c>
    </row>
    <row r="745" spans="1:4" ht="31.5" customHeight="1" x14ac:dyDescent="0.25">
      <c r="A745" s="42" t="s">
        <v>3152</v>
      </c>
      <c r="B745" s="42" t="s">
        <v>5319</v>
      </c>
      <c r="C745" s="43" t="s">
        <v>1146</v>
      </c>
      <c r="D745" s="44" t="s">
        <v>3975</v>
      </c>
    </row>
    <row r="746" spans="1:4" ht="63" customHeight="1" x14ac:dyDescent="0.25">
      <c r="A746" s="42" t="s">
        <v>3154</v>
      </c>
      <c r="B746" s="42" t="s">
        <v>5320</v>
      </c>
      <c r="C746" s="43" t="s">
        <v>4607</v>
      </c>
      <c r="D746" s="44" t="s">
        <v>3976</v>
      </c>
    </row>
    <row r="747" spans="1:4" ht="31.5" customHeight="1" x14ac:dyDescent="0.25">
      <c r="A747" s="42" t="s">
        <v>3156</v>
      </c>
      <c r="B747" s="42" t="s">
        <v>5321</v>
      </c>
      <c r="C747" s="43" t="s">
        <v>1559</v>
      </c>
      <c r="D747" s="44" t="s">
        <v>3977</v>
      </c>
    </row>
    <row r="748" spans="1:4" ht="31.5" customHeight="1" x14ac:dyDescent="0.25">
      <c r="A748" s="42" t="s">
        <v>3158</v>
      </c>
      <c r="B748" s="42" t="s">
        <v>5322</v>
      </c>
      <c r="C748" s="43" t="s">
        <v>1360</v>
      </c>
      <c r="D748" s="44" t="s">
        <v>3978</v>
      </c>
    </row>
    <row r="749" spans="1:4" ht="47.25" customHeight="1" x14ac:dyDescent="0.25">
      <c r="A749" s="42" t="s">
        <v>3160</v>
      </c>
      <c r="B749" s="42" t="s">
        <v>5323</v>
      </c>
      <c r="C749" s="43" t="s">
        <v>4480</v>
      </c>
      <c r="D749" s="44" t="s">
        <v>3979</v>
      </c>
    </row>
    <row r="750" spans="1:4" ht="47.25" customHeight="1" x14ac:dyDescent="0.25">
      <c r="A750" s="42" t="s">
        <v>3162</v>
      </c>
      <c r="B750" s="42" t="s">
        <v>5324</v>
      </c>
      <c r="C750" s="43" t="s">
        <v>109</v>
      </c>
      <c r="D750" s="44" t="s">
        <v>3980</v>
      </c>
    </row>
    <row r="751" spans="1:4" ht="47.25" customHeight="1" x14ac:dyDescent="0.25">
      <c r="A751" s="42" t="s">
        <v>3164</v>
      </c>
      <c r="B751" s="42" t="s">
        <v>5325</v>
      </c>
      <c r="C751" s="43" t="s">
        <v>978</v>
      </c>
      <c r="D751" s="44" t="s">
        <v>3981</v>
      </c>
    </row>
    <row r="752" spans="1:4" ht="31.5" customHeight="1" x14ac:dyDescent="0.25">
      <c r="A752" s="42" t="s">
        <v>3166</v>
      </c>
      <c r="B752" s="42" t="s">
        <v>5326</v>
      </c>
      <c r="C752" s="43" t="s">
        <v>5327</v>
      </c>
      <c r="D752" s="44" t="s">
        <v>3982</v>
      </c>
    </row>
    <row r="753" spans="1:4" ht="47.25" customHeight="1" x14ac:dyDescent="0.25">
      <c r="A753" s="42" t="s">
        <v>3168</v>
      </c>
      <c r="B753" s="42" t="s">
        <v>5328</v>
      </c>
      <c r="C753" s="43" t="s">
        <v>1508</v>
      </c>
      <c r="D753" s="44" t="s">
        <v>3983</v>
      </c>
    </row>
    <row r="754" spans="1:4" ht="31.5" customHeight="1" x14ac:dyDescent="0.25">
      <c r="A754" s="42" t="s">
        <v>3170</v>
      </c>
      <c r="B754" s="42" t="s">
        <v>5329</v>
      </c>
      <c r="C754" s="43" t="s">
        <v>4546</v>
      </c>
      <c r="D754" s="44" t="s">
        <v>3984</v>
      </c>
    </row>
    <row r="755" spans="1:4" ht="31.5" customHeight="1" x14ac:dyDescent="0.25">
      <c r="A755" s="42" t="s">
        <v>3172</v>
      </c>
      <c r="B755" s="42" t="s">
        <v>5330</v>
      </c>
      <c r="C755" s="43" t="s">
        <v>5331</v>
      </c>
      <c r="D755" s="44" t="s">
        <v>3985</v>
      </c>
    </row>
    <row r="756" spans="1:4" ht="47.25" customHeight="1" x14ac:dyDescent="0.25">
      <c r="A756" s="42" t="s">
        <v>3174</v>
      </c>
      <c r="B756" s="42" t="s">
        <v>5332</v>
      </c>
      <c r="C756" s="43" t="s">
        <v>5333</v>
      </c>
      <c r="D756" s="44" t="s">
        <v>3986</v>
      </c>
    </row>
    <row r="757" spans="1:4" ht="31.5" customHeight="1" x14ac:dyDescent="0.25">
      <c r="A757" s="42" t="s">
        <v>3176</v>
      </c>
      <c r="B757" s="42" t="s">
        <v>5334</v>
      </c>
      <c r="C757" s="43" t="s">
        <v>1045</v>
      </c>
      <c r="D757" s="44" t="s">
        <v>3987</v>
      </c>
    </row>
    <row r="758" spans="1:4" ht="63" customHeight="1" x14ac:dyDescent="0.25">
      <c r="A758" s="42" t="s">
        <v>3178</v>
      </c>
      <c r="B758" s="42" t="s">
        <v>5335</v>
      </c>
      <c r="C758" s="43" t="s">
        <v>1352</v>
      </c>
      <c r="D758" s="44" t="s">
        <v>3988</v>
      </c>
    </row>
    <row r="759" spans="1:4" ht="47.25" customHeight="1" x14ac:dyDescent="0.25">
      <c r="A759" s="42" t="s">
        <v>3180</v>
      </c>
      <c r="B759" s="42" t="s">
        <v>5336</v>
      </c>
      <c r="C759" s="43" t="s">
        <v>5337</v>
      </c>
      <c r="D759" s="44" t="s">
        <v>3989</v>
      </c>
    </row>
    <row r="760" spans="1:4" ht="47.25" customHeight="1" x14ac:dyDescent="0.25">
      <c r="A760" s="42" t="s">
        <v>3182</v>
      </c>
      <c r="B760" s="42" t="s">
        <v>5338</v>
      </c>
      <c r="C760" s="43" t="s">
        <v>4951</v>
      </c>
      <c r="D760" s="44" t="s">
        <v>3990</v>
      </c>
    </row>
    <row r="761" spans="1:4" ht="47.25" customHeight="1" x14ac:dyDescent="0.25">
      <c r="A761" s="42" t="s">
        <v>3184</v>
      </c>
      <c r="B761" s="42" t="s">
        <v>5339</v>
      </c>
      <c r="C761" s="43" t="s">
        <v>2306</v>
      </c>
      <c r="D761" s="44" t="s">
        <v>3991</v>
      </c>
    </row>
    <row r="762" spans="1:4" ht="31.5" customHeight="1" x14ac:dyDescent="0.25">
      <c r="A762" s="42" t="s">
        <v>3186</v>
      </c>
      <c r="B762" s="42" t="s">
        <v>5340</v>
      </c>
      <c r="C762" s="43" t="s">
        <v>1410</v>
      </c>
      <c r="D762" s="44" t="s">
        <v>3992</v>
      </c>
    </row>
    <row r="763" spans="1:4" ht="47.25" customHeight="1" x14ac:dyDescent="0.25">
      <c r="A763" s="42" t="s">
        <v>3188</v>
      </c>
      <c r="B763" s="42" t="s">
        <v>5341</v>
      </c>
      <c r="C763" s="43" t="s">
        <v>1729</v>
      </c>
      <c r="D763" s="44" t="s">
        <v>3993</v>
      </c>
    </row>
    <row r="764" spans="1:4" ht="31.5" customHeight="1" x14ac:dyDescent="0.25">
      <c r="A764" s="42" t="s">
        <v>3190</v>
      </c>
      <c r="B764" s="42" t="s">
        <v>5342</v>
      </c>
      <c r="C764" s="43" t="s">
        <v>5343</v>
      </c>
      <c r="D764" s="44" t="s">
        <v>3994</v>
      </c>
    </row>
    <row r="765" spans="1:4" ht="31.5" customHeight="1" x14ac:dyDescent="0.25">
      <c r="A765" s="42" t="s">
        <v>3192</v>
      </c>
      <c r="B765" s="42" t="s">
        <v>5344</v>
      </c>
      <c r="C765" s="43" t="s">
        <v>410</v>
      </c>
      <c r="D765" s="44" t="s">
        <v>3995</v>
      </c>
    </row>
    <row r="766" spans="1:4" ht="47.25" customHeight="1" x14ac:dyDescent="0.25">
      <c r="A766" s="42" t="s">
        <v>3194</v>
      </c>
      <c r="B766" s="42" t="s">
        <v>5345</v>
      </c>
      <c r="C766" s="43" t="s">
        <v>1559</v>
      </c>
      <c r="D766" s="44" t="s">
        <v>3996</v>
      </c>
    </row>
    <row r="767" spans="1:4" ht="31.5" customHeight="1" x14ac:dyDescent="0.25">
      <c r="A767" s="42" t="s">
        <v>3196</v>
      </c>
      <c r="B767" s="42" t="s">
        <v>5346</v>
      </c>
      <c r="C767" s="43" t="s">
        <v>214</v>
      </c>
      <c r="D767" s="44" t="s">
        <v>3997</v>
      </c>
    </row>
    <row r="768" spans="1:4" ht="47.25" customHeight="1" x14ac:dyDescent="0.25">
      <c r="A768" s="42" t="s">
        <v>3198</v>
      </c>
      <c r="B768" s="42" t="s">
        <v>5347</v>
      </c>
      <c r="C768" s="43" t="s">
        <v>5348</v>
      </c>
      <c r="D768" s="44" t="s">
        <v>3998</v>
      </c>
    </row>
    <row r="769" spans="1:4" ht="47.25" customHeight="1" x14ac:dyDescent="0.25">
      <c r="A769" s="42" t="s">
        <v>3200</v>
      </c>
      <c r="B769" s="42" t="s">
        <v>5349</v>
      </c>
      <c r="C769" s="43" t="s">
        <v>4653</v>
      </c>
      <c r="D769" s="44" t="s">
        <v>3999</v>
      </c>
    </row>
    <row r="770" spans="1:4" ht="31.5" customHeight="1" x14ac:dyDescent="0.25">
      <c r="A770" s="42" t="s">
        <v>3202</v>
      </c>
      <c r="B770" s="42" t="s">
        <v>5350</v>
      </c>
      <c r="C770" s="43" t="s">
        <v>5351</v>
      </c>
      <c r="D770" s="44" t="s">
        <v>4000</v>
      </c>
    </row>
    <row r="771" spans="1:4" ht="63" customHeight="1" x14ac:dyDescent="0.25">
      <c r="A771" s="42" t="s">
        <v>3204</v>
      </c>
      <c r="B771" s="42" t="s">
        <v>5352</v>
      </c>
      <c r="C771" s="43" t="s">
        <v>2380</v>
      </c>
      <c r="D771" s="44" t="s">
        <v>4001</v>
      </c>
    </row>
    <row r="772" spans="1:4" ht="47.25" customHeight="1" x14ac:dyDescent="0.25">
      <c r="A772" s="42" t="s">
        <v>3206</v>
      </c>
      <c r="B772" s="42" t="s">
        <v>5353</v>
      </c>
      <c r="C772" s="43" t="s">
        <v>1360</v>
      </c>
      <c r="D772" s="44" t="s">
        <v>4002</v>
      </c>
    </row>
    <row r="773" spans="1:4" ht="31.5" customHeight="1" x14ac:dyDescent="0.25">
      <c r="A773" s="42" t="s">
        <v>3208</v>
      </c>
      <c r="B773" s="42" t="s">
        <v>5354</v>
      </c>
      <c r="C773" s="43" t="s">
        <v>2445</v>
      </c>
      <c r="D773" s="44" t="s">
        <v>4003</v>
      </c>
    </row>
    <row r="774" spans="1:4" ht="47.25" customHeight="1" x14ac:dyDescent="0.25">
      <c r="A774" s="42" t="s">
        <v>3210</v>
      </c>
      <c r="B774" s="42" t="s">
        <v>5355</v>
      </c>
      <c r="C774" s="43" t="s">
        <v>1508</v>
      </c>
      <c r="D774" s="44" t="s">
        <v>4004</v>
      </c>
    </row>
    <row r="775" spans="1:4" ht="47.25" customHeight="1" x14ac:dyDescent="0.25">
      <c r="A775" s="42" t="s">
        <v>3212</v>
      </c>
      <c r="B775" s="42" t="s">
        <v>5356</v>
      </c>
      <c r="C775" s="43" t="s">
        <v>4680</v>
      </c>
      <c r="D775" s="44" t="s">
        <v>4005</v>
      </c>
    </row>
    <row r="776" spans="1:4" ht="47.25" customHeight="1" x14ac:dyDescent="0.25">
      <c r="A776" s="42" t="s">
        <v>3214</v>
      </c>
      <c r="B776" s="42" t="s">
        <v>5357</v>
      </c>
      <c r="C776" s="43" t="s">
        <v>1508</v>
      </c>
      <c r="D776" s="44" t="s">
        <v>4006</v>
      </c>
    </row>
    <row r="777" spans="1:4" ht="63" customHeight="1" x14ac:dyDescent="0.25">
      <c r="A777" s="42" t="s">
        <v>3216</v>
      </c>
      <c r="B777" s="42" t="s">
        <v>5358</v>
      </c>
      <c r="C777" s="43" t="s">
        <v>5359</v>
      </c>
      <c r="D777" s="44" t="s">
        <v>4007</v>
      </c>
    </row>
    <row r="778" spans="1:4" ht="63" customHeight="1" x14ac:dyDescent="0.25">
      <c r="A778" s="42" t="s">
        <v>3218</v>
      </c>
      <c r="B778" s="42" t="s">
        <v>5360</v>
      </c>
      <c r="C778" s="43" t="s">
        <v>5361</v>
      </c>
      <c r="D778" s="44" t="s">
        <v>4008</v>
      </c>
    </row>
    <row r="779" spans="1:4" ht="31.5" customHeight="1" x14ac:dyDescent="0.25">
      <c r="A779" s="42" t="s">
        <v>3220</v>
      </c>
      <c r="B779" s="42" t="s">
        <v>5362</v>
      </c>
      <c r="C779" s="43" t="s">
        <v>649</v>
      </c>
      <c r="D779" s="44" t="s">
        <v>4009</v>
      </c>
    </row>
    <row r="780" spans="1:4" ht="31.5" customHeight="1" x14ac:dyDescent="0.25">
      <c r="A780" s="42" t="s">
        <v>3222</v>
      </c>
      <c r="B780" s="42" t="s">
        <v>5363</v>
      </c>
      <c r="C780" s="43" t="s">
        <v>410</v>
      </c>
      <c r="D780" s="44" t="s">
        <v>4010</v>
      </c>
    </row>
    <row r="781" spans="1:4" ht="47.25" customHeight="1" x14ac:dyDescent="0.25">
      <c r="A781" s="42" t="s">
        <v>3224</v>
      </c>
      <c r="B781" s="42" t="s">
        <v>5364</v>
      </c>
      <c r="C781" s="43" t="s">
        <v>2351</v>
      </c>
      <c r="D781" s="44" t="s">
        <v>4011</v>
      </c>
    </row>
    <row r="782" spans="1:4" ht="47.25" customHeight="1" x14ac:dyDescent="0.25">
      <c r="A782" s="42" t="s">
        <v>3226</v>
      </c>
      <c r="B782" s="42" t="s">
        <v>5365</v>
      </c>
      <c r="C782" s="43" t="s">
        <v>5366</v>
      </c>
      <c r="D782" s="44" t="s">
        <v>4012</v>
      </c>
    </row>
    <row r="783" spans="1:4" ht="31.5" customHeight="1" x14ac:dyDescent="0.25">
      <c r="A783" s="42" t="s">
        <v>3228</v>
      </c>
      <c r="B783" s="42" t="s">
        <v>5367</v>
      </c>
      <c r="C783" s="43" t="s">
        <v>3098</v>
      </c>
      <c r="D783" s="44" t="s">
        <v>4013</v>
      </c>
    </row>
    <row r="784" spans="1:4" ht="47.25" customHeight="1" x14ac:dyDescent="0.25">
      <c r="A784" s="42" t="s">
        <v>3230</v>
      </c>
      <c r="B784" s="42" t="s">
        <v>5368</v>
      </c>
      <c r="C784" s="43" t="s">
        <v>5369</v>
      </c>
      <c r="D784" s="44" t="s">
        <v>4014</v>
      </c>
    </row>
    <row r="785" spans="1:4" ht="31.5" customHeight="1" x14ac:dyDescent="0.25">
      <c r="A785" s="42" t="s">
        <v>5370</v>
      </c>
      <c r="B785" s="42" t="s">
        <v>5371</v>
      </c>
      <c r="C785" s="43" t="s">
        <v>1410</v>
      </c>
      <c r="D785" s="44" t="s">
        <v>4015</v>
      </c>
    </row>
    <row r="786" spans="1:4" ht="47.25" customHeight="1" x14ac:dyDescent="0.25">
      <c r="A786" s="42" t="s">
        <v>5372</v>
      </c>
      <c r="B786" s="42" t="s">
        <v>5373</v>
      </c>
      <c r="C786" s="43" t="s">
        <v>427</v>
      </c>
      <c r="D786" s="44" t="s">
        <v>4016</v>
      </c>
    </row>
    <row r="787" spans="1:4" ht="47.25" customHeight="1" x14ac:dyDescent="0.25">
      <c r="A787" s="42" t="s">
        <v>5374</v>
      </c>
      <c r="B787" s="42" t="s">
        <v>5375</v>
      </c>
      <c r="C787" s="43" t="s">
        <v>2740</v>
      </c>
      <c r="D787" s="44" t="s">
        <v>4017</v>
      </c>
    </row>
    <row r="788" spans="1:4" ht="47.25" customHeight="1" x14ac:dyDescent="0.25">
      <c r="A788" s="42" t="s">
        <v>5376</v>
      </c>
      <c r="B788" s="42" t="s">
        <v>5377</v>
      </c>
      <c r="C788" s="43" t="s">
        <v>855</v>
      </c>
      <c r="D788" s="44" t="s">
        <v>4018</v>
      </c>
    </row>
    <row r="789" spans="1:4" ht="31.5" customHeight="1" x14ac:dyDescent="0.25">
      <c r="A789" s="42" t="s">
        <v>5378</v>
      </c>
      <c r="B789" s="42" t="s">
        <v>5379</v>
      </c>
      <c r="C789" s="43" t="s">
        <v>5380</v>
      </c>
      <c r="D789" s="44" t="s">
        <v>4019</v>
      </c>
    </row>
    <row r="790" spans="1:4" ht="47.25" customHeight="1" x14ac:dyDescent="0.25">
      <c r="A790" s="42" t="s">
        <v>5381</v>
      </c>
      <c r="B790" s="42" t="s">
        <v>5382</v>
      </c>
      <c r="C790" s="43" t="s">
        <v>460</v>
      </c>
      <c r="D790" s="44" t="s">
        <v>4020</v>
      </c>
    </row>
    <row r="791" spans="1:4" ht="31.5" customHeight="1" x14ac:dyDescent="0.25">
      <c r="A791" s="42" t="s">
        <v>5383</v>
      </c>
      <c r="B791" s="42" t="s">
        <v>5384</v>
      </c>
      <c r="C791" s="43" t="s">
        <v>4749</v>
      </c>
      <c r="D791" s="44" t="s">
        <v>4021</v>
      </c>
    </row>
    <row r="792" spans="1:4" ht="47.25" customHeight="1" x14ac:dyDescent="0.25">
      <c r="A792" s="42" t="s">
        <v>5385</v>
      </c>
      <c r="B792" s="42" t="s">
        <v>5386</v>
      </c>
      <c r="C792" s="43" t="s">
        <v>988</v>
      </c>
      <c r="D792" s="44" t="s">
        <v>4022</v>
      </c>
    </row>
    <row r="793" spans="1:4" ht="47.25" customHeight="1" x14ac:dyDescent="0.25">
      <c r="A793" s="42" t="s">
        <v>5387</v>
      </c>
      <c r="B793" s="42" t="s">
        <v>5388</v>
      </c>
      <c r="C793" s="43" t="s">
        <v>4451</v>
      </c>
      <c r="D793" s="44" t="s">
        <v>4023</v>
      </c>
    </row>
    <row r="794" spans="1:4" ht="63" customHeight="1" x14ac:dyDescent="0.25">
      <c r="A794" s="42" t="s">
        <v>5389</v>
      </c>
      <c r="B794" s="42" t="s">
        <v>5390</v>
      </c>
      <c r="C794" s="43" t="s">
        <v>1137</v>
      </c>
      <c r="D794" s="44" t="s">
        <v>4024</v>
      </c>
    </row>
    <row r="795" spans="1:4" ht="63" customHeight="1" x14ac:dyDescent="0.25">
      <c r="A795" s="42" t="s">
        <v>5391</v>
      </c>
      <c r="B795" s="42" t="s">
        <v>5392</v>
      </c>
      <c r="C795" s="43" t="s">
        <v>609</v>
      </c>
      <c r="D795" s="44" t="s">
        <v>4025</v>
      </c>
    </row>
    <row r="796" spans="1:4" ht="47.25" customHeight="1" x14ac:dyDescent="0.25">
      <c r="A796" s="42" t="s">
        <v>5393</v>
      </c>
      <c r="B796" s="42" t="s">
        <v>5394</v>
      </c>
      <c r="C796" s="43" t="s">
        <v>688</v>
      </c>
      <c r="D796" s="44" t="s">
        <v>4026</v>
      </c>
    </row>
    <row r="797" spans="1:4" ht="78.75" customHeight="1" x14ac:dyDescent="0.25">
      <c r="A797" s="42" t="s">
        <v>5395</v>
      </c>
      <c r="B797" s="42" t="s">
        <v>5396</v>
      </c>
      <c r="C797" s="43" t="s">
        <v>4752</v>
      </c>
      <c r="D797" s="44" t="s">
        <v>4027</v>
      </c>
    </row>
    <row r="798" spans="1:4" ht="63" customHeight="1" x14ac:dyDescent="0.25">
      <c r="A798" s="42" t="s">
        <v>5397</v>
      </c>
      <c r="B798" s="42" t="s">
        <v>5398</v>
      </c>
      <c r="C798" s="43" t="s">
        <v>389</v>
      </c>
      <c r="D798" s="44" t="s">
        <v>4028</v>
      </c>
    </row>
    <row r="799" spans="1:4" ht="31.5" customHeight="1" x14ac:dyDescent="0.25">
      <c r="A799" s="42" t="s">
        <v>5399</v>
      </c>
      <c r="B799" s="42" t="s">
        <v>5400</v>
      </c>
      <c r="C799" s="43" t="s">
        <v>540</v>
      </c>
      <c r="D799" s="44" t="s">
        <v>4029</v>
      </c>
    </row>
    <row r="800" spans="1:4" ht="31.5" customHeight="1" x14ac:dyDescent="0.25">
      <c r="A800" s="42" t="s">
        <v>5401</v>
      </c>
      <c r="B800" s="42" t="s">
        <v>5402</v>
      </c>
      <c r="C800" s="43" t="s">
        <v>1729</v>
      </c>
      <c r="D800" s="44" t="s">
        <v>4030</v>
      </c>
    </row>
    <row r="801" spans="1:4" ht="47.25" customHeight="1" x14ac:dyDescent="0.25">
      <c r="A801" s="42" t="s">
        <v>5403</v>
      </c>
      <c r="B801" s="42" t="s">
        <v>5404</v>
      </c>
      <c r="C801" s="43" t="s">
        <v>664</v>
      </c>
      <c r="D801" s="44" t="s">
        <v>4031</v>
      </c>
    </row>
    <row r="802" spans="1:4" ht="31.5" customHeight="1" x14ac:dyDescent="0.25">
      <c r="A802" s="42" t="s">
        <v>5405</v>
      </c>
      <c r="B802" s="42" t="s">
        <v>5406</v>
      </c>
      <c r="C802" s="43" t="s">
        <v>955</v>
      </c>
      <c r="D802" s="44" t="s">
        <v>4032</v>
      </c>
    </row>
    <row r="803" spans="1:4" ht="47.25" customHeight="1" x14ac:dyDescent="0.25">
      <c r="A803" s="42" t="s">
        <v>5407</v>
      </c>
      <c r="B803" s="42" t="s">
        <v>5408</v>
      </c>
      <c r="C803" s="43" t="s">
        <v>1137</v>
      </c>
      <c r="D803" s="44" t="s">
        <v>4033</v>
      </c>
    </row>
    <row r="804" spans="1:4" ht="47.25" customHeight="1" x14ac:dyDescent="0.25">
      <c r="A804" s="42" t="s">
        <v>5409</v>
      </c>
      <c r="B804" s="42" t="s">
        <v>5410</v>
      </c>
      <c r="C804" s="43" t="s">
        <v>4597</v>
      </c>
      <c r="D804" s="44" t="s">
        <v>4034</v>
      </c>
    </row>
    <row r="805" spans="1:4" ht="47.25" customHeight="1" x14ac:dyDescent="0.25">
      <c r="A805" s="42" t="s">
        <v>5411</v>
      </c>
      <c r="B805" s="42" t="s">
        <v>5412</v>
      </c>
      <c r="C805" s="43" t="s">
        <v>4588</v>
      </c>
      <c r="D805" s="44" t="s">
        <v>4035</v>
      </c>
    </row>
    <row r="806" spans="1:4" ht="47.25" customHeight="1" x14ac:dyDescent="0.25">
      <c r="A806" s="42" t="s">
        <v>5413</v>
      </c>
      <c r="B806" s="42" t="s">
        <v>5414</v>
      </c>
      <c r="C806" s="43" t="s">
        <v>355</v>
      </c>
      <c r="D806" s="44" t="s">
        <v>4036</v>
      </c>
    </row>
    <row r="807" spans="1:4" ht="63" customHeight="1" x14ac:dyDescent="0.25">
      <c r="A807" s="42" t="s">
        <v>5415</v>
      </c>
      <c r="B807" s="42" t="s">
        <v>5416</v>
      </c>
      <c r="C807" s="43" t="s">
        <v>4752</v>
      </c>
      <c r="D807" s="44" t="s">
        <v>4037</v>
      </c>
    </row>
    <row r="808" spans="1:4" ht="47.25" customHeight="1" x14ac:dyDescent="0.25">
      <c r="A808" s="42" t="s">
        <v>5417</v>
      </c>
      <c r="B808" s="42" t="s">
        <v>5418</v>
      </c>
      <c r="C808" s="43" t="s">
        <v>5419</v>
      </c>
      <c r="D808" s="44" t="s">
        <v>4038</v>
      </c>
    </row>
    <row r="809" spans="1:4" ht="47.25" customHeight="1" x14ac:dyDescent="0.25">
      <c r="A809" s="42" t="s">
        <v>5420</v>
      </c>
      <c r="B809" s="42" t="s">
        <v>5421</v>
      </c>
      <c r="C809" s="43" t="s">
        <v>5422</v>
      </c>
      <c r="D809" s="44" t="s">
        <v>4039</v>
      </c>
    </row>
    <row r="810" spans="1:4" ht="47.25" customHeight="1" x14ac:dyDescent="0.25">
      <c r="A810" s="42" t="s">
        <v>5423</v>
      </c>
      <c r="B810" s="42" t="s">
        <v>5424</v>
      </c>
      <c r="C810" s="43" t="s">
        <v>4588</v>
      </c>
      <c r="D810" s="44" t="s">
        <v>4040</v>
      </c>
    </row>
    <row r="811" spans="1:4" ht="47.25" customHeight="1" x14ac:dyDescent="0.25">
      <c r="A811" s="42" t="s">
        <v>5425</v>
      </c>
      <c r="B811" s="42" t="s">
        <v>5426</v>
      </c>
      <c r="C811" s="43" t="s">
        <v>109</v>
      </c>
      <c r="D811" s="44" t="s">
        <v>4041</v>
      </c>
    </row>
    <row r="812" spans="1:4" ht="47.25" customHeight="1" x14ac:dyDescent="0.25">
      <c r="A812" s="42" t="s">
        <v>5427</v>
      </c>
      <c r="B812" s="42" t="s">
        <v>5428</v>
      </c>
      <c r="C812" s="43" t="s">
        <v>5429</v>
      </c>
      <c r="D812" s="44" t="s">
        <v>4042</v>
      </c>
    </row>
    <row r="813" spans="1:4" ht="63" customHeight="1" x14ac:dyDescent="0.25">
      <c r="A813" s="42" t="s">
        <v>5430</v>
      </c>
      <c r="B813" s="42" t="s">
        <v>5431</v>
      </c>
      <c r="C813" s="43" t="s">
        <v>817</v>
      </c>
      <c r="D813" s="44" t="s">
        <v>4043</v>
      </c>
    </row>
    <row r="814" spans="1:4" ht="31.5" customHeight="1" x14ac:dyDescent="0.25">
      <c r="A814" s="42" t="s">
        <v>5432</v>
      </c>
      <c r="B814" s="42" t="s">
        <v>5433</v>
      </c>
      <c r="C814" s="43" t="s">
        <v>1360</v>
      </c>
      <c r="D814" s="44" t="s">
        <v>4044</v>
      </c>
    </row>
    <row r="815" spans="1:4" ht="78.75" customHeight="1" x14ac:dyDescent="0.25">
      <c r="A815" s="42" t="s">
        <v>5434</v>
      </c>
      <c r="B815" s="42" t="s">
        <v>5435</v>
      </c>
      <c r="C815" s="43" t="s">
        <v>5436</v>
      </c>
      <c r="D815" s="44" t="s">
        <v>4045</v>
      </c>
    </row>
    <row r="816" spans="1:4" ht="63" customHeight="1" x14ac:dyDescent="0.25">
      <c r="A816" s="42" t="s">
        <v>5437</v>
      </c>
      <c r="B816" s="42" t="s">
        <v>5438</v>
      </c>
      <c r="C816" s="43" t="s">
        <v>394</v>
      </c>
      <c r="D816" s="44" t="s">
        <v>4046</v>
      </c>
    </row>
    <row r="817" spans="1:4" ht="78.75" customHeight="1" x14ac:dyDescent="0.25">
      <c r="A817" s="42" t="s">
        <v>5439</v>
      </c>
      <c r="B817" s="42" t="s">
        <v>5440</v>
      </c>
      <c r="C817" s="43" t="s">
        <v>243</v>
      </c>
      <c r="D817" s="44" t="s">
        <v>4047</v>
      </c>
    </row>
    <row r="818" spans="1:4" ht="31.5" customHeight="1" x14ac:dyDescent="0.25">
      <c r="A818" s="42" t="s">
        <v>5441</v>
      </c>
      <c r="B818" s="42" t="s">
        <v>5442</v>
      </c>
      <c r="C818" s="43" t="s">
        <v>5443</v>
      </c>
      <c r="D818" s="44" t="s">
        <v>4048</v>
      </c>
    </row>
    <row r="819" spans="1:4" ht="31.5" customHeight="1" x14ac:dyDescent="0.25">
      <c r="A819" s="42" t="s">
        <v>5444</v>
      </c>
      <c r="B819" s="42" t="s">
        <v>5445</v>
      </c>
      <c r="C819" s="43" t="s">
        <v>1360</v>
      </c>
      <c r="D819" s="44" t="s">
        <v>4049</v>
      </c>
    </row>
    <row r="820" spans="1:4" ht="47.25" customHeight="1" x14ac:dyDescent="0.25">
      <c r="A820" s="42" t="s">
        <v>5446</v>
      </c>
      <c r="B820" s="42" t="s">
        <v>5447</v>
      </c>
      <c r="C820" s="43" t="s">
        <v>1559</v>
      </c>
      <c r="D820" s="44" t="s">
        <v>4050</v>
      </c>
    </row>
    <row r="821" spans="1:4" ht="63" customHeight="1" x14ac:dyDescent="0.25">
      <c r="A821" s="42" t="s">
        <v>5448</v>
      </c>
      <c r="B821" s="42" t="s">
        <v>5449</v>
      </c>
      <c r="C821" s="43" t="s">
        <v>5450</v>
      </c>
      <c r="D821" s="44" t="s">
        <v>4051</v>
      </c>
    </row>
    <row r="822" spans="1:4" ht="31.5" customHeight="1" x14ac:dyDescent="0.25">
      <c r="A822" s="42" t="s">
        <v>5451</v>
      </c>
      <c r="B822" s="42" t="s">
        <v>5452</v>
      </c>
      <c r="C822" s="43" t="s">
        <v>5016</v>
      </c>
      <c r="D822" s="44" t="s">
        <v>4052</v>
      </c>
    </row>
    <row r="823" spans="1:4" ht="31.5" customHeight="1" x14ac:dyDescent="0.25">
      <c r="A823" s="42" t="s">
        <v>5453</v>
      </c>
      <c r="B823" s="42" t="s">
        <v>5454</v>
      </c>
      <c r="C823" s="43" t="s">
        <v>1360</v>
      </c>
      <c r="D823" s="44" t="s">
        <v>4053</v>
      </c>
    </row>
    <row r="824" spans="1:4" ht="15.75" customHeight="1" x14ac:dyDescent="0.25">
      <c r="A824" s="42" t="s">
        <v>5455</v>
      </c>
      <c r="B824" s="42" t="s">
        <v>5456</v>
      </c>
      <c r="C824" s="43" t="s">
        <v>2083</v>
      </c>
      <c r="D824" s="44" t="s">
        <v>4054</v>
      </c>
    </row>
    <row r="825" spans="1:4" ht="31.5" customHeight="1" x14ac:dyDescent="0.25">
      <c r="A825" s="42" t="s">
        <v>5457</v>
      </c>
      <c r="B825" s="42" t="s">
        <v>5458</v>
      </c>
      <c r="C825" s="43" t="s">
        <v>5016</v>
      </c>
      <c r="D825" s="44" t="s">
        <v>4055</v>
      </c>
    </row>
    <row r="826" spans="1:4" ht="63" customHeight="1" x14ac:dyDescent="0.25">
      <c r="A826" s="42" t="s">
        <v>5459</v>
      </c>
      <c r="B826" s="42" t="s">
        <v>5460</v>
      </c>
      <c r="C826" s="43" t="s">
        <v>95</v>
      </c>
      <c r="D826" s="44" t="s">
        <v>4056</v>
      </c>
    </row>
    <row r="827" spans="1:4" ht="78.75" customHeight="1" x14ac:dyDescent="0.25">
      <c r="A827" s="42" t="s">
        <v>5461</v>
      </c>
      <c r="B827" s="42" t="s">
        <v>5462</v>
      </c>
      <c r="C827" s="43" t="s">
        <v>5419</v>
      </c>
      <c r="D827" s="44" t="s">
        <v>4057</v>
      </c>
    </row>
    <row r="828" spans="1:4" ht="47.25" customHeight="1" x14ac:dyDescent="0.25">
      <c r="A828" s="42" t="s">
        <v>5463</v>
      </c>
      <c r="B828" s="42" t="s">
        <v>5464</v>
      </c>
      <c r="C828" s="43" t="s">
        <v>2473</v>
      </c>
      <c r="D828" s="44" t="s">
        <v>4058</v>
      </c>
    </row>
    <row r="829" spans="1:4" ht="31.5" customHeight="1" x14ac:dyDescent="0.25">
      <c r="A829" s="42" t="s">
        <v>5465</v>
      </c>
      <c r="B829" s="42" t="s">
        <v>5466</v>
      </c>
      <c r="C829" s="43" t="s">
        <v>5055</v>
      </c>
      <c r="D829" s="44" t="s">
        <v>4059</v>
      </c>
    </row>
    <row r="830" spans="1:4" ht="63" customHeight="1" x14ac:dyDescent="0.25">
      <c r="A830" s="42" t="s">
        <v>5467</v>
      </c>
      <c r="B830" s="42" t="s">
        <v>5468</v>
      </c>
      <c r="C830" s="43" t="s">
        <v>1513</v>
      </c>
      <c r="D830" s="44" t="s">
        <v>4060</v>
      </c>
    </row>
    <row r="831" spans="1:4" ht="47.25" customHeight="1" x14ac:dyDescent="0.25">
      <c r="A831" s="42" t="s">
        <v>5469</v>
      </c>
      <c r="B831" s="42" t="s">
        <v>5470</v>
      </c>
      <c r="C831" s="43" t="s">
        <v>5055</v>
      </c>
      <c r="D831" s="44" t="s">
        <v>4061</v>
      </c>
    </row>
    <row r="832" spans="1:4" ht="63" customHeight="1" x14ac:dyDescent="0.25">
      <c r="A832" s="42" t="s">
        <v>5471</v>
      </c>
      <c r="B832" s="42" t="s">
        <v>5472</v>
      </c>
      <c r="C832" s="43" t="s">
        <v>664</v>
      </c>
      <c r="D832" s="44" t="s">
        <v>4062</v>
      </c>
    </row>
    <row r="833" spans="1:5" ht="31.5" customHeight="1" x14ac:dyDescent="0.25">
      <c r="A833" s="42" t="s">
        <v>5473</v>
      </c>
      <c r="B833" s="42" t="s">
        <v>5474</v>
      </c>
      <c r="C833" s="43" t="s">
        <v>1331</v>
      </c>
      <c r="D833" s="44" t="s">
        <v>4063</v>
      </c>
    </row>
    <row r="834" spans="1:5" ht="31.5" customHeight="1" x14ac:dyDescent="0.25">
      <c r="A834" s="42" t="s">
        <v>5475</v>
      </c>
      <c r="B834" s="42" t="s">
        <v>5476</v>
      </c>
      <c r="C834" s="43" t="s">
        <v>5477</v>
      </c>
      <c r="D834" s="44" t="s">
        <v>4064</v>
      </c>
    </row>
    <row r="835" spans="1:5" ht="47.25" customHeight="1" x14ac:dyDescent="0.25">
      <c r="A835" s="42" t="s">
        <v>5478</v>
      </c>
      <c r="B835" s="42" t="s">
        <v>5479</v>
      </c>
      <c r="C835" s="43" t="s">
        <v>160</v>
      </c>
      <c r="D835" s="44" t="s">
        <v>4065</v>
      </c>
    </row>
    <row r="836" spans="1:5" ht="47.25" customHeight="1" x14ac:dyDescent="0.25">
      <c r="A836" s="42" t="s">
        <v>5480</v>
      </c>
      <c r="B836" s="42" t="s">
        <v>5481</v>
      </c>
      <c r="C836" s="43" t="s">
        <v>5055</v>
      </c>
      <c r="D836" s="44" t="s">
        <v>4066</v>
      </c>
    </row>
    <row r="837" spans="1:5" ht="63" customHeight="1" x14ac:dyDescent="0.25">
      <c r="A837" s="42" t="s">
        <v>5482</v>
      </c>
      <c r="B837" s="42" t="s">
        <v>5483</v>
      </c>
      <c r="C837" s="43" t="s">
        <v>5484</v>
      </c>
      <c r="D837" s="44" t="s">
        <v>4067</v>
      </c>
    </row>
    <row r="838" spans="1:5" ht="31.5" customHeight="1" x14ac:dyDescent="0.25">
      <c r="A838" s="42" t="s">
        <v>5485</v>
      </c>
      <c r="B838" s="42" t="s">
        <v>5486</v>
      </c>
      <c r="C838" s="43" t="s">
        <v>5369</v>
      </c>
      <c r="D838" s="44" t="s">
        <v>4068</v>
      </c>
    </row>
    <row r="839" spans="1:5" ht="47.25" customHeight="1" x14ac:dyDescent="0.25">
      <c r="A839" s="42" t="s">
        <v>5487</v>
      </c>
      <c r="B839" s="42" t="s">
        <v>5488</v>
      </c>
      <c r="C839" s="43" t="s">
        <v>5489</v>
      </c>
      <c r="D839" s="44" t="s">
        <v>4069</v>
      </c>
    </row>
    <row r="840" spans="1:5" ht="31.5" customHeight="1" x14ac:dyDescent="0.25">
      <c r="A840" s="42" t="s">
        <v>5490</v>
      </c>
      <c r="B840" s="42" t="s">
        <v>5491</v>
      </c>
      <c r="C840" s="43" t="s">
        <v>5492</v>
      </c>
      <c r="D840" s="44" t="s">
        <v>4070</v>
      </c>
    </row>
    <row r="841" spans="1:5" ht="63" customHeight="1" x14ac:dyDescent="0.25">
      <c r="A841" s="42" t="s">
        <v>5493</v>
      </c>
      <c r="B841" s="42" t="s">
        <v>5494</v>
      </c>
      <c r="C841" s="43" t="s">
        <v>2222</v>
      </c>
      <c r="D841" s="44" t="s">
        <v>4071</v>
      </c>
    </row>
    <row r="842" spans="1:5" ht="47.25" customHeight="1" x14ac:dyDescent="0.25">
      <c r="A842" s="42" t="s">
        <v>5495</v>
      </c>
      <c r="B842" s="42" t="s">
        <v>5496</v>
      </c>
      <c r="C842" s="43" t="s">
        <v>2222</v>
      </c>
      <c r="D842" s="44" t="s">
        <v>4072</v>
      </c>
    </row>
    <row r="843" spans="1:5" ht="47.25" customHeight="1" x14ac:dyDescent="0.25">
      <c r="A843" s="42" t="s">
        <v>5497</v>
      </c>
      <c r="B843" s="42" t="s">
        <v>5498</v>
      </c>
      <c r="C843" s="43" t="s">
        <v>5499</v>
      </c>
      <c r="D843" s="44" t="s">
        <v>4073</v>
      </c>
    </row>
    <row r="844" spans="1:5" ht="31.5" customHeight="1" x14ac:dyDescent="0.25">
      <c r="A844" s="42" t="s">
        <v>5500</v>
      </c>
      <c r="B844" s="42" t="s">
        <v>5501</v>
      </c>
      <c r="C844" s="43" t="s">
        <v>1228</v>
      </c>
      <c r="D844" s="44" t="s">
        <v>4074</v>
      </c>
    </row>
    <row r="845" spans="1:5" s="30" customFormat="1" ht="31.5" customHeight="1" x14ac:dyDescent="0.25">
      <c r="A845" s="42" t="s">
        <v>5502</v>
      </c>
      <c r="B845" s="42" t="s">
        <v>5503</v>
      </c>
      <c r="C845" s="43" t="s">
        <v>5504</v>
      </c>
      <c r="D845" s="44" t="s">
        <v>4075</v>
      </c>
      <c r="E845" s="28"/>
    </row>
    <row r="846" spans="1:5" s="30" customFormat="1" ht="63" customHeight="1" x14ac:dyDescent="0.25">
      <c r="A846" s="42" t="s">
        <v>5505</v>
      </c>
      <c r="B846" s="42" t="s">
        <v>5506</v>
      </c>
      <c r="C846" s="43" t="s">
        <v>1564</v>
      </c>
      <c r="D846" s="44" t="s">
        <v>4076</v>
      </c>
      <c r="E846" s="28"/>
    </row>
    <row r="847" spans="1:5" s="30" customFormat="1" ht="31.5" customHeight="1" x14ac:dyDescent="0.25">
      <c r="A847" s="42" t="s">
        <v>5507</v>
      </c>
      <c r="B847" s="42" t="s">
        <v>5508</v>
      </c>
      <c r="C847" s="43" t="s">
        <v>826</v>
      </c>
      <c r="D847" s="44" t="s">
        <v>4077</v>
      </c>
      <c r="E847" s="28"/>
    </row>
    <row r="848" spans="1:5" s="30" customFormat="1" ht="47.25" customHeight="1" x14ac:dyDescent="0.25">
      <c r="A848" s="42" t="s">
        <v>5509</v>
      </c>
      <c r="B848" s="42" t="s">
        <v>5510</v>
      </c>
      <c r="C848" s="43" t="s">
        <v>2740</v>
      </c>
      <c r="D848" s="44" t="s">
        <v>4078</v>
      </c>
      <c r="E848" s="28"/>
    </row>
    <row r="849" spans="1:5" s="30" customFormat="1" ht="31.5" customHeight="1" x14ac:dyDescent="0.25">
      <c r="A849" s="42" t="s">
        <v>5511</v>
      </c>
      <c r="B849" s="42" t="s">
        <v>5512</v>
      </c>
      <c r="C849" s="43" t="s">
        <v>5504</v>
      </c>
      <c r="D849" s="44" t="s">
        <v>4079</v>
      </c>
      <c r="E849" s="28"/>
    </row>
    <row r="850" spans="1:5" s="30" customFormat="1" ht="31.5" customHeight="1" x14ac:dyDescent="0.25">
      <c r="A850" s="42" t="s">
        <v>5513</v>
      </c>
      <c r="B850" s="42" t="s">
        <v>5514</v>
      </c>
      <c r="C850" s="43" t="s">
        <v>4756</v>
      </c>
      <c r="D850" s="44" t="s">
        <v>4080</v>
      </c>
      <c r="E850" s="28"/>
    </row>
    <row r="851" spans="1:5" s="30" customFormat="1" ht="47.25" customHeight="1" x14ac:dyDescent="0.25">
      <c r="A851" s="42" t="s">
        <v>5515</v>
      </c>
      <c r="B851" s="42" t="s">
        <v>5516</v>
      </c>
      <c r="C851" s="43" t="s">
        <v>1508</v>
      </c>
      <c r="D851" s="44" t="s">
        <v>4081</v>
      </c>
      <c r="E851" s="28"/>
    </row>
    <row r="852" spans="1:5" s="30" customFormat="1" ht="31.5" customHeight="1" x14ac:dyDescent="0.25">
      <c r="A852" s="42" t="s">
        <v>5517</v>
      </c>
      <c r="B852" s="42" t="s">
        <v>5518</v>
      </c>
      <c r="C852" s="43" t="s">
        <v>5166</v>
      </c>
      <c r="D852" s="44" t="s">
        <v>4082</v>
      </c>
      <c r="E852" s="28"/>
    </row>
    <row r="853" spans="1:5" s="30" customFormat="1" ht="63" customHeight="1" x14ac:dyDescent="0.25">
      <c r="A853" s="42" t="s">
        <v>5519</v>
      </c>
      <c r="B853" s="42" t="s">
        <v>5520</v>
      </c>
      <c r="C853" s="43" t="s">
        <v>195</v>
      </c>
      <c r="D853" s="44" t="s">
        <v>4083</v>
      </c>
      <c r="E853" s="28"/>
    </row>
    <row r="854" spans="1:5" s="30" customFormat="1" ht="31.5" customHeight="1" x14ac:dyDescent="0.25">
      <c r="A854" s="42" t="s">
        <v>5521</v>
      </c>
      <c r="B854" s="42" t="s">
        <v>5522</v>
      </c>
      <c r="C854" s="43" t="s">
        <v>1405</v>
      </c>
      <c r="D854" s="44" t="s">
        <v>4084</v>
      </c>
      <c r="E854" s="28"/>
    </row>
    <row r="855" spans="1:5" s="30" customFormat="1" ht="31.5" customHeight="1" x14ac:dyDescent="0.25">
      <c r="A855" s="42" t="s">
        <v>5523</v>
      </c>
      <c r="B855" s="42" t="s">
        <v>5524</v>
      </c>
      <c r="C855" s="43" t="s">
        <v>450</v>
      </c>
      <c r="D855" s="44" t="s">
        <v>4085</v>
      </c>
      <c r="E855" s="28"/>
    </row>
    <row r="856" spans="1:5" s="30" customFormat="1" ht="47.25" customHeight="1" x14ac:dyDescent="0.25">
      <c r="A856" s="42" t="s">
        <v>5525</v>
      </c>
      <c r="B856" s="42" t="s">
        <v>5526</v>
      </c>
      <c r="C856" s="43" t="s">
        <v>5055</v>
      </c>
      <c r="D856" s="44" t="s">
        <v>4086</v>
      </c>
      <c r="E856" s="28"/>
    </row>
    <row r="857" spans="1:5" s="30" customFormat="1" ht="63" customHeight="1" x14ac:dyDescent="0.25">
      <c r="A857" s="42" t="s">
        <v>5527</v>
      </c>
      <c r="B857" s="42" t="s">
        <v>5528</v>
      </c>
      <c r="C857" s="43" t="s">
        <v>4953</v>
      </c>
      <c r="D857" s="44" t="s">
        <v>4087</v>
      </c>
      <c r="E857" s="28"/>
    </row>
    <row r="858" spans="1:5" s="30" customFormat="1" ht="31.5" customHeight="1" x14ac:dyDescent="0.25">
      <c r="A858" s="42" t="s">
        <v>5529</v>
      </c>
      <c r="B858" s="42" t="s">
        <v>5530</v>
      </c>
      <c r="C858" s="43" t="s">
        <v>427</v>
      </c>
      <c r="D858" s="44" t="s">
        <v>4088</v>
      </c>
      <c r="E858" s="28"/>
    </row>
    <row r="859" spans="1:5" ht="47.25" customHeight="1" x14ac:dyDescent="0.25">
      <c r="A859" s="42" t="s">
        <v>5531</v>
      </c>
      <c r="B859" s="42" t="s">
        <v>5532</v>
      </c>
      <c r="C859" s="43" t="s">
        <v>1463</v>
      </c>
      <c r="D859" s="44" t="s">
        <v>4089</v>
      </c>
    </row>
    <row r="860" spans="1:5" ht="47.25" customHeight="1" x14ac:dyDescent="0.25">
      <c r="A860" s="42" t="s">
        <v>5533</v>
      </c>
      <c r="B860" s="42" t="s">
        <v>5534</v>
      </c>
      <c r="C860" s="43" t="s">
        <v>195</v>
      </c>
      <c r="D860" s="44" t="s">
        <v>4090</v>
      </c>
    </row>
    <row r="861" spans="1:5" ht="31.5" customHeight="1" x14ac:dyDescent="0.25">
      <c r="A861" s="42" t="s">
        <v>5535</v>
      </c>
      <c r="B861" s="42" t="s">
        <v>5536</v>
      </c>
      <c r="C861" s="43" t="s">
        <v>5537</v>
      </c>
      <c r="D861" s="44" t="s">
        <v>4091</v>
      </c>
    </row>
    <row r="862" spans="1:5" ht="47.25" customHeight="1" x14ac:dyDescent="0.25">
      <c r="A862" s="42" t="s">
        <v>5538</v>
      </c>
      <c r="B862" s="42" t="s">
        <v>5539</v>
      </c>
      <c r="C862" s="43" t="s">
        <v>5540</v>
      </c>
      <c r="D862" s="44" t="s">
        <v>4092</v>
      </c>
    </row>
    <row r="863" spans="1:5" ht="47.25" customHeight="1" x14ac:dyDescent="0.25">
      <c r="A863" s="42" t="s">
        <v>5541</v>
      </c>
      <c r="B863" s="42" t="s">
        <v>5542</v>
      </c>
      <c r="C863" s="43" t="s">
        <v>2070</v>
      </c>
      <c r="D863" s="44" t="s">
        <v>4093</v>
      </c>
    </row>
    <row r="864" spans="1:5" ht="31.5" customHeight="1" x14ac:dyDescent="0.25">
      <c r="A864" s="42" t="s">
        <v>5543</v>
      </c>
      <c r="B864" s="42" t="s">
        <v>5544</v>
      </c>
      <c r="C864" s="43" t="s">
        <v>5016</v>
      </c>
      <c r="D864" s="44" t="s">
        <v>4094</v>
      </c>
    </row>
    <row r="865" spans="1:4" ht="31.5" customHeight="1" x14ac:dyDescent="0.25">
      <c r="A865" s="42" t="s">
        <v>5545</v>
      </c>
      <c r="B865" s="42" t="s">
        <v>5546</v>
      </c>
      <c r="C865" s="43" t="s">
        <v>609</v>
      </c>
      <c r="D865" s="44" t="s">
        <v>4095</v>
      </c>
    </row>
    <row r="866" spans="1:4" ht="47.25" customHeight="1" x14ac:dyDescent="0.25">
      <c r="A866" s="42" t="s">
        <v>5547</v>
      </c>
      <c r="B866" s="42" t="s">
        <v>5548</v>
      </c>
      <c r="C866" s="43" t="s">
        <v>2070</v>
      </c>
      <c r="D866" s="44" t="s">
        <v>4096</v>
      </c>
    </row>
    <row r="867" spans="1:4" ht="47.25" customHeight="1" x14ac:dyDescent="0.25">
      <c r="A867" s="42" t="s">
        <v>5549</v>
      </c>
      <c r="B867" s="42" t="s">
        <v>5550</v>
      </c>
      <c r="C867" s="43" t="s">
        <v>202</v>
      </c>
      <c r="D867" s="44" t="s">
        <v>4097</v>
      </c>
    </row>
    <row r="868" spans="1:4" ht="63" customHeight="1" x14ac:dyDescent="0.25">
      <c r="A868" s="42" t="s">
        <v>5551</v>
      </c>
      <c r="B868" s="42" t="s">
        <v>5552</v>
      </c>
      <c r="C868" s="43" t="s">
        <v>5553</v>
      </c>
      <c r="D868" s="44" t="s">
        <v>4098</v>
      </c>
    </row>
    <row r="869" spans="1:4" ht="47.25" customHeight="1" x14ac:dyDescent="0.25">
      <c r="A869" s="42" t="s">
        <v>5554</v>
      </c>
      <c r="B869" s="42" t="s">
        <v>5555</v>
      </c>
      <c r="C869" s="43" t="s">
        <v>2222</v>
      </c>
      <c r="D869" s="44" t="s">
        <v>4099</v>
      </c>
    </row>
    <row r="870" spans="1:4" ht="31.5" customHeight="1" x14ac:dyDescent="0.25">
      <c r="A870" s="42" t="s">
        <v>5556</v>
      </c>
      <c r="B870" s="42" t="s">
        <v>5557</v>
      </c>
      <c r="C870" s="43" t="s">
        <v>2222</v>
      </c>
      <c r="D870" s="44" t="s">
        <v>4100</v>
      </c>
    </row>
    <row r="871" spans="1:4" ht="31.5" customHeight="1" x14ac:dyDescent="0.25">
      <c r="A871" s="42" t="s">
        <v>5558</v>
      </c>
      <c r="B871" s="42" t="s">
        <v>5559</v>
      </c>
      <c r="C871" s="43" t="s">
        <v>2222</v>
      </c>
      <c r="D871" s="44" t="s">
        <v>4101</v>
      </c>
    </row>
    <row r="872" spans="1:4" ht="31.5" customHeight="1" x14ac:dyDescent="0.25">
      <c r="A872" s="42" t="s">
        <v>5560</v>
      </c>
      <c r="B872" s="42" t="s">
        <v>5561</v>
      </c>
      <c r="C872" s="43" t="s">
        <v>2222</v>
      </c>
      <c r="D872" s="44" t="s">
        <v>4102</v>
      </c>
    </row>
    <row r="873" spans="1:4" ht="31.5" customHeight="1" x14ac:dyDescent="0.25">
      <c r="A873" s="42" t="s">
        <v>5562</v>
      </c>
      <c r="B873" s="42" t="s">
        <v>5563</v>
      </c>
      <c r="C873" s="43" t="s">
        <v>109</v>
      </c>
      <c r="D873" s="44" t="s">
        <v>4103</v>
      </c>
    </row>
    <row r="874" spans="1:4" ht="47.25" customHeight="1" x14ac:dyDescent="0.25">
      <c r="A874" s="42" t="s">
        <v>5564</v>
      </c>
      <c r="B874" s="42" t="s">
        <v>5565</v>
      </c>
      <c r="C874" s="43" t="s">
        <v>109</v>
      </c>
      <c r="D874" s="44" t="s">
        <v>4104</v>
      </c>
    </row>
    <row r="875" spans="1:4" ht="31.5" customHeight="1" x14ac:dyDescent="0.25">
      <c r="A875" s="42" t="s">
        <v>5566</v>
      </c>
      <c r="B875" s="42" t="s">
        <v>5567</v>
      </c>
      <c r="C875" s="43" t="s">
        <v>394</v>
      </c>
      <c r="D875" s="44" t="s">
        <v>4105</v>
      </c>
    </row>
    <row r="876" spans="1:4" ht="47.25" customHeight="1" x14ac:dyDescent="0.25">
      <c r="A876" s="42" t="s">
        <v>5568</v>
      </c>
      <c r="B876" s="42" t="s">
        <v>5569</v>
      </c>
      <c r="C876" s="43" t="s">
        <v>1238</v>
      </c>
      <c r="D876" s="44" t="s">
        <v>4106</v>
      </c>
    </row>
    <row r="877" spans="1:4" ht="31.5" customHeight="1" x14ac:dyDescent="0.25">
      <c r="A877" s="42" t="s">
        <v>5570</v>
      </c>
      <c r="B877" s="42" t="s">
        <v>5571</v>
      </c>
      <c r="C877" s="43" t="s">
        <v>2070</v>
      </c>
      <c r="D877" s="44" t="s">
        <v>4107</v>
      </c>
    </row>
    <row r="878" spans="1:4" ht="47.25" customHeight="1" x14ac:dyDescent="0.25">
      <c r="A878" s="42" t="s">
        <v>5572</v>
      </c>
      <c r="B878" s="42" t="s">
        <v>5573</v>
      </c>
      <c r="C878" s="43" t="s">
        <v>968</v>
      </c>
      <c r="D878" s="44" t="s">
        <v>4108</v>
      </c>
    </row>
    <row r="879" spans="1:4" ht="63" customHeight="1" x14ac:dyDescent="0.25">
      <c r="A879" s="42" t="s">
        <v>5574</v>
      </c>
      <c r="B879" s="42" t="s">
        <v>5575</v>
      </c>
      <c r="C879" s="43" t="s">
        <v>389</v>
      </c>
      <c r="D879" s="44" t="s">
        <v>4109</v>
      </c>
    </row>
    <row r="880" spans="1:4" ht="63" customHeight="1" x14ac:dyDescent="0.25">
      <c r="A880" s="42" t="s">
        <v>5576</v>
      </c>
      <c r="B880" s="42" t="s">
        <v>5577</v>
      </c>
      <c r="C880" s="43" t="s">
        <v>202</v>
      </c>
      <c r="D880" s="44" t="s">
        <v>4110</v>
      </c>
    </row>
    <row r="881" spans="1:4" ht="63" customHeight="1" x14ac:dyDescent="0.25">
      <c r="A881" s="42" t="s">
        <v>5578</v>
      </c>
      <c r="B881" s="42" t="s">
        <v>5579</v>
      </c>
      <c r="C881" s="43" t="s">
        <v>4593</v>
      </c>
      <c r="D881" s="44" t="s">
        <v>4111</v>
      </c>
    </row>
    <row r="882" spans="1:4" ht="63" customHeight="1" x14ac:dyDescent="0.25">
      <c r="A882" s="42" t="s">
        <v>5580</v>
      </c>
      <c r="B882" s="42" t="s">
        <v>5581</v>
      </c>
      <c r="C882" s="43" t="s">
        <v>410</v>
      </c>
      <c r="D882" s="44" t="s">
        <v>4112</v>
      </c>
    </row>
    <row r="883" spans="1:4" ht="63" customHeight="1" x14ac:dyDescent="0.25">
      <c r="A883" s="42" t="s">
        <v>5582</v>
      </c>
      <c r="B883" s="42" t="s">
        <v>5583</v>
      </c>
      <c r="C883" s="43" t="s">
        <v>5584</v>
      </c>
      <c r="D883" s="44" t="s">
        <v>4113</v>
      </c>
    </row>
    <row r="884" spans="1:4" ht="47.25" customHeight="1" x14ac:dyDescent="0.25">
      <c r="A884" s="42" t="s">
        <v>5585</v>
      </c>
      <c r="B884" s="42" t="s">
        <v>5586</v>
      </c>
      <c r="C884" s="43" t="s">
        <v>1160</v>
      </c>
      <c r="D884" s="44" t="s">
        <v>4114</v>
      </c>
    </row>
    <row r="885" spans="1:4" ht="47.25" customHeight="1" x14ac:dyDescent="0.25">
      <c r="A885" s="42" t="s">
        <v>5587</v>
      </c>
      <c r="B885" s="42" t="s">
        <v>5588</v>
      </c>
      <c r="C885" s="43" t="s">
        <v>499</v>
      </c>
      <c r="D885" s="44" t="s">
        <v>4115</v>
      </c>
    </row>
    <row r="886" spans="1:4" ht="47.25" customHeight="1" x14ac:dyDescent="0.25">
      <c r="A886" s="42" t="s">
        <v>5589</v>
      </c>
      <c r="B886" s="42" t="s">
        <v>5590</v>
      </c>
      <c r="C886" s="43" t="s">
        <v>499</v>
      </c>
      <c r="D886" s="44" t="s">
        <v>4116</v>
      </c>
    </row>
    <row r="887" spans="1:4" ht="31.5" customHeight="1" x14ac:dyDescent="0.25">
      <c r="A887" s="42" t="s">
        <v>5591</v>
      </c>
      <c r="B887" s="42" t="s">
        <v>5592</v>
      </c>
      <c r="C887" s="43" t="s">
        <v>2569</v>
      </c>
      <c r="D887" s="44" t="s">
        <v>4117</v>
      </c>
    </row>
    <row r="888" spans="1:4" ht="31.5" customHeight="1" x14ac:dyDescent="0.25">
      <c r="A888" s="42" t="s">
        <v>5593</v>
      </c>
      <c r="B888" s="42" t="s">
        <v>5594</v>
      </c>
      <c r="C888" s="43" t="s">
        <v>4568</v>
      </c>
      <c r="D888" s="44" t="s">
        <v>4118</v>
      </c>
    </row>
    <row r="889" spans="1:4" ht="31.5" customHeight="1" x14ac:dyDescent="0.25">
      <c r="A889" s="42" t="s">
        <v>5595</v>
      </c>
      <c r="B889" s="42" t="s">
        <v>5596</v>
      </c>
      <c r="C889" s="43" t="s">
        <v>4568</v>
      </c>
      <c r="D889" s="44" t="s">
        <v>4119</v>
      </c>
    </row>
    <row r="890" spans="1:4" ht="31.5" customHeight="1" x14ac:dyDescent="0.25">
      <c r="A890" s="42" t="s">
        <v>5597</v>
      </c>
      <c r="B890" s="42" t="s">
        <v>5598</v>
      </c>
      <c r="C890" s="43" t="s">
        <v>4568</v>
      </c>
      <c r="D890" s="44" t="s">
        <v>4120</v>
      </c>
    </row>
    <row r="891" spans="1:4" ht="31.5" customHeight="1" x14ac:dyDescent="0.25">
      <c r="A891" s="42" t="s">
        <v>5599</v>
      </c>
      <c r="B891" s="42" t="s">
        <v>5600</v>
      </c>
      <c r="C891" s="43" t="s">
        <v>5331</v>
      </c>
      <c r="D891" s="44" t="s">
        <v>4121</v>
      </c>
    </row>
    <row r="892" spans="1:4" ht="47.25" customHeight="1" x14ac:dyDescent="0.25">
      <c r="A892" s="42" t="s">
        <v>5601</v>
      </c>
      <c r="B892" s="42" t="s">
        <v>5602</v>
      </c>
      <c r="C892" s="43" t="s">
        <v>2222</v>
      </c>
      <c r="D892" s="44" t="s">
        <v>4122</v>
      </c>
    </row>
    <row r="893" spans="1:4" ht="47.25" customHeight="1" x14ac:dyDescent="0.25">
      <c r="A893" s="42" t="s">
        <v>5603</v>
      </c>
      <c r="B893" s="42" t="s">
        <v>5604</v>
      </c>
      <c r="C893" s="43" t="s">
        <v>1331</v>
      </c>
      <c r="D893" s="44" t="s">
        <v>4123</v>
      </c>
    </row>
    <row r="894" spans="1:4" ht="31.5" customHeight="1" x14ac:dyDescent="0.25">
      <c r="A894" s="42" t="s">
        <v>5605</v>
      </c>
      <c r="B894" s="42" t="s">
        <v>5606</v>
      </c>
      <c r="C894" s="54" t="s">
        <v>5607</v>
      </c>
      <c r="D894" s="44" t="s">
        <v>4124</v>
      </c>
    </row>
    <row r="895" spans="1:4" ht="63" customHeight="1" x14ac:dyDescent="0.25">
      <c r="A895" s="42" t="s">
        <v>5608</v>
      </c>
      <c r="B895" s="42" t="s">
        <v>5609</v>
      </c>
      <c r="C895" s="43" t="s">
        <v>2316</v>
      </c>
      <c r="D895" s="44" t="s">
        <v>4125</v>
      </c>
    </row>
    <row r="896" spans="1:4" ht="47.25" customHeight="1" x14ac:dyDescent="0.25">
      <c r="A896" s="42" t="s">
        <v>5610</v>
      </c>
      <c r="B896" s="42" t="s">
        <v>5611</v>
      </c>
      <c r="C896" s="43" t="s">
        <v>1458</v>
      </c>
      <c r="D896" s="44" t="s">
        <v>4126</v>
      </c>
    </row>
    <row r="897" spans="1:4" ht="47.25" customHeight="1" x14ac:dyDescent="0.25">
      <c r="A897" s="42" t="s">
        <v>5612</v>
      </c>
      <c r="B897" s="42" t="s">
        <v>5613</v>
      </c>
      <c r="C897" s="43" t="s">
        <v>2253</v>
      </c>
      <c r="D897" s="44" t="s">
        <v>4127</v>
      </c>
    </row>
    <row r="898" spans="1:4" ht="63" customHeight="1" x14ac:dyDescent="0.25">
      <c r="A898" s="42" t="s">
        <v>5614</v>
      </c>
      <c r="B898" s="42" t="s">
        <v>5615</v>
      </c>
      <c r="C898" s="43" t="s">
        <v>1155</v>
      </c>
      <c r="D898" s="44" t="s">
        <v>4128</v>
      </c>
    </row>
    <row r="899" spans="1:4" ht="47.25" customHeight="1" x14ac:dyDescent="0.25">
      <c r="A899" s="42" t="s">
        <v>5616</v>
      </c>
      <c r="B899" s="42" t="s">
        <v>5617</v>
      </c>
      <c r="C899" s="43" t="s">
        <v>5001</v>
      </c>
      <c r="D899" s="44" t="s">
        <v>4129</v>
      </c>
    </row>
    <row r="900" spans="1:4" ht="47.25" customHeight="1" x14ac:dyDescent="0.25">
      <c r="A900" s="42" t="s">
        <v>5618</v>
      </c>
      <c r="B900" s="42" t="s">
        <v>5619</v>
      </c>
      <c r="C900" s="43" t="s">
        <v>1352</v>
      </c>
      <c r="D900" s="44" t="s">
        <v>4130</v>
      </c>
    </row>
    <row r="901" spans="1:4" ht="31.5" customHeight="1" x14ac:dyDescent="0.25">
      <c r="A901" s="42" t="s">
        <v>5620</v>
      </c>
      <c r="B901" s="42" t="s">
        <v>5621</v>
      </c>
      <c r="C901" s="43" t="s">
        <v>1896</v>
      </c>
      <c r="D901" s="44" t="s">
        <v>4131</v>
      </c>
    </row>
    <row r="902" spans="1:4" ht="63" customHeight="1" x14ac:dyDescent="0.25">
      <c r="A902" s="42" t="s">
        <v>5622</v>
      </c>
      <c r="B902" s="42" t="s">
        <v>5623</v>
      </c>
      <c r="C902" s="43" t="s">
        <v>955</v>
      </c>
      <c r="D902" s="44" t="s">
        <v>4132</v>
      </c>
    </row>
    <row r="903" spans="1:4" ht="47.25" customHeight="1" x14ac:dyDescent="0.25">
      <c r="A903" s="42" t="s">
        <v>5624</v>
      </c>
      <c r="B903" s="42" t="s">
        <v>5625</v>
      </c>
      <c r="C903" s="43" t="s">
        <v>635</v>
      </c>
      <c r="D903" s="44" t="s">
        <v>4133</v>
      </c>
    </row>
    <row r="904" spans="1:4" ht="47.25" customHeight="1" x14ac:dyDescent="0.25">
      <c r="A904" s="42" t="s">
        <v>5626</v>
      </c>
      <c r="B904" s="42" t="s">
        <v>5627</v>
      </c>
      <c r="C904" s="43" t="s">
        <v>5055</v>
      </c>
      <c r="D904" s="44" t="s">
        <v>4134</v>
      </c>
    </row>
    <row r="905" spans="1:4" ht="47.25" customHeight="1" x14ac:dyDescent="0.25">
      <c r="A905" s="42" t="s">
        <v>5628</v>
      </c>
      <c r="B905" s="42" t="s">
        <v>5629</v>
      </c>
      <c r="C905" s="43" t="s">
        <v>1222</v>
      </c>
      <c r="D905" s="44" t="s">
        <v>4135</v>
      </c>
    </row>
    <row r="906" spans="1:4" ht="31.5" customHeight="1" x14ac:dyDescent="0.25">
      <c r="A906" s="42" t="s">
        <v>5630</v>
      </c>
      <c r="B906" s="42" t="s">
        <v>5631</v>
      </c>
      <c r="C906" s="43" t="s">
        <v>1410</v>
      </c>
      <c r="D906" s="44" t="s">
        <v>4136</v>
      </c>
    </row>
    <row r="907" spans="1:4" ht="31.5" customHeight="1" x14ac:dyDescent="0.25">
      <c r="A907" s="42" t="s">
        <v>5632</v>
      </c>
      <c r="B907" s="42" t="s">
        <v>5633</v>
      </c>
      <c r="C907" s="43" t="s">
        <v>1384</v>
      </c>
      <c r="D907" s="44" t="s">
        <v>4137</v>
      </c>
    </row>
    <row r="908" spans="1:4" ht="47.25" customHeight="1" x14ac:dyDescent="0.25">
      <c r="A908" s="42" t="s">
        <v>5634</v>
      </c>
      <c r="B908" s="42" t="s">
        <v>5635</v>
      </c>
      <c r="C908" s="43" t="s">
        <v>1137</v>
      </c>
      <c r="D908" s="44" t="s">
        <v>4138</v>
      </c>
    </row>
    <row r="909" spans="1:4" ht="78.75" customHeight="1" x14ac:dyDescent="0.25">
      <c r="A909" s="42" t="s">
        <v>5636</v>
      </c>
      <c r="B909" s="42" t="s">
        <v>5637</v>
      </c>
      <c r="C909" s="43" t="s">
        <v>4424</v>
      </c>
      <c r="D909" s="44" t="s">
        <v>4139</v>
      </c>
    </row>
    <row r="910" spans="1:4" ht="31.5" customHeight="1" x14ac:dyDescent="0.25">
      <c r="A910" s="42" t="s">
        <v>5638</v>
      </c>
      <c r="B910" s="42" t="s">
        <v>5639</v>
      </c>
      <c r="C910" s="43" t="s">
        <v>2222</v>
      </c>
      <c r="D910" s="44" t="s">
        <v>4140</v>
      </c>
    </row>
    <row r="911" spans="1:4" ht="47.25" customHeight="1" x14ac:dyDescent="0.25">
      <c r="A911" s="42" t="s">
        <v>5640</v>
      </c>
      <c r="B911" s="42" t="s">
        <v>5641</v>
      </c>
      <c r="C911" s="43" t="s">
        <v>4407</v>
      </c>
      <c r="D911" s="44" t="s">
        <v>4141</v>
      </c>
    </row>
    <row r="912" spans="1:4" ht="31.5" customHeight="1" x14ac:dyDescent="0.25">
      <c r="A912" s="42" t="s">
        <v>5642</v>
      </c>
      <c r="B912" s="42" t="s">
        <v>5643</v>
      </c>
      <c r="C912" s="43" t="s">
        <v>4407</v>
      </c>
      <c r="D912" s="44" t="s">
        <v>4142</v>
      </c>
    </row>
    <row r="913" spans="1:4" ht="31.5" customHeight="1" x14ac:dyDescent="0.25">
      <c r="A913" s="42" t="s">
        <v>5644</v>
      </c>
      <c r="B913" s="42" t="s">
        <v>5645</v>
      </c>
      <c r="C913" s="43" t="s">
        <v>4407</v>
      </c>
      <c r="D913" s="44" t="s">
        <v>4143</v>
      </c>
    </row>
    <row r="914" spans="1:4" ht="31.5" customHeight="1" x14ac:dyDescent="0.25">
      <c r="A914" s="42" t="s">
        <v>5646</v>
      </c>
      <c r="B914" s="42" t="s">
        <v>5647</v>
      </c>
      <c r="C914" s="43" t="s">
        <v>4407</v>
      </c>
      <c r="D914" s="44" t="s">
        <v>4144</v>
      </c>
    </row>
    <row r="915" spans="1:4" ht="47.25" customHeight="1" x14ac:dyDescent="0.25">
      <c r="A915" s="42" t="s">
        <v>5648</v>
      </c>
      <c r="B915" s="42" t="s">
        <v>5649</v>
      </c>
      <c r="C915" s="43" t="s">
        <v>4407</v>
      </c>
      <c r="D915" s="44" t="s">
        <v>4145</v>
      </c>
    </row>
    <row r="916" spans="1:4" ht="31.5" customHeight="1" x14ac:dyDescent="0.25">
      <c r="A916" s="42" t="s">
        <v>5650</v>
      </c>
      <c r="B916" s="42" t="s">
        <v>5651</v>
      </c>
      <c r="C916" s="43" t="s">
        <v>1616</v>
      </c>
      <c r="D916" s="44" t="s">
        <v>4146</v>
      </c>
    </row>
    <row r="917" spans="1:4" ht="31.5" customHeight="1" x14ac:dyDescent="0.25">
      <c r="A917" s="42" t="s">
        <v>5652</v>
      </c>
      <c r="B917" s="42" t="s">
        <v>5653</v>
      </c>
      <c r="C917" s="43" t="s">
        <v>283</v>
      </c>
      <c r="D917" s="44" t="s">
        <v>4147</v>
      </c>
    </row>
    <row r="918" spans="1:4" ht="47.25" customHeight="1" x14ac:dyDescent="0.25">
      <c r="A918" s="42" t="s">
        <v>5654</v>
      </c>
      <c r="B918" s="42" t="s">
        <v>5655</v>
      </c>
      <c r="C918" s="43" t="s">
        <v>545</v>
      </c>
      <c r="D918" s="44" t="s">
        <v>4148</v>
      </c>
    </row>
    <row r="919" spans="1:4" ht="31.5" customHeight="1" x14ac:dyDescent="0.25">
      <c r="A919" s="42" t="s">
        <v>5656</v>
      </c>
      <c r="B919" s="42" t="s">
        <v>5657</v>
      </c>
      <c r="C919" s="43" t="s">
        <v>5658</v>
      </c>
      <c r="D919" s="44" t="s">
        <v>4149</v>
      </c>
    </row>
    <row r="920" spans="1:4" ht="31.5" customHeight="1" x14ac:dyDescent="0.25">
      <c r="A920" s="42" t="s">
        <v>5659</v>
      </c>
      <c r="B920" s="42" t="s">
        <v>5660</v>
      </c>
      <c r="C920" s="43" t="s">
        <v>5661</v>
      </c>
      <c r="D920" s="44" t="s">
        <v>4150</v>
      </c>
    </row>
    <row r="921" spans="1:4" ht="31.5" customHeight="1" x14ac:dyDescent="0.25">
      <c r="A921" s="42" t="s">
        <v>5662</v>
      </c>
      <c r="B921" s="42" t="s">
        <v>5663</v>
      </c>
      <c r="C921" s="43" t="s">
        <v>812</v>
      </c>
      <c r="D921" s="44" t="s">
        <v>4151</v>
      </c>
    </row>
    <row r="922" spans="1:4" ht="63" customHeight="1" x14ac:dyDescent="0.25">
      <c r="A922" s="42" t="s">
        <v>5664</v>
      </c>
      <c r="B922" s="42" t="s">
        <v>5665</v>
      </c>
      <c r="C922" s="43" t="s">
        <v>1083</v>
      </c>
      <c r="D922" s="44" t="s">
        <v>4152</v>
      </c>
    </row>
    <row r="923" spans="1:4" ht="63" customHeight="1" x14ac:dyDescent="0.25">
      <c r="A923" s="42" t="s">
        <v>5666</v>
      </c>
      <c r="B923" s="42" t="s">
        <v>5667</v>
      </c>
      <c r="C923" s="43" t="s">
        <v>2006</v>
      </c>
      <c r="D923" s="44" t="s">
        <v>4153</v>
      </c>
    </row>
    <row r="924" spans="1:4" ht="47.25" customHeight="1" x14ac:dyDescent="0.25">
      <c r="A924" s="42" t="s">
        <v>5668</v>
      </c>
      <c r="B924" s="42" t="s">
        <v>5669</v>
      </c>
      <c r="C924" s="43" t="s">
        <v>90</v>
      </c>
      <c r="D924" s="44" t="s">
        <v>4154</v>
      </c>
    </row>
    <row r="925" spans="1:4" ht="47.25" customHeight="1" x14ac:dyDescent="0.25">
      <c r="A925" s="42" t="s">
        <v>5670</v>
      </c>
      <c r="B925" s="42" t="s">
        <v>5671</v>
      </c>
      <c r="C925" s="43" t="s">
        <v>540</v>
      </c>
      <c r="D925" s="44" t="s">
        <v>4155</v>
      </c>
    </row>
    <row r="926" spans="1:4" ht="47.25" customHeight="1" x14ac:dyDescent="0.25">
      <c r="A926" s="42" t="s">
        <v>5672</v>
      </c>
      <c r="B926" s="42" t="s">
        <v>5673</v>
      </c>
      <c r="C926" s="43" t="s">
        <v>222</v>
      </c>
      <c r="D926" s="44" t="s">
        <v>4156</v>
      </c>
    </row>
    <row r="927" spans="1:4" ht="47.25" customHeight="1" x14ac:dyDescent="0.25">
      <c r="A927" s="42" t="s">
        <v>5674</v>
      </c>
      <c r="B927" s="42" t="s">
        <v>5675</v>
      </c>
      <c r="C927" s="43" t="s">
        <v>2316</v>
      </c>
      <c r="D927" s="44" t="s">
        <v>4157</v>
      </c>
    </row>
    <row r="928" spans="1:4" ht="31.5" customHeight="1" x14ac:dyDescent="0.25">
      <c r="A928" s="42" t="s">
        <v>5676</v>
      </c>
      <c r="B928" s="42" t="s">
        <v>5677</v>
      </c>
      <c r="C928" s="43" t="s">
        <v>2316</v>
      </c>
      <c r="D928" s="44" t="s">
        <v>4158</v>
      </c>
    </row>
    <row r="929" spans="1:4" ht="63" customHeight="1" x14ac:dyDescent="0.25">
      <c r="A929" s="42" t="s">
        <v>5678</v>
      </c>
      <c r="B929" s="42" t="s">
        <v>5679</v>
      </c>
      <c r="C929" s="43" t="s">
        <v>1233</v>
      </c>
      <c r="D929" s="44" t="s">
        <v>4159</v>
      </c>
    </row>
    <row r="930" spans="1:4" ht="47.25" customHeight="1" x14ac:dyDescent="0.25">
      <c r="A930" s="42" t="s">
        <v>5680</v>
      </c>
      <c r="B930" s="42" t="s">
        <v>5681</v>
      </c>
      <c r="C930" s="43" t="s">
        <v>609</v>
      </c>
      <c r="D930" s="44" t="s">
        <v>4160</v>
      </c>
    </row>
    <row r="931" spans="1:4" ht="31.5" customHeight="1" x14ac:dyDescent="0.25">
      <c r="A931" s="42" t="s">
        <v>5682</v>
      </c>
      <c r="B931" s="42" t="s">
        <v>5683</v>
      </c>
      <c r="C931" s="43" t="s">
        <v>817</v>
      </c>
      <c r="D931" s="44" t="s">
        <v>4161</v>
      </c>
    </row>
    <row r="932" spans="1:4" ht="31.5" customHeight="1" x14ac:dyDescent="0.25">
      <c r="A932" s="42" t="s">
        <v>5684</v>
      </c>
      <c r="B932" s="42" t="s">
        <v>5685</v>
      </c>
      <c r="C932" s="43" t="s">
        <v>4465</v>
      </c>
      <c r="D932" s="44" t="s">
        <v>4162</v>
      </c>
    </row>
    <row r="933" spans="1:4" ht="31.5" customHeight="1" x14ac:dyDescent="0.25">
      <c r="A933" s="42" t="s">
        <v>5686</v>
      </c>
      <c r="B933" s="42" t="s">
        <v>5687</v>
      </c>
      <c r="C933" s="43" t="s">
        <v>540</v>
      </c>
      <c r="D933" s="44" t="s">
        <v>4163</v>
      </c>
    </row>
    <row r="934" spans="1:4" ht="47.25" customHeight="1" x14ac:dyDescent="0.25">
      <c r="A934" s="42" t="s">
        <v>5688</v>
      </c>
      <c r="B934" s="42" t="s">
        <v>5689</v>
      </c>
      <c r="C934" s="43" t="s">
        <v>5690</v>
      </c>
      <c r="D934" s="44" t="s">
        <v>4164</v>
      </c>
    </row>
    <row r="935" spans="1:4" ht="47.25" customHeight="1" x14ac:dyDescent="0.25">
      <c r="A935" s="42" t="s">
        <v>5691</v>
      </c>
      <c r="B935" s="42" t="s">
        <v>5692</v>
      </c>
      <c r="C935" s="43" t="s">
        <v>555</v>
      </c>
      <c r="D935" s="44" t="s">
        <v>4165</v>
      </c>
    </row>
    <row r="936" spans="1:4" ht="31.5" customHeight="1" x14ac:dyDescent="0.25">
      <c r="A936" s="42" t="s">
        <v>5693</v>
      </c>
      <c r="B936" s="42" t="s">
        <v>5694</v>
      </c>
      <c r="C936" s="43" t="s">
        <v>1384</v>
      </c>
      <c r="D936" s="44" t="s">
        <v>4166</v>
      </c>
    </row>
    <row r="937" spans="1:4" ht="47.25" customHeight="1" x14ac:dyDescent="0.25">
      <c r="A937" s="42" t="s">
        <v>5695</v>
      </c>
      <c r="B937" s="42" t="s">
        <v>5696</v>
      </c>
      <c r="C937" s="43" t="s">
        <v>4546</v>
      </c>
      <c r="D937" s="44" t="s">
        <v>4167</v>
      </c>
    </row>
    <row r="938" spans="1:4" ht="47.25" customHeight="1" x14ac:dyDescent="0.25">
      <c r="A938" s="42" t="s">
        <v>5697</v>
      </c>
      <c r="B938" s="42" t="s">
        <v>5698</v>
      </c>
      <c r="C938" s="43" t="s">
        <v>988</v>
      </c>
      <c r="D938" s="44" t="s">
        <v>4168</v>
      </c>
    </row>
    <row r="939" spans="1:4" ht="31.5" customHeight="1" x14ac:dyDescent="0.25">
      <c r="A939" s="42" t="s">
        <v>5699</v>
      </c>
      <c r="B939" s="42" t="s">
        <v>5700</v>
      </c>
      <c r="C939" s="43" t="s">
        <v>499</v>
      </c>
      <c r="D939" s="44" t="s">
        <v>4169</v>
      </c>
    </row>
    <row r="940" spans="1:4" ht="31.5" customHeight="1" x14ac:dyDescent="0.25">
      <c r="A940" s="42" t="s">
        <v>5701</v>
      </c>
      <c r="B940" s="42" t="s">
        <v>5702</v>
      </c>
      <c r="C940" s="43" t="s">
        <v>499</v>
      </c>
      <c r="D940" s="44" t="s">
        <v>4170</v>
      </c>
    </row>
    <row r="941" spans="1:4" ht="63" customHeight="1" x14ac:dyDescent="0.25">
      <c r="A941" s="42" t="s">
        <v>5703</v>
      </c>
      <c r="B941" s="42" t="s">
        <v>5704</v>
      </c>
      <c r="C941" s="43" t="s">
        <v>2620</v>
      </c>
      <c r="D941" s="44" t="s">
        <v>4171</v>
      </c>
    </row>
    <row r="942" spans="1:4" ht="47.25" customHeight="1" x14ac:dyDescent="0.25">
      <c r="A942" s="42" t="s">
        <v>5705</v>
      </c>
      <c r="B942" s="42" t="s">
        <v>5706</v>
      </c>
      <c r="C942" s="43" t="s">
        <v>1616</v>
      </c>
      <c r="D942" s="44" t="s">
        <v>4172</v>
      </c>
    </row>
    <row r="943" spans="1:4" ht="31.5" customHeight="1" x14ac:dyDescent="0.25">
      <c r="A943" s="42" t="s">
        <v>5707</v>
      </c>
      <c r="B943" s="42" t="s">
        <v>5708</v>
      </c>
      <c r="C943" s="43" t="s">
        <v>1508</v>
      </c>
      <c r="D943" s="44" t="s">
        <v>4173</v>
      </c>
    </row>
    <row r="944" spans="1:4" ht="47.25" customHeight="1" x14ac:dyDescent="0.25">
      <c r="A944" s="42" t="s">
        <v>5709</v>
      </c>
      <c r="B944" s="42" t="s">
        <v>5710</v>
      </c>
      <c r="C944" s="43" t="s">
        <v>95</v>
      </c>
      <c r="D944" s="44" t="s">
        <v>4174</v>
      </c>
    </row>
    <row r="945" spans="1:4" ht="47.25" customHeight="1" x14ac:dyDescent="0.25">
      <c r="A945" s="42" t="s">
        <v>5711</v>
      </c>
      <c r="B945" s="42" t="s">
        <v>5712</v>
      </c>
      <c r="C945" s="43" t="s">
        <v>5713</v>
      </c>
      <c r="D945" s="44" t="s">
        <v>4175</v>
      </c>
    </row>
    <row r="946" spans="1:4" ht="63" customHeight="1" x14ac:dyDescent="0.25">
      <c r="A946" s="42" t="s">
        <v>5714</v>
      </c>
      <c r="B946" s="42" t="s">
        <v>5715</v>
      </c>
      <c r="C946" s="43" t="s">
        <v>371</v>
      </c>
      <c r="D946" s="44" t="s">
        <v>4176</v>
      </c>
    </row>
    <row r="947" spans="1:4" ht="31.5" customHeight="1" x14ac:dyDescent="0.25">
      <c r="A947" s="42" t="s">
        <v>5716</v>
      </c>
      <c r="B947" s="42" t="s">
        <v>5717</v>
      </c>
      <c r="C947" s="43" t="s">
        <v>202</v>
      </c>
      <c r="D947" s="44" t="s">
        <v>4177</v>
      </c>
    </row>
    <row r="948" spans="1:4" ht="31.5" customHeight="1" x14ac:dyDescent="0.25">
      <c r="A948" s="42" t="s">
        <v>5718</v>
      </c>
      <c r="B948" s="42" t="s">
        <v>5719</v>
      </c>
      <c r="C948" s="43" t="s">
        <v>1616</v>
      </c>
      <c r="D948" s="44" t="s">
        <v>4178</v>
      </c>
    </row>
    <row r="949" spans="1:4" ht="47.25" customHeight="1" x14ac:dyDescent="0.25">
      <c r="A949" s="42" t="s">
        <v>5720</v>
      </c>
      <c r="B949" s="42" t="s">
        <v>5721</v>
      </c>
      <c r="C949" s="43" t="s">
        <v>5722</v>
      </c>
      <c r="D949" s="44" t="s">
        <v>4179</v>
      </c>
    </row>
    <row r="950" spans="1:4" ht="31.5" customHeight="1" x14ac:dyDescent="0.25">
      <c r="A950" s="42" t="s">
        <v>5723</v>
      </c>
      <c r="B950" s="42" t="s">
        <v>5724</v>
      </c>
      <c r="C950" s="43" t="s">
        <v>146</v>
      </c>
      <c r="D950" s="44" t="s">
        <v>4180</v>
      </c>
    </row>
    <row r="951" spans="1:4" ht="47.25" customHeight="1" x14ac:dyDescent="0.25">
      <c r="A951" s="42" t="s">
        <v>5725</v>
      </c>
      <c r="B951" s="42" t="s">
        <v>5726</v>
      </c>
      <c r="C951" s="43" t="s">
        <v>5540</v>
      </c>
      <c r="D951" s="44" t="s">
        <v>4181</v>
      </c>
    </row>
    <row r="952" spans="1:4" ht="47.25" customHeight="1" x14ac:dyDescent="0.25">
      <c r="A952" s="42" t="s">
        <v>5727</v>
      </c>
      <c r="B952" s="42" t="s">
        <v>5728</v>
      </c>
      <c r="C952" s="43" t="s">
        <v>591</v>
      </c>
      <c r="D952" s="44" t="s">
        <v>4182</v>
      </c>
    </row>
    <row r="953" spans="1:4" ht="78.75" customHeight="1" x14ac:dyDescent="0.25">
      <c r="A953" s="42" t="s">
        <v>5729</v>
      </c>
      <c r="B953" s="42" t="s">
        <v>5730</v>
      </c>
      <c r="C953" s="43" t="s">
        <v>1331</v>
      </c>
      <c r="D953" s="44" t="s">
        <v>4183</v>
      </c>
    </row>
    <row r="954" spans="1:4" ht="31.5" customHeight="1" x14ac:dyDescent="0.25">
      <c r="A954" s="42" t="s">
        <v>5731</v>
      </c>
      <c r="B954" s="42" t="s">
        <v>5732</v>
      </c>
      <c r="C954" s="43" t="s">
        <v>1621</v>
      </c>
      <c r="D954" s="44" t="s">
        <v>4184</v>
      </c>
    </row>
    <row r="955" spans="1:4" ht="31.5" customHeight="1" x14ac:dyDescent="0.25">
      <c r="A955" s="42" t="s">
        <v>5733</v>
      </c>
      <c r="B955" s="42" t="s">
        <v>5734</v>
      </c>
      <c r="C955" s="43" t="s">
        <v>5369</v>
      </c>
      <c r="D955" s="44" t="s">
        <v>4185</v>
      </c>
    </row>
    <row r="956" spans="1:4" ht="63" customHeight="1" x14ac:dyDescent="0.25">
      <c r="A956" s="42" t="s">
        <v>5735</v>
      </c>
      <c r="B956" s="42" t="s">
        <v>5736</v>
      </c>
      <c r="C956" s="43" t="s">
        <v>5737</v>
      </c>
      <c r="D956" s="44" t="s">
        <v>4186</v>
      </c>
    </row>
    <row r="957" spans="1:4" ht="31.5" customHeight="1" x14ac:dyDescent="0.25">
      <c r="A957" s="42" t="s">
        <v>5738</v>
      </c>
      <c r="B957" s="42" t="s">
        <v>5739</v>
      </c>
      <c r="C957" s="43" t="s">
        <v>2445</v>
      </c>
      <c r="D957" s="44" t="s">
        <v>4187</v>
      </c>
    </row>
    <row r="958" spans="1:4" ht="31.5" customHeight="1" x14ac:dyDescent="0.25">
      <c r="A958" s="42" t="s">
        <v>5740</v>
      </c>
      <c r="B958" s="42" t="s">
        <v>5741</v>
      </c>
      <c r="C958" s="43" t="s">
        <v>455</v>
      </c>
      <c r="D958" s="44" t="s">
        <v>4188</v>
      </c>
    </row>
    <row r="959" spans="1:4" ht="31.5" customHeight="1" x14ac:dyDescent="0.25">
      <c r="A959" s="42" t="s">
        <v>5742</v>
      </c>
      <c r="B959" s="42" t="s">
        <v>5743</v>
      </c>
      <c r="C959" s="43" t="s">
        <v>5141</v>
      </c>
      <c r="D959" s="44" t="s">
        <v>4189</v>
      </c>
    </row>
    <row r="960" spans="1:4" ht="47.25" customHeight="1" x14ac:dyDescent="0.25">
      <c r="A960" s="42" t="s">
        <v>5744</v>
      </c>
      <c r="B960" s="42" t="s">
        <v>5745</v>
      </c>
      <c r="C960" s="43" t="s">
        <v>514</v>
      </c>
      <c r="D960" s="44" t="s">
        <v>4190</v>
      </c>
    </row>
    <row r="961" spans="1:4" ht="47.25" customHeight="1" x14ac:dyDescent="0.25">
      <c r="A961" s="42" t="s">
        <v>5746</v>
      </c>
      <c r="B961" s="42" t="s">
        <v>5747</v>
      </c>
      <c r="C961" s="43" t="s">
        <v>5748</v>
      </c>
      <c r="D961" s="44" t="s">
        <v>4191</v>
      </c>
    </row>
    <row r="962" spans="1:4" ht="31.5" customHeight="1" x14ac:dyDescent="0.25">
      <c r="A962" s="42" t="s">
        <v>5749</v>
      </c>
      <c r="B962" s="42" t="s">
        <v>5750</v>
      </c>
      <c r="C962" s="43" t="s">
        <v>90</v>
      </c>
      <c r="D962" s="44" t="s">
        <v>4192</v>
      </c>
    </row>
    <row r="963" spans="1:4" ht="63" customHeight="1" x14ac:dyDescent="0.25">
      <c r="A963" s="42" t="s">
        <v>5751</v>
      </c>
      <c r="B963" s="42" t="s">
        <v>5752</v>
      </c>
      <c r="C963" s="43" t="s">
        <v>405</v>
      </c>
      <c r="D963" s="44" t="s">
        <v>4193</v>
      </c>
    </row>
    <row r="964" spans="1:4" ht="47.25" customHeight="1" x14ac:dyDescent="0.25">
      <c r="A964" s="42" t="s">
        <v>5753</v>
      </c>
      <c r="B964" s="42" t="s">
        <v>5754</v>
      </c>
      <c r="C964" s="43" t="s">
        <v>167</v>
      </c>
      <c r="D964" s="44" t="s">
        <v>4194</v>
      </c>
    </row>
    <row r="965" spans="1:4" ht="47.25" customHeight="1" x14ac:dyDescent="0.25">
      <c r="A965" s="42" t="s">
        <v>5755</v>
      </c>
      <c r="B965" s="42" t="s">
        <v>5756</v>
      </c>
      <c r="C965" s="43" t="s">
        <v>996</v>
      </c>
      <c r="D965" s="44" t="s">
        <v>4195</v>
      </c>
    </row>
    <row r="966" spans="1:4" ht="63" customHeight="1" x14ac:dyDescent="0.25">
      <c r="A966" s="42" t="s">
        <v>5757</v>
      </c>
      <c r="B966" s="42" t="s">
        <v>5758</v>
      </c>
      <c r="C966" s="43" t="s">
        <v>427</v>
      </c>
      <c r="D966" s="44" t="s">
        <v>4196</v>
      </c>
    </row>
    <row r="967" spans="1:4" ht="47.25" customHeight="1" x14ac:dyDescent="0.25">
      <c r="A967" s="42" t="s">
        <v>5759</v>
      </c>
      <c r="B967" s="42" t="s">
        <v>5760</v>
      </c>
      <c r="C967" s="43" t="s">
        <v>1616</v>
      </c>
      <c r="D967" s="44" t="s">
        <v>4197</v>
      </c>
    </row>
    <row r="968" spans="1:4" ht="31.5" customHeight="1" x14ac:dyDescent="0.25">
      <c r="A968" s="42" t="s">
        <v>5761</v>
      </c>
      <c r="B968" s="42" t="s">
        <v>5762</v>
      </c>
      <c r="C968" s="43" t="s">
        <v>5763</v>
      </c>
      <c r="D968" s="44" t="s">
        <v>4198</v>
      </c>
    </row>
    <row r="969" spans="1:4" ht="63" customHeight="1" x14ac:dyDescent="0.25">
      <c r="A969" s="42" t="s">
        <v>5764</v>
      </c>
      <c r="B969" s="42" t="s">
        <v>5765</v>
      </c>
      <c r="C969" s="43" t="s">
        <v>1331</v>
      </c>
      <c r="D969" s="44" t="s">
        <v>4199</v>
      </c>
    </row>
    <row r="970" spans="1:4" ht="47.25" customHeight="1" x14ac:dyDescent="0.25">
      <c r="A970" s="42" t="s">
        <v>5766</v>
      </c>
      <c r="B970" s="42" t="s">
        <v>5767</v>
      </c>
      <c r="C970" s="43" t="s">
        <v>1331</v>
      </c>
      <c r="D970" s="44" t="s">
        <v>4200</v>
      </c>
    </row>
    <row r="971" spans="1:4" ht="63" customHeight="1" x14ac:dyDescent="0.25">
      <c r="A971" s="42" t="s">
        <v>5768</v>
      </c>
      <c r="B971" s="42" t="s">
        <v>5769</v>
      </c>
      <c r="C971" s="43" t="s">
        <v>5770</v>
      </c>
      <c r="D971" s="44" t="s">
        <v>4201</v>
      </c>
    </row>
    <row r="972" spans="1:4" ht="47.25" customHeight="1" x14ac:dyDescent="0.25">
      <c r="A972" s="42" t="s">
        <v>5771</v>
      </c>
      <c r="B972" s="42" t="s">
        <v>5772</v>
      </c>
      <c r="C972" s="43" t="s">
        <v>1228</v>
      </c>
      <c r="D972" s="44" t="s">
        <v>4202</v>
      </c>
    </row>
    <row r="973" spans="1:4" ht="31.5" customHeight="1" x14ac:dyDescent="0.25">
      <c r="A973" s="42" t="s">
        <v>5773</v>
      </c>
      <c r="B973" s="42" t="s">
        <v>5774</v>
      </c>
      <c r="C973" s="43" t="s">
        <v>1458</v>
      </c>
      <c r="D973" s="44" t="s">
        <v>4203</v>
      </c>
    </row>
    <row r="974" spans="1:4" ht="47.25" customHeight="1" x14ac:dyDescent="0.25">
      <c r="A974" s="42" t="s">
        <v>5775</v>
      </c>
      <c r="B974" s="42" t="s">
        <v>5776</v>
      </c>
      <c r="C974" s="43" t="s">
        <v>775</v>
      </c>
      <c r="D974" s="44" t="s">
        <v>4204</v>
      </c>
    </row>
    <row r="975" spans="1:4" ht="31.5" customHeight="1" x14ac:dyDescent="0.25">
      <c r="A975" s="42" t="s">
        <v>5777</v>
      </c>
      <c r="B975" s="42" t="s">
        <v>5778</v>
      </c>
      <c r="C975" s="43" t="s">
        <v>5779</v>
      </c>
      <c r="D975" s="44" t="s">
        <v>4205</v>
      </c>
    </row>
    <row r="976" spans="1:4" ht="63" customHeight="1" x14ac:dyDescent="0.25">
      <c r="A976" s="42" t="s">
        <v>5780</v>
      </c>
      <c r="B976" s="42" t="s">
        <v>5781</v>
      </c>
      <c r="C976" s="43" t="s">
        <v>5779</v>
      </c>
      <c r="D976" s="44" t="s">
        <v>4206</v>
      </c>
    </row>
    <row r="977" spans="1:4" ht="47.25" customHeight="1" x14ac:dyDescent="0.25">
      <c r="A977" s="42" t="s">
        <v>5782</v>
      </c>
      <c r="B977" s="42" t="s">
        <v>5783</v>
      </c>
      <c r="C977" s="43" t="s">
        <v>5784</v>
      </c>
      <c r="D977" s="44" t="s">
        <v>4207</v>
      </c>
    </row>
    <row r="978" spans="1:4" ht="31.5" customHeight="1" x14ac:dyDescent="0.25">
      <c r="A978" s="42" t="s">
        <v>5785</v>
      </c>
      <c r="B978" s="42" t="s">
        <v>5786</v>
      </c>
      <c r="C978" s="43" t="s">
        <v>5787</v>
      </c>
      <c r="D978" s="44" t="s">
        <v>4208</v>
      </c>
    </row>
    <row r="979" spans="1:4" ht="47.25" customHeight="1" x14ac:dyDescent="0.25">
      <c r="A979" s="42" t="s">
        <v>5788</v>
      </c>
      <c r="B979" s="42" t="s">
        <v>5789</v>
      </c>
      <c r="C979" s="43" t="s">
        <v>4768</v>
      </c>
      <c r="D979" s="44" t="s">
        <v>4209</v>
      </c>
    </row>
    <row r="980" spans="1:4" ht="31.5" customHeight="1" x14ac:dyDescent="0.25">
      <c r="A980" s="42" t="s">
        <v>5790</v>
      </c>
      <c r="B980" s="42" t="s">
        <v>5791</v>
      </c>
      <c r="C980" s="43" t="s">
        <v>5792</v>
      </c>
      <c r="D980" s="44" t="s">
        <v>4210</v>
      </c>
    </row>
    <row r="981" spans="1:4" ht="47.25" customHeight="1" x14ac:dyDescent="0.25">
      <c r="A981" s="42" t="s">
        <v>5793</v>
      </c>
      <c r="B981" s="42" t="s">
        <v>5794</v>
      </c>
      <c r="C981" s="43" t="s">
        <v>306</v>
      </c>
      <c r="D981" s="44" t="s">
        <v>4211</v>
      </c>
    </row>
    <row r="982" spans="1:4" ht="47.25" customHeight="1" x14ac:dyDescent="0.25">
      <c r="A982" s="42" t="s">
        <v>5795</v>
      </c>
      <c r="B982" s="42" t="s">
        <v>5796</v>
      </c>
      <c r="C982" s="43" t="s">
        <v>683</v>
      </c>
      <c r="D982" s="44" t="s">
        <v>4212</v>
      </c>
    </row>
    <row r="983" spans="1:4" ht="63" customHeight="1" x14ac:dyDescent="0.25">
      <c r="A983" s="42" t="s">
        <v>5797</v>
      </c>
      <c r="B983" s="42" t="s">
        <v>5798</v>
      </c>
      <c r="C983" s="43" t="s">
        <v>1875</v>
      </c>
      <c r="D983" s="44" t="s">
        <v>4213</v>
      </c>
    </row>
    <row r="984" spans="1:4" ht="47.25" customHeight="1" x14ac:dyDescent="0.25">
      <c r="A984" s="42" t="s">
        <v>5799</v>
      </c>
      <c r="B984" s="42" t="s">
        <v>5800</v>
      </c>
      <c r="C984" s="43" t="s">
        <v>389</v>
      </c>
      <c r="D984" s="44" t="s">
        <v>4214</v>
      </c>
    </row>
    <row r="985" spans="1:4" ht="78.75" customHeight="1" x14ac:dyDescent="0.25">
      <c r="A985" s="42" t="s">
        <v>5801</v>
      </c>
      <c r="B985" s="42" t="s">
        <v>5802</v>
      </c>
      <c r="C985" s="43" t="s">
        <v>4752</v>
      </c>
      <c r="D985" s="44" t="s">
        <v>4215</v>
      </c>
    </row>
    <row r="986" spans="1:4" ht="31.5" customHeight="1" x14ac:dyDescent="0.25">
      <c r="A986" s="42" t="s">
        <v>5803</v>
      </c>
      <c r="B986" s="42" t="s">
        <v>5804</v>
      </c>
      <c r="C986" s="43" t="s">
        <v>1384</v>
      </c>
      <c r="D986" s="44" t="s">
        <v>4216</v>
      </c>
    </row>
    <row r="987" spans="1:4" ht="47.25" customHeight="1" x14ac:dyDescent="0.25">
      <c r="A987" s="42" t="s">
        <v>5805</v>
      </c>
      <c r="B987" s="42" t="s">
        <v>5806</v>
      </c>
      <c r="C987" s="43" t="s">
        <v>5807</v>
      </c>
      <c r="D987" s="44" t="s">
        <v>4217</v>
      </c>
    </row>
    <row r="988" spans="1:4" ht="47.25" customHeight="1" x14ac:dyDescent="0.25">
      <c r="A988" s="42" t="s">
        <v>5808</v>
      </c>
      <c r="B988" s="42" t="s">
        <v>5809</v>
      </c>
      <c r="C988" s="43" t="s">
        <v>968</v>
      </c>
      <c r="D988" s="44" t="s">
        <v>4218</v>
      </c>
    </row>
    <row r="989" spans="1:4" ht="31.5" customHeight="1" x14ac:dyDescent="0.25">
      <c r="A989" s="42" t="s">
        <v>5810</v>
      </c>
      <c r="B989" s="42" t="s">
        <v>5811</v>
      </c>
      <c r="C989" s="43" t="s">
        <v>3080</v>
      </c>
      <c r="D989" s="44" t="s">
        <v>4219</v>
      </c>
    </row>
    <row r="990" spans="1:4" ht="47.25" customHeight="1" x14ac:dyDescent="0.25">
      <c r="A990" s="42" t="s">
        <v>5812</v>
      </c>
      <c r="B990" s="42" t="s">
        <v>5813</v>
      </c>
      <c r="C990" s="43" t="s">
        <v>5814</v>
      </c>
      <c r="D990" s="44" t="s">
        <v>4220</v>
      </c>
    </row>
    <row r="991" spans="1:4" ht="47.25" customHeight="1" x14ac:dyDescent="0.25">
      <c r="A991" s="42" t="s">
        <v>5815</v>
      </c>
      <c r="B991" s="42" t="s">
        <v>5816</v>
      </c>
      <c r="C991" s="43" t="s">
        <v>5763</v>
      </c>
      <c r="D991" s="44" t="s">
        <v>4221</v>
      </c>
    </row>
    <row r="992" spans="1:4" ht="47.25" customHeight="1" x14ac:dyDescent="0.25">
      <c r="A992" s="42" t="s">
        <v>5817</v>
      </c>
      <c r="B992" s="42" t="s">
        <v>5818</v>
      </c>
      <c r="C992" s="54" t="s">
        <v>5819</v>
      </c>
      <c r="D992" s="44" t="s">
        <v>4222</v>
      </c>
    </row>
    <row r="993" spans="1:4" ht="63" customHeight="1" x14ac:dyDescent="0.25">
      <c r="A993" s="42" t="s">
        <v>5820</v>
      </c>
      <c r="B993" s="42" t="s">
        <v>5821</v>
      </c>
      <c r="C993" s="43" t="s">
        <v>243</v>
      </c>
      <c r="D993" s="44" t="s">
        <v>4223</v>
      </c>
    </row>
    <row r="994" spans="1:4" ht="63" customHeight="1" x14ac:dyDescent="0.25">
      <c r="A994" s="42" t="s">
        <v>5822</v>
      </c>
      <c r="B994" s="42" t="s">
        <v>5823</v>
      </c>
      <c r="C994" s="43" t="s">
        <v>243</v>
      </c>
      <c r="D994" s="44" t="s">
        <v>4224</v>
      </c>
    </row>
    <row r="995" spans="1:4" ht="47.25" customHeight="1" x14ac:dyDescent="0.25">
      <c r="A995" s="42" t="s">
        <v>5824</v>
      </c>
      <c r="B995" s="42" t="s">
        <v>5825</v>
      </c>
      <c r="C995" s="43" t="s">
        <v>5807</v>
      </c>
      <c r="D995" s="44" t="s">
        <v>4225</v>
      </c>
    </row>
    <row r="996" spans="1:4" ht="47.25" customHeight="1" x14ac:dyDescent="0.25">
      <c r="A996" s="42" t="s">
        <v>5826</v>
      </c>
      <c r="B996" s="42" t="s">
        <v>5827</v>
      </c>
      <c r="C996" s="43" t="s">
        <v>5807</v>
      </c>
      <c r="D996" s="44" t="s">
        <v>4226</v>
      </c>
    </row>
    <row r="997" spans="1:4" ht="47.25" customHeight="1" x14ac:dyDescent="0.25">
      <c r="A997" s="42" t="s">
        <v>5828</v>
      </c>
      <c r="B997" s="42" t="s">
        <v>5829</v>
      </c>
      <c r="C997" s="43" t="s">
        <v>5489</v>
      </c>
      <c r="D997" s="44" t="s">
        <v>4227</v>
      </c>
    </row>
    <row r="998" spans="1:4" ht="31.5" customHeight="1" x14ac:dyDescent="0.25">
      <c r="A998" s="42" t="s">
        <v>5830</v>
      </c>
      <c r="B998" s="42" t="s">
        <v>5831</v>
      </c>
      <c r="C998" s="43" t="s">
        <v>5022</v>
      </c>
      <c r="D998" s="44" t="s">
        <v>4228</v>
      </c>
    </row>
    <row r="999" spans="1:4" ht="31.5" customHeight="1" x14ac:dyDescent="0.25">
      <c r="A999" s="42" t="s">
        <v>5832</v>
      </c>
      <c r="B999" s="42" t="s">
        <v>5833</v>
      </c>
      <c r="C999" s="43" t="s">
        <v>5834</v>
      </c>
      <c r="D999" s="44" t="s">
        <v>4229</v>
      </c>
    </row>
    <row r="1000" spans="1:4" ht="31.5" customHeight="1" x14ac:dyDescent="0.25">
      <c r="A1000" s="42" t="s">
        <v>5835</v>
      </c>
      <c r="B1000" s="42" t="s">
        <v>5836</v>
      </c>
      <c r="C1000" s="43" t="s">
        <v>371</v>
      </c>
      <c r="D1000" s="44" t="s">
        <v>4230</v>
      </c>
    </row>
    <row r="1001" spans="1:4" ht="47.25" customHeight="1" x14ac:dyDescent="0.25">
      <c r="A1001" s="42" t="s">
        <v>5837</v>
      </c>
      <c r="B1001" s="42" t="s">
        <v>5838</v>
      </c>
      <c r="C1001" s="43" t="s">
        <v>4588</v>
      </c>
      <c r="D1001" s="44" t="s">
        <v>4231</v>
      </c>
    </row>
    <row r="1002" spans="1:4" ht="31.5" customHeight="1" x14ac:dyDescent="0.25">
      <c r="A1002" s="42" t="s">
        <v>5839</v>
      </c>
      <c r="B1002" s="42" t="s">
        <v>5840</v>
      </c>
      <c r="C1002" s="43" t="s">
        <v>5841</v>
      </c>
      <c r="D1002" s="44" t="s">
        <v>4232</v>
      </c>
    </row>
    <row r="1003" spans="1:4" ht="31.5" customHeight="1" x14ac:dyDescent="0.25">
      <c r="A1003" s="42" t="s">
        <v>5842</v>
      </c>
      <c r="B1003" s="42" t="s">
        <v>5843</v>
      </c>
      <c r="C1003" s="43" t="s">
        <v>1384</v>
      </c>
      <c r="D1003" s="44" t="s">
        <v>4233</v>
      </c>
    </row>
    <row r="1004" spans="1:4" ht="63" customHeight="1" x14ac:dyDescent="0.25">
      <c r="A1004" s="42" t="s">
        <v>5844</v>
      </c>
      <c r="B1004" s="42" t="s">
        <v>5845</v>
      </c>
      <c r="C1004" s="43" t="s">
        <v>555</v>
      </c>
      <c r="D1004" s="44" t="s">
        <v>4234</v>
      </c>
    </row>
    <row r="1005" spans="1:4" ht="47.25" customHeight="1" x14ac:dyDescent="0.25">
      <c r="A1005" s="42" t="s">
        <v>5846</v>
      </c>
      <c r="B1005" s="42" t="s">
        <v>5847</v>
      </c>
      <c r="C1005" s="43" t="s">
        <v>5848</v>
      </c>
      <c r="D1005" s="44" t="s">
        <v>4235</v>
      </c>
    </row>
    <row r="1006" spans="1:4" ht="31.5" customHeight="1" x14ac:dyDescent="0.25">
      <c r="A1006" s="42" t="s">
        <v>5849</v>
      </c>
      <c r="B1006" s="42" t="s">
        <v>5850</v>
      </c>
      <c r="C1006" s="43" t="s">
        <v>4597</v>
      </c>
      <c r="D1006" s="44" t="s">
        <v>4236</v>
      </c>
    </row>
    <row r="1007" spans="1:4" ht="31.5" customHeight="1" x14ac:dyDescent="0.25">
      <c r="A1007" s="42" t="s">
        <v>5851</v>
      </c>
      <c r="B1007" s="42" t="s">
        <v>5852</v>
      </c>
      <c r="C1007" s="43" t="s">
        <v>1259</v>
      </c>
      <c r="D1007" s="44" t="s">
        <v>4237</v>
      </c>
    </row>
    <row r="1008" spans="1:4" ht="31.5" customHeight="1" x14ac:dyDescent="0.25">
      <c r="A1008" s="42" t="s">
        <v>5853</v>
      </c>
      <c r="B1008" s="42" t="s">
        <v>5854</v>
      </c>
      <c r="C1008" s="43" t="s">
        <v>1259</v>
      </c>
      <c r="D1008" s="44" t="s">
        <v>4238</v>
      </c>
    </row>
    <row r="1009" spans="1:4" ht="31.5" customHeight="1" x14ac:dyDescent="0.25">
      <c r="A1009" s="42" t="s">
        <v>5855</v>
      </c>
      <c r="B1009" s="42" t="s">
        <v>5856</v>
      </c>
      <c r="C1009" s="43" t="s">
        <v>2436</v>
      </c>
      <c r="D1009" s="44" t="s">
        <v>4239</v>
      </c>
    </row>
    <row r="1010" spans="1:4" ht="31.5" customHeight="1" x14ac:dyDescent="0.25">
      <c r="A1010" s="42" t="s">
        <v>5857</v>
      </c>
      <c r="B1010" s="42" t="s">
        <v>5858</v>
      </c>
      <c r="C1010" s="43" t="s">
        <v>2436</v>
      </c>
      <c r="D1010" s="44" t="s">
        <v>4240</v>
      </c>
    </row>
    <row r="1011" spans="1:4" ht="47.25" customHeight="1" x14ac:dyDescent="0.25">
      <c r="A1011" s="42" t="s">
        <v>5859</v>
      </c>
      <c r="B1011" s="42" t="s">
        <v>5860</v>
      </c>
      <c r="C1011" s="43" t="s">
        <v>434</v>
      </c>
      <c r="D1011" s="44" t="s">
        <v>4241</v>
      </c>
    </row>
    <row r="1012" spans="1:4" ht="15.75" customHeight="1" x14ac:dyDescent="0.25">
      <c r="A1012" s="42" t="s">
        <v>5861</v>
      </c>
      <c r="B1012" s="42" t="s">
        <v>5862</v>
      </c>
      <c r="C1012" s="43" t="s">
        <v>988</v>
      </c>
      <c r="D1012" s="44" t="s">
        <v>4242</v>
      </c>
    </row>
    <row r="1013" spans="1:4" ht="47.25" customHeight="1" x14ac:dyDescent="0.25">
      <c r="A1013" s="42" t="s">
        <v>5863</v>
      </c>
      <c r="B1013" s="42" t="s">
        <v>5864</v>
      </c>
      <c r="C1013" s="43" t="s">
        <v>1410</v>
      </c>
      <c r="D1013" s="44" t="s">
        <v>4243</v>
      </c>
    </row>
    <row r="1014" spans="1:4" ht="47.25" customHeight="1" x14ac:dyDescent="0.25">
      <c r="A1014" s="42" t="s">
        <v>5865</v>
      </c>
      <c r="B1014" s="42" t="s">
        <v>5866</v>
      </c>
      <c r="C1014" s="43" t="s">
        <v>5867</v>
      </c>
      <c r="D1014" s="44" t="s">
        <v>4244</v>
      </c>
    </row>
    <row r="1015" spans="1:4" ht="31.5" customHeight="1" x14ac:dyDescent="0.25">
      <c r="A1015" s="42" t="s">
        <v>5868</v>
      </c>
      <c r="B1015" s="42" t="s">
        <v>5869</v>
      </c>
      <c r="C1015" s="43" t="s">
        <v>2375</v>
      </c>
      <c r="D1015" s="44" t="s">
        <v>4245</v>
      </c>
    </row>
    <row r="1016" spans="1:4" ht="47.25" customHeight="1" x14ac:dyDescent="0.25">
      <c r="A1016" s="42" t="s">
        <v>5870</v>
      </c>
      <c r="B1016" s="42" t="s">
        <v>5871</v>
      </c>
      <c r="C1016" s="43" t="s">
        <v>5268</v>
      </c>
      <c r="D1016" s="44" t="s">
        <v>4246</v>
      </c>
    </row>
    <row r="1017" spans="1:4" ht="47.25" customHeight="1" x14ac:dyDescent="0.25">
      <c r="A1017" s="42" t="s">
        <v>5872</v>
      </c>
      <c r="B1017" s="42" t="s">
        <v>5873</v>
      </c>
      <c r="C1017" s="43" t="s">
        <v>5874</v>
      </c>
      <c r="D1017" s="44" t="s">
        <v>4247</v>
      </c>
    </row>
    <row r="1018" spans="1:4" ht="63" customHeight="1" x14ac:dyDescent="0.25">
      <c r="A1018" s="42" t="s">
        <v>5875</v>
      </c>
      <c r="B1018" s="42" t="s">
        <v>5876</v>
      </c>
      <c r="C1018" s="43" t="s">
        <v>5877</v>
      </c>
      <c r="D1018" s="44" t="s">
        <v>4248</v>
      </c>
    </row>
    <row r="1019" spans="1:4" ht="31.5" customHeight="1" x14ac:dyDescent="0.25">
      <c r="A1019" s="42" t="s">
        <v>5878</v>
      </c>
      <c r="B1019" s="42" t="s">
        <v>5879</v>
      </c>
      <c r="C1019" s="43" t="s">
        <v>5880</v>
      </c>
      <c r="D1019" s="44" t="s">
        <v>4249</v>
      </c>
    </row>
    <row r="1020" spans="1:4" ht="47.25" customHeight="1" x14ac:dyDescent="0.25">
      <c r="A1020" s="42" t="s">
        <v>5881</v>
      </c>
      <c r="B1020" s="42" t="s">
        <v>5882</v>
      </c>
      <c r="C1020" s="43" t="s">
        <v>788</v>
      </c>
      <c r="D1020" s="44" t="s">
        <v>4250</v>
      </c>
    </row>
    <row r="1021" spans="1:4" ht="31.5" customHeight="1" x14ac:dyDescent="0.25">
      <c r="A1021" s="42" t="s">
        <v>5883</v>
      </c>
      <c r="B1021" s="42" t="s">
        <v>5884</v>
      </c>
      <c r="C1021" s="43" t="s">
        <v>788</v>
      </c>
      <c r="D1021" s="44" t="s">
        <v>4251</v>
      </c>
    </row>
    <row r="1022" spans="1:4" ht="47.25" customHeight="1" x14ac:dyDescent="0.25">
      <c r="A1022" s="42" t="s">
        <v>5885</v>
      </c>
      <c r="B1022" s="42" t="s">
        <v>5886</v>
      </c>
      <c r="C1022" s="43" t="s">
        <v>2070</v>
      </c>
      <c r="D1022" s="44" t="s">
        <v>4252</v>
      </c>
    </row>
    <row r="1023" spans="1:4" ht="47.25" customHeight="1" x14ac:dyDescent="0.25">
      <c r="A1023" s="42" t="s">
        <v>5887</v>
      </c>
      <c r="B1023" s="42" t="s">
        <v>5888</v>
      </c>
      <c r="C1023" s="43" t="s">
        <v>5504</v>
      </c>
      <c r="D1023" s="44" t="s">
        <v>4253</v>
      </c>
    </row>
    <row r="1024" spans="1:4" ht="47.25" customHeight="1" x14ac:dyDescent="0.25">
      <c r="A1024" s="42" t="s">
        <v>5889</v>
      </c>
      <c r="B1024" s="42" t="s">
        <v>5890</v>
      </c>
      <c r="C1024" s="43" t="s">
        <v>5891</v>
      </c>
      <c r="D1024" s="44" t="s">
        <v>4254</v>
      </c>
    </row>
    <row r="1025" spans="1:4" ht="47.25" customHeight="1" x14ac:dyDescent="0.25">
      <c r="A1025" s="42" t="s">
        <v>5892</v>
      </c>
      <c r="B1025" s="42" t="s">
        <v>5893</v>
      </c>
      <c r="C1025" s="43" t="s">
        <v>5891</v>
      </c>
      <c r="D1025" s="44" t="s">
        <v>4255</v>
      </c>
    </row>
    <row r="1026" spans="1:4" ht="63" customHeight="1" x14ac:dyDescent="0.25">
      <c r="A1026" s="42" t="s">
        <v>5894</v>
      </c>
      <c r="B1026" s="42" t="s">
        <v>5895</v>
      </c>
      <c r="C1026" s="43" t="s">
        <v>1384</v>
      </c>
      <c r="D1026" s="44" t="s">
        <v>4256</v>
      </c>
    </row>
    <row r="1027" spans="1:4" ht="47.25" customHeight="1" x14ac:dyDescent="0.25">
      <c r="A1027" s="42" t="s">
        <v>5896</v>
      </c>
      <c r="B1027" s="42" t="s">
        <v>5897</v>
      </c>
      <c r="C1027" s="43" t="s">
        <v>1729</v>
      </c>
      <c r="D1027" s="44" t="s">
        <v>4257</v>
      </c>
    </row>
    <row r="1028" spans="1:4" ht="47.25" customHeight="1" x14ac:dyDescent="0.25">
      <c r="A1028" s="42" t="s">
        <v>5898</v>
      </c>
      <c r="B1028" s="42" t="s">
        <v>5899</v>
      </c>
      <c r="C1028" s="43" t="s">
        <v>109</v>
      </c>
      <c r="D1028" s="44" t="s">
        <v>4258</v>
      </c>
    </row>
    <row r="1029" spans="1:4" ht="47.25" customHeight="1" x14ac:dyDescent="0.25">
      <c r="A1029" s="42" t="s">
        <v>5900</v>
      </c>
      <c r="B1029" s="42" t="s">
        <v>5901</v>
      </c>
      <c r="C1029" s="43" t="s">
        <v>1529</v>
      </c>
      <c r="D1029" s="44" t="s">
        <v>4259</v>
      </c>
    </row>
    <row r="1030" spans="1:4" ht="63" customHeight="1" x14ac:dyDescent="0.25">
      <c r="A1030" s="42" t="s">
        <v>5902</v>
      </c>
      <c r="B1030" s="42" t="s">
        <v>5903</v>
      </c>
      <c r="C1030" s="43" t="s">
        <v>167</v>
      </c>
      <c r="D1030" s="44" t="s">
        <v>4260</v>
      </c>
    </row>
    <row r="1031" spans="1:4" ht="47.25" customHeight="1" x14ac:dyDescent="0.25">
      <c r="A1031" s="42" t="s">
        <v>5904</v>
      </c>
      <c r="B1031" s="42" t="s">
        <v>5905</v>
      </c>
      <c r="C1031" s="43" t="s">
        <v>5841</v>
      </c>
      <c r="D1031" s="44" t="s">
        <v>4261</v>
      </c>
    </row>
    <row r="1032" spans="1:4" ht="31.5" customHeight="1" x14ac:dyDescent="0.25">
      <c r="A1032" s="42" t="s">
        <v>5906</v>
      </c>
      <c r="B1032" s="42" t="s">
        <v>5907</v>
      </c>
      <c r="C1032" s="43" t="s">
        <v>405</v>
      </c>
      <c r="D1032" s="44" t="s">
        <v>4262</v>
      </c>
    </row>
    <row r="1033" spans="1:4" ht="31.5" customHeight="1" x14ac:dyDescent="0.25">
      <c r="A1033" s="42" t="s">
        <v>5908</v>
      </c>
      <c r="B1033" s="42" t="s">
        <v>5909</v>
      </c>
      <c r="C1033" s="43" t="s">
        <v>294</v>
      </c>
      <c r="D1033" s="44" t="s">
        <v>4263</v>
      </c>
    </row>
    <row r="1034" spans="1:4" ht="47.25" customHeight="1" x14ac:dyDescent="0.25">
      <c r="A1034" s="42" t="s">
        <v>5910</v>
      </c>
      <c r="B1034" s="42" t="s">
        <v>5911</v>
      </c>
      <c r="C1034" s="43" t="s">
        <v>5912</v>
      </c>
      <c r="D1034" s="44" t="s">
        <v>4264</v>
      </c>
    </row>
    <row r="1035" spans="1:4" ht="47.25" customHeight="1" x14ac:dyDescent="0.25">
      <c r="A1035" s="42" t="s">
        <v>5913</v>
      </c>
      <c r="B1035" s="42" t="s">
        <v>5914</v>
      </c>
      <c r="C1035" s="43" t="s">
        <v>243</v>
      </c>
      <c r="D1035" s="44" t="s">
        <v>4265</v>
      </c>
    </row>
    <row r="1036" spans="1:4" ht="63" customHeight="1" x14ac:dyDescent="0.25">
      <c r="A1036" s="42" t="s">
        <v>5915</v>
      </c>
      <c r="B1036" s="42" t="s">
        <v>5916</v>
      </c>
      <c r="C1036" s="43" t="s">
        <v>389</v>
      </c>
      <c r="D1036" s="44" t="s">
        <v>4266</v>
      </c>
    </row>
    <row r="1037" spans="1:4" ht="31.5" customHeight="1" x14ac:dyDescent="0.25">
      <c r="A1037" s="42" t="s">
        <v>5917</v>
      </c>
      <c r="B1037" s="42" t="s">
        <v>5918</v>
      </c>
      <c r="C1037" s="43" t="s">
        <v>389</v>
      </c>
      <c r="D1037" s="44" t="s">
        <v>4267</v>
      </c>
    </row>
    <row r="1038" spans="1:4" ht="47.25" customHeight="1" x14ac:dyDescent="0.25">
      <c r="A1038" s="42" t="s">
        <v>5919</v>
      </c>
      <c r="B1038" s="42" t="s">
        <v>5920</v>
      </c>
      <c r="C1038" s="43" t="s">
        <v>2253</v>
      </c>
      <c r="D1038" s="44" t="s">
        <v>4268</v>
      </c>
    </row>
    <row r="1039" spans="1:4" ht="47.25" customHeight="1" x14ac:dyDescent="0.25">
      <c r="A1039" s="42" t="s">
        <v>5921</v>
      </c>
      <c r="B1039" s="42" t="s">
        <v>5922</v>
      </c>
      <c r="C1039" s="43" t="s">
        <v>1534</v>
      </c>
      <c r="D1039" s="44" t="s">
        <v>4269</v>
      </c>
    </row>
    <row r="1040" spans="1:4" ht="47.25" customHeight="1" x14ac:dyDescent="0.25">
      <c r="A1040" s="42" t="s">
        <v>5923</v>
      </c>
      <c r="B1040" s="42" t="s">
        <v>5924</v>
      </c>
      <c r="C1040" s="43" t="s">
        <v>555</v>
      </c>
      <c r="D1040" s="44" t="s">
        <v>4270</v>
      </c>
    </row>
    <row r="1041" spans="1:4" ht="47.25" customHeight="1" x14ac:dyDescent="0.25">
      <c r="A1041" s="42" t="s">
        <v>5925</v>
      </c>
      <c r="B1041" s="42" t="s">
        <v>5926</v>
      </c>
      <c r="C1041" s="43" t="s">
        <v>4680</v>
      </c>
      <c r="D1041" s="44" t="s">
        <v>4271</v>
      </c>
    </row>
    <row r="1042" spans="1:4" ht="47.25" customHeight="1" x14ac:dyDescent="0.25">
      <c r="A1042" s="42" t="s">
        <v>5927</v>
      </c>
      <c r="B1042" s="42" t="s">
        <v>5928</v>
      </c>
      <c r="C1042" s="43" t="s">
        <v>5929</v>
      </c>
      <c r="D1042" s="44" t="s">
        <v>4272</v>
      </c>
    </row>
    <row r="1043" spans="1:4" ht="47.25" customHeight="1" x14ac:dyDescent="0.25">
      <c r="A1043" s="42" t="s">
        <v>5930</v>
      </c>
      <c r="B1043" s="42" t="s">
        <v>5931</v>
      </c>
      <c r="C1043" s="43" t="s">
        <v>5932</v>
      </c>
      <c r="D1043" s="44" t="s">
        <v>4273</v>
      </c>
    </row>
    <row r="1044" spans="1:4" ht="47.25" customHeight="1" x14ac:dyDescent="0.25">
      <c r="A1044" s="42" t="s">
        <v>5933</v>
      </c>
      <c r="B1044" s="42" t="s">
        <v>5934</v>
      </c>
      <c r="C1044" s="43" t="s">
        <v>688</v>
      </c>
      <c r="D1044" s="44" t="s">
        <v>4274</v>
      </c>
    </row>
    <row r="1045" spans="1:4" ht="47.25" customHeight="1" x14ac:dyDescent="0.25">
      <c r="A1045" s="42" t="s">
        <v>5935</v>
      </c>
      <c r="B1045" s="42" t="s">
        <v>5936</v>
      </c>
      <c r="C1045" s="43" t="s">
        <v>5937</v>
      </c>
      <c r="D1045" s="44" t="s">
        <v>4275</v>
      </c>
    </row>
    <row r="1046" spans="1:4" ht="47.25" customHeight="1" x14ac:dyDescent="0.25">
      <c r="A1046" s="42" t="s">
        <v>5938</v>
      </c>
      <c r="B1046" s="42" t="s">
        <v>5939</v>
      </c>
      <c r="C1046" s="43" t="s">
        <v>1458</v>
      </c>
      <c r="D1046" s="44" t="s">
        <v>4276</v>
      </c>
    </row>
    <row r="1047" spans="1:4" ht="47.25" customHeight="1" x14ac:dyDescent="0.25">
      <c r="A1047" s="42" t="s">
        <v>5940</v>
      </c>
      <c r="B1047" s="42" t="s">
        <v>5941</v>
      </c>
      <c r="C1047" s="43" t="s">
        <v>4461</v>
      </c>
      <c r="D1047" s="44" t="s">
        <v>4277</v>
      </c>
    </row>
    <row r="1048" spans="1:4" ht="47.25" customHeight="1" x14ac:dyDescent="0.25">
      <c r="A1048" s="42" t="s">
        <v>5942</v>
      </c>
      <c r="B1048" s="42" t="s">
        <v>5943</v>
      </c>
      <c r="C1048" s="43" t="s">
        <v>5944</v>
      </c>
      <c r="D1048" s="44" t="s">
        <v>4278</v>
      </c>
    </row>
    <row r="1049" spans="1:4" ht="31.5" customHeight="1" x14ac:dyDescent="0.25">
      <c r="A1049" s="42" t="s">
        <v>5945</v>
      </c>
      <c r="B1049" s="42" t="s">
        <v>5946</v>
      </c>
      <c r="C1049" s="43" t="s">
        <v>555</v>
      </c>
      <c r="D1049" s="44" t="s">
        <v>4279</v>
      </c>
    </row>
    <row r="1050" spans="1:4" ht="47.25" customHeight="1" x14ac:dyDescent="0.25">
      <c r="A1050" s="42" t="s">
        <v>5947</v>
      </c>
      <c r="B1050" s="42" t="s">
        <v>5948</v>
      </c>
      <c r="C1050" s="43" t="s">
        <v>5949</v>
      </c>
      <c r="D1050" s="44" t="s">
        <v>4280</v>
      </c>
    </row>
    <row r="1051" spans="1:4" ht="31.5" customHeight="1" x14ac:dyDescent="0.25">
      <c r="A1051" s="42" t="s">
        <v>5950</v>
      </c>
      <c r="B1051" s="42" t="s">
        <v>5951</v>
      </c>
      <c r="C1051" s="43" t="s">
        <v>214</v>
      </c>
      <c r="D1051" s="44" t="s">
        <v>4281</v>
      </c>
    </row>
    <row r="1052" spans="1:4" ht="47.25" customHeight="1" x14ac:dyDescent="0.25">
      <c r="A1052" s="42" t="s">
        <v>5952</v>
      </c>
      <c r="B1052" s="42" t="s">
        <v>5953</v>
      </c>
      <c r="C1052" s="43" t="s">
        <v>1137</v>
      </c>
      <c r="D1052" s="44" t="s">
        <v>4282</v>
      </c>
    </row>
    <row r="1053" spans="1:4" ht="47.25" customHeight="1" x14ac:dyDescent="0.25">
      <c r="A1053" s="42" t="s">
        <v>5954</v>
      </c>
      <c r="B1053" s="42" t="s">
        <v>5955</v>
      </c>
      <c r="C1053" s="43" t="s">
        <v>1621</v>
      </c>
      <c r="D1053" s="44" t="s">
        <v>4283</v>
      </c>
    </row>
    <row r="1054" spans="1:4" ht="31.5" customHeight="1" x14ac:dyDescent="0.25">
      <c r="A1054" s="42" t="s">
        <v>5956</v>
      </c>
      <c r="B1054" s="42" t="s">
        <v>5957</v>
      </c>
      <c r="C1054" s="43" t="s">
        <v>2978</v>
      </c>
      <c r="D1054" s="44" t="s">
        <v>4284</v>
      </c>
    </row>
    <row r="1055" spans="1:4" ht="47.25" customHeight="1" x14ac:dyDescent="0.25">
      <c r="A1055" s="42" t="s">
        <v>5958</v>
      </c>
      <c r="B1055" s="42" t="s">
        <v>5959</v>
      </c>
      <c r="C1055" s="43" t="s">
        <v>1621</v>
      </c>
      <c r="D1055" s="44" t="s">
        <v>4285</v>
      </c>
    </row>
    <row r="1056" spans="1:4" ht="47.25" customHeight="1" x14ac:dyDescent="0.25">
      <c r="A1056" s="42" t="s">
        <v>5960</v>
      </c>
      <c r="B1056" s="42" t="s">
        <v>5961</v>
      </c>
      <c r="C1056" s="43" t="s">
        <v>604</v>
      </c>
      <c r="D1056" s="44" t="s">
        <v>4286</v>
      </c>
    </row>
    <row r="1057" spans="1:4" ht="47.25" customHeight="1" x14ac:dyDescent="0.25">
      <c r="A1057" s="42" t="s">
        <v>5962</v>
      </c>
      <c r="B1057" s="42" t="s">
        <v>5963</v>
      </c>
      <c r="C1057" s="43" t="s">
        <v>5195</v>
      </c>
      <c r="D1057" s="44" t="s">
        <v>4287</v>
      </c>
    </row>
    <row r="1058" spans="1:4" ht="47.25" customHeight="1" x14ac:dyDescent="0.25">
      <c r="A1058" s="42" t="s">
        <v>5964</v>
      </c>
      <c r="B1058" s="42" t="s">
        <v>5965</v>
      </c>
      <c r="C1058" s="43" t="s">
        <v>1729</v>
      </c>
      <c r="D1058" s="44" t="s">
        <v>4288</v>
      </c>
    </row>
    <row r="1059" spans="1:4" ht="47.25" customHeight="1" x14ac:dyDescent="0.25">
      <c r="A1059" s="42" t="s">
        <v>5966</v>
      </c>
      <c r="B1059" s="42" t="s">
        <v>5967</v>
      </c>
      <c r="C1059" s="43" t="s">
        <v>968</v>
      </c>
      <c r="D1059" s="44" t="s">
        <v>4289</v>
      </c>
    </row>
    <row r="1060" spans="1:4" ht="31.5" customHeight="1" x14ac:dyDescent="0.25">
      <c r="A1060" s="42" t="s">
        <v>5968</v>
      </c>
      <c r="B1060" s="42" t="s">
        <v>5969</v>
      </c>
      <c r="C1060" s="43" t="s">
        <v>2861</v>
      </c>
      <c r="D1060" s="44" t="s">
        <v>4290</v>
      </c>
    </row>
    <row r="1061" spans="1:4" ht="47.25" customHeight="1" x14ac:dyDescent="0.25">
      <c r="A1061" s="42" t="s">
        <v>5970</v>
      </c>
      <c r="B1061" s="42" t="s">
        <v>5971</v>
      </c>
      <c r="C1061" s="43" t="s">
        <v>955</v>
      </c>
      <c r="D1061" s="44" t="s">
        <v>4291</v>
      </c>
    </row>
    <row r="1062" spans="1:4" ht="47.25" customHeight="1" x14ac:dyDescent="0.25">
      <c r="A1062" s="42" t="s">
        <v>5972</v>
      </c>
      <c r="B1062" s="42" t="s">
        <v>5973</v>
      </c>
      <c r="C1062" s="43" t="s">
        <v>5974</v>
      </c>
      <c r="D1062" s="44" t="s">
        <v>4292</v>
      </c>
    </row>
    <row r="1063" spans="1:4" ht="31.5" customHeight="1" x14ac:dyDescent="0.25">
      <c r="A1063" s="42" t="s">
        <v>5975</v>
      </c>
      <c r="B1063" s="42" t="s">
        <v>5976</v>
      </c>
      <c r="C1063" s="43" t="s">
        <v>664</v>
      </c>
      <c r="D1063" s="44" t="s">
        <v>4293</v>
      </c>
    </row>
    <row r="1064" spans="1:4" ht="47.25" customHeight="1" x14ac:dyDescent="0.25">
      <c r="A1064" s="42" t="s">
        <v>5977</v>
      </c>
      <c r="B1064" s="42" t="s">
        <v>5978</v>
      </c>
      <c r="C1064" s="43" t="s">
        <v>1513</v>
      </c>
      <c r="D1064" s="44" t="s">
        <v>4294</v>
      </c>
    </row>
    <row r="1065" spans="1:4" ht="78.75" customHeight="1" x14ac:dyDescent="0.25">
      <c r="A1065" s="42" t="s">
        <v>5979</v>
      </c>
      <c r="B1065" s="42" t="s">
        <v>5980</v>
      </c>
      <c r="C1065" s="43" t="s">
        <v>955</v>
      </c>
      <c r="D1065" s="44" t="s">
        <v>4295</v>
      </c>
    </row>
    <row r="1066" spans="1:4" ht="47.25" customHeight="1" x14ac:dyDescent="0.25">
      <c r="A1066" s="42" t="s">
        <v>5981</v>
      </c>
      <c r="B1066" s="42" t="s">
        <v>5982</v>
      </c>
      <c r="C1066" s="43" t="s">
        <v>5337</v>
      </c>
      <c r="D1066" s="44" t="s">
        <v>4296</v>
      </c>
    </row>
    <row r="1067" spans="1:4" ht="47.25" customHeight="1" x14ac:dyDescent="0.25">
      <c r="A1067" s="42" t="s">
        <v>5983</v>
      </c>
      <c r="B1067" s="42" t="s">
        <v>5984</v>
      </c>
      <c r="C1067" s="43" t="s">
        <v>5792</v>
      </c>
      <c r="D1067" s="44" t="s">
        <v>4297</v>
      </c>
    </row>
    <row r="1068" spans="1:4" ht="47.25" customHeight="1" x14ac:dyDescent="0.25">
      <c r="A1068" s="42" t="s">
        <v>5985</v>
      </c>
      <c r="B1068" s="42" t="s">
        <v>5986</v>
      </c>
      <c r="C1068" s="43" t="s">
        <v>410</v>
      </c>
      <c r="D1068" s="44" t="s">
        <v>4298</v>
      </c>
    </row>
    <row r="1069" spans="1:4" ht="31.5" customHeight="1" x14ac:dyDescent="0.25">
      <c r="A1069" s="42" t="s">
        <v>5987</v>
      </c>
      <c r="B1069" s="42" t="s">
        <v>5988</v>
      </c>
      <c r="C1069" s="43" t="s">
        <v>1045</v>
      </c>
      <c r="D1069" s="44" t="s">
        <v>4299</v>
      </c>
    </row>
    <row r="1070" spans="1:4" ht="63" customHeight="1" x14ac:dyDescent="0.25">
      <c r="A1070" s="42" t="s">
        <v>5989</v>
      </c>
      <c r="B1070" s="42" t="s">
        <v>5990</v>
      </c>
      <c r="C1070" s="43" t="s">
        <v>5991</v>
      </c>
      <c r="D1070" s="44" t="s">
        <v>4300</v>
      </c>
    </row>
    <row r="1071" spans="1:4" ht="31.5" customHeight="1" x14ac:dyDescent="0.25">
      <c r="A1071" s="42" t="s">
        <v>5992</v>
      </c>
      <c r="B1071" s="42" t="s">
        <v>5993</v>
      </c>
      <c r="C1071" s="43" t="s">
        <v>5331</v>
      </c>
      <c r="D1071" s="44" t="s">
        <v>4301</v>
      </c>
    </row>
    <row r="1072" spans="1:4" ht="63" customHeight="1" x14ac:dyDescent="0.25">
      <c r="A1072" s="42" t="s">
        <v>5994</v>
      </c>
      <c r="B1072" s="42" t="s">
        <v>5995</v>
      </c>
      <c r="C1072" s="43" t="s">
        <v>5996</v>
      </c>
      <c r="D1072" s="44" t="s">
        <v>4302</v>
      </c>
    </row>
    <row r="1073" spans="1:4" ht="63" customHeight="1" x14ac:dyDescent="0.25">
      <c r="A1073" s="42" t="s">
        <v>5997</v>
      </c>
      <c r="B1073" s="42" t="s">
        <v>5998</v>
      </c>
      <c r="C1073" s="43" t="s">
        <v>68</v>
      </c>
      <c r="D1073" s="44" t="s">
        <v>4303</v>
      </c>
    </row>
    <row r="1074" spans="1:4" ht="31.5" customHeight="1" x14ac:dyDescent="0.25">
      <c r="A1074" s="42" t="s">
        <v>5999</v>
      </c>
      <c r="B1074" s="42" t="s">
        <v>6000</v>
      </c>
      <c r="C1074" s="43" t="s">
        <v>5158</v>
      </c>
      <c r="D1074" s="44" t="s">
        <v>4304</v>
      </c>
    </row>
    <row r="1075" spans="1:4" ht="31.5" customHeight="1" x14ac:dyDescent="0.25">
      <c r="A1075" s="42" t="s">
        <v>6001</v>
      </c>
      <c r="B1075" s="42" t="s">
        <v>6002</v>
      </c>
      <c r="C1075" s="43" t="s">
        <v>68</v>
      </c>
      <c r="D1075" s="44" t="s">
        <v>4305</v>
      </c>
    </row>
    <row r="1076" spans="1:4" ht="31.5" customHeight="1" x14ac:dyDescent="0.25">
      <c r="A1076" s="42" t="s">
        <v>6003</v>
      </c>
      <c r="B1076" s="42" t="s">
        <v>6004</v>
      </c>
      <c r="C1076" s="43" t="s">
        <v>4486</v>
      </c>
      <c r="D1076" s="44" t="s">
        <v>4306</v>
      </c>
    </row>
    <row r="1077" spans="1:4" ht="47.25" customHeight="1" x14ac:dyDescent="0.25">
      <c r="A1077" s="42" t="s">
        <v>6005</v>
      </c>
      <c r="B1077" s="42" t="s">
        <v>6006</v>
      </c>
      <c r="C1077" s="43" t="s">
        <v>333</v>
      </c>
      <c r="D1077" s="44" t="s">
        <v>4307</v>
      </c>
    </row>
    <row r="1078" spans="1:4" ht="94.5" customHeight="1" x14ac:dyDescent="0.25">
      <c r="A1078" s="42" t="s">
        <v>6007</v>
      </c>
      <c r="B1078" s="42" t="s">
        <v>6008</v>
      </c>
      <c r="C1078" s="43" t="s">
        <v>389</v>
      </c>
      <c r="D1078" s="44" t="s">
        <v>4308</v>
      </c>
    </row>
    <row r="1079" spans="1:4" ht="31.5" customHeight="1" x14ac:dyDescent="0.25">
      <c r="A1079" s="42" t="s">
        <v>6009</v>
      </c>
      <c r="B1079" s="42" t="s">
        <v>6010</v>
      </c>
      <c r="C1079" s="43" t="s">
        <v>898</v>
      </c>
      <c r="D1079" s="44" t="s">
        <v>4309</v>
      </c>
    </row>
    <row r="1080" spans="1:4" ht="31.5" customHeight="1" x14ac:dyDescent="0.25">
      <c r="A1080" s="42" t="s">
        <v>6011</v>
      </c>
      <c r="B1080" s="42" t="s">
        <v>6012</v>
      </c>
      <c r="C1080" s="43" t="s">
        <v>1616</v>
      </c>
      <c r="D1080" s="44" t="s">
        <v>4310</v>
      </c>
    </row>
    <row r="1081" spans="1:4" ht="31.5" customHeight="1" x14ac:dyDescent="0.25">
      <c r="A1081" s="42" t="s">
        <v>6013</v>
      </c>
      <c r="B1081" s="42" t="s">
        <v>6014</v>
      </c>
      <c r="C1081" s="43" t="s">
        <v>5422</v>
      </c>
      <c r="D1081" s="44" t="s">
        <v>4311</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Birim</vt:lpstr>
      <vt:lpstr>Birim_Başvuru</vt:lpstr>
      <vt:lpstr>Sorumlu</vt:lpstr>
      <vt:lpstr>Araştırmacı_Detay</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2026-07-22T13:07:05Z</dcterms:modified>
  <dc:language>en-US</dc:language>
</cp:coreProperties>
</file>